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loydna/Desktop/UP/6°semestre/AutoExam/Datasets/"/>
    </mc:Choice>
  </mc:AlternateContent>
  <xr:revisionPtr revIDLastSave="0" documentId="8_{EEF15C0F-7E92-8F42-9D72-70510C2E96B7}" xr6:coauthVersionLast="47" xr6:coauthVersionMax="47" xr10:uidLastSave="{00000000-0000-0000-0000-000000000000}"/>
  <bookViews>
    <workbookView xWindow="0" yWindow="500" windowWidth="14400" windowHeight="17500" tabRatio="507" activeTab="3" xr2:uid="{E3E5A306-474F-4D96-B142-64C3D8D24DA1}"/>
  </bookViews>
  <sheets>
    <sheet name="Horario aula" sheetId="56" r:id="rId1"/>
    <sheet name="Horario profesor" sheetId="46" r:id="rId2"/>
    <sheet name="Horario grupo" sheetId="45" r:id="rId3"/>
    <sheet name="Base de datos" sheetId="33" r:id="rId4"/>
    <sheet name="Profesores" sheetId="35" r:id="rId5"/>
    <sheet name="Índices" sheetId="57" r:id="rId6"/>
    <sheet name="Pronostico" sheetId="48" r:id="rId7"/>
    <sheet name="Planes de estudio" sheetId="47" r:id="rId8"/>
    <sheet name="Pares" sheetId="59" r:id="rId9"/>
  </sheets>
  <definedNames>
    <definedName name="_xlnm._FilterDatabase" localSheetId="8" hidden="1">Pares!$A$1:$Y$1</definedName>
    <definedName name="Aula">'Horario aula'!$D$2</definedName>
    <definedName name="Aulas">Profesores!$AQ$2:$AQ$80</definedName>
    <definedName name="Aulas_capacidad">Tabla12[]</definedName>
    <definedName name="Bioelectrónica">'Planes de estudio'!$J$3:$J$228</definedName>
    <definedName name="Cantidad_de_materias">Profesores!$U$3:$U$133</definedName>
    <definedName name="Capacidad">Profesores!$AR$2:$AR$80</definedName>
    <definedName name="Carrera">'Horario grupo'!$D$2</definedName>
    <definedName name="Carreras">'Planes de estudio'!$D$2:$J$2</definedName>
    <definedName name="Civil_y_Administración">'Planes de estudio'!$I$3:$I$228</definedName>
    <definedName name="Clases_Presenciales">Profesores!$K$3:$K$133</definedName>
    <definedName name="Columna" localSheetId="0">'Horario aula'!$H$2</definedName>
    <definedName name="Columna" localSheetId="1">'Horario profesor'!$J$2</definedName>
    <definedName name="Concepto" localSheetId="0">'Horario aula'!$H$2</definedName>
    <definedName name="Concepto" localSheetId="1">'Horario profesor'!$J$2</definedName>
    <definedName name="Equipo">Profesores!$AS$2:$AS$80</definedName>
    <definedName name="Gdo">Profesores!$AM$2:$AM$7</definedName>
    <definedName name="Grado">Profesores!$C$3:$C$133</definedName>
    <definedName name="Hora_de_fin">'Planes de estudio'!$AE$3:$AE$32</definedName>
    <definedName name="Hora_de_inicio">'Planes de estudio'!$AD$3:$AD$32</definedName>
    <definedName name="Horas">'Planes de estudio'!$K$3:$K$228</definedName>
    <definedName name="ICA">Profesores!#REF!</definedName>
    <definedName name="Industrial">'Planes de estudio'!$D$3:$D$228</definedName>
    <definedName name="Innovación_y_Diseño">'Planes de estudio'!$F$3:$F$228</definedName>
    <definedName name="Inteligencia_Artificial">'Planes de estudio'!$G$3:$G$228</definedName>
    <definedName name="Materia_programada">base_de_datos[Materia]</definedName>
    <definedName name="Materias">'Planes de estudio'!$B$3:$B$228</definedName>
    <definedName name="Mecatrónica">'Planes de estudio'!$E$3:$E$228</definedName>
    <definedName name="Metales">Profesores!$AQ$3:$AQ$18</definedName>
    <definedName name="Nombre">Profesores!$F$3:$F$133</definedName>
    <definedName name="Num">Profesores!$B$3:$B$133</definedName>
    <definedName name="Optativa">'Planes de estudio'!$L$3:$L$228</definedName>
    <definedName name="PHíbrido">Profesores!#REF!</definedName>
    <definedName name="Profesor" localSheetId="0">'Horario aula'!$D$2</definedName>
    <definedName name="Profesor" localSheetId="1">'Horario profesor'!$D$2</definedName>
    <definedName name="Sana_distancia">Profesores!$AT$2:$AT$80</definedName>
    <definedName name="Semestre">'Horario grupo'!$G$2</definedName>
    <definedName name="Semestres">'Planes de estudio'!$AB$3:$AB$12</definedName>
    <definedName name="Tecnologías_Energéticas">'Planes de estudio'!$H$3:$H$228</definedName>
    <definedName name="Tipo">Profesores!$D$3:$D$133</definedName>
    <definedName name="Tipo_de_profesor">Profesores!$AO$2:$AO$6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6" i="35" l="1"/>
  <c r="AJ61" i="35" l="1"/>
  <c r="AJ22" i="35"/>
  <c r="AG128" i="35"/>
  <c r="AF128" i="35"/>
  <c r="AE128" i="35"/>
  <c r="AD128" i="35"/>
  <c r="AC128" i="35"/>
  <c r="AB128" i="35"/>
  <c r="AA128" i="35"/>
  <c r="Z128" i="35"/>
  <c r="Y128" i="35"/>
  <c r="W128" i="35"/>
  <c r="V128" i="35"/>
  <c r="AJ41" i="35"/>
  <c r="AG130" i="35"/>
  <c r="AF130" i="35"/>
  <c r="AE130" i="35"/>
  <c r="AD130" i="35"/>
  <c r="AC130" i="35"/>
  <c r="AB130" i="35"/>
  <c r="AA130" i="35"/>
  <c r="Z130" i="35"/>
  <c r="Y130" i="35"/>
  <c r="W130" i="35"/>
  <c r="V130" i="35"/>
  <c r="AG126" i="35"/>
  <c r="AF126" i="35"/>
  <c r="AE126" i="35"/>
  <c r="AD126" i="35"/>
  <c r="AC126" i="35"/>
  <c r="AB126" i="35"/>
  <c r="AA126" i="35"/>
  <c r="Z126" i="35"/>
  <c r="Y126" i="35"/>
  <c r="AG124" i="35"/>
  <c r="AF124" i="35"/>
  <c r="AE124" i="35"/>
  <c r="AD124" i="35"/>
  <c r="AC124" i="35"/>
  <c r="AB124" i="35"/>
  <c r="AA124" i="35"/>
  <c r="Z124" i="35"/>
  <c r="Y124" i="35"/>
  <c r="AG122" i="35"/>
  <c r="AF122" i="35"/>
  <c r="AE122" i="35"/>
  <c r="AD122" i="35"/>
  <c r="AC122" i="35"/>
  <c r="AB122" i="35"/>
  <c r="AA122" i="35"/>
  <c r="Z122" i="35"/>
  <c r="Y122" i="35"/>
  <c r="AJ12" i="35"/>
  <c r="AJ60" i="35"/>
  <c r="AJ21" i="35"/>
  <c r="AJ8" i="35"/>
  <c r="AJ29" i="35"/>
  <c r="AJ121" i="35"/>
  <c r="AJ133" i="35"/>
  <c r="AJ119" i="35"/>
  <c r="AJ118" i="35"/>
  <c r="AJ117" i="35"/>
  <c r="AJ116" i="35"/>
  <c r="AJ115" i="35"/>
  <c r="AJ114" i="35"/>
  <c r="AJ113" i="35"/>
  <c r="AJ112" i="35"/>
  <c r="AJ120" i="35"/>
  <c r="AJ110" i="35"/>
  <c r="AJ109" i="35"/>
  <c r="AJ111" i="35"/>
  <c r="AJ107" i="35"/>
  <c r="AJ108" i="35"/>
  <c r="AJ105" i="35"/>
  <c r="AJ104" i="35"/>
  <c r="AJ103" i="35"/>
  <c r="AJ102" i="35"/>
  <c r="AJ101" i="35"/>
  <c r="AJ100" i="35"/>
  <c r="AJ99" i="35"/>
  <c r="AG99" i="35"/>
  <c r="AF99" i="35"/>
  <c r="AE99" i="35"/>
  <c r="AD99" i="35"/>
  <c r="AC99" i="35"/>
  <c r="AB99" i="35"/>
  <c r="AA99" i="35"/>
  <c r="Z99" i="35"/>
  <c r="Y99" i="35"/>
  <c r="W99" i="35"/>
  <c r="V99" i="35"/>
  <c r="AJ98" i="35"/>
  <c r="AJ97" i="35"/>
  <c r="AJ96" i="35"/>
  <c r="AJ106" i="35"/>
  <c r="AJ94" i="35"/>
  <c r="AJ93" i="35"/>
  <c r="AJ92" i="35"/>
  <c r="AJ91" i="35"/>
  <c r="AJ90" i="35"/>
  <c r="AJ95" i="35"/>
  <c r="AJ88" i="35"/>
  <c r="AJ87" i="35"/>
  <c r="AJ86" i="35"/>
  <c r="AJ85" i="35"/>
  <c r="AJ84" i="35"/>
  <c r="AJ83" i="35"/>
  <c r="AJ82" i="35"/>
  <c r="AJ89" i="35"/>
  <c r="AJ80" i="35"/>
  <c r="AJ79" i="35"/>
  <c r="AJ78" i="35"/>
  <c r="AJ77" i="35"/>
  <c r="AJ76" i="35"/>
  <c r="AJ75" i="35"/>
  <c r="AJ74" i="35"/>
  <c r="AJ73" i="35"/>
  <c r="AJ72" i="35"/>
  <c r="AJ71" i="35"/>
  <c r="AJ70" i="35"/>
  <c r="AJ69" i="35"/>
  <c r="AJ68" i="35"/>
  <c r="AJ67" i="35"/>
  <c r="AJ66" i="35"/>
  <c r="AJ65" i="35"/>
  <c r="AJ64" i="35"/>
  <c r="AJ81" i="35"/>
  <c r="AJ62" i="35"/>
  <c r="AJ59" i="35"/>
  <c r="AJ58" i="35"/>
  <c r="AJ57" i="35"/>
  <c r="AJ56" i="35"/>
  <c r="AJ55" i="35"/>
  <c r="AJ54" i="35"/>
  <c r="AJ53" i="35"/>
  <c r="AJ52" i="35"/>
  <c r="AJ50" i="35"/>
  <c r="AJ28" i="35"/>
  <c r="AJ48" i="35"/>
  <c r="AJ47" i="35"/>
  <c r="AJ46" i="35"/>
  <c r="AG46" i="35"/>
  <c r="AF46" i="35"/>
  <c r="AE46" i="35"/>
  <c r="AD46" i="35"/>
  <c r="AC46" i="35"/>
  <c r="AB46" i="35"/>
  <c r="AA46" i="35"/>
  <c r="Z46" i="35"/>
  <c r="Y46" i="35"/>
  <c r="W46" i="35"/>
  <c r="V46" i="35"/>
  <c r="AJ45" i="35"/>
  <c r="AJ44" i="35"/>
  <c r="AJ43" i="35"/>
  <c r="AJ42" i="35"/>
  <c r="AJ40" i="35"/>
  <c r="AJ51" i="35"/>
  <c r="AJ49" i="35"/>
  <c r="AJ39" i="35"/>
  <c r="AJ37" i="35"/>
  <c r="AJ38" i="35"/>
  <c r="AJ35" i="35"/>
  <c r="AJ34" i="35"/>
  <c r="AJ33" i="35"/>
  <c r="AJ32" i="35"/>
  <c r="AJ31" i="35"/>
  <c r="AJ30" i="35"/>
  <c r="AJ27" i="35"/>
  <c r="AJ26" i="35"/>
  <c r="AG26" i="35"/>
  <c r="AF26" i="35"/>
  <c r="AE26" i="35"/>
  <c r="AD26" i="35"/>
  <c r="AC26" i="35"/>
  <c r="AB26" i="35"/>
  <c r="AA26" i="35"/>
  <c r="Z26" i="35"/>
  <c r="Y26" i="35"/>
  <c r="W26" i="35"/>
  <c r="V26" i="35"/>
  <c r="AJ25" i="35"/>
  <c r="AJ24" i="35"/>
  <c r="AJ23" i="35"/>
  <c r="AJ19" i="35"/>
  <c r="AJ18" i="35"/>
  <c r="AG18" i="35"/>
  <c r="AF18" i="35"/>
  <c r="AE18" i="35"/>
  <c r="AD18" i="35"/>
  <c r="AC18" i="35"/>
  <c r="AB18" i="35"/>
  <c r="AA18" i="35"/>
  <c r="Z18" i="35"/>
  <c r="Y18" i="35"/>
  <c r="W18" i="35"/>
  <c r="V18" i="35"/>
  <c r="AG132" i="35"/>
  <c r="AF132" i="35"/>
  <c r="AE132" i="35"/>
  <c r="AD132" i="35"/>
  <c r="AC132" i="35"/>
  <c r="AB132" i="35"/>
  <c r="AA132" i="35"/>
  <c r="Z132" i="35"/>
  <c r="Y132" i="35"/>
  <c r="W132" i="35"/>
  <c r="V132" i="35"/>
  <c r="AJ17" i="35"/>
  <c r="AJ13" i="35"/>
  <c r="AJ11" i="35"/>
  <c r="AG131" i="35"/>
  <c r="AF131" i="35"/>
  <c r="AE131" i="35"/>
  <c r="AD131" i="35"/>
  <c r="AC131" i="35"/>
  <c r="AB131" i="35"/>
  <c r="AA131" i="35"/>
  <c r="Z131" i="35"/>
  <c r="Y131" i="35"/>
  <c r="W131" i="35"/>
  <c r="V131" i="35"/>
  <c r="AJ10" i="35"/>
  <c r="AJ9" i="35"/>
  <c r="I58" i="33" l="1"/>
  <c r="K58" i="33"/>
  <c r="L58" i="33" s="1"/>
  <c r="M58" i="33"/>
  <c r="N58" i="33" s="1"/>
  <c r="X58" i="33"/>
  <c r="Y58" i="33"/>
  <c r="AA58" i="33"/>
  <c r="AC58" i="33"/>
  <c r="AL58" i="33" s="1"/>
  <c r="AD58" i="33"/>
  <c r="AE58" i="33"/>
  <c r="AF58" i="33"/>
  <c r="AG58" i="33"/>
  <c r="AH58" i="33"/>
  <c r="AI58" i="33"/>
  <c r="AJ58" i="33"/>
  <c r="AK58" i="33"/>
  <c r="AO58" i="33"/>
  <c r="I57" i="33"/>
  <c r="K57" i="33"/>
  <c r="L57" i="33" s="1"/>
  <c r="M57" i="33"/>
  <c r="N57" i="33" s="1"/>
  <c r="X57" i="33"/>
  <c r="Y57" i="33"/>
  <c r="AA57" i="33"/>
  <c r="AC57" i="33"/>
  <c r="AL57" i="33" s="1"/>
  <c r="AD57" i="33"/>
  <c r="AE57" i="33"/>
  <c r="AF57" i="33"/>
  <c r="AG57" i="33"/>
  <c r="AH57" i="33"/>
  <c r="AI57" i="33"/>
  <c r="AJ57" i="33"/>
  <c r="AK57" i="33"/>
  <c r="AO57" i="33"/>
  <c r="I97" i="33"/>
  <c r="K97" i="33"/>
  <c r="L97" i="33" s="1"/>
  <c r="M97" i="33"/>
  <c r="N97" i="33" s="1"/>
  <c r="X97" i="33"/>
  <c r="Y97" i="33"/>
  <c r="AA97" i="33"/>
  <c r="AC97" i="33"/>
  <c r="AL97" i="33" s="1"/>
  <c r="AD97" i="33"/>
  <c r="AE97" i="33"/>
  <c r="AF97" i="33"/>
  <c r="AG97" i="33"/>
  <c r="AH97" i="33"/>
  <c r="AI97" i="33"/>
  <c r="AJ97" i="33"/>
  <c r="AK97" i="33"/>
  <c r="AO97" i="33"/>
  <c r="I96" i="33"/>
  <c r="K96" i="33"/>
  <c r="L96" i="33" s="1"/>
  <c r="M96" i="33"/>
  <c r="N96" i="33" s="1"/>
  <c r="X96" i="33"/>
  <c r="Y96" i="33"/>
  <c r="AA96" i="33"/>
  <c r="AC96" i="33"/>
  <c r="AL96" i="33" s="1"/>
  <c r="AD96" i="33"/>
  <c r="AE96" i="33"/>
  <c r="AF96" i="33"/>
  <c r="AG96" i="33"/>
  <c r="AH96" i="33"/>
  <c r="AI96" i="33"/>
  <c r="AJ96" i="33"/>
  <c r="AK96" i="33"/>
  <c r="AO96" i="33"/>
  <c r="I128" i="33"/>
  <c r="K128" i="33"/>
  <c r="L128" i="33" s="1"/>
  <c r="M128" i="33"/>
  <c r="N128" i="33" s="1"/>
  <c r="X128" i="33"/>
  <c r="Y128" i="33"/>
  <c r="AA128" i="33"/>
  <c r="AC128" i="33"/>
  <c r="AL128" i="33" s="1"/>
  <c r="AD128" i="33"/>
  <c r="AE128" i="33"/>
  <c r="AF128" i="33"/>
  <c r="AG128" i="33"/>
  <c r="AH128" i="33"/>
  <c r="AI128" i="33"/>
  <c r="AJ128" i="33"/>
  <c r="AK128" i="33"/>
  <c r="AO128" i="33"/>
  <c r="I171" i="33"/>
  <c r="K171" i="33"/>
  <c r="L171" i="33" s="1"/>
  <c r="M171" i="33"/>
  <c r="N171" i="33" s="1"/>
  <c r="X171" i="33"/>
  <c r="Y171" i="33"/>
  <c r="AA171" i="33"/>
  <c r="AC171" i="33"/>
  <c r="AL171" i="33" s="1"/>
  <c r="AD171" i="33"/>
  <c r="AE171" i="33"/>
  <c r="AF171" i="33"/>
  <c r="AG171" i="33"/>
  <c r="AH171" i="33"/>
  <c r="AI171" i="33"/>
  <c r="AJ171" i="33"/>
  <c r="AK171" i="33"/>
  <c r="AO171" i="33"/>
  <c r="I92" i="33"/>
  <c r="K92" i="33"/>
  <c r="L92" i="33" s="1"/>
  <c r="M92" i="33"/>
  <c r="N92" i="33" s="1"/>
  <c r="X92" i="33"/>
  <c r="Y92" i="33"/>
  <c r="AA92" i="33"/>
  <c r="AC92" i="33"/>
  <c r="AL92" i="33" s="1"/>
  <c r="AD92" i="33"/>
  <c r="AE92" i="33"/>
  <c r="AF92" i="33"/>
  <c r="AG92" i="33"/>
  <c r="AH92" i="33"/>
  <c r="AI92" i="33"/>
  <c r="AJ92" i="33"/>
  <c r="AK92" i="33"/>
  <c r="AO92" i="33"/>
  <c r="I24" i="33"/>
  <c r="K24" i="33"/>
  <c r="L24" i="33" s="1"/>
  <c r="M24" i="33"/>
  <c r="N24" i="33" s="1"/>
  <c r="X24" i="33"/>
  <c r="Y24" i="33"/>
  <c r="AA24" i="33"/>
  <c r="AC24" i="33"/>
  <c r="AL24" i="33" s="1"/>
  <c r="AD24" i="33"/>
  <c r="AE24" i="33"/>
  <c r="AF24" i="33"/>
  <c r="AG24" i="33"/>
  <c r="AH24" i="33"/>
  <c r="AI24" i="33"/>
  <c r="AJ24" i="33"/>
  <c r="AK24" i="33"/>
  <c r="AO24" i="33"/>
  <c r="I135" i="33"/>
  <c r="K135" i="33"/>
  <c r="L135" i="33" s="1"/>
  <c r="M135" i="33"/>
  <c r="N135" i="33" s="1"/>
  <c r="X135" i="33"/>
  <c r="Y135" i="33"/>
  <c r="AA135" i="33"/>
  <c r="AC135" i="33"/>
  <c r="AL135" i="33" s="1"/>
  <c r="AD135" i="33"/>
  <c r="AE135" i="33"/>
  <c r="AF135" i="33"/>
  <c r="AG135" i="33"/>
  <c r="AH135" i="33"/>
  <c r="AI135" i="33"/>
  <c r="AJ135" i="33"/>
  <c r="AK135" i="33"/>
  <c r="AO135" i="33"/>
  <c r="I152" i="33"/>
  <c r="K152" i="33"/>
  <c r="L152" i="33" s="1"/>
  <c r="M152" i="33"/>
  <c r="N152" i="33" s="1"/>
  <c r="X152" i="33"/>
  <c r="Y152" i="33"/>
  <c r="AA152" i="33"/>
  <c r="AC152" i="33"/>
  <c r="AL152" i="33" s="1"/>
  <c r="AD152" i="33"/>
  <c r="AE152" i="33"/>
  <c r="AF152" i="33"/>
  <c r="AG152" i="33"/>
  <c r="AH152" i="33"/>
  <c r="AI152" i="33"/>
  <c r="AJ152" i="33"/>
  <c r="AK152" i="33"/>
  <c r="AO152" i="33"/>
  <c r="I106" i="33"/>
  <c r="K106" i="33"/>
  <c r="L106" i="33" s="1"/>
  <c r="M106" i="33"/>
  <c r="N106" i="33" s="1"/>
  <c r="X106" i="33"/>
  <c r="Y106" i="33"/>
  <c r="AA106" i="33"/>
  <c r="AC106" i="33"/>
  <c r="AL106" i="33" s="1"/>
  <c r="AD106" i="33"/>
  <c r="AE106" i="33"/>
  <c r="AF106" i="33"/>
  <c r="AG106" i="33"/>
  <c r="AH106" i="33"/>
  <c r="AI106" i="33"/>
  <c r="AJ106" i="33"/>
  <c r="AK106" i="33"/>
  <c r="AO106" i="33"/>
  <c r="I104" i="33"/>
  <c r="K104" i="33"/>
  <c r="L104" i="33" s="1"/>
  <c r="M104" i="33"/>
  <c r="N104" i="33" s="1"/>
  <c r="X104" i="33"/>
  <c r="Y104" i="33"/>
  <c r="AA104" i="33"/>
  <c r="AC104" i="33"/>
  <c r="AL104" i="33" s="1"/>
  <c r="AD104" i="33"/>
  <c r="AE104" i="33"/>
  <c r="AF104" i="33"/>
  <c r="AG104" i="33"/>
  <c r="AH104" i="33"/>
  <c r="AI104" i="33"/>
  <c r="AJ104" i="33"/>
  <c r="AK104" i="33"/>
  <c r="AO104" i="33"/>
  <c r="I102" i="33"/>
  <c r="K102" i="33"/>
  <c r="L102" i="33" s="1"/>
  <c r="M102" i="33"/>
  <c r="N102" i="33" s="1"/>
  <c r="X102" i="33"/>
  <c r="Y102" i="33"/>
  <c r="AA102" i="33"/>
  <c r="AC102" i="33"/>
  <c r="AL102" i="33" s="1"/>
  <c r="AD102" i="33"/>
  <c r="AE102" i="33"/>
  <c r="AF102" i="33"/>
  <c r="AG102" i="33"/>
  <c r="AH102" i="33"/>
  <c r="AI102" i="33"/>
  <c r="AJ102" i="33"/>
  <c r="AK102" i="33"/>
  <c r="AO102" i="33"/>
  <c r="I211" i="33"/>
  <c r="K211" i="33"/>
  <c r="L211" i="33" s="1"/>
  <c r="M211" i="33"/>
  <c r="N211" i="33" s="1"/>
  <c r="X211" i="33"/>
  <c r="Y211" i="33"/>
  <c r="AA211" i="33"/>
  <c r="AC211" i="33"/>
  <c r="AL211" i="33" s="1"/>
  <c r="AD211" i="33"/>
  <c r="AE211" i="33"/>
  <c r="AF211" i="33"/>
  <c r="AG211" i="33"/>
  <c r="AH211" i="33"/>
  <c r="AI211" i="33"/>
  <c r="AJ211" i="33"/>
  <c r="AK211" i="33"/>
  <c r="AO211" i="33"/>
  <c r="I134" i="33"/>
  <c r="K134" i="33"/>
  <c r="L134" i="33" s="1"/>
  <c r="M134" i="33"/>
  <c r="N134" i="33" s="1"/>
  <c r="X134" i="33"/>
  <c r="Y134" i="33"/>
  <c r="AA134" i="33"/>
  <c r="AC134" i="33"/>
  <c r="AL134" i="33" s="1"/>
  <c r="AD134" i="33"/>
  <c r="AE134" i="33"/>
  <c r="AF134" i="33"/>
  <c r="AG134" i="33"/>
  <c r="AH134" i="33"/>
  <c r="AI134" i="33"/>
  <c r="AJ134" i="33"/>
  <c r="AK134" i="33"/>
  <c r="AO134" i="33"/>
  <c r="I31" i="33"/>
  <c r="K31" i="33"/>
  <c r="L31" i="33" s="1"/>
  <c r="M31" i="33"/>
  <c r="N31" i="33" s="1"/>
  <c r="X31" i="33"/>
  <c r="Y31" i="33"/>
  <c r="AA31" i="33"/>
  <c r="AC31" i="33"/>
  <c r="AL31" i="33" s="1"/>
  <c r="AD31" i="33"/>
  <c r="AE31" i="33"/>
  <c r="AF31" i="33"/>
  <c r="AG31" i="33"/>
  <c r="AH31" i="33"/>
  <c r="AI31" i="33"/>
  <c r="AJ31" i="33"/>
  <c r="AK31" i="33"/>
  <c r="AO31" i="33"/>
  <c r="I55" i="33"/>
  <c r="K55" i="33"/>
  <c r="L55" i="33" s="1"/>
  <c r="M55" i="33"/>
  <c r="N55" i="33" s="1"/>
  <c r="X55" i="33"/>
  <c r="Y55" i="33"/>
  <c r="AA55" i="33"/>
  <c r="AC55" i="33"/>
  <c r="AL55" i="33" s="1"/>
  <c r="AD55" i="33"/>
  <c r="AE55" i="33"/>
  <c r="AF55" i="33"/>
  <c r="AG55" i="33"/>
  <c r="AH55" i="33"/>
  <c r="AI55" i="33"/>
  <c r="AJ55" i="33"/>
  <c r="AK55" i="33"/>
  <c r="AO55" i="33"/>
  <c r="I88" i="33"/>
  <c r="K88" i="33"/>
  <c r="L88" i="33" s="1"/>
  <c r="M88" i="33"/>
  <c r="N88" i="33" s="1"/>
  <c r="X88" i="33"/>
  <c r="Y88" i="33"/>
  <c r="AA88" i="33"/>
  <c r="AC88" i="33"/>
  <c r="AL88" i="33" s="1"/>
  <c r="AD88" i="33"/>
  <c r="AE88" i="33"/>
  <c r="AF88" i="33"/>
  <c r="AG88" i="33"/>
  <c r="AH88" i="33"/>
  <c r="AI88" i="33"/>
  <c r="AJ88" i="33"/>
  <c r="AK88" i="33"/>
  <c r="AO88" i="33"/>
  <c r="I217" i="33"/>
  <c r="K217" i="33"/>
  <c r="L217" i="33" s="1"/>
  <c r="M217" i="33"/>
  <c r="N217" i="33" s="1"/>
  <c r="X217" i="33"/>
  <c r="Y217" i="33"/>
  <c r="AA217" i="33"/>
  <c r="AC217" i="33"/>
  <c r="AL217" i="33" s="1"/>
  <c r="AD217" i="33"/>
  <c r="AE217" i="33"/>
  <c r="AF217" i="33"/>
  <c r="AG217" i="33"/>
  <c r="AH217" i="33"/>
  <c r="AI217" i="33"/>
  <c r="AJ217" i="33"/>
  <c r="AK217" i="33"/>
  <c r="AO217" i="33"/>
  <c r="I162" i="33"/>
  <c r="K162" i="33"/>
  <c r="L162" i="33" s="1"/>
  <c r="M162" i="33"/>
  <c r="N162" i="33" s="1"/>
  <c r="X162" i="33"/>
  <c r="Y162" i="33"/>
  <c r="AA162" i="33"/>
  <c r="AC162" i="33"/>
  <c r="AL162" i="33" s="1"/>
  <c r="AD162" i="33"/>
  <c r="AE162" i="33"/>
  <c r="AF162" i="33"/>
  <c r="AG162" i="33"/>
  <c r="AH162" i="33"/>
  <c r="AI162" i="33"/>
  <c r="AJ162" i="33"/>
  <c r="AK162" i="33"/>
  <c r="AO162" i="33"/>
  <c r="I131" i="33"/>
  <c r="K131" i="33"/>
  <c r="L131" i="33" s="1"/>
  <c r="M131" i="33"/>
  <c r="N131" i="33" s="1"/>
  <c r="X131" i="33"/>
  <c r="Y131" i="33"/>
  <c r="AA131" i="33"/>
  <c r="AC131" i="33"/>
  <c r="AL131" i="33" s="1"/>
  <c r="AD131" i="33"/>
  <c r="AE131" i="33"/>
  <c r="AF131" i="33"/>
  <c r="AG131" i="33"/>
  <c r="AH131" i="33"/>
  <c r="AI131" i="33"/>
  <c r="AJ131" i="33"/>
  <c r="AK131" i="33"/>
  <c r="AO131" i="33"/>
  <c r="I199" i="33"/>
  <c r="K199" i="33"/>
  <c r="L199" i="33" s="1"/>
  <c r="M199" i="33"/>
  <c r="N199" i="33" s="1"/>
  <c r="X199" i="33"/>
  <c r="Y199" i="33"/>
  <c r="AA199" i="33"/>
  <c r="AC199" i="33"/>
  <c r="AL199" i="33" s="1"/>
  <c r="AD199" i="33"/>
  <c r="AE199" i="33"/>
  <c r="AF199" i="33"/>
  <c r="AG199" i="33"/>
  <c r="AH199" i="33"/>
  <c r="AI199" i="33"/>
  <c r="AJ199" i="33"/>
  <c r="AK199" i="33"/>
  <c r="AO199" i="33"/>
  <c r="I206" i="33"/>
  <c r="K206" i="33"/>
  <c r="L206" i="33" s="1"/>
  <c r="M206" i="33"/>
  <c r="N206" i="33" s="1"/>
  <c r="X206" i="33"/>
  <c r="Y206" i="33"/>
  <c r="AA206" i="33"/>
  <c r="AC206" i="33"/>
  <c r="AL206" i="33" s="1"/>
  <c r="AD206" i="33"/>
  <c r="AE206" i="33"/>
  <c r="AF206" i="33"/>
  <c r="AG206" i="33"/>
  <c r="AH206" i="33"/>
  <c r="AI206" i="33"/>
  <c r="AJ206" i="33"/>
  <c r="AK206" i="33"/>
  <c r="AO206" i="33"/>
  <c r="I151" i="33"/>
  <c r="K151" i="33"/>
  <c r="L151" i="33" s="1"/>
  <c r="M151" i="33"/>
  <c r="N151" i="33" s="1"/>
  <c r="X151" i="33"/>
  <c r="Y151" i="33"/>
  <c r="AA151" i="33"/>
  <c r="AC151" i="33"/>
  <c r="AL151" i="33" s="1"/>
  <c r="AD151" i="33"/>
  <c r="AE151" i="33"/>
  <c r="AF151" i="33"/>
  <c r="AG151" i="33"/>
  <c r="AH151" i="33"/>
  <c r="AI151" i="33"/>
  <c r="AJ151" i="33"/>
  <c r="AK151" i="33"/>
  <c r="AO151" i="33"/>
  <c r="I223" i="33"/>
  <c r="K223" i="33"/>
  <c r="L223" i="33" s="1"/>
  <c r="M223" i="33"/>
  <c r="N223" i="33" s="1"/>
  <c r="X223" i="33"/>
  <c r="Y223" i="33"/>
  <c r="AA223" i="33"/>
  <c r="AC223" i="33"/>
  <c r="AL223" i="33" s="1"/>
  <c r="AD223" i="33"/>
  <c r="AE223" i="33"/>
  <c r="AF223" i="33"/>
  <c r="AG223" i="33"/>
  <c r="AH223" i="33"/>
  <c r="AI223" i="33"/>
  <c r="AJ223" i="33"/>
  <c r="AK223" i="33"/>
  <c r="AO223" i="33"/>
  <c r="I170" i="33"/>
  <c r="K170" i="33"/>
  <c r="L170" i="33" s="1"/>
  <c r="M170" i="33"/>
  <c r="N170" i="33" s="1"/>
  <c r="X170" i="33"/>
  <c r="Y170" i="33"/>
  <c r="AA170" i="33"/>
  <c r="AC170" i="33"/>
  <c r="AL170" i="33" s="1"/>
  <c r="AD170" i="33"/>
  <c r="AE170" i="33"/>
  <c r="AF170" i="33"/>
  <c r="AG170" i="33"/>
  <c r="AH170" i="33"/>
  <c r="AI170" i="33"/>
  <c r="AJ170" i="33"/>
  <c r="AK170" i="33"/>
  <c r="AO170" i="33"/>
  <c r="I67" i="33"/>
  <c r="K67" i="33"/>
  <c r="L67" i="33" s="1"/>
  <c r="M67" i="33"/>
  <c r="N67" i="33" s="1"/>
  <c r="X67" i="33"/>
  <c r="Y67" i="33"/>
  <c r="AA67" i="33"/>
  <c r="AC67" i="33"/>
  <c r="AL67" i="33" s="1"/>
  <c r="AD67" i="33"/>
  <c r="AE67" i="33"/>
  <c r="AF67" i="33"/>
  <c r="AG67" i="33"/>
  <c r="AH67" i="33"/>
  <c r="AI67" i="33"/>
  <c r="AJ67" i="33"/>
  <c r="AK67" i="33"/>
  <c r="AO67" i="33"/>
  <c r="I118" i="33"/>
  <c r="K118" i="33"/>
  <c r="L118" i="33" s="1"/>
  <c r="M118" i="33"/>
  <c r="N118" i="33" s="1"/>
  <c r="X118" i="33"/>
  <c r="Y118" i="33"/>
  <c r="AA118" i="33"/>
  <c r="AC118" i="33"/>
  <c r="AL118" i="33" s="1"/>
  <c r="AD118" i="33"/>
  <c r="AE118" i="33"/>
  <c r="AF118" i="33"/>
  <c r="AG118" i="33"/>
  <c r="AH118" i="33"/>
  <c r="AI118" i="33"/>
  <c r="AJ118" i="33"/>
  <c r="AK118" i="33"/>
  <c r="AO118" i="33"/>
  <c r="I90" i="33"/>
  <c r="K90" i="33"/>
  <c r="L90" i="33" s="1"/>
  <c r="M90" i="33"/>
  <c r="N90" i="33" s="1"/>
  <c r="X90" i="33"/>
  <c r="Y90" i="33"/>
  <c r="AA90" i="33"/>
  <c r="AC90" i="33"/>
  <c r="AL90" i="33" s="1"/>
  <c r="AD90" i="33"/>
  <c r="AE90" i="33"/>
  <c r="AF90" i="33"/>
  <c r="AG90" i="33"/>
  <c r="AH90" i="33"/>
  <c r="AI90" i="33"/>
  <c r="AJ90" i="33"/>
  <c r="AK90" i="33"/>
  <c r="AO90" i="33"/>
  <c r="I161" i="33"/>
  <c r="K161" i="33"/>
  <c r="L161" i="33" s="1"/>
  <c r="M161" i="33"/>
  <c r="N161" i="33" s="1"/>
  <c r="X161" i="33"/>
  <c r="Y161" i="33"/>
  <c r="AA161" i="33"/>
  <c r="AC161" i="33"/>
  <c r="AL161" i="33" s="1"/>
  <c r="AD161" i="33"/>
  <c r="AE161" i="33"/>
  <c r="AF161" i="33"/>
  <c r="AG161" i="33"/>
  <c r="AH161" i="33"/>
  <c r="AI161" i="33"/>
  <c r="AJ161" i="33"/>
  <c r="AK161" i="33"/>
  <c r="AO161" i="33"/>
  <c r="I167" i="33"/>
  <c r="K167" i="33"/>
  <c r="L167" i="33" s="1"/>
  <c r="M167" i="33"/>
  <c r="N167" i="33" s="1"/>
  <c r="X167" i="33"/>
  <c r="Y167" i="33"/>
  <c r="AA167" i="33"/>
  <c r="AC167" i="33"/>
  <c r="AL167" i="33" s="1"/>
  <c r="AD167" i="33"/>
  <c r="AE167" i="33"/>
  <c r="AF167" i="33"/>
  <c r="AG167" i="33"/>
  <c r="AH167" i="33"/>
  <c r="AI167" i="33"/>
  <c r="AJ167" i="33"/>
  <c r="AK167" i="33"/>
  <c r="AO167" i="33"/>
  <c r="I142" i="33"/>
  <c r="K142" i="33"/>
  <c r="L142" i="33" s="1"/>
  <c r="M142" i="33"/>
  <c r="N142" i="33" s="1"/>
  <c r="X142" i="33"/>
  <c r="Y142" i="33"/>
  <c r="AA142" i="33"/>
  <c r="AC142" i="33"/>
  <c r="AL142" i="33" s="1"/>
  <c r="AD142" i="33"/>
  <c r="AE142" i="33"/>
  <c r="AF142" i="33"/>
  <c r="AG142" i="33"/>
  <c r="AH142" i="33"/>
  <c r="AI142" i="33"/>
  <c r="AJ142" i="33"/>
  <c r="AK142" i="33"/>
  <c r="AO142" i="33"/>
  <c r="I148" i="33"/>
  <c r="K148" i="33"/>
  <c r="L148" i="33" s="1"/>
  <c r="M148" i="33"/>
  <c r="N148" i="33" s="1"/>
  <c r="X148" i="33"/>
  <c r="Y148" i="33"/>
  <c r="AA148" i="33"/>
  <c r="AC148" i="33"/>
  <c r="AL148" i="33" s="1"/>
  <c r="AD148" i="33"/>
  <c r="AE148" i="33"/>
  <c r="AF148" i="33"/>
  <c r="AG148" i="33"/>
  <c r="AH148" i="33"/>
  <c r="AI148" i="33"/>
  <c r="AJ148" i="33"/>
  <c r="AK148" i="33"/>
  <c r="AO148" i="33"/>
  <c r="I60" i="33"/>
  <c r="K60" i="33"/>
  <c r="L60" i="33" s="1"/>
  <c r="M60" i="33"/>
  <c r="N60" i="33" s="1"/>
  <c r="X60" i="33"/>
  <c r="Y60" i="33"/>
  <c r="AA60" i="33"/>
  <c r="AC60" i="33"/>
  <c r="AL60" i="33" s="1"/>
  <c r="AD60" i="33"/>
  <c r="AE60" i="33"/>
  <c r="AF60" i="33"/>
  <c r="AG60" i="33"/>
  <c r="AH60" i="33"/>
  <c r="AI60" i="33"/>
  <c r="AJ60" i="33"/>
  <c r="AK60" i="33"/>
  <c r="AO60" i="33"/>
  <c r="I65" i="33"/>
  <c r="K65" i="33"/>
  <c r="L65" i="33" s="1"/>
  <c r="M65" i="33"/>
  <c r="N65" i="33" s="1"/>
  <c r="X65" i="33"/>
  <c r="Y65" i="33"/>
  <c r="AA65" i="33"/>
  <c r="AC65" i="33"/>
  <c r="AL65" i="33" s="1"/>
  <c r="AD65" i="33"/>
  <c r="AE65" i="33"/>
  <c r="AF65" i="33"/>
  <c r="AG65" i="33"/>
  <c r="AH65" i="33"/>
  <c r="AI65" i="33"/>
  <c r="AJ65" i="33"/>
  <c r="AK65" i="33"/>
  <c r="AO65" i="33"/>
  <c r="I87" i="33"/>
  <c r="K87" i="33"/>
  <c r="L87" i="33" s="1"/>
  <c r="M87" i="33"/>
  <c r="N87" i="33" s="1"/>
  <c r="X87" i="33"/>
  <c r="Y87" i="33"/>
  <c r="AA87" i="33"/>
  <c r="AC87" i="33"/>
  <c r="AL87" i="33" s="1"/>
  <c r="AD87" i="33"/>
  <c r="AE87" i="33"/>
  <c r="AF87" i="33"/>
  <c r="AG87" i="33"/>
  <c r="AH87" i="33"/>
  <c r="AI87" i="33"/>
  <c r="AJ87" i="33"/>
  <c r="AK87" i="33"/>
  <c r="AO87" i="33"/>
  <c r="I9" i="33"/>
  <c r="K9" i="33"/>
  <c r="L9" i="33" s="1"/>
  <c r="M9" i="33"/>
  <c r="N9" i="33" s="1"/>
  <c r="X9" i="33"/>
  <c r="Y9" i="33"/>
  <c r="AA9" i="33"/>
  <c r="AC9" i="33"/>
  <c r="AL9" i="33" s="1"/>
  <c r="AD9" i="33"/>
  <c r="AE9" i="33"/>
  <c r="AF9" i="33"/>
  <c r="AG9" i="33"/>
  <c r="AH9" i="33"/>
  <c r="AI9" i="33"/>
  <c r="AJ9" i="33"/>
  <c r="AK9" i="33"/>
  <c r="AO9" i="33"/>
  <c r="I84" i="33"/>
  <c r="K84" i="33"/>
  <c r="L84" i="33" s="1"/>
  <c r="M84" i="33"/>
  <c r="N84" i="33" s="1"/>
  <c r="X84" i="33"/>
  <c r="Y84" i="33"/>
  <c r="AA84" i="33"/>
  <c r="AC84" i="33"/>
  <c r="AL84" i="33" s="1"/>
  <c r="AD84" i="33"/>
  <c r="AE84" i="33"/>
  <c r="AF84" i="33"/>
  <c r="AG84" i="33"/>
  <c r="AH84" i="33"/>
  <c r="AI84" i="33"/>
  <c r="AJ84" i="33"/>
  <c r="AK84" i="33"/>
  <c r="AO84" i="33"/>
  <c r="AF49" i="35" l="1"/>
  <c r="AB49" i="35"/>
  <c r="W49" i="35"/>
  <c r="Y49" i="35"/>
  <c r="AE49" i="35"/>
  <c r="AA49" i="35"/>
  <c r="V49" i="35"/>
  <c r="AG49" i="35"/>
  <c r="AD49" i="35"/>
  <c r="Z49" i="35"/>
  <c r="AC49" i="35"/>
  <c r="AU58" i="33"/>
  <c r="AU57" i="33"/>
  <c r="AV58" i="33"/>
  <c r="AQ58" i="33"/>
  <c r="AR57" i="33"/>
  <c r="AT58" i="33"/>
  <c r="AM58" i="33"/>
  <c r="AN58" i="33" s="1"/>
  <c r="AP58" i="33"/>
  <c r="AS58" i="33"/>
  <c r="AS57" i="33"/>
  <c r="AR58" i="33"/>
  <c r="AV57" i="33"/>
  <c r="AT57" i="33"/>
  <c r="AP57" i="33"/>
  <c r="AM57" i="33"/>
  <c r="AN57" i="33" s="1"/>
  <c r="AQ57" i="33"/>
  <c r="AP97" i="33"/>
  <c r="AU96" i="33"/>
  <c r="AV97" i="33"/>
  <c r="AR97" i="33"/>
  <c r="AU97" i="33"/>
  <c r="AQ97" i="33"/>
  <c r="AT97" i="33"/>
  <c r="AM97" i="33"/>
  <c r="AN97" i="33" s="1"/>
  <c r="AS97" i="33"/>
  <c r="AQ96" i="33"/>
  <c r="AV96" i="33"/>
  <c r="AR96" i="33"/>
  <c r="AT96" i="33"/>
  <c r="AP96" i="33"/>
  <c r="AM96" i="33"/>
  <c r="AN96" i="33" s="1"/>
  <c r="AS96" i="33"/>
  <c r="AP128" i="33"/>
  <c r="AV128" i="33"/>
  <c r="AT128" i="33"/>
  <c r="AR128" i="33"/>
  <c r="AU128" i="33"/>
  <c r="AS128" i="33"/>
  <c r="AM128" i="33"/>
  <c r="AN128" i="33" s="1"/>
  <c r="AQ128" i="33"/>
  <c r="AS171" i="33"/>
  <c r="AV171" i="33"/>
  <c r="AR171" i="33"/>
  <c r="AU171" i="33"/>
  <c r="AM171" i="33"/>
  <c r="AN171" i="33" s="1"/>
  <c r="AT171" i="33"/>
  <c r="AP171" i="33"/>
  <c r="AQ171" i="33"/>
  <c r="AM92" i="33"/>
  <c r="AN92" i="33" s="1"/>
  <c r="AR92" i="33"/>
  <c r="AQ135" i="33"/>
  <c r="AU92" i="33"/>
  <c r="AQ92" i="33"/>
  <c r="AP92" i="33"/>
  <c r="AT92" i="33"/>
  <c r="AV92" i="33"/>
  <c r="AS92" i="33"/>
  <c r="AP24" i="33"/>
  <c r="AT24" i="33"/>
  <c r="AV24" i="33"/>
  <c r="AQ24" i="33"/>
  <c r="AS24" i="33"/>
  <c r="AU24" i="33"/>
  <c r="AM24" i="33"/>
  <c r="AN24" i="33" s="1"/>
  <c r="AR24" i="33"/>
  <c r="AM135" i="33"/>
  <c r="AN135" i="33" s="1"/>
  <c r="AP135" i="33"/>
  <c r="AU135" i="33"/>
  <c r="AV135" i="33"/>
  <c r="AS135" i="33"/>
  <c r="AR135" i="33"/>
  <c r="AT135" i="33"/>
  <c r="AM152" i="33"/>
  <c r="AN152" i="33" s="1"/>
  <c r="AP106" i="33"/>
  <c r="AR152" i="33"/>
  <c r="AP152" i="33"/>
  <c r="AT152" i="33"/>
  <c r="AU152" i="33"/>
  <c r="AQ152" i="33"/>
  <c r="AV152" i="33"/>
  <c r="AS152" i="33"/>
  <c r="AS106" i="33"/>
  <c r="AU106" i="33"/>
  <c r="AU104" i="33"/>
  <c r="AP104" i="33"/>
  <c r="AT104" i="33"/>
  <c r="AT102" i="33"/>
  <c r="AR106" i="33"/>
  <c r="AT106" i="33"/>
  <c r="AV106" i="33"/>
  <c r="AM106" i="33"/>
  <c r="AN106" i="33" s="1"/>
  <c r="AM104" i="33"/>
  <c r="AN104" i="33" s="1"/>
  <c r="AQ106" i="33"/>
  <c r="AP102" i="33"/>
  <c r="AU102" i="33"/>
  <c r="AR104" i="33"/>
  <c r="AQ104" i="33"/>
  <c r="AV104" i="33"/>
  <c r="AS104" i="33"/>
  <c r="AM102" i="33"/>
  <c r="AN102" i="33" s="1"/>
  <c r="AR102" i="33"/>
  <c r="AQ102" i="33"/>
  <c r="AV102" i="33"/>
  <c r="AS102" i="33"/>
  <c r="AM211" i="33"/>
  <c r="AN211" i="33" s="1"/>
  <c r="AU211" i="33"/>
  <c r="AQ211" i="33"/>
  <c r="AV211" i="33"/>
  <c r="AP211" i="33"/>
  <c r="AT211" i="33"/>
  <c r="AR211" i="33"/>
  <c r="AS211" i="33"/>
  <c r="AP134" i="33"/>
  <c r="AU134" i="33"/>
  <c r="AQ134" i="33"/>
  <c r="AT134" i="33"/>
  <c r="AV134" i="33"/>
  <c r="AS134" i="33"/>
  <c r="AM134" i="33"/>
  <c r="AN134" i="33" s="1"/>
  <c r="AR134" i="33"/>
  <c r="AT31" i="33"/>
  <c r="AV31" i="33"/>
  <c r="AR31" i="33"/>
  <c r="AP31" i="33"/>
  <c r="AQ31" i="33"/>
  <c r="AU31" i="33"/>
  <c r="AS31" i="33"/>
  <c r="AM31" i="33"/>
  <c r="AN31" i="33" s="1"/>
  <c r="AT55" i="33"/>
  <c r="AV55" i="33"/>
  <c r="AR55" i="33"/>
  <c r="AP55" i="33"/>
  <c r="AQ88" i="33"/>
  <c r="AU55" i="33"/>
  <c r="AS55" i="33"/>
  <c r="AU162" i="33"/>
  <c r="AM55" i="33"/>
  <c r="AN55" i="33" s="1"/>
  <c r="AM88" i="33"/>
  <c r="AN88" i="33" s="1"/>
  <c r="AQ55" i="33"/>
  <c r="AU88" i="33"/>
  <c r="AT88" i="33"/>
  <c r="AV88" i="33"/>
  <c r="AP88" i="33"/>
  <c r="AR88" i="33"/>
  <c r="AS88" i="33"/>
  <c r="AQ217" i="33"/>
  <c r="AM217" i="33"/>
  <c r="AN217" i="33" s="1"/>
  <c r="AV217" i="33"/>
  <c r="AP217" i="33"/>
  <c r="AT217" i="33"/>
  <c r="AR217" i="33"/>
  <c r="AU217" i="33"/>
  <c r="AS217" i="33"/>
  <c r="AP162" i="33"/>
  <c r="AM131" i="33"/>
  <c r="AN131" i="33" s="1"/>
  <c r="AR162" i="33"/>
  <c r="AS162" i="33"/>
  <c r="AT162" i="33"/>
  <c r="AV162" i="33"/>
  <c r="AM162" i="33"/>
  <c r="AN162" i="33" s="1"/>
  <c r="AQ162" i="33"/>
  <c r="AT131" i="33"/>
  <c r="AP131" i="33"/>
  <c r="AU131" i="33"/>
  <c r="AV131" i="33"/>
  <c r="AR131" i="33"/>
  <c r="AQ131" i="33"/>
  <c r="AS131" i="33"/>
  <c r="AP199" i="33"/>
  <c r="AM199" i="33"/>
  <c r="AN199" i="33" s="1"/>
  <c r="AR199" i="33"/>
  <c r="AT199" i="33"/>
  <c r="AV199" i="33"/>
  <c r="AQ199" i="33"/>
  <c r="AU199" i="33"/>
  <c r="AS199" i="33"/>
  <c r="AM206" i="33"/>
  <c r="AN206" i="33" s="1"/>
  <c r="AT206" i="33"/>
  <c r="AP206" i="33"/>
  <c r="AV151" i="33"/>
  <c r="AR206" i="33"/>
  <c r="AV206" i="33"/>
  <c r="AQ206" i="33"/>
  <c r="AU206" i="33"/>
  <c r="AS206" i="33"/>
  <c r="AM223" i="33"/>
  <c r="AN223" i="33" s="1"/>
  <c r="AS151" i="33"/>
  <c r="AR151" i="33"/>
  <c r="AP151" i="33"/>
  <c r="AU151" i="33"/>
  <c r="AM151" i="33"/>
  <c r="AN151" i="33" s="1"/>
  <c r="AT223" i="33"/>
  <c r="AT151" i="33"/>
  <c r="AR223" i="33"/>
  <c r="AQ151" i="33"/>
  <c r="AV223" i="33"/>
  <c r="AQ223" i="33"/>
  <c r="AP223" i="33"/>
  <c r="AU223" i="33"/>
  <c r="AS223" i="33"/>
  <c r="AM170" i="33"/>
  <c r="AN170" i="33" s="1"/>
  <c r="AT170" i="33"/>
  <c r="AV170" i="33"/>
  <c r="AQ170" i="33"/>
  <c r="AR170" i="33"/>
  <c r="AP170" i="33"/>
  <c r="AU170" i="33"/>
  <c r="AS170" i="33"/>
  <c r="AM67" i="33"/>
  <c r="AN67" i="33" s="1"/>
  <c r="AP67" i="33"/>
  <c r="AQ67" i="33"/>
  <c r="AT67" i="33"/>
  <c r="AU67" i="33"/>
  <c r="AV67" i="33"/>
  <c r="AS67" i="33"/>
  <c r="AR67" i="33"/>
  <c r="AR118" i="33"/>
  <c r="AU118" i="33"/>
  <c r="AV118" i="33"/>
  <c r="AQ118" i="33"/>
  <c r="AS118" i="33"/>
  <c r="AT118" i="33"/>
  <c r="AM118" i="33"/>
  <c r="AN118" i="33" s="1"/>
  <c r="AP118" i="33"/>
  <c r="AU90" i="33"/>
  <c r="AV90" i="33"/>
  <c r="AT90" i="33"/>
  <c r="AR90" i="33"/>
  <c r="AQ90" i="33"/>
  <c r="AP90" i="33"/>
  <c r="AM90" i="33"/>
  <c r="AN90" i="33" s="1"/>
  <c r="AS90" i="33"/>
  <c r="AM161" i="33"/>
  <c r="AN161" i="33" s="1"/>
  <c r="AR167" i="33"/>
  <c r="AT161" i="33"/>
  <c r="AV161" i="33"/>
  <c r="AQ161" i="33"/>
  <c r="AR161" i="33"/>
  <c r="AU161" i="33"/>
  <c r="AP161" i="33"/>
  <c r="AS161" i="33"/>
  <c r="AM167" i="33"/>
  <c r="AN167" i="33" s="1"/>
  <c r="AP167" i="33"/>
  <c r="AV167" i="33"/>
  <c r="AT167" i="33"/>
  <c r="AQ167" i="33"/>
  <c r="AU167" i="33"/>
  <c r="AS167" i="33"/>
  <c r="AM142" i="33"/>
  <c r="AN142" i="33" s="1"/>
  <c r="AT142" i="33"/>
  <c r="AR142" i="33"/>
  <c r="AQ142" i="33"/>
  <c r="AV142" i="33"/>
  <c r="AP142" i="33"/>
  <c r="AU142" i="33"/>
  <c r="AS142" i="33"/>
  <c r="AV148" i="33"/>
  <c r="AR148" i="33"/>
  <c r="AS148" i="33"/>
  <c r="AU148" i="33"/>
  <c r="AQ148" i="33"/>
  <c r="AT148" i="33"/>
  <c r="AP148" i="33"/>
  <c r="AS60" i="33"/>
  <c r="AV60" i="33"/>
  <c r="AU60" i="33"/>
  <c r="AR60" i="33"/>
  <c r="AT60" i="33"/>
  <c r="AP60" i="33"/>
  <c r="AQ60" i="33"/>
  <c r="AM65" i="33"/>
  <c r="AN65" i="33" s="1"/>
  <c r="AT65" i="33"/>
  <c r="AP65" i="33"/>
  <c r="AU65" i="33"/>
  <c r="AR65" i="33"/>
  <c r="AQ65" i="33"/>
  <c r="AV65" i="33"/>
  <c r="AS65" i="33"/>
  <c r="AM87" i="33"/>
  <c r="AN87" i="33" s="1"/>
  <c r="AP87" i="33"/>
  <c r="AV87" i="33"/>
  <c r="AQ87" i="33"/>
  <c r="AS87" i="33"/>
  <c r="AU87" i="33"/>
  <c r="AT87" i="33"/>
  <c r="AR87" i="33"/>
  <c r="AP9" i="33"/>
  <c r="AV9" i="33"/>
  <c r="AS9" i="33"/>
  <c r="AT9" i="33"/>
  <c r="AR9" i="33"/>
  <c r="AM9" i="33"/>
  <c r="AN9" i="33" s="1"/>
  <c r="AU9" i="33"/>
  <c r="AQ9" i="33"/>
  <c r="AM84" i="33"/>
  <c r="AN84" i="33" s="1"/>
  <c r="AQ84" i="33"/>
  <c r="AV84" i="33"/>
  <c r="AU84" i="33"/>
  <c r="AR84" i="33"/>
  <c r="AT84" i="33"/>
  <c r="AP84" i="33"/>
  <c r="AS84" i="33"/>
  <c r="I81" i="33" l="1"/>
  <c r="K81" i="33"/>
  <c r="L81" i="33" s="1"/>
  <c r="M81" i="33"/>
  <c r="N81" i="33" s="1"/>
  <c r="X81" i="33"/>
  <c r="Y81" i="33"/>
  <c r="AA81" i="33"/>
  <c r="AC81" i="33"/>
  <c r="AL81" i="33" s="1"/>
  <c r="AD81" i="33"/>
  <c r="AE81" i="33"/>
  <c r="AF81" i="33"/>
  <c r="AG81" i="33"/>
  <c r="AH81" i="33"/>
  <c r="AI81" i="33"/>
  <c r="AJ81" i="33"/>
  <c r="AK81" i="33"/>
  <c r="AO81" i="33"/>
  <c r="I215" i="33"/>
  <c r="K215" i="33"/>
  <c r="L215" i="33" s="1"/>
  <c r="M215" i="33"/>
  <c r="N215" i="33" s="1"/>
  <c r="X215" i="33"/>
  <c r="Y215" i="33"/>
  <c r="AA215" i="33"/>
  <c r="AC215" i="33"/>
  <c r="AL215" i="33" s="1"/>
  <c r="AD215" i="33"/>
  <c r="AE215" i="33"/>
  <c r="AF215" i="33"/>
  <c r="AG215" i="33"/>
  <c r="AH215" i="33"/>
  <c r="AI215" i="33"/>
  <c r="AJ215" i="33"/>
  <c r="AK215" i="33"/>
  <c r="AO215" i="33"/>
  <c r="I27" i="33"/>
  <c r="K27" i="33"/>
  <c r="L27" i="33" s="1"/>
  <c r="M27" i="33"/>
  <c r="N27" i="33" s="1"/>
  <c r="X27" i="33"/>
  <c r="Y27" i="33"/>
  <c r="AA27" i="33"/>
  <c r="AC27" i="33"/>
  <c r="AL27" i="33" s="1"/>
  <c r="AD27" i="33"/>
  <c r="AE27" i="33"/>
  <c r="AF27" i="33"/>
  <c r="AG27" i="33"/>
  <c r="AH27" i="33"/>
  <c r="AI27" i="33"/>
  <c r="AJ27" i="33"/>
  <c r="AK27" i="33"/>
  <c r="AO27" i="33"/>
  <c r="AQ81" i="33" l="1"/>
  <c r="AT81" i="33"/>
  <c r="AU81" i="33"/>
  <c r="AV81" i="33"/>
  <c r="AS81" i="33"/>
  <c r="AM81" i="33"/>
  <c r="AN81" i="33" s="1"/>
  <c r="AP81" i="33"/>
  <c r="AR81" i="33"/>
  <c r="AM215" i="33"/>
  <c r="AN215" i="33" s="1"/>
  <c r="AV215" i="33"/>
  <c r="AR215" i="33"/>
  <c r="AQ215" i="33"/>
  <c r="AP215" i="33"/>
  <c r="AU215" i="33"/>
  <c r="AT215" i="33"/>
  <c r="AS215" i="33"/>
  <c r="AV27" i="33"/>
  <c r="AR27" i="33"/>
  <c r="AS27" i="33"/>
  <c r="AM27" i="33"/>
  <c r="AN27" i="33" s="1"/>
  <c r="AU27" i="33"/>
  <c r="AQ27" i="33"/>
  <c r="AT27" i="33"/>
  <c r="AP27" i="33"/>
  <c r="I107" i="33"/>
  <c r="K107" i="33"/>
  <c r="L107" i="33" s="1"/>
  <c r="M107" i="33"/>
  <c r="N107" i="33" s="1"/>
  <c r="X107" i="33"/>
  <c r="Y107" i="33"/>
  <c r="AA107" i="33"/>
  <c r="AC107" i="33"/>
  <c r="AL107" i="33" s="1"/>
  <c r="AD107" i="33"/>
  <c r="AE107" i="33"/>
  <c r="AF107" i="33"/>
  <c r="AG107" i="33"/>
  <c r="AH107" i="33"/>
  <c r="AI107" i="33"/>
  <c r="AJ107" i="33"/>
  <c r="AK107" i="33"/>
  <c r="AO107" i="33"/>
  <c r="I26" i="33"/>
  <c r="K26" i="33"/>
  <c r="L26" i="33" s="1"/>
  <c r="M26" i="33"/>
  <c r="N26" i="33" s="1"/>
  <c r="X26" i="33"/>
  <c r="Y26" i="33"/>
  <c r="AA26" i="33"/>
  <c r="AC26" i="33"/>
  <c r="AL26" i="33" s="1"/>
  <c r="AD26" i="33"/>
  <c r="AE26" i="33"/>
  <c r="AF26" i="33"/>
  <c r="AG26" i="33"/>
  <c r="AH26" i="33"/>
  <c r="AI26" i="33"/>
  <c r="AJ26" i="33"/>
  <c r="AK26" i="33"/>
  <c r="AO26" i="33"/>
  <c r="I214" i="33"/>
  <c r="K214" i="33"/>
  <c r="L214" i="33" s="1"/>
  <c r="M214" i="33"/>
  <c r="N214" i="33" s="1"/>
  <c r="X214" i="33"/>
  <c r="Y214" i="33"/>
  <c r="AA214" i="33"/>
  <c r="AC214" i="33"/>
  <c r="AL214" i="33" s="1"/>
  <c r="AD214" i="33"/>
  <c r="AE214" i="33"/>
  <c r="AF214" i="33"/>
  <c r="AG214" i="33"/>
  <c r="AH214" i="33"/>
  <c r="AI214" i="33"/>
  <c r="AJ214" i="33"/>
  <c r="AK214" i="33"/>
  <c r="AO214" i="33"/>
  <c r="I219" i="33"/>
  <c r="K219" i="33"/>
  <c r="L219" i="33" s="1"/>
  <c r="M219" i="33"/>
  <c r="N219" i="33" s="1"/>
  <c r="X219" i="33"/>
  <c r="Y219" i="33"/>
  <c r="AA219" i="33"/>
  <c r="AC219" i="33"/>
  <c r="AL219" i="33" s="1"/>
  <c r="AD219" i="33"/>
  <c r="AE219" i="33"/>
  <c r="AF219" i="33"/>
  <c r="AG219" i="33"/>
  <c r="AH219" i="33"/>
  <c r="AI219" i="33"/>
  <c r="AJ219" i="33"/>
  <c r="AK219" i="33"/>
  <c r="AO219" i="33"/>
  <c r="I208" i="33"/>
  <c r="K208" i="33"/>
  <c r="L208" i="33" s="1"/>
  <c r="M208" i="33"/>
  <c r="N208" i="33" s="1"/>
  <c r="X208" i="33"/>
  <c r="Y208" i="33"/>
  <c r="AA208" i="33"/>
  <c r="AC208" i="33"/>
  <c r="AL208" i="33" s="1"/>
  <c r="AD208" i="33"/>
  <c r="AE208" i="33"/>
  <c r="AF208" i="33"/>
  <c r="AG208" i="33"/>
  <c r="AH208" i="33"/>
  <c r="AI208" i="33"/>
  <c r="AJ208" i="33"/>
  <c r="AK208" i="33"/>
  <c r="AO208" i="33"/>
  <c r="I155" i="33"/>
  <c r="K155" i="33"/>
  <c r="L155" i="33" s="1"/>
  <c r="M155" i="33"/>
  <c r="N155" i="33" s="1"/>
  <c r="X155" i="33"/>
  <c r="Y155" i="33"/>
  <c r="AA155" i="33"/>
  <c r="AC155" i="33"/>
  <c r="AL155" i="33" s="1"/>
  <c r="AD155" i="33"/>
  <c r="AE155" i="33"/>
  <c r="AF155" i="33"/>
  <c r="AG155" i="33"/>
  <c r="AH155" i="33"/>
  <c r="AI155" i="33"/>
  <c r="AJ155" i="33"/>
  <c r="AK155" i="33"/>
  <c r="AO155" i="33"/>
  <c r="AD12" i="35" l="1"/>
  <c r="Z12" i="35"/>
  <c r="AF12" i="35"/>
  <c r="V12" i="35"/>
  <c r="AE12" i="35"/>
  <c r="AG12" i="35"/>
  <c r="AC12" i="35"/>
  <c r="Y12" i="35"/>
  <c r="AB12" i="35"/>
  <c r="AA12" i="35"/>
  <c r="AD118" i="35"/>
  <c r="Z118" i="35"/>
  <c r="AG118" i="35"/>
  <c r="AC118" i="35"/>
  <c r="Y118" i="35"/>
  <c r="AF118" i="35"/>
  <c r="AB118" i="35"/>
  <c r="W118" i="35"/>
  <c r="AE118" i="35"/>
  <c r="AA118" i="35"/>
  <c r="V118" i="35"/>
  <c r="Z215" i="33"/>
  <c r="Z104" i="33"/>
  <c r="Z106" i="33"/>
  <c r="Z26" i="33"/>
  <c r="AT107" i="33"/>
  <c r="AU107" i="33"/>
  <c r="AM107" i="33"/>
  <c r="AN107" i="33" s="1"/>
  <c r="AQ107" i="33"/>
  <c r="AQ26" i="33"/>
  <c r="AP107" i="33"/>
  <c r="AV107" i="33"/>
  <c r="AS107" i="33"/>
  <c r="AV26" i="33"/>
  <c r="AR107" i="33"/>
  <c r="AT26" i="33"/>
  <c r="AR26" i="33"/>
  <c r="AM214" i="33"/>
  <c r="AN214" i="33" s="1"/>
  <c r="AV214" i="33"/>
  <c r="AM26" i="33"/>
  <c r="AN26" i="33" s="1"/>
  <c r="AU26" i="33"/>
  <c r="AP26" i="33"/>
  <c r="AS26" i="33"/>
  <c r="AU214" i="33"/>
  <c r="AS214" i="33"/>
  <c r="AR214" i="33"/>
  <c r="AQ214" i="33"/>
  <c r="AT214" i="33"/>
  <c r="AP214" i="33"/>
  <c r="AM219" i="33"/>
  <c r="AN219" i="33" s="1"/>
  <c r="AP219" i="33"/>
  <c r="AR219" i="33"/>
  <c r="AU219" i="33"/>
  <c r="AV219" i="33"/>
  <c r="AQ219" i="33"/>
  <c r="AT219" i="33"/>
  <c r="AS219" i="33"/>
  <c r="AM208" i="33"/>
  <c r="AN208" i="33" s="1"/>
  <c r="AP208" i="33"/>
  <c r="AT208" i="33"/>
  <c r="AR208" i="33"/>
  <c r="AU208" i="33"/>
  <c r="AV208" i="33"/>
  <c r="AQ208" i="33"/>
  <c r="AS208" i="33"/>
  <c r="AV155" i="33"/>
  <c r="AU155" i="33"/>
  <c r="AT155" i="33"/>
  <c r="AP155" i="33"/>
  <c r="AS155" i="33"/>
  <c r="AR155" i="33"/>
  <c r="AM155" i="33"/>
  <c r="AN155" i="33" s="1"/>
  <c r="AQ155" i="33"/>
  <c r="I186" i="33"/>
  <c r="K186" i="33"/>
  <c r="L186" i="33" s="1"/>
  <c r="M186" i="33"/>
  <c r="N186" i="33" s="1"/>
  <c r="X186" i="33"/>
  <c r="Y186" i="33"/>
  <c r="AA186" i="33"/>
  <c r="AC186" i="33"/>
  <c r="AL186" i="33" s="1"/>
  <c r="AD186" i="33"/>
  <c r="AE186" i="33"/>
  <c r="AF186" i="33"/>
  <c r="AG186" i="33"/>
  <c r="AH186" i="33"/>
  <c r="AI186" i="33"/>
  <c r="AJ186" i="33"/>
  <c r="AK186" i="33"/>
  <c r="AO186" i="33"/>
  <c r="I154" i="33"/>
  <c r="K154" i="33"/>
  <c r="L154" i="33" s="1"/>
  <c r="M154" i="33"/>
  <c r="N154" i="33" s="1"/>
  <c r="X154" i="33"/>
  <c r="Y154" i="33"/>
  <c r="AA154" i="33"/>
  <c r="AC154" i="33"/>
  <c r="AL154" i="33" s="1"/>
  <c r="AD154" i="33"/>
  <c r="AE154" i="33"/>
  <c r="AF154" i="33"/>
  <c r="AG154" i="33"/>
  <c r="AH154" i="33"/>
  <c r="AI154" i="33"/>
  <c r="AJ154" i="33"/>
  <c r="AK154" i="33"/>
  <c r="AO154" i="33"/>
  <c r="I183" i="33"/>
  <c r="K183" i="33"/>
  <c r="L183" i="33" s="1"/>
  <c r="M183" i="33"/>
  <c r="N183" i="33" s="1"/>
  <c r="X183" i="33"/>
  <c r="Y183" i="33"/>
  <c r="AA183" i="33"/>
  <c r="AC183" i="33"/>
  <c r="AL183" i="33" s="1"/>
  <c r="AD183" i="33"/>
  <c r="AE183" i="33"/>
  <c r="AF183" i="33"/>
  <c r="AG183" i="33"/>
  <c r="AH183" i="33"/>
  <c r="AI183" i="33"/>
  <c r="AJ183" i="33"/>
  <c r="AK183" i="33"/>
  <c r="AO183" i="33"/>
  <c r="AB106" i="33" l="1"/>
  <c r="Z155" i="33"/>
  <c r="AB104" i="33"/>
  <c r="AB26" i="33"/>
  <c r="AB215" i="33"/>
  <c r="AP186" i="33"/>
  <c r="AU186" i="33"/>
  <c r="AT186" i="33"/>
  <c r="AS186" i="33"/>
  <c r="AV186" i="33"/>
  <c r="AR186" i="33"/>
  <c r="AM186" i="33"/>
  <c r="AN186" i="33" s="1"/>
  <c r="AQ186" i="33"/>
  <c r="AT154" i="33"/>
  <c r="AU154" i="33"/>
  <c r="AS154" i="33"/>
  <c r="AV154" i="33"/>
  <c r="AR154" i="33"/>
  <c r="AM154" i="33"/>
  <c r="AN154" i="33" s="1"/>
  <c r="AP154" i="33"/>
  <c r="AQ154" i="33"/>
  <c r="AT183" i="33"/>
  <c r="AU183" i="33"/>
  <c r="AP183" i="33"/>
  <c r="AS183" i="33"/>
  <c r="AV183" i="33"/>
  <c r="AR183" i="33"/>
  <c r="AM183" i="33"/>
  <c r="AN183" i="33" s="1"/>
  <c r="AQ183" i="33"/>
  <c r="AB155" i="33" l="1"/>
  <c r="I184" i="33"/>
  <c r="K184" i="33"/>
  <c r="L184" i="33" s="1"/>
  <c r="M184" i="33"/>
  <c r="N184" i="33" s="1"/>
  <c r="X184" i="33"/>
  <c r="Y184" i="33"/>
  <c r="AA184" i="33"/>
  <c r="AC184" i="33"/>
  <c r="AL184" i="33" s="1"/>
  <c r="AD184" i="33"/>
  <c r="AE184" i="33"/>
  <c r="AF184" i="33"/>
  <c r="AG184" i="33"/>
  <c r="AH184" i="33"/>
  <c r="AI184" i="33"/>
  <c r="AJ184" i="33"/>
  <c r="AK184" i="33"/>
  <c r="AO184" i="33"/>
  <c r="Z87" i="33" l="1"/>
  <c r="AM184" i="33"/>
  <c r="AN184" i="33" s="1"/>
  <c r="AP184" i="33"/>
  <c r="AU184" i="33"/>
  <c r="AV184" i="33"/>
  <c r="AT184" i="33"/>
  <c r="AQ184" i="33"/>
  <c r="AS184" i="33"/>
  <c r="AR184" i="33"/>
  <c r="AB87" i="33" l="1"/>
  <c r="I69" i="33"/>
  <c r="K69" i="33"/>
  <c r="L69" i="33" s="1"/>
  <c r="M69" i="33"/>
  <c r="N69" i="33" s="1"/>
  <c r="X69" i="33"/>
  <c r="Y69" i="33"/>
  <c r="AA69" i="33"/>
  <c r="AC69" i="33"/>
  <c r="AL69" i="33" s="1"/>
  <c r="AD69" i="33"/>
  <c r="AE69" i="33"/>
  <c r="AF69" i="33"/>
  <c r="AG69" i="33"/>
  <c r="AH69" i="33"/>
  <c r="AI69" i="33"/>
  <c r="AJ69" i="33"/>
  <c r="AK69" i="33"/>
  <c r="AO69" i="33"/>
  <c r="I153" i="33"/>
  <c r="K153" i="33"/>
  <c r="L153" i="33" s="1"/>
  <c r="M153" i="33"/>
  <c r="N153" i="33" s="1"/>
  <c r="X153" i="33"/>
  <c r="Y153" i="33"/>
  <c r="AA153" i="33"/>
  <c r="AC153" i="33"/>
  <c r="AL153" i="33" s="1"/>
  <c r="AD153" i="33"/>
  <c r="AE153" i="33"/>
  <c r="AF153" i="33"/>
  <c r="AG153" i="33"/>
  <c r="AH153" i="33"/>
  <c r="AI153" i="33"/>
  <c r="AJ153" i="33"/>
  <c r="AK153" i="33"/>
  <c r="AO153" i="33"/>
  <c r="I140" i="33"/>
  <c r="K140" i="33"/>
  <c r="L140" i="33" s="1"/>
  <c r="M140" i="33"/>
  <c r="N140" i="33" s="1"/>
  <c r="X140" i="33"/>
  <c r="Y140" i="33"/>
  <c r="AA140" i="33"/>
  <c r="AC140" i="33"/>
  <c r="AL140" i="33" s="1"/>
  <c r="AD140" i="33"/>
  <c r="AE140" i="33"/>
  <c r="AF140" i="33"/>
  <c r="AG140" i="33"/>
  <c r="AH140" i="33"/>
  <c r="AI140" i="33"/>
  <c r="AJ140" i="33"/>
  <c r="AK140" i="33"/>
  <c r="AO140" i="33"/>
  <c r="I213" i="33"/>
  <c r="K213" i="33"/>
  <c r="L213" i="33" s="1"/>
  <c r="M213" i="33"/>
  <c r="N213" i="33" s="1"/>
  <c r="X213" i="33"/>
  <c r="Y213" i="33"/>
  <c r="AA213" i="33"/>
  <c r="AC213" i="33"/>
  <c r="AL213" i="33" s="1"/>
  <c r="AD213" i="33"/>
  <c r="AE213" i="33"/>
  <c r="AF213" i="33"/>
  <c r="AG213" i="33"/>
  <c r="AH213" i="33"/>
  <c r="AI213" i="33"/>
  <c r="AJ213" i="33"/>
  <c r="AK213" i="33"/>
  <c r="AO213" i="33"/>
  <c r="I204" i="33"/>
  <c r="K204" i="33"/>
  <c r="L204" i="33" s="1"/>
  <c r="M204" i="33"/>
  <c r="N204" i="33" s="1"/>
  <c r="X204" i="33"/>
  <c r="Y204" i="33"/>
  <c r="AA204" i="33"/>
  <c r="AC204" i="33"/>
  <c r="AL204" i="33" s="1"/>
  <c r="AD204" i="33"/>
  <c r="AE204" i="33"/>
  <c r="AF204" i="33"/>
  <c r="AG204" i="33"/>
  <c r="AH204" i="33"/>
  <c r="AI204" i="33"/>
  <c r="AJ204" i="33"/>
  <c r="AK204" i="33"/>
  <c r="AO204" i="33"/>
  <c r="I7" i="33"/>
  <c r="K7" i="33"/>
  <c r="L7" i="33" s="1"/>
  <c r="M7" i="33"/>
  <c r="N7" i="33" s="1"/>
  <c r="X7" i="33"/>
  <c r="Y7" i="33"/>
  <c r="AA7" i="33"/>
  <c r="AC7" i="33"/>
  <c r="AL7" i="33" s="1"/>
  <c r="AD7" i="33"/>
  <c r="AE7" i="33"/>
  <c r="AF7" i="33"/>
  <c r="AG7" i="33"/>
  <c r="AH7" i="33"/>
  <c r="AI7" i="33"/>
  <c r="AJ7" i="33"/>
  <c r="AK7" i="33"/>
  <c r="AO7" i="33"/>
  <c r="I8" i="33"/>
  <c r="K8" i="33"/>
  <c r="L8" i="33" s="1"/>
  <c r="M8" i="33"/>
  <c r="N8" i="33" s="1"/>
  <c r="X8" i="33"/>
  <c r="Y8" i="33"/>
  <c r="AA8" i="33"/>
  <c r="AC8" i="33"/>
  <c r="AL8" i="33" s="1"/>
  <c r="AD8" i="33"/>
  <c r="AE8" i="33"/>
  <c r="AF8" i="33"/>
  <c r="AG8" i="33"/>
  <c r="AH8" i="33"/>
  <c r="AI8" i="33"/>
  <c r="AJ8" i="33"/>
  <c r="AK8" i="33"/>
  <c r="AO8" i="33"/>
  <c r="I16" i="33"/>
  <c r="K16" i="33"/>
  <c r="L16" i="33" s="1"/>
  <c r="M16" i="33"/>
  <c r="N16" i="33" s="1"/>
  <c r="X16" i="33"/>
  <c r="Y16" i="33"/>
  <c r="AA16" i="33"/>
  <c r="AC16" i="33"/>
  <c r="AL16" i="33" s="1"/>
  <c r="AD16" i="33"/>
  <c r="AE16" i="33"/>
  <c r="AF16" i="33"/>
  <c r="AG16" i="33"/>
  <c r="AH16" i="33"/>
  <c r="AI16" i="33"/>
  <c r="AJ16" i="33"/>
  <c r="AK16" i="33"/>
  <c r="AO16" i="33"/>
  <c r="I25" i="33"/>
  <c r="K25" i="33"/>
  <c r="L25" i="33" s="1"/>
  <c r="M25" i="33"/>
  <c r="N25" i="33" s="1"/>
  <c r="X25" i="33"/>
  <c r="Y25" i="33"/>
  <c r="AA25" i="33"/>
  <c r="AC25" i="33"/>
  <c r="AL25" i="33" s="1"/>
  <c r="AD25" i="33"/>
  <c r="AE25" i="33"/>
  <c r="AF25" i="33"/>
  <c r="AG25" i="33"/>
  <c r="AH25" i="33"/>
  <c r="AI25" i="33"/>
  <c r="AJ25" i="33"/>
  <c r="AK25" i="33"/>
  <c r="AO25" i="33"/>
  <c r="AD41" i="35" l="1"/>
  <c r="Z41" i="35"/>
  <c r="AG41" i="35"/>
  <c r="AC41" i="35"/>
  <c r="Y41" i="35"/>
  <c r="AF41" i="35"/>
  <c r="AB41" i="35"/>
  <c r="W41" i="35"/>
  <c r="AE41" i="35"/>
  <c r="AA41" i="35"/>
  <c r="V41" i="35"/>
  <c r="Z24" i="33"/>
  <c r="Z152" i="33"/>
  <c r="AP153" i="33"/>
  <c r="AQ69" i="33"/>
  <c r="AM69" i="33"/>
  <c r="AN69" i="33" s="1"/>
  <c r="AP69" i="33"/>
  <c r="AR69" i="33"/>
  <c r="AT69" i="33"/>
  <c r="AV69" i="33"/>
  <c r="AU69" i="33"/>
  <c r="AS69" i="33"/>
  <c r="AM153" i="33"/>
  <c r="AN153" i="33" s="1"/>
  <c r="AU153" i="33"/>
  <c r="AR153" i="33"/>
  <c r="AT153" i="33"/>
  <c r="AQ153" i="33"/>
  <c r="AV153" i="33"/>
  <c r="AS153" i="33"/>
  <c r="AS140" i="33"/>
  <c r="AU140" i="33"/>
  <c r="AV140" i="33"/>
  <c r="AT140" i="33"/>
  <c r="AM140" i="33"/>
  <c r="AN140" i="33" s="1"/>
  <c r="AP140" i="33"/>
  <c r="AQ140" i="33"/>
  <c r="AR140" i="33"/>
  <c r="AU213" i="33"/>
  <c r="AM213" i="33"/>
  <c r="AN213" i="33" s="1"/>
  <c r="AQ213" i="33"/>
  <c r="AV213" i="33"/>
  <c r="AR213" i="33"/>
  <c r="AP213" i="33"/>
  <c r="AT213" i="33"/>
  <c r="AQ204" i="33"/>
  <c r="AS213" i="33"/>
  <c r="AS204" i="33"/>
  <c r="AT204" i="33"/>
  <c r="AP204" i="33"/>
  <c r="AU204" i="33"/>
  <c r="AV204" i="33"/>
  <c r="AR204" i="33"/>
  <c r="AM204" i="33"/>
  <c r="AN204" i="33" s="1"/>
  <c r="AM7" i="33"/>
  <c r="AN7" i="33" s="1"/>
  <c r="AQ7" i="33"/>
  <c r="AU7" i="33"/>
  <c r="AR7" i="33"/>
  <c r="AT7" i="33"/>
  <c r="AP7" i="33"/>
  <c r="AR8" i="33"/>
  <c r="AS7" i="33"/>
  <c r="AV7" i="33"/>
  <c r="AP8" i="33"/>
  <c r="AQ8" i="33"/>
  <c r="AV8" i="33"/>
  <c r="AM8" i="33"/>
  <c r="AN8" i="33" s="1"/>
  <c r="AT8" i="33"/>
  <c r="AU8" i="33"/>
  <c r="AS8" i="33"/>
  <c r="AR16" i="33"/>
  <c r="AP16" i="33"/>
  <c r="AS16" i="33"/>
  <c r="AT16" i="33"/>
  <c r="AM16" i="33"/>
  <c r="AN16" i="33" s="1"/>
  <c r="AV16" i="33"/>
  <c r="AU16" i="33"/>
  <c r="AQ16" i="33"/>
  <c r="AU25" i="33"/>
  <c r="AV25" i="33"/>
  <c r="AR25" i="33"/>
  <c r="AP25" i="33"/>
  <c r="AM25" i="33"/>
  <c r="AN25" i="33" s="1"/>
  <c r="AT25" i="33"/>
  <c r="AS25" i="33"/>
  <c r="AQ25" i="33"/>
  <c r="I185" i="33"/>
  <c r="K185" i="33"/>
  <c r="L185" i="33" s="1"/>
  <c r="M185" i="33"/>
  <c r="N185" i="33" s="1"/>
  <c r="X185" i="33"/>
  <c r="Y185" i="33"/>
  <c r="AA185" i="33"/>
  <c r="AC185" i="33"/>
  <c r="AL185" i="33" s="1"/>
  <c r="AD185" i="33"/>
  <c r="AE185" i="33"/>
  <c r="AF185" i="33"/>
  <c r="AG185" i="33"/>
  <c r="AH185" i="33"/>
  <c r="AI185" i="33"/>
  <c r="AJ185" i="33"/>
  <c r="AK185" i="33"/>
  <c r="AO185" i="33"/>
  <c r="I139" i="33"/>
  <c r="K139" i="33"/>
  <c r="L139" i="33" s="1"/>
  <c r="M139" i="33"/>
  <c r="N139" i="33" s="1"/>
  <c r="X139" i="33"/>
  <c r="Y139" i="33"/>
  <c r="AA139" i="33"/>
  <c r="AC139" i="33"/>
  <c r="AL139" i="33" s="1"/>
  <c r="AD139" i="33"/>
  <c r="AE139" i="33"/>
  <c r="AF139" i="33"/>
  <c r="AG139" i="33"/>
  <c r="AH139" i="33"/>
  <c r="AI139" i="33"/>
  <c r="AJ139" i="33"/>
  <c r="AK139" i="33"/>
  <c r="AO139" i="33"/>
  <c r="AE101" i="35" l="1"/>
  <c r="Z101" i="35"/>
  <c r="AF101" i="35"/>
  <c r="AC101" i="35"/>
  <c r="AD101" i="35"/>
  <c r="AA101" i="35"/>
  <c r="AG101" i="35"/>
  <c r="AB101" i="35"/>
  <c r="V101" i="35"/>
  <c r="W101" i="35"/>
  <c r="Y101" i="35"/>
  <c r="AE82" i="35"/>
  <c r="AA82" i="35"/>
  <c r="AD82" i="35"/>
  <c r="Z82" i="35"/>
  <c r="AC82" i="35"/>
  <c r="AB82" i="35"/>
  <c r="AG82" i="35"/>
  <c r="Y82" i="35"/>
  <c r="AF82" i="35"/>
  <c r="W82" i="35"/>
  <c r="AB152" i="33"/>
  <c r="AB24" i="33"/>
  <c r="Z7" i="33"/>
  <c r="AU185" i="33"/>
  <c r="AT185" i="33"/>
  <c r="AS185" i="33"/>
  <c r="AQ185" i="33"/>
  <c r="AV185" i="33"/>
  <c r="AR185" i="33"/>
  <c r="AM185" i="33"/>
  <c r="AN185" i="33" s="1"/>
  <c r="AP185" i="33"/>
  <c r="AU139" i="33"/>
  <c r="AQ139" i="33"/>
  <c r="AS139" i="33"/>
  <c r="AT139" i="33"/>
  <c r="AM139" i="33"/>
  <c r="AN139" i="33" s="1"/>
  <c r="AR139" i="33"/>
  <c r="AP139" i="33"/>
  <c r="AV139" i="33"/>
  <c r="AB7" i="33" l="1"/>
  <c r="I91" i="33" l="1"/>
  <c r="K91" i="33"/>
  <c r="L91" i="33" s="1"/>
  <c r="M91" i="33"/>
  <c r="N91" i="33" s="1"/>
  <c r="X91" i="33"/>
  <c r="Y91" i="33"/>
  <c r="AA91" i="33"/>
  <c r="AC91" i="33"/>
  <c r="AL91" i="33" s="1"/>
  <c r="AD91" i="33"/>
  <c r="AE91" i="33"/>
  <c r="AF91" i="33"/>
  <c r="AG91" i="33"/>
  <c r="AH91" i="33"/>
  <c r="AI91" i="33"/>
  <c r="AJ91" i="33"/>
  <c r="AK91" i="33"/>
  <c r="AO91" i="33"/>
  <c r="AJ5" i="35"/>
  <c r="Z161" i="33" l="1"/>
  <c r="Z90" i="33"/>
  <c r="AM91" i="33"/>
  <c r="AN91" i="33" s="1"/>
  <c r="AT91" i="33"/>
  <c r="AV91" i="33"/>
  <c r="AQ91" i="33"/>
  <c r="AP91" i="33"/>
  <c r="AU91" i="33"/>
  <c r="AS91" i="33"/>
  <c r="AR91" i="33"/>
  <c r="I51" i="33"/>
  <c r="K51" i="33"/>
  <c r="L51" i="33" s="1"/>
  <c r="M51" i="33"/>
  <c r="N51" i="33" s="1"/>
  <c r="X51" i="33"/>
  <c r="Y51" i="33"/>
  <c r="AA51" i="33"/>
  <c r="AC51" i="33"/>
  <c r="AL51" i="33" s="1"/>
  <c r="AD51" i="33"/>
  <c r="AE51" i="33"/>
  <c r="AF51" i="33"/>
  <c r="AG51" i="33"/>
  <c r="AH51" i="33"/>
  <c r="AI51" i="33"/>
  <c r="AJ51" i="33"/>
  <c r="AK51" i="33"/>
  <c r="AO51" i="33"/>
  <c r="I160" i="33"/>
  <c r="K160" i="33"/>
  <c r="L160" i="33" s="1"/>
  <c r="M160" i="33"/>
  <c r="N160" i="33" s="1"/>
  <c r="X160" i="33"/>
  <c r="Y160" i="33"/>
  <c r="AA160" i="33"/>
  <c r="AC160" i="33"/>
  <c r="AL160" i="33" s="1"/>
  <c r="AD160" i="33"/>
  <c r="AE160" i="33"/>
  <c r="AF160" i="33"/>
  <c r="AG160" i="33"/>
  <c r="AH160" i="33"/>
  <c r="AI160" i="33"/>
  <c r="AJ160" i="33"/>
  <c r="AK160" i="33"/>
  <c r="AO160" i="33"/>
  <c r="AB161" i="33" l="1"/>
  <c r="AB90" i="33"/>
  <c r="Z167" i="33"/>
  <c r="AP51" i="33"/>
  <c r="AU51" i="33"/>
  <c r="AT51" i="33"/>
  <c r="AS51" i="33"/>
  <c r="AV51" i="33"/>
  <c r="AR51" i="33"/>
  <c r="AM51" i="33"/>
  <c r="AN51" i="33" s="1"/>
  <c r="AQ51" i="33"/>
  <c r="AM160" i="33"/>
  <c r="AN160" i="33" s="1"/>
  <c r="AQ160" i="33"/>
  <c r="AU160" i="33"/>
  <c r="AR160" i="33"/>
  <c r="AV160" i="33"/>
  <c r="AP160" i="33"/>
  <c r="AT160" i="33"/>
  <c r="AS160" i="33"/>
  <c r="AB167" i="33" l="1"/>
  <c r="I38" i="33"/>
  <c r="K38" i="33"/>
  <c r="L38" i="33" s="1"/>
  <c r="M38" i="33"/>
  <c r="N38" i="33" s="1"/>
  <c r="X38" i="33"/>
  <c r="Y38" i="33"/>
  <c r="AA38" i="33"/>
  <c r="AC38" i="33"/>
  <c r="AL38" i="33" s="1"/>
  <c r="AD38" i="33"/>
  <c r="AE38" i="33"/>
  <c r="AF38" i="33"/>
  <c r="AG38" i="33"/>
  <c r="AH38" i="33"/>
  <c r="AI38" i="33"/>
  <c r="AJ38" i="33"/>
  <c r="AK38" i="33"/>
  <c r="AO38" i="33"/>
  <c r="I37" i="33"/>
  <c r="K37" i="33"/>
  <c r="L37" i="33" s="1"/>
  <c r="M37" i="33"/>
  <c r="N37" i="33" s="1"/>
  <c r="X37" i="33"/>
  <c r="Y37" i="33"/>
  <c r="AA37" i="33"/>
  <c r="AC37" i="33"/>
  <c r="AL37" i="33" s="1"/>
  <c r="AD37" i="33"/>
  <c r="AE37" i="33"/>
  <c r="AF37" i="33"/>
  <c r="AG37" i="33"/>
  <c r="AH37" i="33"/>
  <c r="AI37" i="33"/>
  <c r="AJ37" i="33"/>
  <c r="AK37" i="33"/>
  <c r="AO37" i="33"/>
  <c r="Z37" i="33" l="1"/>
  <c r="AQ38" i="33"/>
  <c r="AU38" i="33"/>
  <c r="AM38" i="33"/>
  <c r="AN38" i="33" s="1"/>
  <c r="AV37" i="33"/>
  <c r="AR38" i="33"/>
  <c r="AR37" i="33"/>
  <c r="AT38" i="33"/>
  <c r="AP38" i="33"/>
  <c r="AQ37" i="33"/>
  <c r="AU37" i="33"/>
  <c r="AP37" i="33"/>
  <c r="AS38" i="33"/>
  <c r="AV38" i="33"/>
  <c r="AM37" i="33"/>
  <c r="AN37" i="33" s="1"/>
  <c r="AT37" i="33"/>
  <c r="AS37" i="33"/>
  <c r="AB37" i="33" l="1"/>
  <c r="I12" i="33"/>
  <c r="K12" i="33"/>
  <c r="L12" i="33" s="1"/>
  <c r="M12" i="33"/>
  <c r="N12" i="33" s="1"/>
  <c r="X12" i="33"/>
  <c r="Y12" i="33"/>
  <c r="AA12" i="33"/>
  <c r="AC12" i="33"/>
  <c r="AL12" i="33" s="1"/>
  <c r="AD12" i="33"/>
  <c r="AE12" i="33"/>
  <c r="AF12" i="33"/>
  <c r="AG12" i="33"/>
  <c r="AH12" i="33"/>
  <c r="AI12" i="33"/>
  <c r="AJ12" i="33"/>
  <c r="AK12" i="33"/>
  <c r="AO12" i="33"/>
  <c r="I73" i="33"/>
  <c r="K73" i="33"/>
  <c r="L73" i="33" s="1"/>
  <c r="M73" i="33"/>
  <c r="N73" i="33" s="1"/>
  <c r="X73" i="33"/>
  <c r="Y73" i="33"/>
  <c r="AA73" i="33"/>
  <c r="AC73" i="33"/>
  <c r="AL73" i="33" s="1"/>
  <c r="AD73" i="33"/>
  <c r="AE73" i="33"/>
  <c r="AF73" i="33"/>
  <c r="AG73" i="33"/>
  <c r="AH73" i="33"/>
  <c r="AI73" i="33"/>
  <c r="AJ73" i="33"/>
  <c r="AK73" i="33"/>
  <c r="AO73" i="33"/>
  <c r="I71" i="33"/>
  <c r="K71" i="33"/>
  <c r="L71" i="33" s="1"/>
  <c r="M71" i="33"/>
  <c r="N71" i="33" s="1"/>
  <c r="X71" i="33"/>
  <c r="Y71" i="33"/>
  <c r="AA71" i="33"/>
  <c r="AC71" i="33"/>
  <c r="AL71" i="33" s="1"/>
  <c r="AD71" i="33"/>
  <c r="AE71" i="33"/>
  <c r="AF71" i="33"/>
  <c r="AG71" i="33"/>
  <c r="AH71" i="33"/>
  <c r="AI71" i="33"/>
  <c r="AJ71" i="33"/>
  <c r="AK71" i="33"/>
  <c r="AO71" i="33"/>
  <c r="I30" i="33"/>
  <c r="K30" i="33"/>
  <c r="L30" i="33" s="1"/>
  <c r="M30" i="33"/>
  <c r="N30" i="33" s="1"/>
  <c r="X30" i="33"/>
  <c r="Y30" i="33"/>
  <c r="AA30" i="33"/>
  <c r="AC30" i="33"/>
  <c r="AL30" i="33" s="1"/>
  <c r="AD30" i="33"/>
  <c r="AE30" i="33"/>
  <c r="AF30" i="33"/>
  <c r="AG30" i="33"/>
  <c r="AH30" i="33"/>
  <c r="AI30" i="33"/>
  <c r="AJ30" i="33"/>
  <c r="AK30" i="33"/>
  <c r="AO30" i="33"/>
  <c r="I29" i="33"/>
  <c r="K29" i="33"/>
  <c r="L29" i="33" s="1"/>
  <c r="M29" i="33"/>
  <c r="N29" i="33" s="1"/>
  <c r="X29" i="33"/>
  <c r="Y29" i="33"/>
  <c r="AA29" i="33"/>
  <c r="AC29" i="33"/>
  <c r="AL29" i="33" s="1"/>
  <c r="AD29" i="33"/>
  <c r="AE29" i="33"/>
  <c r="AF29" i="33"/>
  <c r="AG29" i="33"/>
  <c r="AH29" i="33"/>
  <c r="AI29" i="33"/>
  <c r="AJ29" i="33"/>
  <c r="AK29" i="33"/>
  <c r="AO29" i="33"/>
  <c r="I18" i="33"/>
  <c r="K18" i="33"/>
  <c r="L18" i="33" s="1"/>
  <c r="M18" i="33"/>
  <c r="N18" i="33" s="1"/>
  <c r="X18" i="33"/>
  <c r="Y18" i="33"/>
  <c r="AA18" i="33"/>
  <c r="AC18" i="33"/>
  <c r="AL18" i="33" s="1"/>
  <c r="AD18" i="33"/>
  <c r="AE18" i="33"/>
  <c r="AF18" i="33"/>
  <c r="AG18" i="33"/>
  <c r="AH18" i="33"/>
  <c r="AI18" i="33"/>
  <c r="AJ18" i="33"/>
  <c r="AK18" i="33"/>
  <c r="AO18" i="33"/>
  <c r="I168" i="33"/>
  <c r="K168" i="33"/>
  <c r="L168" i="33" s="1"/>
  <c r="M168" i="33"/>
  <c r="N168" i="33" s="1"/>
  <c r="X168" i="33"/>
  <c r="Y168" i="33"/>
  <c r="AA168" i="33"/>
  <c r="AC168" i="33"/>
  <c r="AL168" i="33" s="1"/>
  <c r="AD168" i="33"/>
  <c r="AE168" i="33"/>
  <c r="AF168" i="33"/>
  <c r="AG168" i="33"/>
  <c r="AH168" i="33"/>
  <c r="AI168" i="33"/>
  <c r="AJ168" i="33"/>
  <c r="AK168" i="33"/>
  <c r="AO168" i="33"/>
  <c r="I144" i="33"/>
  <c r="K144" i="33"/>
  <c r="L144" i="33" s="1"/>
  <c r="M144" i="33"/>
  <c r="N144" i="33" s="1"/>
  <c r="X144" i="33"/>
  <c r="Y144" i="33"/>
  <c r="AA144" i="33"/>
  <c r="AC144" i="33"/>
  <c r="AL144" i="33" s="1"/>
  <c r="AD144" i="33"/>
  <c r="AE144" i="33"/>
  <c r="AF144" i="33"/>
  <c r="AG144" i="33"/>
  <c r="AH144" i="33"/>
  <c r="AI144" i="33"/>
  <c r="AJ144" i="33"/>
  <c r="AK144" i="33"/>
  <c r="AO144" i="33"/>
  <c r="AD9" i="35" l="1"/>
  <c r="Z9" i="35"/>
  <c r="AG9" i="35"/>
  <c r="V9" i="35"/>
  <c r="AC9" i="35"/>
  <c r="Y9" i="35"/>
  <c r="AE9" i="35"/>
  <c r="AF9" i="35"/>
  <c r="AB9" i="35"/>
  <c r="W9" i="35"/>
  <c r="AA9" i="35"/>
  <c r="Z30" i="33"/>
  <c r="AU12" i="33"/>
  <c r="AT12" i="33"/>
  <c r="AP12" i="33"/>
  <c r="AQ12" i="33"/>
  <c r="AV12" i="33"/>
  <c r="AR12" i="33"/>
  <c r="AM12" i="33"/>
  <c r="AN12" i="33" s="1"/>
  <c r="AS12" i="33"/>
  <c r="AT71" i="33"/>
  <c r="AU73" i="33"/>
  <c r="AP73" i="33"/>
  <c r="AP71" i="33"/>
  <c r="AT73" i="33"/>
  <c r="AQ73" i="33"/>
  <c r="AV73" i="33"/>
  <c r="AR73" i="33"/>
  <c r="AU71" i="33"/>
  <c r="AM73" i="33"/>
  <c r="AN73" i="33" s="1"/>
  <c r="AS73" i="33"/>
  <c r="AR71" i="33"/>
  <c r="AQ71" i="33"/>
  <c r="AV71" i="33"/>
  <c r="AS71" i="33"/>
  <c r="AP29" i="33"/>
  <c r="AP30" i="33"/>
  <c r="AU30" i="33"/>
  <c r="AQ30" i="33"/>
  <c r="AV30" i="33"/>
  <c r="AR30" i="33"/>
  <c r="AU18" i="33"/>
  <c r="AQ18" i="33"/>
  <c r="AT30" i="33"/>
  <c r="AS30" i="33"/>
  <c r="AS29" i="33"/>
  <c r="AU29" i="33"/>
  <c r="AP18" i="33"/>
  <c r="AV29" i="33"/>
  <c r="AT29" i="33"/>
  <c r="AT18" i="33"/>
  <c r="AR29" i="33"/>
  <c r="Z29" i="33"/>
  <c r="AS18" i="33"/>
  <c r="AV18" i="33"/>
  <c r="AQ29" i="33"/>
  <c r="AR18" i="33"/>
  <c r="AM168" i="33"/>
  <c r="AN168" i="33" s="1"/>
  <c r="AQ168" i="33"/>
  <c r="AS144" i="33"/>
  <c r="AU144" i="33"/>
  <c r="AQ144" i="33"/>
  <c r="AR144" i="33"/>
  <c r="AT144" i="33"/>
  <c r="AP144" i="33"/>
  <c r="AP168" i="33"/>
  <c r="AU168" i="33"/>
  <c r="AV144" i="33"/>
  <c r="AT168" i="33"/>
  <c r="AS168" i="33"/>
  <c r="AV168" i="33"/>
  <c r="AR168" i="33"/>
  <c r="AM144" i="33"/>
  <c r="AN144" i="33" s="1"/>
  <c r="I200" i="33"/>
  <c r="K200" i="33"/>
  <c r="L200" i="33" s="1"/>
  <c r="M200" i="33"/>
  <c r="N200" i="33" s="1"/>
  <c r="X200" i="33"/>
  <c r="Y200" i="33"/>
  <c r="AA200" i="33"/>
  <c r="AC200" i="33"/>
  <c r="AL200" i="33" s="1"/>
  <c r="AD200" i="33"/>
  <c r="AE200" i="33"/>
  <c r="AF200" i="33"/>
  <c r="AG200" i="33"/>
  <c r="AH200" i="33"/>
  <c r="AI200" i="33"/>
  <c r="AJ200" i="33"/>
  <c r="AK200" i="33"/>
  <c r="AO200" i="33"/>
  <c r="I193" i="33"/>
  <c r="K193" i="33"/>
  <c r="L193" i="33" s="1"/>
  <c r="M193" i="33"/>
  <c r="N193" i="33" s="1"/>
  <c r="X193" i="33"/>
  <c r="Y193" i="33"/>
  <c r="AA193" i="33"/>
  <c r="AC193" i="33"/>
  <c r="AL193" i="33" s="1"/>
  <c r="AD193" i="33"/>
  <c r="AE193" i="33"/>
  <c r="AF193" i="33"/>
  <c r="AG193" i="33"/>
  <c r="AH193" i="33"/>
  <c r="AI193" i="33"/>
  <c r="AJ193" i="33"/>
  <c r="AK193" i="33"/>
  <c r="AO193" i="33"/>
  <c r="I14" i="33"/>
  <c r="K14" i="33"/>
  <c r="L14" i="33" s="1"/>
  <c r="M14" i="33"/>
  <c r="N14" i="33" s="1"/>
  <c r="X14" i="33"/>
  <c r="Y14" i="33"/>
  <c r="AA14" i="33"/>
  <c r="AC14" i="33"/>
  <c r="AL14" i="33" s="1"/>
  <c r="AD14" i="33"/>
  <c r="AE14" i="33"/>
  <c r="AF14" i="33"/>
  <c r="AG14" i="33"/>
  <c r="AH14" i="33"/>
  <c r="AI14" i="33"/>
  <c r="AJ14" i="33"/>
  <c r="AK14" i="33"/>
  <c r="AO14" i="33"/>
  <c r="I181" i="33"/>
  <c r="K181" i="33"/>
  <c r="L181" i="33" s="1"/>
  <c r="M181" i="33"/>
  <c r="N181" i="33" s="1"/>
  <c r="X181" i="33"/>
  <c r="Y181" i="33"/>
  <c r="AA181" i="33"/>
  <c r="AC181" i="33"/>
  <c r="AL181" i="33" s="1"/>
  <c r="AD181" i="33"/>
  <c r="AE181" i="33"/>
  <c r="AF181" i="33"/>
  <c r="AG181" i="33"/>
  <c r="AH181" i="33"/>
  <c r="AI181" i="33"/>
  <c r="AJ181" i="33"/>
  <c r="AK181" i="33"/>
  <c r="AO181" i="33"/>
  <c r="I222" i="33"/>
  <c r="K222" i="33"/>
  <c r="L222" i="33" s="1"/>
  <c r="M222" i="33"/>
  <c r="N222" i="33" s="1"/>
  <c r="X222" i="33"/>
  <c r="Y222" i="33"/>
  <c r="AA222" i="33"/>
  <c r="AC222" i="33"/>
  <c r="AL222" i="33" s="1"/>
  <c r="AD222" i="33"/>
  <c r="AE222" i="33"/>
  <c r="AF222" i="33"/>
  <c r="AG222" i="33"/>
  <c r="AH222" i="33"/>
  <c r="AI222" i="33"/>
  <c r="AJ222" i="33"/>
  <c r="AK222" i="33"/>
  <c r="AO222" i="33"/>
  <c r="I205" i="33"/>
  <c r="K205" i="33"/>
  <c r="L205" i="33" s="1"/>
  <c r="M205" i="33"/>
  <c r="N205" i="33" s="1"/>
  <c r="X205" i="33"/>
  <c r="Y205" i="33"/>
  <c r="AA205" i="33"/>
  <c r="AC205" i="33"/>
  <c r="AL205" i="33" s="1"/>
  <c r="AD205" i="33"/>
  <c r="AE205" i="33"/>
  <c r="AF205" i="33"/>
  <c r="AG205" i="33"/>
  <c r="AH205" i="33"/>
  <c r="AI205" i="33"/>
  <c r="AJ205" i="33"/>
  <c r="AK205" i="33"/>
  <c r="AO205" i="33"/>
  <c r="V36" i="35" l="1"/>
  <c r="AA36" i="35"/>
  <c r="AE36" i="35"/>
  <c r="AD36" i="35"/>
  <c r="W36" i="35"/>
  <c r="AB36" i="35"/>
  <c r="AF36" i="35"/>
  <c r="Z36" i="35"/>
  <c r="Y36" i="35"/>
  <c r="AC36" i="35"/>
  <c r="AG36" i="35"/>
  <c r="AE106" i="35"/>
  <c r="AF106" i="35"/>
  <c r="V106" i="35"/>
  <c r="W106" i="35"/>
  <c r="Z106" i="35"/>
  <c r="Y106" i="35"/>
  <c r="AD106" i="35"/>
  <c r="AG106" i="35"/>
  <c r="AC106" i="35"/>
  <c r="AB106" i="35"/>
  <c r="AB108" i="35"/>
  <c r="AG108" i="35"/>
  <c r="Z108" i="35"/>
  <c r="Y108" i="35"/>
  <c r="AC108" i="35"/>
  <c r="AD108" i="35"/>
  <c r="W108" i="35"/>
  <c r="AA108" i="35"/>
  <c r="AE108" i="35"/>
  <c r="AF108" i="35"/>
  <c r="Z123" i="35"/>
  <c r="AF123" i="35"/>
  <c r="AA123" i="35"/>
  <c r="AG123" i="35"/>
  <c r="AB123" i="35"/>
  <c r="AC123" i="35"/>
  <c r="AD123" i="35"/>
  <c r="Y123" i="35"/>
  <c r="AE123" i="35"/>
  <c r="AD127" i="35"/>
  <c r="Z127" i="35"/>
  <c r="AG127" i="35"/>
  <c r="AC127" i="35"/>
  <c r="Y127" i="35"/>
  <c r="AF127" i="35"/>
  <c r="AB127" i="35"/>
  <c r="W127" i="35"/>
  <c r="AE127" i="35"/>
  <c r="AA127" i="35"/>
  <c r="V127" i="35"/>
  <c r="AG100" i="35"/>
  <c r="AC100" i="35"/>
  <c r="Y100" i="35"/>
  <c r="AE100" i="35"/>
  <c r="AA100" i="35"/>
  <c r="V100" i="35"/>
  <c r="Z100" i="35"/>
  <c r="AF100" i="35"/>
  <c r="W100" i="35"/>
  <c r="AB100" i="35"/>
  <c r="AD100" i="35"/>
  <c r="AB29" i="33"/>
  <c r="AB30" i="33"/>
  <c r="Z170" i="33"/>
  <c r="Z206" i="33"/>
  <c r="Z199" i="33"/>
  <c r="Z205" i="33"/>
  <c r="AU200" i="33"/>
  <c r="AV200" i="33"/>
  <c r="AS200" i="33"/>
  <c r="AR200" i="33"/>
  <c r="AT200" i="33"/>
  <c r="AP200" i="33"/>
  <c r="AM200" i="33"/>
  <c r="AN200" i="33" s="1"/>
  <c r="AQ200" i="33"/>
  <c r="AP193" i="33"/>
  <c r="AU193" i="33"/>
  <c r="AM193" i="33"/>
  <c r="AN193" i="33" s="1"/>
  <c r="AQ193" i="33"/>
  <c r="AT193" i="33"/>
  <c r="AS193" i="33"/>
  <c r="AV193" i="33"/>
  <c r="AR193" i="33"/>
  <c r="AM181" i="33"/>
  <c r="AN181" i="33" s="1"/>
  <c r="AP14" i="33"/>
  <c r="AM14" i="33"/>
  <c r="AN14" i="33" s="1"/>
  <c r="AQ14" i="33"/>
  <c r="AQ181" i="33"/>
  <c r="AU181" i="33"/>
  <c r="AT181" i="33"/>
  <c r="AP181" i="33"/>
  <c r="AU14" i="33"/>
  <c r="AT14" i="33"/>
  <c r="AS14" i="33"/>
  <c r="AV14" i="33"/>
  <c r="AR14" i="33"/>
  <c r="AR181" i="33"/>
  <c r="AS181" i="33"/>
  <c r="AM222" i="33"/>
  <c r="AN222" i="33" s="1"/>
  <c r="AV181" i="33"/>
  <c r="AP222" i="33"/>
  <c r="AU222" i="33"/>
  <c r="AQ222" i="33"/>
  <c r="AV222" i="33"/>
  <c r="AR222" i="33"/>
  <c r="AT222" i="33"/>
  <c r="AS222" i="33"/>
  <c r="AU205" i="33"/>
  <c r="AR205" i="33"/>
  <c r="AV205" i="33"/>
  <c r="AQ205" i="33"/>
  <c r="AT205" i="33"/>
  <c r="AP205" i="33"/>
  <c r="AM205" i="33"/>
  <c r="AN205" i="33" s="1"/>
  <c r="AS205" i="33"/>
  <c r="AB205" i="33" l="1"/>
  <c r="AB206" i="33"/>
  <c r="AB199" i="33"/>
  <c r="AB170" i="33"/>
  <c r="I63" i="33"/>
  <c r="K63" i="33"/>
  <c r="L63" i="33" s="1"/>
  <c r="M63" i="33"/>
  <c r="N63" i="33" s="1"/>
  <c r="X63" i="33"/>
  <c r="Y63" i="33"/>
  <c r="AA63" i="33"/>
  <c r="AC63" i="33"/>
  <c r="AL63" i="33" s="1"/>
  <c r="AD63" i="33"/>
  <c r="AE63" i="33"/>
  <c r="AF63" i="33"/>
  <c r="AG63" i="33"/>
  <c r="AH63" i="33"/>
  <c r="AI63" i="33"/>
  <c r="AJ63" i="33"/>
  <c r="AK63" i="33"/>
  <c r="AO63" i="33"/>
  <c r="I117" i="33"/>
  <c r="K117" i="33"/>
  <c r="L117" i="33" s="1"/>
  <c r="M117" i="33"/>
  <c r="N117" i="33" s="1"/>
  <c r="X117" i="33"/>
  <c r="Y117" i="33"/>
  <c r="AA117" i="33"/>
  <c r="AC117" i="33"/>
  <c r="AL117" i="33" s="1"/>
  <c r="AD117" i="33"/>
  <c r="AE117" i="33"/>
  <c r="AF117" i="33"/>
  <c r="AG117" i="33"/>
  <c r="AH117" i="33"/>
  <c r="AI117" i="33"/>
  <c r="AJ117" i="33"/>
  <c r="AK117" i="33"/>
  <c r="AO117" i="33"/>
  <c r="I39" i="33"/>
  <c r="K39" i="33"/>
  <c r="L39" i="33" s="1"/>
  <c r="M39" i="33"/>
  <c r="N39" i="33" s="1"/>
  <c r="X39" i="33"/>
  <c r="Y39" i="33"/>
  <c r="AA39" i="33"/>
  <c r="AC39" i="33"/>
  <c r="AL39" i="33" s="1"/>
  <c r="AD39" i="33"/>
  <c r="AE39" i="33"/>
  <c r="AF39" i="33"/>
  <c r="AG39" i="33"/>
  <c r="AH39" i="33"/>
  <c r="AI39" i="33"/>
  <c r="AJ39" i="33"/>
  <c r="AK39" i="33"/>
  <c r="AO39" i="33"/>
  <c r="I47" i="33"/>
  <c r="K47" i="33"/>
  <c r="L47" i="33" s="1"/>
  <c r="M47" i="33"/>
  <c r="N47" i="33" s="1"/>
  <c r="X47" i="33"/>
  <c r="Y47" i="33"/>
  <c r="AA47" i="33"/>
  <c r="AC47" i="33"/>
  <c r="AL47" i="33" s="1"/>
  <c r="AD47" i="33"/>
  <c r="AE47" i="33"/>
  <c r="AF47" i="33"/>
  <c r="AG47" i="33"/>
  <c r="AH47" i="33"/>
  <c r="AI47" i="33"/>
  <c r="AJ47" i="33"/>
  <c r="AK47" i="33"/>
  <c r="AO47" i="33"/>
  <c r="I41" i="33"/>
  <c r="K41" i="33"/>
  <c r="L41" i="33" s="1"/>
  <c r="M41" i="33"/>
  <c r="N41" i="33" s="1"/>
  <c r="X41" i="33"/>
  <c r="Y41" i="33"/>
  <c r="AA41" i="33"/>
  <c r="AC41" i="33"/>
  <c r="AL41" i="33" s="1"/>
  <c r="AD41" i="33"/>
  <c r="AE41" i="33"/>
  <c r="AF41" i="33"/>
  <c r="AG41" i="33"/>
  <c r="AH41" i="33"/>
  <c r="AI41" i="33"/>
  <c r="AJ41" i="33"/>
  <c r="AK41" i="33"/>
  <c r="AO41" i="33"/>
  <c r="AD21" i="35" l="1"/>
  <c r="Y21" i="35"/>
  <c r="AE21" i="35"/>
  <c r="Z21" i="35"/>
  <c r="AF21" i="35"/>
  <c r="AG21" i="35"/>
  <c r="AB21" i="35"/>
  <c r="V21" i="35"/>
  <c r="AC21" i="35"/>
  <c r="W21" i="35"/>
  <c r="AA21" i="35"/>
  <c r="Y39" i="35"/>
  <c r="AG39" i="35"/>
  <c r="AF39" i="35"/>
  <c r="AE39" i="35"/>
  <c r="AD39" i="35"/>
  <c r="AB39" i="35"/>
  <c r="AA39" i="35"/>
  <c r="Z39" i="35"/>
  <c r="W39" i="35"/>
  <c r="V39" i="35"/>
  <c r="AC39" i="35"/>
  <c r="AF23" i="35"/>
  <c r="AB23" i="35"/>
  <c r="W23" i="35"/>
  <c r="Y23" i="35"/>
  <c r="AE23" i="35"/>
  <c r="AA23" i="35"/>
  <c r="V23" i="35"/>
  <c r="AC23" i="35"/>
  <c r="AD23" i="35"/>
  <c r="Z23" i="35"/>
  <c r="AG23" i="35"/>
  <c r="AD8" i="35"/>
  <c r="Z8" i="35"/>
  <c r="AG8" i="35"/>
  <c r="AC8" i="35"/>
  <c r="Y8" i="35"/>
  <c r="AF8" i="35"/>
  <c r="AB8" i="35"/>
  <c r="W8" i="35"/>
  <c r="AE8" i="35"/>
  <c r="AA8" i="35"/>
  <c r="V8" i="35"/>
  <c r="AR63" i="33"/>
  <c r="AV63" i="33"/>
  <c r="AU63" i="33"/>
  <c r="AQ63" i="33"/>
  <c r="AP63" i="33"/>
  <c r="AT63" i="33"/>
  <c r="AM63" i="33"/>
  <c r="AN63" i="33" s="1"/>
  <c r="AS63" i="33"/>
  <c r="AQ117" i="33"/>
  <c r="AU117" i="33"/>
  <c r="AT117" i="33"/>
  <c r="AP117" i="33"/>
  <c r="AM117" i="33"/>
  <c r="AN117" i="33" s="1"/>
  <c r="AR117" i="33"/>
  <c r="AS117" i="33"/>
  <c r="AV117" i="33"/>
  <c r="AU41" i="33"/>
  <c r="AQ41" i="33"/>
  <c r="AU39" i="33"/>
  <c r="AP39" i="33"/>
  <c r="AT39" i="33"/>
  <c r="AQ39" i="33"/>
  <c r="AV39" i="33"/>
  <c r="AR39" i="33"/>
  <c r="AT41" i="33"/>
  <c r="AQ47" i="33"/>
  <c r="AU47" i="33"/>
  <c r="AT47" i="33"/>
  <c r="AP47" i="33"/>
  <c r="AS39" i="33"/>
  <c r="AP41" i="33"/>
  <c r="AR47" i="33"/>
  <c r="AS47" i="33"/>
  <c r="AS41" i="33"/>
  <c r="AV41" i="33"/>
  <c r="AR41" i="33"/>
  <c r="AV47" i="33"/>
  <c r="I179" i="33"/>
  <c r="K179" i="33"/>
  <c r="L179" i="33" s="1"/>
  <c r="M179" i="33"/>
  <c r="N179" i="33" s="1"/>
  <c r="X179" i="33"/>
  <c r="Y179" i="33"/>
  <c r="AA179" i="33"/>
  <c r="AC179" i="33"/>
  <c r="AL179" i="33" s="1"/>
  <c r="AD179" i="33"/>
  <c r="AE179" i="33"/>
  <c r="AF179" i="33"/>
  <c r="AG179" i="33"/>
  <c r="AH179" i="33"/>
  <c r="AI179" i="33"/>
  <c r="AJ179" i="33"/>
  <c r="AK179" i="33"/>
  <c r="AO179" i="33"/>
  <c r="AT179" i="33" l="1"/>
  <c r="AS179" i="33"/>
  <c r="AQ179" i="33"/>
  <c r="AV179" i="33"/>
  <c r="AM179" i="33"/>
  <c r="AN179" i="33" s="1"/>
  <c r="AP179" i="33"/>
  <c r="AU179" i="33"/>
  <c r="AR179" i="33"/>
  <c r="I166" i="33" l="1"/>
  <c r="K166" i="33"/>
  <c r="L166" i="33" s="1"/>
  <c r="M166" i="33"/>
  <c r="N166" i="33" s="1"/>
  <c r="X166" i="33"/>
  <c r="Y166" i="33"/>
  <c r="AA166" i="33"/>
  <c r="AC166" i="33"/>
  <c r="AL166" i="33" s="1"/>
  <c r="AD166" i="33"/>
  <c r="AE166" i="33"/>
  <c r="AF166" i="33"/>
  <c r="AG166" i="33"/>
  <c r="AH166" i="33"/>
  <c r="AI166" i="33"/>
  <c r="AJ166" i="33"/>
  <c r="AK166" i="33"/>
  <c r="AO166" i="33"/>
  <c r="Z142" i="33" l="1"/>
  <c r="AU166" i="33"/>
  <c r="AT166" i="33"/>
  <c r="AS166" i="33"/>
  <c r="AQ166" i="33"/>
  <c r="AV166" i="33"/>
  <c r="AM166" i="33"/>
  <c r="AN166" i="33" s="1"/>
  <c r="AR166" i="33"/>
  <c r="AP166" i="33"/>
  <c r="AB142" i="33" l="1"/>
  <c r="K19" i="48"/>
  <c r="K21" i="48"/>
  <c r="AO190" i="33" l="1"/>
  <c r="AK190" i="33"/>
  <c r="AJ190" i="33"/>
  <c r="AI190" i="33"/>
  <c r="AH190" i="33"/>
  <c r="AG190" i="33"/>
  <c r="AF190" i="33"/>
  <c r="AE190" i="33"/>
  <c r="AD190" i="33"/>
  <c r="AC190" i="33"/>
  <c r="AL190" i="33" s="1"/>
  <c r="AA190" i="33"/>
  <c r="Y190" i="33"/>
  <c r="X190" i="33"/>
  <c r="M190" i="33"/>
  <c r="N190" i="33" s="1"/>
  <c r="K190" i="33"/>
  <c r="L190" i="33" s="1"/>
  <c r="I190" i="33"/>
  <c r="AO188" i="33"/>
  <c r="AK188" i="33"/>
  <c r="AJ188" i="33"/>
  <c r="AI188" i="33"/>
  <c r="AH188" i="33"/>
  <c r="AG188" i="33"/>
  <c r="AF188" i="33"/>
  <c r="AE188" i="33"/>
  <c r="AD188" i="33"/>
  <c r="AC188" i="33"/>
  <c r="AL188" i="33" s="1"/>
  <c r="AA188" i="33"/>
  <c r="Y188" i="33"/>
  <c r="X188" i="33"/>
  <c r="M188" i="33"/>
  <c r="N188" i="33" s="1"/>
  <c r="K188" i="33"/>
  <c r="L188" i="33" s="1"/>
  <c r="I188" i="33"/>
  <c r="K9" i="48"/>
  <c r="I132" i="33"/>
  <c r="K132" i="33"/>
  <c r="L132" i="33" s="1"/>
  <c r="M132" i="33"/>
  <c r="N132" i="33" s="1"/>
  <c r="X132" i="33"/>
  <c r="Y132" i="33"/>
  <c r="AA132" i="33"/>
  <c r="AC132" i="33"/>
  <c r="AL132" i="33" s="1"/>
  <c r="AD132" i="33"/>
  <c r="AE132" i="33"/>
  <c r="AF132" i="33"/>
  <c r="AG132" i="33"/>
  <c r="AH132" i="33"/>
  <c r="AI132" i="33"/>
  <c r="AJ132" i="33"/>
  <c r="AK132" i="33"/>
  <c r="AO132" i="33"/>
  <c r="AO189" i="33"/>
  <c r="AK189" i="33"/>
  <c r="AJ189" i="33"/>
  <c r="AI189" i="33"/>
  <c r="AH189" i="33"/>
  <c r="AG189" i="33"/>
  <c r="AF189" i="33"/>
  <c r="AE189" i="33"/>
  <c r="AD189" i="33"/>
  <c r="AC189" i="33"/>
  <c r="AL189" i="33" s="1"/>
  <c r="AA189" i="33"/>
  <c r="Y189" i="33"/>
  <c r="X189" i="33"/>
  <c r="M189" i="33"/>
  <c r="N189" i="33" s="1"/>
  <c r="K189" i="33"/>
  <c r="L189" i="33" s="1"/>
  <c r="I189" i="33"/>
  <c r="I126" i="33"/>
  <c r="K126" i="33"/>
  <c r="L126" i="33" s="1"/>
  <c r="M126" i="33"/>
  <c r="N126" i="33" s="1"/>
  <c r="X126" i="33"/>
  <c r="Y126" i="33"/>
  <c r="AA126" i="33"/>
  <c r="AC126" i="33"/>
  <c r="AL126" i="33" s="1"/>
  <c r="AD126" i="33"/>
  <c r="AE126" i="33"/>
  <c r="AF126" i="33"/>
  <c r="AG126" i="33"/>
  <c r="AH126" i="33"/>
  <c r="AI126" i="33"/>
  <c r="AJ126" i="33"/>
  <c r="AK126" i="33"/>
  <c r="AO126" i="33"/>
  <c r="AO218" i="33"/>
  <c r="AK218" i="33"/>
  <c r="AJ218" i="33"/>
  <c r="AI218" i="33"/>
  <c r="AH218" i="33"/>
  <c r="AG218" i="33"/>
  <c r="AF218" i="33"/>
  <c r="AE218" i="33"/>
  <c r="AD218" i="33"/>
  <c r="AC218" i="33"/>
  <c r="AL218" i="33" s="1"/>
  <c r="AA218" i="33"/>
  <c r="Y218" i="33"/>
  <c r="X218" i="33"/>
  <c r="M218" i="33"/>
  <c r="N218" i="33" s="1"/>
  <c r="K218" i="33"/>
  <c r="L218" i="33" s="1"/>
  <c r="I218" i="33"/>
  <c r="I141" i="33"/>
  <c r="K141" i="33"/>
  <c r="L141" i="33" s="1"/>
  <c r="M141" i="33"/>
  <c r="N141" i="33" s="1"/>
  <c r="X141" i="33"/>
  <c r="Y141" i="33"/>
  <c r="AA141" i="33"/>
  <c r="AC141" i="33"/>
  <c r="AL141" i="33" s="1"/>
  <c r="AD141" i="33"/>
  <c r="AE141" i="33"/>
  <c r="AF141" i="33"/>
  <c r="AG141" i="33"/>
  <c r="AH141" i="33"/>
  <c r="AI141" i="33"/>
  <c r="AJ141" i="33"/>
  <c r="AK141" i="33"/>
  <c r="AO141" i="33"/>
  <c r="AB78" i="35" l="1"/>
  <c r="AE78" i="35"/>
  <c r="AC78" i="35"/>
  <c r="AG78" i="35"/>
  <c r="W78" i="35"/>
  <c r="AF78" i="35"/>
  <c r="AD78" i="35"/>
  <c r="Y78" i="35"/>
  <c r="V78" i="35"/>
  <c r="AA78" i="35"/>
  <c r="Z96" i="33"/>
  <c r="AB96" i="33" s="1"/>
  <c r="Z97" i="33"/>
  <c r="AB97" i="33" s="1"/>
  <c r="Z217" i="33"/>
  <c r="Z131" i="33"/>
  <c r="AT190" i="33"/>
  <c r="AS188" i="33"/>
  <c r="AM190" i="33"/>
  <c r="AN190" i="33" s="1"/>
  <c r="AP190" i="33"/>
  <c r="AQ190" i="33"/>
  <c r="AU190" i="33"/>
  <c r="AS190" i="33"/>
  <c r="AR190" i="33"/>
  <c r="AV190" i="33"/>
  <c r="AM188" i="33"/>
  <c r="AN188" i="33" s="1"/>
  <c r="AQ188" i="33"/>
  <c r="AU188" i="33"/>
  <c r="AR188" i="33"/>
  <c r="Z188" i="33"/>
  <c r="AV188" i="33"/>
  <c r="AT188" i="33"/>
  <c r="AP188" i="33"/>
  <c r="AS189" i="33"/>
  <c r="AU132" i="33"/>
  <c r="AV132" i="33"/>
  <c r="AQ132" i="33"/>
  <c r="AP132" i="33"/>
  <c r="AR132" i="33"/>
  <c r="AM132" i="33"/>
  <c r="AN132" i="33" s="1"/>
  <c r="AT132" i="33"/>
  <c r="AS132" i="33"/>
  <c r="AM189" i="33"/>
  <c r="AN189" i="33" s="1"/>
  <c r="AQ189" i="33"/>
  <c r="AU189" i="33"/>
  <c r="AR189" i="33"/>
  <c r="AT189" i="33"/>
  <c r="AV189" i="33"/>
  <c r="AP189" i="33"/>
  <c r="AT126" i="33"/>
  <c r="AU126" i="33"/>
  <c r="AV126" i="33"/>
  <c r="AR126" i="33"/>
  <c r="AQ126" i="33"/>
  <c r="AP126" i="33"/>
  <c r="AM126" i="33"/>
  <c r="AN126" i="33" s="1"/>
  <c r="AS126" i="33"/>
  <c r="AM218" i="33"/>
  <c r="AN218" i="33" s="1"/>
  <c r="AU218" i="33"/>
  <c r="AR218" i="33"/>
  <c r="AV218" i="33"/>
  <c r="AS218" i="33"/>
  <c r="AP218" i="33"/>
  <c r="AT218" i="33"/>
  <c r="AQ218" i="33"/>
  <c r="AQ141" i="33"/>
  <c r="AP141" i="33"/>
  <c r="AU141" i="33"/>
  <c r="AR141" i="33"/>
  <c r="AV141" i="33"/>
  <c r="AT141" i="33"/>
  <c r="AM141" i="33"/>
  <c r="AN141" i="33" s="1"/>
  <c r="AS141" i="33"/>
  <c r="AB188" i="33" l="1"/>
  <c r="AB131" i="33"/>
  <c r="AB217" i="33"/>
  <c r="I202" i="33"/>
  <c r="K202" i="33"/>
  <c r="L202" i="33" s="1"/>
  <c r="M202" i="33"/>
  <c r="N202" i="33" s="1"/>
  <c r="X202" i="33"/>
  <c r="Y202" i="33"/>
  <c r="AA202" i="33"/>
  <c r="AC202" i="33"/>
  <c r="AL202" i="33" s="1"/>
  <c r="AD202" i="33"/>
  <c r="AE202" i="33"/>
  <c r="AF202" i="33"/>
  <c r="AG202" i="33"/>
  <c r="AH202" i="33"/>
  <c r="AI202" i="33"/>
  <c r="AJ202" i="33"/>
  <c r="AK202" i="33"/>
  <c r="AO202" i="33"/>
  <c r="Z214" i="33" l="1"/>
  <c r="Z27" i="33"/>
  <c r="AR202" i="33"/>
  <c r="AQ202" i="33"/>
  <c r="AT202" i="33"/>
  <c r="AV202" i="33"/>
  <c r="AM202" i="33"/>
  <c r="AN202" i="33" s="1"/>
  <c r="AU202" i="33"/>
  <c r="AP202" i="33"/>
  <c r="AS202" i="33"/>
  <c r="AO49" i="33"/>
  <c r="AK49" i="33"/>
  <c r="AJ49" i="33"/>
  <c r="AI49" i="33"/>
  <c r="AH49" i="33"/>
  <c r="AG49" i="33"/>
  <c r="AF49" i="33"/>
  <c r="AE49" i="33"/>
  <c r="AD49" i="33"/>
  <c r="AC49" i="33"/>
  <c r="AL49" i="33" s="1"/>
  <c r="AA49" i="33"/>
  <c r="Y49" i="33"/>
  <c r="X49" i="33"/>
  <c r="M49" i="33"/>
  <c r="N49" i="33" s="1"/>
  <c r="K49" i="33"/>
  <c r="L49" i="33" s="1"/>
  <c r="I49" i="33"/>
  <c r="AB27" i="33" l="1"/>
  <c r="AB214" i="33"/>
  <c r="AU49" i="33"/>
  <c r="AM49" i="33"/>
  <c r="AN49" i="33" s="1"/>
  <c r="AP49" i="33"/>
  <c r="AQ49" i="33"/>
  <c r="AS49" i="33"/>
  <c r="AR49" i="33"/>
  <c r="AV49" i="33"/>
  <c r="AT49" i="33"/>
  <c r="I224" i="33" l="1"/>
  <c r="K224" i="33"/>
  <c r="L224" i="33" s="1"/>
  <c r="M224" i="33"/>
  <c r="N224" i="33" s="1"/>
  <c r="X224" i="33"/>
  <c r="Y224" i="33"/>
  <c r="AA224" i="33"/>
  <c r="AC224" i="33"/>
  <c r="AL224" i="33" s="1"/>
  <c r="AD224" i="33"/>
  <c r="AE224" i="33"/>
  <c r="AF224" i="33"/>
  <c r="AG224" i="33"/>
  <c r="AH224" i="33"/>
  <c r="AI224" i="33"/>
  <c r="AJ224" i="33"/>
  <c r="AK224" i="33"/>
  <c r="AO224" i="33"/>
  <c r="I149" i="33"/>
  <c r="K149" i="33"/>
  <c r="L149" i="33" s="1"/>
  <c r="M149" i="33"/>
  <c r="N149" i="33" s="1"/>
  <c r="X149" i="33"/>
  <c r="Y149" i="33"/>
  <c r="AA149" i="33"/>
  <c r="AC149" i="33"/>
  <c r="AL149" i="33" s="1"/>
  <c r="AD149" i="33"/>
  <c r="AE149" i="33"/>
  <c r="AF149" i="33"/>
  <c r="AG149" i="33"/>
  <c r="AH149" i="33"/>
  <c r="AI149" i="33"/>
  <c r="AJ149" i="33"/>
  <c r="AK149" i="33"/>
  <c r="AO149" i="33"/>
  <c r="I169" i="33"/>
  <c r="K169" i="33"/>
  <c r="L169" i="33" s="1"/>
  <c r="M169" i="33"/>
  <c r="N169" i="33" s="1"/>
  <c r="X169" i="33"/>
  <c r="Y169" i="33"/>
  <c r="AA169" i="33"/>
  <c r="AC169" i="33"/>
  <c r="AL169" i="33" s="1"/>
  <c r="AD169" i="33"/>
  <c r="AE169" i="33"/>
  <c r="AF169" i="33"/>
  <c r="AG169" i="33"/>
  <c r="AH169" i="33"/>
  <c r="AI169" i="33"/>
  <c r="AJ169" i="33"/>
  <c r="AK169" i="33"/>
  <c r="AO169" i="33"/>
  <c r="I19" i="33"/>
  <c r="K19" i="33"/>
  <c r="L19" i="33" s="1"/>
  <c r="M19" i="33"/>
  <c r="N19" i="33" s="1"/>
  <c r="X19" i="33"/>
  <c r="Y19" i="33"/>
  <c r="AA19" i="33"/>
  <c r="AC19" i="33"/>
  <c r="AL19" i="33" s="1"/>
  <c r="AD19" i="33"/>
  <c r="AE19" i="33"/>
  <c r="AF19" i="33"/>
  <c r="AG19" i="33"/>
  <c r="AH19" i="33"/>
  <c r="AI19" i="33"/>
  <c r="AJ19" i="33"/>
  <c r="AK19" i="33"/>
  <c r="AO19" i="33"/>
  <c r="AG10" i="35" l="1"/>
  <c r="AC10" i="35"/>
  <c r="Y10" i="35"/>
  <c r="AB10" i="35"/>
  <c r="AE10" i="35"/>
  <c r="AF10" i="35"/>
  <c r="W10" i="35"/>
  <c r="AA10" i="35"/>
  <c r="AD10" i="35"/>
  <c r="V10" i="35"/>
  <c r="Z10" i="35"/>
  <c r="AD11" i="35"/>
  <c r="Z11" i="35"/>
  <c r="V11" i="35"/>
  <c r="AG11" i="35"/>
  <c r="AC11" i="35"/>
  <c r="Y11" i="35"/>
  <c r="AE11" i="35"/>
  <c r="AF11" i="35"/>
  <c r="AB11" i="35"/>
  <c r="W11" i="35"/>
  <c r="AA11" i="35"/>
  <c r="Z204" i="33"/>
  <c r="Z67" i="33"/>
  <c r="Z60" i="33"/>
  <c r="Z148" i="33"/>
  <c r="AU224" i="33"/>
  <c r="AS224" i="33"/>
  <c r="AR224" i="33"/>
  <c r="AT224" i="33"/>
  <c r="AP224" i="33"/>
  <c r="AV224" i="33"/>
  <c r="AQ224" i="33"/>
  <c r="AV149" i="33"/>
  <c r="AR149" i="33"/>
  <c r="AU149" i="33"/>
  <c r="AP169" i="33"/>
  <c r="AS149" i="33"/>
  <c r="AT149" i="33"/>
  <c r="AU169" i="33"/>
  <c r="AP149" i="33"/>
  <c r="AT169" i="33"/>
  <c r="AS169" i="33"/>
  <c r="AQ169" i="33"/>
  <c r="AV169" i="33"/>
  <c r="AQ149" i="33"/>
  <c r="AR169" i="33"/>
  <c r="AQ19" i="33"/>
  <c r="AP19" i="33"/>
  <c r="AU19" i="33"/>
  <c r="AT19" i="33"/>
  <c r="AS19" i="33"/>
  <c r="AV19" i="33"/>
  <c r="AR19" i="33"/>
  <c r="AB67" i="33" l="1"/>
  <c r="AB204" i="33"/>
  <c r="AB60" i="33"/>
  <c r="AB148" i="33"/>
  <c r="X3" i="33"/>
  <c r="Y3" i="33"/>
  <c r="AA3" i="33"/>
  <c r="AC3" i="33"/>
  <c r="AL3" i="33" s="1"/>
  <c r="AD3" i="33"/>
  <c r="AE3" i="33"/>
  <c r="AF3" i="33"/>
  <c r="AG3" i="33"/>
  <c r="AH3" i="33"/>
  <c r="AI3" i="33"/>
  <c r="AJ3" i="33"/>
  <c r="AK3" i="33"/>
  <c r="AO3" i="33"/>
  <c r="K3" i="33"/>
  <c r="L3" i="33" s="1"/>
  <c r="M3" i="33"/>
  <c r="N3" i="33" s="1"/>
  <c r="I3" i="33"/>
  <c r="AM3" i="33" l="1"/>
  <c r="AN3" i="33" s="1"/>
  <c r="AS3" i="33"/>
  <c r="AQ3" i="33"/>
  <c r="AV3" i="33"/>
  <c r="AR3" i="33"/>
  <c r="AP3" i="33"/>
  <c r="AT3" i="33"/>
  <c r="AU3" i="33"/>
  <c r="AO74" i="33" l="1"/>
  <c r="AK74" i="33"/>
  <c r="AJ74" i="33"/>
  <c r="AI74" i="33"/>
  <c r="AH74" i="33"/>
  <c r="AG74" i="33"/>
  <c r="AF74" i="33"/>
  <c r="AE74" i="33"/>
  <c r="AD74" i="33"/>
  <c r="AC74" i="33"/>
  <c r="AL74" i="33" s="1"/>
  <c r="AA74" i="33"/>
  <c r="Y74" i="33"/>
  <c r="X74" i="33"/>
  <c r="M74" i="33"/>
  <c r="N74" i="33" s="1"/>
  <c r="K74" i="33"/>
  <c r="L74" i="33" s="1"/>
  <c r="I74" i="33"/>
  <c r="I75" i="33"/>
  <c r="K75" i="33"/>
  <c r="L75" i="33" s="1"/>
  <c r="M75" i="33"/>
  <c r="N75" i="33" s="1"/>
  <c r="X75" i="33"/>
  <c r="Y75" i="33"/>
  <c r="AA75" i="33"/>
  <c r="AC75" i="33"/>
  <c r="AL75" i="33" s="1"/>
  <c r="AD75" i="33"/>
  <c r="AE75" i="33"/>
  <c r="AF75" i="33"/>
  <c r="AG75" i="33"/>
  <c r="AH75" i="33"/>
  <c r="AI75" i="33"/>
  <c r="AJ75" i="33"/>
  <c r="AK75" i="33"/>
  <c r="AO75" i="33"/>
  <c r="AO79" i="33"/>
  <c r="AK79" i="33"/>
  <c r="AJ79" i="33"/>
  <c r="AI79" i="33"/>
  <c r="AH79" i="33"/>
  <c r="AG79" i="33"/>
  <c r="AF79" i="33"/>
  <c r="AE79" i="33"/>
  <c r="AD79" i="33"/>
  <c r="AC79" i="33"/>
  <c r="AL79" i="33" s="1"/>
  <c r="AA79" i="33"/>
  <c r="Y79" i="33"/>
  <c r="X79" i="33"/>
  <c r="M79" i="33"/>
  <c r="N79" i="33" s="1"/>
  <c r="K79" i="33"/>
  <c r="L79" i="33" s="1"/>
  <c r="I79" i="33"/>
  <c r="Z73" i="33" l="1"/>
  <c r="Z8" i="33"/>
  <c r="AS74" i="33"/>
  <c r="AU79" i="33"/>
  <c r="AU74" i="33"/>
  <c r="AR74" i="33"/>
  <c r="AV74" i="33"/>
  <c r="AQ74" i="33"/>
  <c r="Z74" i="33"/>
  <c r="AT74" i="33"/>
  <c r="AP74" i="33"/>
  <c r="AQ75" i="33"/>
  <c r="AV75" i="33"/>
  <c r="AP75" i="33"/>
  <c r="AU75" i="33"/>
  <c r="AR75" i="33"/>
  <c r="AT75" i="33"/>
  <c r="AS75" i="33"/>
  <c r="AM79" i="33"/>
  <c r="AN79" i="33" s="1"/>
  <c r="AT79" i="33"/>
  <c r="AR79" i="33"/>
  <c r="AV79" i="33"/>
  <c r="AS79" i="33"/>
  <c r="AP79" i="33"/>
  <c r="AQ79" i="33"/>
  <c r="AB74" i="33" l="1"/>
  <c r="AB8" i="33"/>
  <c r="AB73" i="33"/>
  <c r="V3" i="35"/>
  <c r="W3" i="35"/>
  <c r="Y3" i="35"/>
  <c r="Z3" i="35"/>
  <c r="AA3" i="35"/>
  <c r="AB3" i="35"/>
  <c r="AC3" i="35"/>
  <c r="AD3" i="35"/>
  <c r="AE3" i="35"/>
  <c r="AF3" i="35"/>
  <c r="AG3" i="35"/>
  <c r="AJ3" i="35"/>
  <c r="AO28" i="33"/>
  <c r="AK28" i="33"/>
  <c r="AJ28" i="33"/>
  <c r="AI28" i="33"/>
  <c r="AH28" i="33"/>
  <c r="AG28" i="33"/>
  <c r="AF28" i="33"/>
  <c r="AE28" i="33"/>
  <c r="AD28" i="33"/>
  <c r="AC28" i="33"/>
  <c r="AL28" i="33" s="1"/>
  <c r="AA28" i="33"/>
  <c r="Y28" i="33"/>
  <c r="X28" i="33"/>
  <c r="M28" i="33"/>
  <c r="N28" i="33" s="1"/>
  <c r="K28" i="33"/>
  <c r="L28" i="33" s="1"/>
  <c r="I28" i="33"/>
  <c r="K5" i="48"/>
  <c r="K3" i="48"/>
  <c r="K15" i="48"/>
  <c r="K13" i="48"/>
  <c r="K17" i="48"/>
  <c r="K11" i="48"/>
  <c r="F7" i="48"/>
  <c r="I68" i="33"/>
  <c r="K68" i="33"/>
  <c r="L68" i="33" s="1"/>
  <c r="M68" i="33"/>
  <c r="N68" i="33" s="1"/>
  <c r="X68" i="33"/>
  <c r="Y68" i="33"/>
  <c r="AA68" i="33"/>
  <c r="AC68" i="33"/>
  <c r="AL68" i="33" s="1"/>
  <c r="AD68" i="33"/>
  <c r="AE68" i="33"/>
  <c r="AF68" i="33"/>
  <c r="AG68" i="33"/>
  <c r="AH68" i="33"/>
  <c r="AI68" i="33"/>
  <c r="AJ68" i="33"/>
  <c r="AK68" i="33"/>
  <c r="AO68" i="33"/>
  <c r="I5" i="33"/>
  <c r="K5" i="33"/>
  <c r="L5" i="33" s="1"/>
  <c r="M5" i="33"/>
  <c r="N5" i="33" s="1"/>
  <c r="X5" i="33"/>
  <c r="Y5" i="33"/>
  <c r="AA5" i="33"/>
  <c r="AC5" i="33"/>
  <c r="AL5" i="33" s="1"/>
  <c r="AD5" i="33"/>
  <c r="AE5" i="33"/>
  <c r="AF5" i="33"/>
  <c r="AG5" i="33"/>
  <c r="AH5" i="33"/>
  <c r="AI5" i="33"/>
  <c r="AJ5" i="33"/>
  <c r="AK5" i="33"/>
  <c r="AO5" i="33"/>
  <c r="I64" i="33"/>
  <c r="K64" i="33"/>
  <c r="L64" i="33" s="1"/>
  <c r="M64" i="33"/>
  <c r="N64" i="33" s="1"/>
  <c r="X64" i="33"/>
  <c r="Y64" i="33"/>
  <c r="AA64" i="33"/>
  <c r="Z63" i="33" s="1"/>
  <c r="AB63" i="33" s="1"/>
  <c r="AC64" i="33"/>
  <c r="AL64" i="33" s="1"/>
  <c r="AD64" i="33"/>
  <c r="AE64" i="33"/>
  <c r="AF64" i="33"/>
  <c r="AG64" i="33"/>
  <c r="AH64" i="33"/>
  <c r="AI64" i="33"/>
  <c r="AJ64" i="33"/>
  <c r="AK64" i="33"/>
  <c r="AO64" i="33"/>
  <c r="I203" i="33"/>
  <c r="K203" i="33"/>
  <c r="L203" i="33" s="1"/>
  <c r="M203" i="33"/>
  <c r="N203" i="33" s="1"/>
  <c r="X203" i="33"/>
  <c r="Y203" i="33"/>
  <c r="AA203" i="33"/>
  <c r="AC203" i="33"/>
  <c r="AL203" i="33" s="1"/>
  <c r="AD203" i="33"/>
  <c r="AE203" i="33"/>
  <c r="AF203" i="33"/>
  <c r="AG203" i="33"/>
  <c r="AH203" i="33"/>
  <c r="AI203" i="33"/>
  <c r="AJ203" i="33"/>
  <c r="AK203" i="33"/>
  <c r="AO203" i="33"/>
  <c r="I109" i="33"/>
  <c r="K109" i="33"/>
  <c r="L109" i="33" s="1"/>
  <c r="M109" i="33"/>
  <c r="N109" i="33" s="1"/>
  <c r="X109" i="33"/>
  <c r="Y109" i="33"/>
  <c r="AA109" i="33"/>
  <c r="AC109" i="33"/>
  <c r="AL109" i="33" s="1"/>
  <c r="AD109" i="33"/>
  <c r="AE109" i="33"/>
  <c r="AF109" i="33"/>
  <c r="AG109" i="33"/>
  <c r="AH109" i="33"/>
  <c r="AI109" i="33"/>
  <c r="AJ109" i="33"/>
  <c r="AK109" i="33"/>
  <c r="AO109" i="33"/>
  <c r="I50" i="33"/>
  <c r="K50" i="33"/>
  <c r="L50" i="33" s="1"/>
  <c r="M50" i="33"/>
  <c r="N50" i="33" s="1"/>
  <c r="X50" i="33"/>
  <c r="Y50" i="33"/>
  <c r="AA50" i="33"/>
  <c r="AC50" i="33"/>
  <c r="AL50" i="33" s="1"/>
  <c r="AD50" i="33"/>
  <c r="AE50" i="33"/>
  <c r="AF50" i="33"/>
  <c r="AG50" i="33"/>
  <c r="AH50" i="33"/>
  <c r="AI50" i="33"/>
  <c r="AJ50" i="33"/>
  <c r="AK50" i="33"/>
  <c r="AO50" i="33"/>
  <c r="I158" i="33"/>
  <c r="K158" i="33"/>
  <c r="L158" i="33" s="1"/>
  <c r="M158" i="33"/>
  <c r="N158" i="33" s="1"/>
  <c r="X158" i="33"/>
  <c r="Y158" i="33"/>
  <c r="AA158" i="33"/>
  <c r="AC158" i="33"/>
  <c r="AL158" i="33" s="1"/>
  <c r="AD158" i="33"/>
  <c r="AE158" i="33"/>
  <c r="AF158" i="33"/>
  <c r="AG158" i="33"/>
  <c r="AH158" i="33"/>
  <c r="AI158" i="33"/>
  <c r="AJ158" i="33"/>
  <c r="AK158" i="33"/>
  <c r="AO158" i="33"/>
  <c r="I13" i="33"/>
  <c r="K13" i="33"/>
  <c r="L13" i="33" s="1"/>
  <c r="M13" i="33"/>
  <c r="N13" i="33" s="1"/>
  <c r="X13" i="33"/>
  <c r="Y13" i="33"/>
  <c r="AA13" i="33"/>
  <c r="AC13" i="33"/>
  <c r="AL13" i="33" s="1"/>
  <c r="AD13" i="33"/>
  <c r="AE13" i="33"/>
  <c r="AF13" i="33"/>
  <c r="AG13" i="33"/>
  <c r="AH13" i="33"/>
  <c r="AI13" i="33"/>
  <c r="AJ13" i="33"/>
  <c r="AK13" i="33"/>
  <c r="AO13" i="33"/>
  <c r="I123" i="33"/>
  <c r="K123" i="33"/>
  <c r="L123" i="33" s="1"/>
  <c r="M123" i="33"/>
  <c r="N123" i="33" s="1"/>
  <c r="X123" i="33"/>
  <c r="Y123" i="33"/>
  <c r="AA123" i="33"/>
  <c r="AC123" i="33"/>
  <c r="AL123" i="33" s="1"/>
  <c r="AD123" i="33"/>
  <c r="AE123" i="33"/>
  <c r="AF123" i="33"/>
  <c r="AG123" i="33"/>
  <c r="AH123" i="33"/>
  <c r="AI123" i="33"/>
  <c r="AJ123" i="33"/>
  <c r="AK123" i="33"/>
  <c r="AO123" i="33"/>
  <c r="I221" i="33"/>
  <c r="K221" i="33"/>
  <c r="L221" i="33" s="1"/>
  <c r="M221" i="33"/>
  <c r="N221" i="33" s="1"/>
  <c r="X221" i="33"/>
  <c r="Y221" i="33"/>
  <c r="AA221" i="33"/>
  <c r="AC221" i="33"/>
  <c r="AL221" i="33" s="1"/>
  <c r="AD221" i="33"/>
  <c r="AE221" i="33"/>
  <c r="AF221" i="33"/>
  <c r="AG221" i="33"/>
  <c r="AH221" i="33"/>
  <c r="AI221" i="33"/>
  <c r="AJ221" i="33"/>
  <c r="AK221" i="33"/>
  <c r="AO221" i="33"/>
  <c r="I40" i="33"/>
  <c r="K40" i="33"/>
  <c r="L40" i="33" s="1"/>
  <c r="M40" i="33"/>
  <c r="N40" i="33" s="1"/>
  <c r="X40" i="33"/>
  <c r="Y40" i="33"/>
  <c r="AA40" i="33"/>
  <c r="Z39" i="33" s="1"/>
  <c r="AB39" i="33" s="1"/>
  <c r="AC40" i="33"/>
  <c r="AL40" i="33" s="1"/>
  <c r="AD40" i="33"/>
  <c r="AE40" i="33"/>
  <c r="AF40" i="33"/>
  <c r="AG40" i="33"/>
  <c r="AH40" i="33"/>
  <c r="AI40" i="33"/>
  <c r="AJ40" i="33"/>
  <c r="AK40" i="33"/>
  <c r="AO40" i="33"/>
  <c r="I163" i="33"/>
  <c r="K163" i="33"/>
  <c r="L163" i="33" s="1"/>
  <c r="M163" i="33"/>
  <c r="N163" i="33" s="1"/>
  <c r="X163" i="33"/>
  <c r="Y163" i="33"/>
  <c r="AA163" i="33"/>
  <c r="AC163" i="33"/>
  <c r="AL163" i="33" s="1"/>
  <c r="AD163" i="33"/>
  <c r="AE163" i="33"/>
  <c r="AF163" i="33"/>
  <c r="AG163" i="33"/>
  <c r="AH163" i="33"/>
  <c r="AI163" i="33"/>
  <c r="AJ163" i="33"/>
  <c r="AK163" i="33"/>
  <c r="AO163" i="33"/>
  <c r="I32" i="33"/>
  <c r="K32" i="33"/>
  <c r="L32" i="33" s="1"/>
  <c r="M32" i="33"/>
  <c r="N32" i="33" s="1"/>
  <c r="X32" i="33"/>
  <c r="Y32" i="33"/>
  <c r="AA32" i="33"/>
  <c r="AC32" i="33"/>
  <c r="AL32" i="33" s="1"/>
  <c r="AD32" i="33"/>
  <c r="AE32" i="33"/>
  <c r="AF32" i="33"/>
  <c r="AG32" i="33"/>
  <c r="AH32" i="33"/>
  <c r="AI32" i="33"/>
  <c r="AJ32" i="33"/>
  <c r="AK32" i="33"/>
  <c r="AO32" i="33"/>
  <c r="I145" i="33"/>
  <c r="K145" i="33"/>
  <c r="L145" i="33" s="1"/>
  <c r="M145" i="33"/>
  <c r="N145" i="33" s="1"/>
  <c r="X145" i="33"/>
  <c r="Y145" i="33"/>
  <c r="AA145" i="33"/>
  <c r="Z144" i="33" s="1"/>
  <c r="AB144" i="33" s="1"/>
  <c r="AC145" i="33"/>
  <c r="AL145" i="33" s="1"/>
  <c r="AD145" i="33"/>
  <c r="AE145" i="33"/>
  <c r="AF145" i="33"/>
  <c r="AG145" i="33"/>
  <c r="AH145" i="33"/>
  <c r="AI145" i="33"/>
  <c r="AJ145" i="33"/>
  <c r="AK145" i="33"/>
  <c r="AO145" i="33"/>
  <c r="I56" i="33"/>
  <c r="K56" i="33"/>
  <c r="L56" i="33" s="1"/>
  <c r="M56" i="33"/>
  <c r="N56" i="33" s="1"/>
  <c r="X56" i="33"/>
  <c r="Y56" i="33"/>
  <c r="AA56" i="33"/>
  <c r="AC56" i="33"/>
  <c r="AL56" i="33" s="1"/>
  <c r="AD56" i="33"/>
  <c r="AE56" i="33"/>
  <c r="AF56" i="33"/>
  <c r="AG56" i="33"/>
  <c r="AH56" i="33"/>
  <c r="AI56" i="33"/>
  <c r="AJ56" i="33"/>
  <c r="AK56" i="33"/>
  <c r="AO56" i="33"/>
  <c r="I34" i="33"/>
  <c r="K34" i="33"/>
  <c r="L34" i="33" s="1"/>
  <c r="M34" i="33"/>
  <c r="N34" i="33" s="1"/>
  <c r="X34" i="33"/>
  <c r="Y34" i="33"/>
  <c r="AA34" i="33"/>
  <c r="AC34" i="33"/>
  <c r="AL34" i="33" s="1"/>
  <c r="AD34" i="33"/>
  <c r="AE34" i="33"/>
  <c r="AF34" i="33"/>
  <c r="AG34" i="33"/>
  <c r="AH34" i="33"/>
  <c r="AI34" i="33"/>
  <c r="AJ34" i="33"/>
  <c r="AK34" i="33"/>
  <c r="AO34" i="33"/>
  <c r="I52" i="33"/>
  <c r="K52" i="33"/>
  <c r="L52" i="33" s="1"/>
  <c r="M52" i="33"/>
  <c r="N52" i="33" s="1"/>
  <c r="X52" i="33"/>
  <c r="Y52" i="33"/>
  <c r="AA52" i="33"/>
  <c r="AC52" i="33"/>
  <c r="AL52" i="33" s="1"/>
  <c r="AD52" i="33"/>
  <c r="AE52" i="33"/>
  <c r="AF52" i="33"/>
  <c r="AG52" i="33"/>
  <c r="AH52" i="33"/>
  <c r="AI52" i="33"/>
  <c r="AJ52" i="33"/>
  <c r="AK52" i="33"/>
  <c r="AO52" i="33"/>
  <c r="I156" i="33"/>
  <c r="K156" i="33"/>
  <c r="L156" i="33" s="1"/>
  <c r="M156" i="33"/>
  <c r="N156" i="33" s="1"/>
  <c r="X156" i="33"/>
  <c r="Y156" i="33"/>
  <c r="AA156" i="33"/>
  <c r="AC156" i="33"/>
  <c r="AL156" i="33" s="1"/>
  <c r="AD156" i="33"/>
  <c r="AE156" i="33"/>
  <c r="AF156" i="33"/>
  <c r="AG156" i="33"/>
  <c r="AH156" i="33"/>
  <c r="AI156" i="33"/>
  <c r="AJ156" i="33"/>
  <c r="AK156" i="33"/>
  <c r="AO156" i="33"/>
  <c r="I108" i="33"/>
  <c r="K108" i="33"/>
  <c r="L108" i="33" s="1"/>
  <c r="M108" i="33"/>
  <c r="N108" i="33" s="1"/>
  <c r="X108" i="33"/>
  <c r="Y108" i="33"/>
  <c r="AA108" i="33"/>
  <c r="AC108" i="33"/>
  <c r="AL108" i="33" s="1"/>
  <c r="AD108" i="33"/>
  <c r="AE108" i="33"/>
  <c r="AF108" i="33"/>
  <c r="AG108" i="33"/>
  <c r="AH108" i="33"/>
  <c r="AI108" i="33"/>
  <c r="AJ108" i="33"/>
  <c r="AK108" i="33"/>
  <c r="AO108" i="33"/>
  <c r="I17" i="33"/>
  <c r="K17" i="33"/>
  <c r="L17" i="33" s="1"/>
  <c r="M17" i="33"/>
  <c r="N17" i="33" s="1"/>
  <c r="X17" i="33"/>
  <c r="Y17" i="33"/>
  <c r="AA17" i="33"/>
  <c r="AC17" i="33"/>
  <c r="AL17" i="33" s="1"/>
  <c r="AD17" i="33"/>
  <c r="AE17" i="33"/>
  <c r="AF17" i="33"/>
  <c r="AG17" i="33"/>
  <c r="AH17" i="33"/>
  <c r="AI17" i="33"/>
  <c r="AJ17" i="33"/>
  <c r="AK17" i="33"/>
  <c r="AO17" i="33"/>
  <c r="I192" i="33"/>
  <c r="K192" i="33"/>
  <c r="L192" i="33" s="1"/>
  <c r="M192" i="33"/>
  <c r="N192" i="33" s="1"/>
  <c r="X192" i="33"/>
  <c r="Y192" i="33"/>
  <c r="AA192" i="33"/>
  <c r="AC192" i="33"/>
  <c r="AL192" i="33" s="1"/>
  <c r="AD192" i="33"/>
  <c r="AE192" i="33"/>
  <c r="AF192" i="33"/>
  <c r="AG192" i="33"/>
  <c r="AH192" i="33"/>
  <c r="AI192" i="33"/>
  <c r="AJ192" i="33"/>
  <c r="AK192" i="33"/>
  <c r="AO192" i="33"/>
  <c r="I101" i="33"/>
  <c r="K101" i="33"/>
  <c r="L101" i="33" s="1"/>
  <c r="M101" i="33"/>
  <c r="N101" i="33" s="1"/>
  <c r="X101" i="33"/>
  <c r="Y101" i="33"/>
  <c r="AA101" i="33"/>
  <c r="AC101" i="33"/>
  <c r="AL101" i="33" s="1"/>
  <c r="AD101" i="33"/>
  <c r="AE101" i="33"/>
  <c r="AF101" i="33"/>
  <c r="AG101" i="33"/>
  <c r="AH101" i="33"/>
  <c r="AI101" i="33"/>
  <c r="AJ101" i="33"/>
  <c r="AK101" i="33"/>
  <c r="AO101" i="33"/>
  <c r="I103" i="33"/>
  <c r="K103" i="33"/>
  <c r="L103" i="33" s="1"/>
  <c r="M103" i="33"/>
  <c r="N103" i="33" s="1"/>
  <c r="X103" i="33"/>
  <c r="Y103" i="33"/>
  <c r="AA103" i="33"/>
  <c r="AC103" i="33"/>
  <c r="AL103" i="33" s="1"/>
  <c r="AD103" i="33"/>
  <c r="AE103" i="33"/>
  <c r="AF103" i="33"/>
  <c r="AG103" i="33"/>
  <c r="AH103" i="33"/>
  <c r="AI103" i="33"/>
  <c r="AJ103" i="33"/>
  <c r="AK103" i="33"/>
  <c r="AO103" i="33"/>
  <c r="I15" i="33"/>
  <c r="K15" i="33"/>
  <c r="L15" i="33" s="1"/>
  <c r="M15" i="33"/>
  <c r="N15" i="33" s="1"/>
  <c r="X15" i="33"/>
  <c r="Y15" i="33"/>
  <c r="AA15" i="33"/>
  <c r="Z14" i="33" s="1"/>
  <c r="AB14" i="33" s="1"/>
  <c r="AC15" i="33"/>
  <c r="AL15" i="33" s="1"/>
  <c r="AD15" i="33"/>
  <c r="AE15" i="33"/>
  <c r="AF15" i="33"/>
  <c r="AG15" i="33"/>
  <c r="AH15" i="33"/>
  <c r="AI15" i="33"/>
  <c r="AJ15" i="33"/>
  <c r="AK15" i="33"/>
  <c r="AO15" i="33"/>
  <c r="I43" i="33"/>
  <c r="K43" i="33"/>
  <c r="L43" i="33" s="1"/>
  <c r="M43" i="33"/>
  <c r="N43" i="33" s="1"/>
  <c r="X43" i="33"/>
  <c r="Y43" i="33"/>
  <c r="AA43" i="33"/>
  <c r="AC43" i="33"/>
  <c r="AL43" i="33" s="1"/>
  <c r="AD43" i="33"/>
  <c r="AE43" i="33"/>
  <c r="AF43" i="33"/>
  <c r="AG43" i="33"/>
  <c r="AH43" i="33"/>
  <c r="AI43" i="33"/>
  <c r="AJ43" i="33"/>
  <c r="AK43" i="33"/>
  <c r="AO43" i="33"/>
  <c r="I59" i="33"/>
  <c r="K59" i="33"/>
  <c r="L59" i="33" s="1"/>
  <c r="M59" i="33"/>
  <c r="N59" i="33" s="1"/>
  <c r="X59" i="33"/>
  <c r="Y59" i="33"/>
  <c r="AA59" i="33"/>
  <c r="AC59" i="33"/>
  <c r="AL59" i="33" s="1"/>
  <c r="AD59" i="33"/>
  <c r="AE59" i="33"/>
  <c r="AF59" i="33"/>
  <c r="AG59" i="33"/>
  <c r="AH59" i="33"/>
  <c r="AI59" i="33"/>
  <c r="AJ59" i="33"/>
  <c r="AK59" i="33"/>
  <c r="AO59" i="33"/>
  <c r="I194" i="33"/>
  <c r="K194" i="33"/>
  <c r="L194" i="33" s="1"/>
  <c r="M194" i="33"/>
  <c r="N194" i="33" s="1"/>
  <c r="X194" i="33"/>
  <c r="Y194" i="33"/>
  <c r="AA194" i="33"/>
  <c r="AC194" i="33"/>
  <c r="AL194" i="33" s="1"/>
  <c r="AD194" i="33"/>
  <c r="AE194" i="33"/>
  <c r="AF194" i="33"/>
  <c r="AG194" i="33"/>
  <c r="AH194" i="33"/>
  <c r="AI194" i="33"/>
  <c r="AJ194" i="33"/>
  <c r="AK194" i="33"/>
  <c r="AO194" i="33"/>
  <c r="I4" i="33"/>
  <c r="K4" i="33"/>
  <c r="L4" i="33" s="1"/>
  <c r="M4" i="33"/>
  <c r="N4" i="33" s="1"/>
  <c r="X4" i="33"/>
  <c r="Y4" i="33"/>
  <c r="AA4" i="33"/>
  <c r="AC4" i="33"/>
  <c r="AL4" i="33" s="1"/>
  <c r="AD4" i="33"/>
  <c r="AE4" i="33"/>
  <c r="AF4" i="33"/>
  <c r="AG4" i="33"/>
  <c r="AH4" i="33"/>
  <c r="AI4" i="33"/>
  <c r="AJ4" i="33"/>
  <c r="AK4" i="33"/>
  <c r="AO4" i="33"/>
  <c r="I66" i="33"/>
  <c r="K66" i="33"/>
  <c r="L66" i="33" s="1"/>
  <c r="M66" i="33"/>
  <c r="N66" i="33" s="1"/>
  <c r="X66" i="33"/>
  <c r="Y66" i="33"/>
  <c r="AA66" i="33"/>
  <c r="Z65" i="33" s="1"/>
  <c r="AB65" i="33" s="1"/>
  <c r="AC66" i="33"/>
  <c r="AL66" i="33" s="1"/>
  <c r="AD66" i="33"/>
  <c r="AE66" i="33"/>
  <c r="AF66" i="33"/>
  <c r="AG66" i="33"/>
  <c r="AH66" i="33"/>
  <c r="AI66" i="33"/>
  <c r="AJ66" i="33"/>
  <c r="AK66" i="33"/>
  <c r="AO66" i="33"/>
  <c r="I150" i="33"/>
  <c r="K150" i="33"/>
  <c r="L150" i="33" s="1"/>
  <c r="M150" i="33"/>
  <c r="N150" i="33" s="1"/>
  <c r="X150" i="33"/>
  <c r="Y150" i="33"/>
  <c r="AA150" i="33"/>
  <c r="AC150" i="33"/>
  <c r="AL150" i="33" s="1"/>
  <c r="AD150" i="33"/>
  <c r="AE150" i="33"/>
  <c r="AF150" i="33"/>
  <c r="AG150" i="33"/>
  <c r="AH150" i="33"/>
  <c r="AI150" i="33"/>
  <c r="AJ150" i="33"/>
  <c r="AK150" i="33"/>
  <c r="AO150" i="33"/>
  <c r="I119" i="33"/>
  <c r="K119" i="33"/>
  <c r="L119" i="33" s="1"/>
  <c r="M119" i="33"/>
  <c r="N119" i="33" s="1"/>
  <c r="X119" i="33"/>
  <c r="Y119" i="33"/>
  <c r="AA119" i="33"/>
  <c r="AC119" i="33"/>
  <c r="AL119" i="33" s="1"/>
  <c r="AD119" i="33"/>
  <c r="AE119" i="33"/>
  <c r="AF119" i="33"/>
  <c r="AG119" i="33"/>
  <c r="AH119" i="33"/>
  <c r="AI119" i="33"/>
  <c r="AJ119" i="33"/>
  <c r="AK119" i="33"/>
  <c r="AO119" i="33"/>
  <c r="I143" i="33"/>
  <c r="K143" i="33"/>
  <c r="L143" i="33" s="1"/>
  <c r="M143" i="33"/>
  <c r="N143" i="33" s="1"/>
  <c r="X143" i="33"/>
  <c r="Y143" i="33"/>
  <c r="AA143" i="33"/>
  <c r="AC143" i="33"/>
  <c r="AL143" i="33" s="1"/>
  <c r="AD143" i="33"/>
  <c r="AE143" i="33"/>
  <c r="AF143" i="33"/>
  <c r="AG143" i="33"/>
  <c r="AH143" i="33"/>
  <c r="AI143" i="33"/>
  <c r="AJ143" i="33"/>
  <c r="AK143" i="33"/>
  <c r="AO143" i="33"/>
  <c r="I93" i="33"/>
  <c r="K93" i="33"/>
  <c r="L93" i="33" s="1"/>
  <c r="M93" i="33"/>
  <c r="N93" i="33" s="1"/>
  <c r="X93" i="33"/>
  <c r="Y93" i="33"/>
  <c r="AA93" i="33"/>
  <c r="AC93" i="33"/>
  <c r="AL93" i="33" s="1"/>
  <c r="AD93" i="33"/>
  <c r="AE93" i="33"/>
  <c r="AF93" i="33"/>
  <c r="AG93" i="33"/>
  <c r="AH93" i="33"/>
  <c r="AI93" i="33"/>
  <c r="AJ93" i="33"/>
  <c r="AK93" i="33"/>
  <c r="AO93" i="33"/>
  <c r="I182" i="33"/>
  <c r="K182" i="33"/>
  <c r="L182" i="33" s="1"/>
  <c r="M182" i="33"/>
  <c r="N182" i="33" s="1"/>
  <c r="X182" i="33"/>
  <c r="Y182" i="33"/>
  <c r="AA182" i="33"/>
  <c r="AC182" i="33"/>
  <c r="AL182" i="33" s="1"/>
  <c r="AD182" i="33"/>
  <c r="AE182" i="33"/>
  <c r="AF182" i="33"/>
  <c r="AG182" i="33"/>
  <c r="AH182" i="33"/>
  <c r="AI182" i="33"/>
  <c r="AJ182" i="33"/>
  <c r="AK182" i="33"/>
  <c r="AO182" i="33"/>
  <c r="I220" i="33"/>
  <c r="K220" i="33"/>
  <c r="L220" i="33" s="1"/>
  <c r="M220" i="33"/>
  <c r="N220" i="33" s="1"/>
  <c r="X220" i="33"/>
  <c r="Y220" i="33"/>
  <c r="AA220" i="33"/>
  <c r="AC220" i="33"/>
  <c r="AL220" i="33" s="1"/>
  <c r="AD220" i="33"/>
  <c r="AE220" i="33"/>
  <c r="AF220" i="33"/>
  <c r="AG220" i="33"/>
  <c r="AH220" i="33"/>
  <c r="AI220" i="33"/>
  <c r="AJ220" i="33"/>
  <c r="AK220" i="33"/>
  <c r="AO220" i="33"/>
  <c r="I136" i="33"/>
  <c r="K136" i="33"/>
  <c r="L136" i="33" s="1"/>
  <c r="M136" i="33"/>
  <c r="N136" i="33" s="1"/>
  <c r="X136" i="33"/>
  <c r="Y136" i="33"/>
  <c r="AA136" i="33"/>
  <c r="AC136" i="33"/>
  <c r="AL136" i="33" s="1"/>
  <c r="AD136" i="33"/>
  <c r="AE136" i="33"/>
  <c r="AF136" i="33"/>
  <c r="AG136" i="33"/>
  <c r="AH136" i="33"/>
  <c r="AI136" i="33"/>
  <c r="AJ136" i="33"/>
  <c r="AK136" i="33"/>
  <c r="AO136" i="33"/>
  <c r="I191" i="33"/>
  <c r="K191" i="33"/>
  <c r="L191" i="33" s="1"/>
  <c r="M191" i="33"/>
  <c r="N191" i="33" s="1"/>
  <c r="X191" i="33"/>
  <c r="Y191" i="33"/>
  <c r="AA191" i="33"/>
  <c r="AC191" i="33"/>
  <c r="AL191" i="33" s="1"/>
  <c r="AD191" i="33"/>
  <c r="AE191" i="33"/>
  <c r="AF191" i="33"/>
  <c r="AG191" i="33"/>
  <c r="AH191" i="33"/>
  <c r="AI191" i="33"/>
  <c r="AJ191" i="33"/>
  <c r="AK191" i="33"/>
  <c r="AO191" i="33"/>
  <c r="I187" i="33"/>
  <c r="K187" i="33"/>
  <c r="L187" i="33" s="1"/>
  <c r="M187" i="33"/>
  <c r="N187" i="33" s="1"/>
  <c r="X187" i="33"/>
  <c r="Y187" i="33"/>
  <c r="AA187" i="33"/>
  <c r="Z57" i="33" s="1"/>
  <c r="AB57" i="33" s="1"/>
  <c r="AC187" i="33"/>
  <c r="AL187" i="33" s="1"/>
  <c r="AD187" i="33"/>
  <c r="AE187" i="33"/>
  <c r="AF187" i="33"/>
  <c r="AG187" i="33"/>
  <c r="AH187" i="33"/>
  <c r="AI187" i="33"/>
  <c r="AJ187" i="33"/>
  <c r="AK187" i="33"/>
  <c r="AO187" i="33"/>
  <c r="I115" i="33"/>
  <c r="K115" i="33"/>
  <c r="L115" i="33" s="1"/>
  <c r="M115" i="33"/>
  <c r="N115" i="33" s="1"/>
  <c r="X115" i="33"/>
  <c r="Y115" i="33"/>
  <c r="AA115" i="33"/>
  <c r="AC115" i="33"/>
  <c r="AL115" i="33" s="1"/>
  <c r="AD115" i="33"/>
  <c r="AE115" i="33"/>
  <c r="AF115" i="33"/>
  <c r="AG115" i="33"/>
  <c r="AH115" i="33"/>
  <c r="AI115" i="33"/>
  <c r="AJ115" i="33"/>
  <c r="AK115" i="33"/>
  <c r="AO115" i="33"/>
  <c r="I86" i="33"/>
  <c r="K86" i="33"/>
  <c r="L86" i="33" s="1"/>
  <c r="M86" i="33"/>
  <c r="N86" i="33" s="1"/>
  <c r="X86" i="33"/>
  <c r="Y86" i="33"/>
  <c r="AA86" i="33"/>
  <c r="AC86" i="33"/>
  <c r="AL86" i="33" s="1"/>
  <c r="AD86" i="33"/>
  <c r="AE86" i="33"/>
  <c r="AF86" i="33"/>
  <c r="AG86" i="33"/>
  <c r="AH86" i="33"/>
  <c r="AI86" i="33"/>
  <c r="AJ86" i="33"/>
  <c r="AK86" i="33"/>
  <c r="AO86" i="33"/>
  <c r="I116" i="33"/>
  <c r="K116" i="33"/>
  <c r="L116" i="33" s="1"/>
  <c r="M116" i="33"/>
  <c r="N116" i="33" s="1"/>
  <c r="X116" i="33"/>
  <c r="Y116" i="33"/>
  <c r="AA116" i="33"/>
  <c r="AC116" i="33"/>
  <c r="AL116" i="33" s="1"/>
  <c r="AD116" i="33"/>
  <c r="AE116" i="33"/>
  <c r="AF116" i="33"/>
  <c r="AG116" i="33"/>
  <c r="AH116" i="33"/>
  <c r="AI116" i="33"/>
  <c r="AJ116" i="33"/>
  <c r="AK116" i="33"/>
  <c r="AO116" i="33"/>
  <c r="I54" i="33"/>
  <c r="K54" i="33"/>
  <c r="L54" i="33" s="1"/>
  <c r="M54" i="33"/>
  <c r="N54" i="33" s="1"/>
  <c r="X54" i="33"/>
  <c r="Y54" i="33"/>
  <c r="AA54" i="33"/>
  <c r="AC54" i="33"/>
  <c r="AL54" i="33" s="1"/>
  <c r="AD54" i="33"/>
  <c r="AE54" i="33"/>
  <c r="AF54" i="33"/>
  <c r="AG54" i="33"/>
  <c r="AH54" i="33"/>
  <c r="AI54" i="33"/>
  <c r="AJ54" i="33"/>
  <c r="AK54" i="33"/>
  <c r="AO54" i="33"/>
  <c r="I113" i="33"/>
  <c r="K113" i="33"/>
  <c r="L113" i="33" s="1"/>
  <c r="M113" i="33"/>
  <c r="N113" i="33" s="1"/>
  <c r="X113" i="33"/>
  <c r="Y113" i="33"/>
  <c r="AA113" i="33"/>
  <c r="AC113" i="33"/>
  <c r="AL113" i="33" s="1"/>
  <c r="AD113" i="33"/>
  <c r="AE113" i="33"/>
  <c r="AF113" i="33"/>
  <c r="AG113" i="33"/>
  <c r="AH113" i="33"/>
  <c r="AI113" i="33"/>
  <c r="AJ113" i="33"/>
  <c r="AK113" i="33"/>
  <c r="AO113" i="33"/>
  <c r="I114" i="33"/>
  <c r="K114" i="33"/>
  <c r="L114" i="33" s="1"/>
  <c r="M114" i="33"/>
  <c r="N114" i="33" s="1"/>
  <c r="X114" i="33"/>
  <c r="Y114" i="33"/>
  <c r="AA114" i="33"/>
  <c r="AC114" i="33"/>
  <c r="AL114" i="33" s="1"/>
  <c r="AD114" i="33"/>
  <c r="AE114" i="33"/>
  <c r="AF114" i="33"/>
  <c r="AG114" i="33"/>
  <c r="AH114" i="33"/>
  <c r="AI114" i="33"/>
  <c r="AJ114" i="33"/>
  <c r="AK114" i="33"/>
  <c r="AO114" i="33"/>
  <c r="I209" i="33"/>
  <c r="K209" i="33"/>
  <c r="L209" i="33" s="1"/>
  <c r="M209" i="33"/>
  <c r="N209" i="33" s="1"/>
  <c r="X209" i="33"/>
  <c r="Y209" i="33"/>
  <c r="AA209" i="33"/>
  <c r="AC209" i="33"/>
  <c r="AL209" i="33" s="1"/>
  <c r="AD209" i="33"/>
  <c r="AE209" i="33"/>
  <c r="AF209" i="33"/>
  <c r="AG209" i="33"/>
  <c r="AH209" i="33"/>
  <c r="AI209" i="33"/>
  <c r="AJ209" i="33"/>
  <c r="AK209" i="33"/>
  <c r="AO209" i="33"/>
  <c r="I210" i="33"/>
  <c r="K210" i="33"/>
  <c r="L210" i="33" s="1"/>
  <c r="M210" i="33"/>
  <c r="N210" i="33" s="1"/>
  <c r="X210" i="33"/>
  <c r="Y210" i="33"/>
  <c r="AA210" i="33"/>
  <c r="AC210" i="33"/>
  <c r="AL210" i="33" s="1"/>
  <c r="AD210" i="33"/>
  <c r="AE210" i="33"/>
  <c r="AF210" i="33"/>
  <c r="AG210" i="33"/>
  <c r="AH210" i="33"/>
  <c r="AI210" i="33"/>
  <c r="AJ210" i="33"/>
  <c r="AK210" i="33"/>
  <c r="AO210" i="33"/>
  <c r="I42" i="33"/>
  <c r="K42" i="33"/>
  <c r="L42" i="33" s="1"/>
  <c r="M42" i="33"/>
  <c r="N42" i="33" s="1"/>
  <c r="X42" i="33"/>
  <c r="Y42" i="33"/>
  <c r="AA42" i="33"/>
  <c r="AC42" i="33"/>
  <c r="AL42" i="33" s="1"/>
  <c r="AD42" i="33"/>
  <c r="AE42" i="33"/>
  <c r="AF42" i="33"/>
  <c r="AG42" i="33"/>
  <c r="AH42" i="33"/>
  <c r="AI42" i="33"/>
  <c r="AJ42" i="33"/>
  <c r="AK42" i="33"/>
  <c r="AO42" i="33"/>
  <c r="I127" i="33"/>
  <c r="K127" i="33"/>
  <c r="L127" i="33" s="1"/>
  <c r="M127" i="33"/>
  <c r="N127" i="33" s="1"/>
  <c r="X127" i="33"/>
  <c r="Y127" i="33"/>
  <c r="AA127" i="33"/>
  <c r="AC127" i="33"/>
  <c r="AL127" i="33" s="1"/>
  <c r="AD127" i="33"/>
  <c r="AE127" i="33"/>
  <c r="AF127" i="33"/>
  <c r="AG127" i="33"/>
  <c r="AH127" i="33"/>
  <c r="AI127" i="33"/>
  <c r="AJ127" i="33"/>
  <c r="AK127" i="33"/>
  <c r="AO127" i="33"/>
  <c r="I85" i="33"/>
  <c r="K85" i="33"/>
  <c r="L85" i="33" s="1"/>
  <c r="M85" i="33"/>
  <c r="N85" i="33" s="1"/>
  <c r="X85" i="33"/>
  <c r="Y85" i="33"/>
  <c r="AA85" i="33"/>
  <c r="AC85" i="33"/>
  <c r="AL85" i="33" s="1"/>
  <c r="AD85" i="33"/>
  <c r="AE85" i="33"/>
  <c r="AF85" i="33"/>
  <c r="AG85" i="33"/>
  <c r="AH85" i="33"/>
  <c r="AI85" i="33"/>
  <c r="AJ85" i="33"/>
  <c r="AK85" i="33"/>
  <c r="AO85" i="33"/>
  <c r="I48" i="33"/>
  <c r="K48" i="33"/>
  <c r="L48" i="33" s="1"/>
  <c r="M48" i="33"/>
  <c r="N48" i="33" s="1"/>
  <c r="X48" i="33"/>
  <c r="Y48" i="33"/>
  <c r="AA48" i="33"/>
  <c r="AC48" i="33"/>
  <c r="AL48" i="33" s="1"/>
  <c r="AD48" i="33"/>
  <c r="AE48" i="33"/>
  <c r="AF48" i="33"/>
  <c r="AG48" i="33"/>
  <c r="AH48" i="33"/>
  <c r="AI48" i="33"/>
  <c r="AJ48" i="33"/>
  <c r="AK48" i="33"/>
  <c r="AO48" i="33"/>
  <c r="I121" i="33"/>
  <c r="K121" i="33"/>
  <c r="L121" i="33" s="1"/>
  <c r="M121" i="33"/>
  <c r="N121" i="33" s="1"/>
  <c r="X121" i="33"/>
  <c r="Y121" i="33"/>
  <c r="AA121" i="33"/>
  <c r="Z58" i="33" s="1"/>
  <c r="AB58" i="33" s="1"/>
  <c r="AC121" i="33"/>
  <c r="AL121" i="33" s="1"/>
  <c r="AD121" i="33"/>
  <c r="AE121" i="33"/>
  <c r="AF121" i="33"/>
  <c r="AG121" i="33"/>
  <c r="AH121" i="33"/>
  <c r="AI121" i="33"/>
  <c r="AJ121" i="33"/>
  <c r="AK121" i="33"/>
  <c r="AO121" i="33"/>
  <c r="I11" i="33"/>
  <c r="K11" i="33"/>
  <c r="L11" i="33" s="1"/>
  <c r="M11" i="33"/>
  <c r="N11" i="33" s="1"/>
  <c r="X11" i="33"/>
  <c r="Y11" i="33"/>
  <c r="AA11" i="33"/>
  <c r="AC11" i="33"/>
  <c r="AL11" i="33" s="1"/>
  <c r="AD11" i="33"/>
  <c r="AE11" i="33"/>
  <c r="AF11" i="33"/>
  <c r="AG11" i="33"/>
  <c r="AH11" i="33"/>
  <c r="AI11" i="33"/>
  <c r="AJ11" i="33"/>
  <c r="AK11" i="33"/>
  <c r="AO11" i="33"/>
  <c r="I207" i="33"/>
  <c r="K207" i="33"/>
  <c r="L207" i="33" s="1"/>
  <c r="M207" i="33"/>
  <c r="N207" i="33" s="1"/>
  <c r="X207" i="33"/>
  <c r="Y207" i="33"/>
  <c r="AA207" i="33"/>
  <c r="AC207" i="33"/>
  <c r="AL207" i="33" s="1"/>
  <c r="AD207" i="33"/>
  <c r="AE207" i="33"/>
  <c r="AF207" i="33"/>
  <c r="AG207" i="33"/>
  <c r="AH207" i="33"/>
  <c r="AI207" i="33"/>
  <c r="AJ207" i="33"/>
  <c r="AK207" i="33"/>
  <c r="AO207" i="33"/>
  <c r="I89" i="33"/>
  <c r="K89" i="33"/>
  <c r="L89" i="33" s="1"/>
  <c r="M89" i="33"/>
  <c r="N89" i="33" s="1"/>
  <c r="X89" i="33"/>
  <c r="Y89" i="33"/>
  <c r="AA89" i="33"/>
  <c r="AC89" i="33"/>
  <c r="AL89" i="33" s="1"/>
  <c r="AD89" i="33"/>
  <c r="AE89" i="33"/>
  <c r="AF89" i="33"/>
  <c r="AG89" i="33"/>
  <c r="AH89" i="33"/>
  <c r="AI89" i="33"/>
  <c r="AJ89" i="33"/>
  <c r="AK89" i="33"/>
  <c r="AO89" i="33"/>
  <c r="I157" i="33"/>
  <c r="K157" i="33"/>
  <c r="L157" i="33" s="1"/>
  <c r="M157" i="33"/>
  <c r="N157" i="33" s="1"/>
  <c r="X157" i="33"/>
  <c r="Y157" i="33"/>
  <c r="AA157" i="33"/>
  <c r="AC157" i="33"/>
  <c r="AL157" i="33" s="1"/>
  <c r="AD157" i="33"/>
  <c r="AE157" i="33"/>
  <c r="AF157" i="33"/>
  <c r="AG157" i="33"/>
  <c r="AH157" i="33"/>
  <c r="AI157" i="33"/>
  <c r="AJ157" i="33"/>
  <c r="AK157" i="33"/>
  <c r="AO157" i="33"/>
  <c r="I10" i="33"/>
  <c r="K10" i="33"/>
  <c r="L10" i="33" s="1"/>
  <c r="M10" i="33"/>
  <c r="N10" i="33" s="1"/>
  <c r="X10" i="33"/>
  <c r="Y10" i="33"/>
  <c r="AA10" i="33"/>
  <c r="AC10" i="33"/>
  <c r="AL10" i="33" s="1"/>
  <c r="AD10" i="33"/>
  <c r="AE10" i="33"/>
  <c r="AF10" i="33"/>
  <c r="AG10" i="33"/>
  <c r="AH10" i="33"/>
  <c r="AI10" i="33"/>
  <c r="AJ10" i="33"/>
  <c r="AK10" i="33"/>
  <c r="AO10" i="33"/>
  <c r="I95" i="33"/>
  <c r="K95" i="33"/>
  <c r="L95" i="33" s="1"/>
  <c r="M95" i="33"/>
  <c r="N95" i="33" s="1"/>
  <c r="X95" i="33"/>
  <c r="Y95" i="33"/>
  <c r="AA95" i="33"/>
  <c r="AC95" i="33"/>
  <c r="AL95" i="33" s="1"/>
  <c r="AD95" i="33"/>
  <c r="AE95" i="33"/>
  <c r="AF95" i="33"/>
  <c r="AG95" i="33"/>
  <c r="AH95" i="33"/>
  <c r="AI95" i="33"/>
  <c r="AJ95" i="33"/>
  <c r="AK95" i="33"/>
  <c r="AO95" i="33"/>
  <c r="I122" i="33"/>
  <c r="K122" i="33"/>
  <c r="L122" i="33" s="1"/>
  <c r="M122" i="33"/>
  <c r="N122" i="33" s="1"/>
  <c r="X122" i="33"/>
  <c r="Y122" i="33"/>
  <c r="AA122" i="33"/>
  <c r="AC122" i="33"/>
  <c r="AL122" i="33" s="1"/>
  <c r="AD122" i="33"/>
  <c r="AE122" i="33"/>
  <c r="AF122" i="33"/>
  <c r="AG122" i="33"/>
  <c r="AH122" i="33"/>
  <c r="AI122" i="33"/>
  <c r="AJ122" i="33"/>
  <c r="AK122" i="33"/>
  <c r="AO122" i="33"/>
  <c r="I33" i="33"/>
  <c r="K33" i="33"/>
  <c r="L33" i="33" s="1"/>
  <c r="M33" i="33"/>
  <c r="N33" i="33" s="1"/>
  <c r="X33" i="33"/>
  <c r="Y33" i="33"/>
  <c r="AA33" i="33"/>
  <c r="AC33" i="33"/>
  <c r="AL33" i="33" s="1"/>
  <c r="AD33" i="33"/>
  <c r="AE33" i="33"/>
  <c r="AF33" i="33"/>
  <c r="AG33" i="33"/>
  <c r="AH33" i="33"/>
  <c r="AI33" i="33"/>
  <c r="AJ33" i="33"/>
  <c r="AK33" i="33"/>
  <c r="AO33" i="33"/>
  <c r="I6" i="33"/>
  <c r="K6" i="33"/>
  <c r="L6" i="33" s="1"/>
  <c r="M6" i="33"/>
  <c r="N6" i="33" s="1"/>
  <c r="X6" i="33"/>
  <c r="Y6" i="33"/>
  <c r="AA6" i="33"/>
  <c r="AC6" i="33"/>
  <c r="AL6" i="33" s="1"/>
  <c r="AD6" i="33"/>
  <c r="AE6" i="33"/>
  <c r="AF6" i="33"/>
  <c r="AG6" i="33"/>
  <c r="AH6" i="33"/>
  <c r="AI6" i="33"/>
  <c r="AJ6" i="33"/>
  <c r="AK6" i="33"/>
  <c r="AO6" i="33"/>
  <c r="I133" i="33"/>
  <c r="K133" i="33"/>
  <c r="L133" i="33" s="1"/>
  <c r="M133" i="33"/>
  <c r="N133" i="33" s="1"/>
  <c r="X133" i="33"/>
  <c r="Y133" i="33"/>
  <c r="AA133" i="33"/>
  <c r="AC133" i="33"/>
  <c r="AL133" i="33" s="1"/>
  <c r="AD133" i="33"/>
  <c r="AE133" i="33"/>
  <c r="AF133" i="33"/>
  <c r="AG133" i="33"/>
  <c r="AH133" i="33"/>
  <c r="AI133" i="33"/>
  <c r="AJ133" i="33"/>
  <c r="AK133" i="33"/>
  <c r="AO133" i="33"/>
  <c r="I164" i="33"/>
  <c r="K164" i="33"/>
  <c r="L164" i="33" s="1"/>
  <c r="M164" i="33"/>
  <c r="N164" i="33" s="1"/>
  <c r="X164" i="33"/>
  <c r="Y164" i="33"/>
  <c r="AA164" i="33"/>
  <c r="AC164" i="33"/>
  <c r="AL164" i="33" s="1"/>
  <c r="AD164" i="33"/>
  <c r="AE164" i="33"/>
  <c r="AF164" i="33"/>
  <c r="AG164" i="33"/>
  <c r="AH164" i="33"/>
  <c r="AI164" i="33"/>
  <c r="AJ164" i="33"/>
  <c r="AK164" i="33"/>
  <c r="AO164" i="33"/>
  <c r="I165" i="33"/>
  <c r="K165" i="33"/>
  <c r="L165" i="33" s="1"/>
  <c r="M165" i="33"/>
  <c r="N165" i="33" s="1"/>
  <c r="X165" i="33"/>
  <c r="Y165" i="33"/>
  <c r="AA165" i="33"/>
  <c r="AC165" i="33"/>
  <c r="AL165" i="33" s="1"/>
  <c r="AD165" i="33"/>
  <c r="AE165" i="33"/>
  <c r="AF165" i="33"/>
  <c r="AG165" i="33"/>
  <c r="AH165" i="33"/>
  <c r="AI165" i="33"/>
  <c r="AJ165" i="33"/>
  <c r="AK165" i="33"/>
  <c r="AO165" i="33"/>
  <c r="I20" i="33"/>
  <c r="K20" i="33"/>
  <c r="L20" i="33" s="1"/>
  <c r="M20" i="33"/>
  <c r="N20" i="33" s="1"/>
  <c r="X20" i="33"/>
  <c r="Y20" i="33"/>
  <c r="AA20" i="33"/>
  <c r="AC20" i="33"/>
  <c r="AL20" i="33" s="1"/>
  <c r="AD20" i="33"/>
  <c r="AE20" i="33"/>
  <c r="AF20" i="33"/>
  <c r="AG20" i="33"/>
  <c r="AH20" i="33"/>
  <c r="AI20" i="33"/>
  <c r="AJ20" i="33"/>
  <c r="AK20" i="33"/>
  <c r="AO20" i="33"/>
  <c r="I21" i="33"/>
  <c r="K21" i="33"/>
  <c r="L21" i="33" s="1"/>
  <c r="M21" i="33"/>
  <c r="N21" i="33" s="1"/>
  <c r="X21" i="33"/>
  <c r="Y21" i="33"/>
  <c r="AA21" i="33"/>
  <c r="AC21" i="33"/>
  <c r="AL21" i="33" s="1"/>
  <c r="AD21" i="33"/>
  <c r="AE21" i="33"/>
  <c r="AF21" i="33"/>
  <c r="AG21" i="33"/>
  <c r="AH21" i="33"/>
  <c r="AI21" i="33"/>
  <c r="AJ21" i="33"/>
  <c r="AK21" i="33"/>
  <c r="AO21" i="33"/>
  <c r="I22" i="33"/>
  <c r="K22" i="33"/>
  <c r="L22" i="33" s="1"/>
  <c r="M22" i="33"/>
  <c r="N22" i="33" s="1"/>
  <c r="X22" i="33"/>
  <c r="Y22" i="33"/>
  <c r="AA22" i="33"/>
  <c r="AC22" i="33"/>
  <c r="AL22" i="33" s="1"/>
  <c r="AD22" i="33"/>
  <c r="AE22" i="33"/>
  <c r="AF22" i="33"/>
  <c r="AG22" i="33"/>
  <c r="AH22" i="33"/>
  <c r="AI22" i="33"/>
  <c r="AJ22" i="33"/>
  <c r="AK22" i="33"/>
  <c r="AO22" i="33"/>
  <c r="I23" i="33"/>
  <c r="K23" i="33"/>
  <c r="L23" i="33" s="1"/>
  <c r="M23" i="33"/>
  <c r="N23" i="33" s="1"/>
  <c r="X23" i="33"/>
  <c r="Y23" i="33"/>
  <c r="AA23" i="33"/>
  <c r="AC23" i="33"/>
  <c r="AL23" i="33" s="1"/>
  <c r="AD23" i="33"/>
  <c r="AE23" i="33"/>
  <c r="AF23" i="33"/>
  <c r="AG23" i="33"/>
  <c r="AH23" i="33"/>
  <c r="AI23" i="33"/>
  <c r="AJ23" i="33"/>
  <c r="AK23" i="33"/>
  <c r="AO23" i="33"/>
  <c r="I98" i="33"/>
  <c r="K98" i="33"/>
  <c r="L98" i="33" s="1"/>
  <c r="M98" i="33"/>
  <c r="N98" i="33" s="1"/>
  <c r="X98" i="33"/>
  <c r="Y98" i="33"/>
  <c r="AA98" i="33"/>
  <c r="AC98" i="33"/>
  <c r="AL98" i="33" s="1"/>
  <c r="AD98" i="33"/>
  <c r="AE98" i="33"/>
  <c r="AF98" i="33"/>
  <c r="AG98" i="33"/>
  <c r="AH98" i="33"/>
  <c r="AI98" i="33"/>
  <c r="AJ98" i="33"/>
  <c r="AK98" i="33"/>
  <c r="AO98" i="33"/>
  <c r="I129" i="33"/>
  <c r="K129" i="33"/>
  <c r="L129" i="33" s="1"/>
  <c r="M129" i="33"/>
  <c r="N129" i="33" s="1"/>
  <c r="X129" i="33"/>
  <c r="Y129" i="33"/>
  <c r="AA129" i="33"/>
  <c r="AC129" i="33"/>
  <c r="AL129" i="33" s="1"/>
  <c r="AD129" i="33"/>
  <c r="AE129" i="33"/>
  <c r="AF129" i="33"/>
  <c r="AG129" i="33"/>
  <c r="AH129" i="33"/>
  <c r="AI129" i="33"/>
  <c r="AJ129" i="33"/>
  <c r="AK129" i="33"/>
  <c r="AO129" i="33"/>
  <c r="I99" i="33"/>
  <c r="K99" i="33"/>
  <c r="L99" i="33" s="1"/>
  <c r="M99" i="33"/>
  <c r="N99" i="33" s="1"/>
  <c r="X99" i="33"/>
  <c r="Y99" i="33"/>
  <c r="AA99" i="33"/>
  <c r="AC99" i="33"/>
  <c r="AL99" i="33" s="1"/>
  <c r="AD99" i="33"/>
  <c r="AE99" i="33"/>
  <c r="AF99" i="33"/>
  <c r="AG99" i="33"/>
  <c r="AH99" i="33"/>
  <c r="AI99" i="33"/>
  <c r="AJ99" i="33"/>
  <c r="AK99" i="33"/>
  <c r="AO99" i="33"/>
  <c r="I100" i="33"/>
  <c r="K100" i="33"/>
  <c r="L100" i="33" s="1"/>
  <c r="M100" i="33"/>
  <c r="N100" i="33" s="1"/>
  <c r="X100" i="33"/>
  <c r="Y100" i="33"/>
  <c r="AA100" i="33"/>
  <c r="AC100" i="33"/>
  <c r="AL100" i="33" s="1"/>
  <c r="AD100" i="33"/>
  <c r="AE100" i="33"/>
  <c r="AF100" i="33"/>
  <c r="AG100" i="33"/>
  <c r="AH100" i="33"/>
  <c r="AI100" i="33"/>
  <c r="AJ100" i="33"/>
  <c r="AK100" i="33"/>
  <c r="AO100" i="33"/>
  <c r="I94" i="33"/>
  <c r="K94" i="33"/>
  <c r="L94" i="33" s="1"/>
  <c r="M94" i="33"/>
  <c r="N94" i="33" s="1"/>
  <c r="X94" i="33"/>
  <c r="Y94" i="33"/>
  <c r="AA94" i="33"/>
  <c r="AC94" i="33"/>
  <c r="AL94" i="33" s="1"/>
  <c r="AD94" i="33"/>
  <c r="AE94" i="33"/>
  <c r="AF94" i="33"/>
  <c r="AG94" i="33"/>
  <c r="AH94" i="33"/>
  <c r="AI94" i="33"/>
  <c r="AJ94" i="33"/>
  <c r="AK94" i="33"/>
  <c r="AO94" i="33"/>
  <c r="I45" i="33"/>
  <c r="K45" i="33"/>
  <c r="L45" i="33" s="1"/>
  <c r="M45" i="33"/>
  <c r="N45" i="33" s="1"/>
  <c r="X45" i="33"/>
  <c r="Y45" i="33"/>
  <c r="AA45" i="33"/>
  <c r="AC45" i="33"/>
  <c r="AL45" i="33" s="1"/>
  <c r="AD45" i="33"/>
  <c r="AE45" i="33"/>
  <c r="AF45" i="33"/>
  <c r="AG45" i="33"/>
  <c r="AH45" i="33"/>
  <c r="AI45" i="33"/>
  <c r="AJ45" i="33"/>
  <c r="AK45" i="33"/>
  <c r="AO45" i="33"/>
  <c r="I53" i="33"/>
  <c r="K53" i="33"/>
  <c r="L53" i="33" s="1"/>
  <c r="M53" i="33"/>
  <c r="N53" i="33" s="1"/>
  <c r="X53" i="33"/>
  <c r="Y53" i="33"/>
  <c r="AA53" i="33"/>
  <c r="AC53" i="33"/>
  <c r="AL53" i="33" s="1"/>
  <c r="AD53" i="33"/>
  <c r="AE53" i="33"/>
  <c r="AF53" i="33"/>
  <c r="AG53" i="33"/>
  <c r="AH53" i="33"/>
  <c r="AI53" i="33"/>
  <c r="AJ53" i="33"/>
  <c r="AK53" i="33"/>
  <c r="AO53" i="33"/>
  <c r="I130" i="33"/>
  <c r="K130" i="33"/>
  <c r="L130" i="33" s="1"/>
  <c r="M130" i="33"/>
  <c r="N130" i="33" s="1"/>
  <c r="X130" i="33"/>
  <c r="Y130" i="33"/>
  <c r="AA130" i="33"/>
  <c r="AC130" i="33"/>
  <c r="AL130" i="33" s="1"/>
  <c r="AD130" i="33"/>
  <c r="AE130" i="33"/>
  <c r="AF130" i="33"/>
  <c r="AG130" i="33"/>
  <c r="AH130" i="33"/>
  <c r="AI130" i="33"/>
  <c r="AJ130" i="33"/>
  <c r="AK130" i="33"/>
  <c r="AO130" i="33"/>
  <c r="I180" i="33"/>
  <c r="K180" i="33"/>
  <c r="L180" i="33" s="1"/>
  <c r="M180" i="33"/>
  <c r="N180" i="33" s="1"/>
  <c r="X180" i="33"/>
  <c r="Y180" i="33"/>
  <c r="AA180" i="33"/>
  <c r="AC180" i="33"/>
  <c r="AL180" i="33" s="1"/>
  <c r="AD180" i="33"/>
  <c r="AE180" i="33"/>
  <c r="AF180" i="33"/>
  <c r="AG180" i="33"/>
  <c r="AH180" i="33"/>
  <c r="AI180" i="33"/>
  <c r="AJ180" i="33"/>
  <c r="AK180" i="33"/>
  <c r="AO180" i="33"/>
  <c r="I77" i="33"/>
  <c r="K77" i="33"/>
  <c r="L77" i="33" s="1"/>
  <c r="M77" i="33"/>
  <c r="N77" i="33" s="1"/>
  <c r="X77" i="33"/>
  <c r="Y77" i="33"/>
  <c r="AA77" i="33"/>
  <c r="AC77" i="33"/>
  <c r="AL77" i="33" s="1"/>
  <c r="AD77" i="33"/>
  <c r="AE77" i="33"/>
  <c r="AF77" i="33"/>
  <c r="AG77" i="33"/>
  <c r="AH77" i="33"/>
  <c r="AI77" i="33"/>
  <c r="AJ77" i="33"/>
  <c r="AK77" i="33"/>
  <c r="AO77" i="33"/>
  <c r="I146" i="33"/>
  <c r="K146" i="33"/>
  <c r="L146" i="33" s="1"/>
  <c r="M146" i="33"/>
  <c r="N146" i="33" s="1"/>
  <c r="X146" i="33"/>
  <c r="Y146" i="33"/>
  <c r="AA146" i="33"/>
  <c r="AC146" i="33"/>
  <c r="AL146" i="33" s="1"/>
  <c r="AD146" i="33"/>
  <c r="AE146" i="33"/>
  <c r="AF146" i="33"/>
  <c r="AG146" i="33"/>
  <c r="AH146" i="33"/>
  <c r="AI146" i="33"/>
  <c r="AJ146" i="33"/>
  <c r="AK146" i="33"/>
  <c r="AO146" i="33"/>
  <c r="I110" i="33"/>
  <c r="K110" i="33"/>
  <c r="L110" i="33" s="1"/>
  <c r="M110" i="33"/>
  <c r="N110" i="33" s="1"/>
  <c r="X110" i="33"/>
  <c r="Y110" i="33"/>
  <c r="AA110" i="33"/>
  <c r="AC110" i="33"/>
  <c r="AL110" i="33" s="1"/>
  <c r="AD110" i="33"/>
  <c r="AE110" i="33"/>
  <c r="AF110" i="33"/>
  <c r="AG110" i="33"/>
  <c r="AH110" i="33"/>
  <c r="AI110" i="33"/>
  <c r="AJ110" i="33"/>
  <c r="AK110" i="33"/>
  <c r="AO110" i="33"/>
  <c r="I212" i="33"/>
  <c r="K212" i="33"/>
  <c r="L212" i="33" s="1"/>
  <c r="M212" i="33"/>
  <c r="N212" i="33" s="1"/>
  <c r="X212" i="33"/>
  <c r="Y212" i="33"/>
  <c r="AA212" i="33"/>
  <c r="AC212" i="33"/>
  <c r="AL212" i="33" s="1"/>
  <c r="AD212" i="33"/>
  <c r="AE212" i="33"/>
  <c r="AF212" i="33"/>
  <c r="AG212" i="33"/>
  <c r="AH212" i="33"/>
  <c r="AI212" i="33"/>
  <c r="AJ212" i="33"/>
  <c r="AK212" i="33"/>
  <c r="AO212" i="33"/>
  <c r="I111" i="33"/>
  <c r="K111" i="33"/>
  <c r="L111" i="33" s="1"/>
  <c r="M111" i="33"/>
  <c r="N111" i="33" s="1"/>
  <c r="X111" i="33"/>
  <c r="Y111" i="33"/>
  <c r="AA111" i="33"/>
  <c r="AC111" i="33"/>
  <c r="AL111" i="33" s="1"/>
  <c r="AD111" i="33"/>
  <c r="AE111" i="33"/>
  <c r="AF111" i="33"/>
  <c r="AG111" i="33"/>
  <c r="AH111" i="33"/>
  <c r="AI111" i="33"/>
  <c r="AJ111" i="33"/>
  <c r="AK111" i="33"/>
  <c r="AO111" i="33"/>
  <c r="I35" i="33"/>
  <c r="K35" i="33"/>
  <c r="L35" i="33" s="1"/>
  <c r="M35" i="33"/>
  <c r="N35" i="33" s="1"/>
  <c r="X35" i="33"/>
  <c r="Y35" i="33"/>
  <c r="AA35" i="33"/>
  <c r="AC35" i="33"/>
  <c r="AL35" i="33" s="1"/>
  <c r="AD35" i="33"/>
  <c r="AE35" i="33"/>
  <c r="AF35" i="33"/>
  <c r="AG35" i="33"/>
  <c r="AH35" i="33"/>
  <c r="AI35" i="33"/>
  <c r="AJ35" i="33"/>
  <c r="AK35" i="33"/>
  <c r="AO35" i="33"/>
  <c r="I36" i="33"/>
  <c r="K36" i="33"/>
  <c r="L36" i="33" s="1"/>
  <c r="M36" i="33"/>
  <c r="N36" i="33" s="1"/>
  <c r="X36" i="33"/>
  <c r="Y36" i="33"/>
  <c r="AA36" i="33"/>
  <c r="AC36" i="33"/>
  <c r="AL36" i="33" s="1"/>
  <c r="AD36" i="33"/>
  <c r="AE36" i="33"/>
  <c r="AF36" i="33"/>
  <c r="AG36" i="33"/>
  <c r="AH36" i="33"/>
  <c r="AI36" i="33"/>
  <c r="AJ36" i="33"/>
  <c r="AK36" i="33"/>
  <c r="AO36" i="33"/>
  <c r="I124" i="33"/>
  <c r="K124" i="33"/>
  <c r="L124" i="33" s="1"/>
  <c r="M124" i="33"/>
  <c r="N124" i="33" s="1"/>
  <c r="X124" i="33"/>
  <c r="Y124" i="33"/>
  <c r="AA124" i="33"/>
  <c r="AC124" i="33"/>
  <c r="AL124" i="33" s="1"/>
  <c r="AD124" i="33"/>
  <c r="AE124" i="33"/>
  <c r="AF124" i="33"/>
  <c r="AG124" i="33"/>
  <c r="AH124" i="33"/>
  <c r="AI124" i="33"/>
  <c r="AJ124" i="33"/>
  <c r="AK124" i="33"/>
  <c r="AO124" i="33"/>
  <c r="I125" i="33"/>
  <c r="K125" i="33"/>
  <c r="L125" i="33" s="1"/>
  <c r="M125" i="33"/>
  <c r="N125" i="33" s="1"/>
  <c r="X125" i="33"/>
  <c r="Y125" i="33"/>
  <c r="AA125" i="33"/>
  <c r="AC125" i="33"/>
  <c r="AL125" i="33" s="1"/>
  <c r="AD125" i="33"/>
  <c r="AE125" i="33"/>
  <c r="AF125" i="33"/>
  <c r="AG125" i="33"/>
  <c r="AH125" i="33"/>
  <c r="AI125" i="33"/>
  <c r="AJ125" i="33"/>
  <c r="AK125" i="33"/>
  <c r="AO125" i="33"/>
  <c r="I196" i="33"/>
  <c r="K196" i="33"/>
  <c r="L196" i="33" s="1"/>
  <c r="M196" i="33"/>
  <c r="N196" i="33" s="1"/>
  <c r="X196" i="33"/>
  <c r="Y196" i="33"/>
  <c r="AA196" i="33"/>
  <c r="AC196" i="33"/>
  <c r="AL196" i="33" s="1"/>
  <c r="AD196" i="33"/>
  <c r="AE196" i="33"/>
  <c r="AF196" i="33"/>
  <c r="AG196" i="33"/>
  <c r="AH196" i="33"/>
  <c r="AI196" i="33"/>
  <c r="AJ196" i="33"/>
  <c r="AK196" i="33"/>
  <c r="AO196" i="33"/>
  <c r="I197" i="33"/>
  <c r="K197" i="33"/>
  <c r="L197" i="33" s="1"/>
  <c r="M197" i="33"/>
  <c r="N197" i="33" s="1"/>
  <c r="X197" i="33"/>
  <c r="Y197" i="33"/>
  <c r="AA197" i="33"/>
  <c r="AC197" i="33"/>
  <c r="AL197" i="33" s="1"/>
  <c r="AD197" i="33"/>
  <c r="AE197" i="33"/>
  <c r="AF197" i="33"/>
  <c r="AG197" i="33"/>
  <c r="AH197" i="33"/>
  <c r="AI197" i="33"/>
  <c r="AJ197" i="33"/>
  <c r="AK197" i="33"/>
  <c r="AO197" i="33"/>
  <c r="I61" i="33"/>
  <c r="K61" i="33"/>
  <c r="L61" i="33" s="1"/>
  <c r="M61" i="33"/>
  <c r="N61" i="33" s="1"/>
  <c r="X61" i="33"/>
  <c r="Y61" i="33"/>
  <c r="AA61" i="33"/>
  <c r="AC61" i="33"/>
  <c r="AL61" i="33" s="1"/>
  <c r="AD61" i="33"/>
  <c r="AE61" i="33"/>
  <c r="AF61" i="33"/>
  <c r="AG61" i="33"/>
  <c r="AH61" i="33"/>
  <c r="AI61" i="33"/>
  <c r="AJ61" i="33"/>
  <c r="AK61" i="33"/>
  <c r="AO61" i="33"/>
  <c r="I62" i="33"/>
  <c r="K62" i="33"/>
  <c r="L62" i="33" s="1"/>
  <c r="M62" i="33"/>
  <c r="N62" i="33" s="1"/>
  <c r="X62" i="33"/>
  <c r="Y62" i="33"/>
  <c r="AA62" i="33"/>
  <c r="AC62" i="33"/>
  <c r="AL62" i="33" s="1"/>
  <c r="AD62" i="33"/>
  <c r="AE62" i="33"/>
  <c r="AF62" i="33"/>
  <c r="AG62" i="33"/>
  <c r="AH62" i="33"/>
  <c r="AI62" i="33"/>
  <c r="AJ62" i="33"/>
  <c r="AK62" i="33"/>
  <c r="AO62" i="33"/>
  <c r="I137" i="33"/>
  <c r="K137" i="33"/>
  <c r="L137" i="33" s="1"/>
  <c r="M137" i="33"/>
  <c r="N137" i="33" s="1"/>
  <c r="X137" i="33"/>
  <c r="Y137" i="33"/>
  <c r="AA137" i="33"/>
  <c r="AC137" i="33"/>
  <c r="AL137" i="33" s="1"/>
  <c r="AD137" i="33"/>
  <c r="AE137" i="33"/>
  <c r="AF137" i="33"/>
  <c r="AG137" i="33"/>
  <c r="AH137" i="33"/>
  <c r="AI137" i="33"/>
  <c r="AJ137" i="33"/>
  <c r="AK137" i="33"/>
  <c r="AO137" i="33"/>
  <c r="I138" i="33"/>
  <c r="K138" i="33"/>
  <c r="L138" i="33" s="1"/>
  <c r="M138" i="33"/>
  <c r="N138" i="33" s="1"/>
  <c r="X138" i="33"/>
  <c r="Y138" i="33"/>
  <c r="AA138" i="33"/>
  <c r="AC138" i="33"/>
  <c r="AL138" i="33" s="1"/>
  <c r="AD138" i="33"/>
  <c r="AE138" i="33"/>
  <c r="AF138" i="33"/>
  <c r="AG138" i="33"/>
  <c r="AH138" i="33"/>
  <c r="AI138" i="33"/>
  <c r="AJ138" i="33"/>
  <c r="AK138" i="33"/>
  <c r="AO138" i="33"/>
  <c r="I198" i="33"/>
  <c r="K198" i="33"/>
  <c r="L198" i="33" s="1"/>
  <c r="M198" i="33"/>
  <c r="N198" i="33" s="1"/>
  <c r="X198" i="33"/>
  <c r="Y198" i="33"/>
  <c r="AA198" i="33"/>
  <c r="AC198" i="33"/>
  <c r="AL198" i="33" s="1"/>
  <c r="AD198" i="33"/>
  <c r="AE198" i="33"/>
  <c r="AF198" i="33"/>
  <c r="AG198" i="33"/>
  <c r="AH198" i="33"/>
  <c r="AI198" i="33"/>
  <c r="AJ198" i="33"/>
  <c r="AK198" i="33"/>
  <c r="AO198" i="33"/>
  <c r="I105" i="33"/>
  <c r="K105" i="33"/>
  <c r="L105" i="33" s="1"/>
  <c r="M105" i="33"/>
  <c r="N105" i="33" s="1"/>
  <c r="X105" i="33"/>
  <c r="Y105" i="33"/>
  <c r="AA105" i="33"/>
  <c r="AC105" i="33"/>
  <c r="AL105" i="33" s="1"/>
  <c r="AD105" i="33"/>
  <c r="AE105" i="33"/>
  <c r="AF105" i="33"/>
  <c r="AG105" i="33"/>
  <c r="AH105" i="33"/>
  <c r="AI105" i="33"/>
  <c r="AJ105" i="33"/>
  <c r="AK105" i="33"/>
  <c r="AO105" i="33"/>
  <c r="I120" i="33"/>
  <c r="K120" i="33"/>
  <c r="L120" i="33" s="1"/>
  <c r="M120" i="33"/>
  <c r="N120" i="33" s="1"/>
  <c r="X120" i="33"/>
  <c r="Y120" i="33"/>
  <c r="AA120" i="33"/>
  <c r="AC120" i="33"/>
  <c r="AL120" i="33" s="1"/>
  <c r="AD120" i="33"/>
  <c r="AE120" i="33"/>
  <c r="AF120" i="33"/>
  <c r="AG120" i="33"/>
  <c r="AH120" i="33"/>
  <c r="AI120" i="33"/>
  <c r="AJ120" i="33"/>
  <c r="AK120" i="33"/>
  <c r="AO120" i="33"/>
  <c r="I112" i="33"/>
  <c r="K112" i="33"/>
  <c r="L112" i="33" s="1"/>
  <c r="M112" i="33"/>
  <c r="N112" i="33" s="1"/>
  <c r="X112" i="33"/>
  <c r="Y112" i="33"/>
  <c r="AA112" i="33"/>
  <c r="AC112" i="33"/>
  <c r="AL112" i="33" s="1"/>
  <c r="AD112" i="33"/>
  <c r="AE112" i="33"/>
  <c r="AF112" i="33"/>
  <c r="AG112" i="33"/>
  <c r="AH112" i="33"/>
  <c r="AI112" i="33"/>
  <c r="AJ112" i="33"/>
  <c r="AK112" i="33"/>
  <c r="I83" i="33"/>
  <c r="K83" i="33"/>
  <c r="L83" i="33" s="1"/>
  <c r="M83" i="33"/>
  <c r="N83" i="33" s="1"/>
  <c r="X83" i="33"/>
  <c r="Y83" i="33"/>
  <c r="AA83" i="33"/>
  <c r="AC83" i="33"/>
  <c r="AL83" i="33" s="1"/>
  <c r="AD83" i="33"/>
  <c r="AE83" i="33"/>
  <c r="AF83" i="33"/>
  <c r="AG83" i="33"/>
  <c r="AH83" i="33"/>
  <c r="AI83" i="33"/>
  <c r="AJ83" i="33"/>
  <c r="AK83" i="33"/>
  <c r="I46" i="33"/>
  <c r="K46" i="33"/>
  <c r="L46" i="33" s="1"/>
  <c r="M46" i="33"/>
  <c r="N46" i="33" s="1"/>
  <c r="X46" i="33"/>
  <c r="Y46" i="33"/>
  <c r="AA46" i="33"/>
  <c r="AC46" i="33"/>
  <c r="AL46" i="33" s="1"/>
  <c r="AD46" i="33"/>
  <c r="AE46" i="33"/>
  <c r="AF46" i="33"/>
  <c r="AG46" i="33"/>
  <c r="AH46" i="33"/>
  <c r="AI46" i="33"/>
  <c r="AJ46" i="33"/>
  <c r="AK46" i="33"/>
  <c r="AO46" i="33"/>
  <c r="I195" i="33"/>
  <c r="K195" i="33"/>
  <c r="L195" i="33" s="1"/>
  <c r="M195" i="33"/>
  <c r="N195" i="33" s="1"/>
  <c r="X195" i="33"/>
  <c r="Y195" i="33"/>
  <c r="AA195" i="33"/>
  <c r="AC195" i="33"/>
  <c r="AL195" i="33" s="1"/>
  <c r="AD195" i="33"/>
  <c r="AE195" i="33"/>
  <c r="AF195" i="33"/>
  <c r="AG195" i="33"/>
  <c r="AH195" i="33"/>
  <c r="AI195" i="33"/>
  <c r="AJ195" i="33"/>
  <c r="AK195" i="33"/>
  <c r="AO195" i="33"/>
  <c r="I173" i="33"/>
  <c r="K173" i="33"/>
  <c r="L173" i="33" s="1"/>
  <c r="M173" i="33"/>
  <c r="N173" i="33" s="1"/>
  <c r="X173" i="33"/>
  <c r="Y173" i="33"/>
  <c r="AA173" i="33"/>
  <c r="AC173" i="33"/>
  <c r="AL173" i="33" s="1"/>
  <c r="AD173" i="33"/>
  <c r="AE173" i="33"/>
  <c r="AF173" i="33"/>
  <c r="AG173" i="33"/>
  <c r="AH173" i="33"/>
  <c r="AI173" i="33"/>
  <c r="AJ173" i="33"/>
  <c r="AK173" i="33"/>
  <c r="AO173" i="33"/>
  <c r="I174" i="33"/>
  <c r="K174" i="33"/>
  <c r="L174" i="33" s="1"/>
  <c r="M174" i="33"/>
  <c r="N174" i="33" s="1"/>
  <c r="X174" i="33"/>
  <c r="Y174" i="33"/>
  <c r="AA174" i="33"/>
  <c r="AC174" i="33"/>
  <c r="AL174" i="33" s="1"/>
  <c r="AD174" i="33"/>
  <c r="AE174" i="33"/>
  <c r="AF174" i="33"/>
  <c r="AG174" i="33"/>
  <c r="AH174" i="33"/>
  <c r="AI174" i="33"/>
  <c r="AJ174" i="33"/>
  <c r="AK174" i="33"/>
  <c r="AO174" i="33"/>
  <c r="I175" i="33"/>
  <c r="K175" i="33"/>
  <c r="L175" i="33" s="1"/>
  <c r="M175" i="33"/>
  <c r="N175" i="33" s="1"/>
  <c r="X175" i="33"/>
  <c r="Y175" i="33"/>
  <c r="AA175" i="33"/>
  <c r="AC175" i="33"/>
  <c r="AL175" i="33" s="1"/>
  <c r="AD175" i="33"/>
  <c r="AE175" i="33"/>
  <c r="AF175" i="33"/>
  <c r="AG175" i="33"/>
  <c r="AH175" i="33"/>
  <c r="AI175" i="33"/>
  <c r="AJ175" i="33"/>
  <c r="AK175" i="33"/>
  <c r="AO175" i="33"/>
  <c r="I225" i="33"/>
  <c r="K225" i="33"/>
  <c r="L225" i="33" s="1"/>
  <c r="M225" i="33"/>
  <c r="N225" i="33" s="1"/>
  <c r="X225" i="33"/>
  <c r="Y225" i="33"/>
  <c r="AA225" i="33"/>
  <c r="AC225" i="33"/>
  <c r="AL225" i="33" s="1"/>
  <c r="AD225" i="33"/>
  <c r="AE225" i="33"/>
  <c r="AF225" i="33"/>
  <c r="AG225" i="33"/>
  <c r="AH225" i="33"/>
  <c r="AI225" i="33"/>
  <c r="AJ225" i="33"/>
  <c r="AK225" i="33"/>
  <c r="AO225" i="33"/>
  <c r="I70" i="33"/>
  <c r="K70" i="33"/>
  <c r="L70" i="33" s="1"/>
  <c r="M70" i="33"/>
  <c r="N70" i="33" s="1"/>
  <c r="X70" i="33"/>
  <c r="Y70" i="33"/>
  <c r="AA70" i="33"/>
  <c r="AC70" i="33"/>
  <c r="AL70" i="33" s="1"/>
  <c r="AD70" i="33"/>
  <c r="AE70" i="33"/>
  <c r="AF70" i="33"/>
  <c r="AG70" i="33"/>
  <c r="AH70" i="33"/>
  <c r="AI70" i="33"/>
  <c r="AJ70" i="33"/>
  <c r="AK70" i="33"/>
  <c r="AO70" i="33"/>
  <c r="I44" i="33"/>
  <c r="K44" i="33"/>
  <c r="L44" i="33" s="1"/>
  <c r="M44" i="33"/>
  <c r="N44" i="33" s="1"/>
  <c r="X44" i="33"/>
  <c r="Y44" i="33"/>
  <c r="AA44" i="33"/>
  <c r="AC44" i="33"/>
  <c r="AL44" i="33" s="1"/>
  <c r="AD44" i="33"/>
  <c r="AE44" i="33"/>
  <c r="AF44" i="33"/>
  <c r="AG44" i="33"/>
  <c r="AH44" i="33"/>
  <c r="AI44" i="33"/>
  <c r="AJ44" i="33"/>
  <c r="AK44" i="33"/>
  <c r="AO44" i="33"/>
  <c r="I159" i="33"/>
  <c r="K159" i="33"/>
  <c r="L159" i="33" s="1"/>
  <c r="M159" i="33"/>
  <c r="N159" i="33" s="1"/>
  <c r="X159" i="33"/>
  <c r="Y159" i="33"/>
  <c r="AA159" i="33"/>
  <c r="AC159" i="33"/>
  <c r="AL159" i="33" s="1"/>
  <c r="AD159" i="33"/>
  <c r="AE159" i="33"/>
  <c r="AF159" i="33"/>
  <c r="AG159" i="33"/>
  <c r="AH159" i="33"/>
  <c r="AI159" i="33"/>
  <c r="AJ159" i="33"/>
  <c r="AK159" i="33"/>
  <c r="AO159" i="33"/>
  <c r="I172" i="33"/>
  <c r="K172" i="33"/>
  <c r="L172" i="33" s="1"/>
  <c r="M172" i="33"/>
  <c r="N172" i="33" s="1"/>
  <c r="X172" i="33"/>
  <c r="Y172" i="33"/>
  <c r="AA172" i="33"/>
  <c r="AC172" i="33"/>
  <c r="AL172" i="33" s="1"/>
  <c r="AD172" i="33"/>
  <c r="AE172" i="33"/>
  <c r="AF172" i="33"/>
  <c r="AG172" i="33"/>
  <c r="AH172" i="33"/>
  <c r="AI172" i="33"/>
  <c r="AJ172" i="33"/>
  <c r="AK172" i="33"/>
  <c r="AO172" i="33"/>
  <c r="I72" i="33"/>
  <c r="K72" i="33"/>
  <c r="L72" i="33" s="1"/>
  <c r="M72" i="33"/>
  <c r="N72" i="33" s="1"/>
  <c r="X72" i="33"/>
  <c r="Y72" i="33"/>
  <c r="AA72" i="33"/>
  <c r="AC72" i="33"/>
  <c r="AL72" i="33" s="1"/>
  <c r="AD72" i="33"/>
  <c r="AE72" i="33"/>
  <c r="AF72" i="33"/>
  <c r="AG72" i="33"/>
  <c r="AH72" i="33"/>
  <c r="AI72" i="33"/>
  <c r="AJ72" i="33"/>
  <c r="AK72" i="33"/>
  <c r="AO72" i="33"/>
  <c r="I78" i="33"/>
  <c r="K78" i="33"/>
  <c r="L78" i="33" s="1"/>
  <c r="M78" i="33"/>
  <c r="N78" i="33" s="1"/>
  <c r="X78" i="33"/>
  <c r="Y78" i="33"/>
  <c r="AA78" i="33"/>
  <c r="AC78" i="33"/>
  <c r="AL78" i="33" s="1"/>
  <c r="AD78" i="33"/>
  <c r="AE78" i="33"/>
  <c r="AF78" i="33"/>
  <c r="AG78" i="33"/>
  <c r="AH78" i="33"/>
  <c r="AI78" i="33"/>
  <c r="AJ78" i="33"/>
  <c r="AK78" i="33"/>
  <c r="AO78" i="33"/>
  <c r="I201" i="33"/>
  <c r="K201" i="33"/>
  <c r="L201" i="33" s="1"/>
  <c r="M201" i="33"/>
  <c r="N201" i="33" s="1"/>
  <c r="X201" i="33"/>
  <c r="Y201" i="33"/>
  <c r="AA201" i="33"/>
  <c r="AC201" i="33"/>
  <c r="AL201" i="33" s="1"/>
  <c r="AD201" i="33"/>
  <c r="AE201" i="33"/>
  <c r="AF201" i="33"/>
  <c r="AG201" i="33"/>
  <c r="AH201" i="33"/>
  <c r="AI201" i="33"/>
  <c r="AJ201" i="33"/>
  <c r="AK201" i="33"/>
  <c r="AO201" i="33"/>
  <c r="I216" i="33"/>
  <c r="K216" i="33"/>
  <c r="L216" i="33" s="1"/>
  <c r="M216" i="33"/>
  <c r="N216" i="33" s="1"/>
  <c r="X216" i="33"/>
  <c r="Y216" i="33"/>
  <c r="AA216" i="33"/>
  <c r="AC216" i="33"/>
  <c r="AL216" i="33" s="1"/>
  <c r="AD216" i="33"/>
  <c r="AE216" i="33"/>
  <c r="AF216" i="33"/>
  <c r="AG216" i="33"/>
  <c r="AH216" i="33"/>
  <c r="AI216" i="33"/>
  <c r="AJ216" i="33"/>
  <c r="AK216" i="33"/>
  <c r="AO216" i="33"/>
  <c r="I80" i="33"/>
  <c r="K80" i="33"/>
  <c r="L80" i="33" s="1"/>
  <c r="M80" i="33"/>
  <c r="N80" i="33" s="1"/>
  <c r="X80" i="33"/>
  <c r="Y80" i="33"/>
  <c r="AA80" i="33"/>
  <c r="AC80" i="33"/>
  <c r="AL80" i="33" s="1"/>
  <c r="AD80" i="33"/>
  <c r="AE80" i="33"/>
  <c r="AF80" i="33"/>
  <c r="AG80" i="33"/>
  <c r="AH80" i="33"/>
  <c r="AI80" i="33"/>
  <c r="AJ80" i="33"/>
  <c r="AK80" i="33"/>
  <c r="AO80" i="33"/>
  <c r="I82" i="33"/>
  <c r="K82" i="33"/>
  <c r="L82" i="33" s="1"/>
  <c r="M82" i="33"/>
  <c r="N82" i="33" s="1"/>
  <c r="X82" i="33"/>
  <c r="Y82" i="33"/>
  <c r="AA82" i="33"/>
  <c r="AC82" i="33"/>
  <c r="AL82" i="33" s="1"/>
  <c r="AD82" i="33"/>
  <c r="AE82" i="33"/>
  <c r="AF82" i="33"/>
  <c r="AG82" i="33"/>
  <c r="AH82" i="33"/>
  <c r="AI82" i="33"/>
  <c r="AJ82" i="33"/>
  <c r="AK82" i="33"/>
  <c r="AO82" i="33"/>
  <c r="I176" i="33"/>
  <c r="K176" i="33"/>
  <c r="L176" i="33" s="1"/>
  <c r="M176" i="33"/>
  <c r="N176" i="33" s="1"/>
  <c r="X176" i="33"/>
  <c r="Y176" i="33"/>
  <c r="AA176" i="33"/>
  <c r="AC176" i="33"/>
  <c r="AL176" i="33" s="1"/>
  <c r="AD176" i="33"/>
  <c r="AE176" i="33"/>
  <c r="AF176" i="33"/>
  <c r="AG176" i="33"/>
  <c r="AH176" i="33"/>
  <c r="AI176" i="33"/>
  <c r="AJ176" i="33"/>
  <c r="AK176" i="33"/>
  <c r="AO176" i="33"/>
  <c r="I177" i="33"/>
  <c r="K177" i="33"/>
  <c r="L177" i="33" s="1"/>
  <c r="M177" i="33"/>
  <c r="N177" i="33" s="1"/>
  <c r="X177" i="33"/>
  <c r="Y177" i="33"/>
  <c r="AA177" i="33"/>
  <c r="AC177" i="33"/>
  <c r="AL177" i="33" s="1"/>
  <c r="AD177" i="33"/>
  <c r="AE177" i="33"/>
  <c r="AF177" i="33"/>
  <c r="AG177" i="33"/>
  <c r="AH177" i="33"/>
  <c r="AI177" i="33"/>
  <c r="AJ177" i="33"/>
  <c r="AK177" i="33"/>
  <c r="AO177" i="33"/>
  <c r="I178" i="33"/>
  <c r="K178" i="33"/>
  <c r="L178" i="33" s="1"/>
  <c r="M178" i="33"/>
  <c r="N178" i="33" s="1"/>
  <c r="X178" i="33"/>
  <c r="Y178" i="33"/>
  <c r="AA178" i="33"/>
  <c r="AC178" i="33"/>
  <c r="AL178" i="33" s="1"/>
  <c r="AD178" i="33"/>
  <c r="AE178" i="33"/>
  <c r="AF178" i="33"/>
  <c r="AG178" i="33"/>
  <c r="AH178" i="33"/>
  <c r="AI178" i="33"/>
  <c r="AJ178" i="33"/>
  <c r="AK178" i="33"/>
  <c r="AO178" i="33"/>
  <c r="I147" i="33"/>
  <c r="K147" i="33"/>
  <c r="L147" i="33" s="1"/>
  <c r="M147" i="33"/>
  <c r="N147" i="33" s="1"/>
  <c r="X147" i="33"/>
  <c r="Y147" i="33"/>
  <c r="AA147" i="33"/>
  <c r="AC147" i="33"/>
  <c r="AL147" i="33" s="1"/>
  <c r="AD147" i="33"/>
  <c r="AE147" i="33"/>
  <c r="AF147" i="33"/>
  <c r="AG147" i="33"/>
  <c r="AH147" i="33"/>
  <c r="AI147" i="33"/>
  <c r="AJ147" i="33"/>
  <c r="AK147" i="33"/>
  <c r="AO147" i="33"/>
  <c r="Z84" i="33" l="1"/>
  <c r="AB84" i="33" s="1"/>
  <c r="Z29" i="35"/>
  <c r="AF29" i="35"/>
  <c r="AA29" i="35"/>
  <c r="W29" i="35"/>
  <c r="AD29" i="35"/>
  <c r="AE29" i="35"/>
  <c r="AG29" i="35"/>
  <c r="AB29" i="35"/>
  <c r="V29" i="35"/>
  <c r="AC29" i="35"/>
  <c r="Y29" i="35"/>
  <c r="Z121" i="35"/>
  <c r="W121" i="35"/>
  <c r="AC121" i="35"/>
  <c r="AF121" i="35"/>
  <c r="AD121" i="35"/>
  <c r="V121" i="35"/>
  <c r="AG121" i="35"/>
  <c r="Y121" i="35"/>
  <c r="AA121" i="35"/>
  <c r="AE121" i="35"/>
  <c r="AB121" i="35"/>
  <c r="AD76" i="35"/>
  <c r="AF76" i="35"/>
  <c r="AG76" i="35"/>
  <c r="V76" i="35"/>
  <c r="AB76" i="35"/>
  <c r="AE76" i="35"/>
  <c r="Z76" i="35"/>
  <c r="W76" i="35"/>
  <c r="AA76" i="35"/>
  <c r="AC76" i="35"/>
  <c r="Y76" i="35"/>
  <c r="AG107" i="35"/>
  <c r="AA107" i="35"/>
  <c r="W107" i="35"/>
  <c r="Z107" i="35"/>
  <c r="AC107" i="35"/>
  <c r="AB107" i="35"/>
  <c r="V107" i="35"/>
  <c r="AD107" i="35"/>
  <c r="AF107" i="35"/>
  <c r="AE107" i="35"/>
  <c r="Y107" i="35"/>
  <c r="V74" i="35"/>
  <c r="W74" i="35"/>
  <c r="Z74" i="35"/>
  <c r="AF74" i="35"/>
  <c r="AD74" i="35"/>
  <c r="AG74" i="35"/>
  <c r="AC74" i="35"/>
  <c r="AE74" i="35"/>
  <c r="Y74" i="35"/>
  <c r="AB74" i="35"/>
  <c r="AA74" i="35"/>
  <c r="AD103" i="35"/>
  <c r="Y103" i="35"/>
  <c r="AE103" i="35"/>
  <c r="AG103" i="35"/>
  <c r="V103" i="35"/>
  <c r="W103" i="35"/>
  <c r="Z103" i="35"/>
  <c r="AF103" i="35"/>
  <c r="AA103" i="35"/>
  <c r="AB103" i="35"/>
  <c r="AC103" i="35"/>
  <c r="AA83" i="35"/>
  <c r="AF83" i="35"/>
  <c r="Y83" i="35"/>
  <c r="AB83" i="35"/>
  <c r="V83" i="35"/>
  <c r="W83" i="35"/>
  <c r="AG83" i="35"/>
  <c r="Z83" i="35"/>
  <c r="AD83" i="35"/>
  <c r="AC83" i="35"/>
  <c r="AE83" i="35"/>
  <c r="AD120" i="35"/>
  <c r="Z120" i="35"/>
  <c r="Y120" i="35"/>
  <c r="W120" i="35"/>
  <c r="AE120" i="35"/>
  <c r="AB120" i="35"/>
  <c r="AA120" i="35"/>
  <c r="AF120" i="35"/>
  <c r="AC120" i="35"/>
  <c r="AG120" i="35"/>
  <c r="V120" i="35"/>
  <c r="AA93" i="35"/>
  <c r="AG93" i="35"/>
  <c r="AD93" i="35"/>
  <c r="AE93" i="35"/>
  <c r="V93" i="35"/>
  <c r="Z93" i="35"/>
  <c r="Y93" i="35"/>
  <c r="AC93" i="35"/>
  <c r="AF93" i="35"/>
  <c r="W93" i="35"/>
  <c r="AB93" i="35"/>
  <c r="Z45" i="35"/>
  <c r="AB45" i="35"/>
  <c r="AE45" i="35"/>
  <c r="AC45" i="35"/>
  <c r="W45" i="35"/>
  <c r="AG45" i="35"/>
  <c r="Y45" i="35"/>
  <c r="V45" i="35"/>
  <c r="AD45" i="35"/>
  <c r="AF45" i="35"/>
  <c r="AA45" i="35"/>
  <c r="AD133" i="35"/>
  <c r="W133" i="35"/>
  <c r="AA133" i="35"/>
  <c r="Z133" i="35"/>
  <c r="AE133" i="35"/>
  <c r="AG133" i="35"/>
  <c r="AF133" i="35"/>
  <c r="V133" i="35"/>
  <c r="Y133" i="35"/>
  <c r="AB133" i="35"/>
  <c r="AC133" i="35"/>
  <c r="AG110" i="35"/>
  <c r="AC110" i="35"/>
  <c r="Y110" i="35"/>
  <c r="AF110" i="35"/>
  <c r="AB110" i="35"/>
  <c r="W110" i="35"/>
  <c r="AE110" i="35"/>
  <c r="AA110" i="35"/>
  <c r="V110" i="35"/>
  <c r="AD110" i="35"/>
  <c r="Z110" i="35"/>
  <c r="AE87" i="35"/>
  <c r="AF87" i="35"/>
  <c r="Y87" i="35"/>
  <c r="AG87" i="35"/>
  <c r="AA87" i="35"/>
  <c r="AD87" i="35"/>
  <c r="AB87" i="35"/>
  <c r="V87" i="35"/>
  <c r="AC87" i="35"/>
  <c r="W87" i="35"/>
  <c r="Z87" i="35"/>
  <c r="W24" i="35"/>
  <c r="V24" i="35"/>
  <c r="AG24" i="35"/>
  <c r="Y24" i="35"/>
  <c r="AC24" i="35"/>
  <c r="AF24" i="35"/>
  <c r="AE24" i="35"/>
  <c r="AD24" i="35"/>
  <c r="AB24" i="35"/>
  <c r="AA24" i="35"/>
  <c r="Z24" i="35"/>
  <c r="AC92" i="35"/>
  <c r="AG92" i="35"/>
  <c r="Y92" i="35"/>
  <c r="AA92" i="35"/>
  <c r="AF92" i="35"/>
  <c r="AB92" i="35"/>
  <c r="AE92" i="35"/>
  <c r="V92" i="35"/>
  <c r="Z92" i="35"/>
  <c r="W92" i="35"/>
  <c r="V13" i="35"/>
  <c r="AE13" i="35"/>
  <c r="AA13" i="35"/>
  <c r="AG13" i="35"/>
  <c r="AF13" i="35"/>
  <c r="AD13" i="35"/>
  <c r="AC13" i="35"/>
  <c r="AB13" i="35"/>
  <c r="Z13" i="35"/>
  <c r="Y13" i="35"/>
  <c r="W13" i="35"/>
  <c r="AF66" i="35"/>
  <c r="AB66" i="35"/>
  <c r="W66" i="35"/>
  <c r="AE66" i="35"/>
  <c r="AA66" i="35"/>
  <c r="V66" i="35"/>
  <c r="AD66" i="35"/>
  <c r="Z66" i="35"/>
  <c r="AG66" i="35"/>
  <c r="AC66" i="35"/>
  <c r="Y66" i="35"/>
  <c r="Z17" i="35"/>
  <c r="Y17" i="35"/>
  <c r="W17" i="35"/>
  <c r="V17" i="35"/>
  <c r="AE17" i="35"/>
  <c r="AA17" i="35"/>
  <c r="AG17" i="35"/>
  <c r="AF17" i="35"/>
  <c r="AD17" i="35"/>
  <c r="AC17" i="35"/>
  <c r="AB17" i="35"/>
  <c r="AD61" i="35"/>
  <c r="Z61" i="35"/>
  <c r="AG61" i="35"/>
  <c r="AC61" i="35"/>
  <c r="Y61" i="35"/>
  <c r="AF61" i="35"/>
  <c r="AB61" i="35"/>
  <c r="W61" i="35"/>
  <c r="AE61" i="35"/>
  <c r="AA61" i="35"/>
  <c r="V61" i="35"/>
  <c r="AE50" i="35"/>
  <c r="Z50" i="35"/>
  <c r="AD50" i="35"/>
  <c r="Y50" i="35"/>
  <c r="AG50" i="35"/>
  <c r="AC50" i="35"/>
  <c r="W50" i="35"/>
  <c r="AF50" i="35"/>
  <c r="AA50" i="35"/>
  <c r="V50" i="35"/>
  <c r="AF113" i="35"/>
  <c r="AG113" i="35"/>
  <c r="AC113" i="35"/>
  <c r="AB113" i="35"/>
  <c r="Y113" i="35"/>
  <c r="AD113" i="35"/>
  <c r="W113" i="35"/>
  <c r="AE113" i="35"/>
  <c r="Z113" i="35"/>
  <c r="AA113" i="35"/>
  <c r="V113" i="35"/>
  <c r="AD22" i="35"/>
  <c r="Z22" i="35"/>
  <c r="AG22" i="35"/>
  <c r="AC22" i="35"/>
  <c r="Y22" i="35"/>
  <c r="AF22" i="35"/>
  <c r="AB22" i="35"/>
  <c r="W22" i="35"/>
  <c r="AE22" i="35"/>
  <c r="AA22" i="35"/>
  <c r="V22" i="35"/>
  <c r="Z115" i="35"/>
  <c r="AE115" i="35"/>
  <c r="Y115" i="35"/>
  <c r="AF115" i="35"/>
  <c r="V115" i="35"/>
  <c r="AG115" i="35"/>
  <c r="AB115" i="35"/>
  <c r="AC115" i="35"/>
  <c r="AD115" i="35"/>
  <c r="W115" i="35"/>
  <c r="AA115" i="35"/>
  <c r="AD81" i="35"/>
  <c r="Z81" i="35"/>
  <c r="AG81" i="35"/>
  <c r="AC81" i="35"/>
  <c r="Y81" i="35"/>
  <c r="AF81" i="35"/>
  <c r="AB81" i="35"/>
  <c r="W81" i="35"/>
  <c r="AE81" i="35"/>
  <c r="AA81" i="35"/>
  <c r="V81" i="35"/>
  <c r="AE33" i="35"/>
  <c r="AA33" i="35"/>
  <c r="V33" i="35"/>
  <c r="AD33" i="35"/>
  <c r="AG33" i="35"/>
  <c r="AB33" i="35"/>
  <c r="Z33" i="35"/>
  <c r="AC33" i="35"/>
  <c r="W33" i="35"/>
  <c r="Y33" i="35"/>
  <c r="AF33" i="35"/>
  <c r="AD104" i="35"/>
  <c r="Z104" i="35"/>
  <c r="AG104" i="35"/>
  <c r="AC104" i="35"/>
  <c r="Y104" i="35"/>
  <c r="AF104" i="35"/>
  <c r="AB104" i="35"/>
  <c r="W104" i="35"/>
  <c r="AE104" i="35"/>
  <c r="AA104" i="35"/>
  <c r="V104" i="35"/>
  <c r="AG38" i="35"/>
  <c r="AC38" i="35"/>
  <c r="Y38" i="35"/>
  <c r="AB38" i="35"/>
  <c r="AF38" i="35"/>
  <c r="W38" i="35"/>
  <c r="AA38" i="35"/>
  <c r="AE38" i="35"/>
  <c r="V38" i="35"/>
  <c r="AD38" i="35"/>
  <c r="Z38" i="35"/>
  <c r="AD53" i="35"/>
  <c r="Z53" i="35"/>
  <c r="AG53" i="35"/>
  <c r="AC53" i="35"/>
  <c r="Y53" i="35"/>
  <c r="AF53" i="35"/>
  <c r="AB53" i="35"/>
  <c r="W53" i="35"/>
  <c r="AE53" i="35"/>
  <c r="AA53" i="35"/>
  <c r="V53" i="35"/>
  <c r="AC105" i="35"/>
  <c r="V105" i="35"/>
  <c r="AD105" i="35"/>
  <c r="Y105" i="35"/>
  <c r="Z105" i="35"/>
  <c r="AE105" i="35"/>
  <c r="AF105" i="35"/>
  <c r="AG105" i="35"/>
  <c r="AA105" i="35"/>
  <c r="W105" i="35"/>
  <c r="AB105" i="35"/>
  <c r="AF58" i="35"/>
  <c r="AB58" i="35"/>
  <c r="AE58" i="35"/>
  <c r="Y58" i="35"/>
  <c r="AD58" i="35"/>
  <c r="W58" i="35"/>
  <c r="AG58" i="35"/>
  <c r="AC58" i="35"/>
  <c r="V58" i="35"/>
  <c r="AF31" i="35"/>
  <c r="AB31" i="35"/>
  <c r="W31" i="35"/>
  <c r="AE31" i="35"/>
  <c r="V31" i="35"/>
  <c r="AD31" i="35"/>
  <c r="Y31" i="35"/>
  <c r="AA31" i="35"/>
  <c r="Z31" i="35"/>
  <c r="AG31" i="35"/>
  <c r="AC31" i="35"/>
  <c r="AA80" i="35"/>
  <c r="AG80" i="35"/>
  <c r="AC80" i="35"/>
  <c r="V80" i="35"/>
  <c r="Y80" i="35"/>
  <c r="AB80" i="35"/>
  <c r="AD80" i="35"/>
  <c r="AF80" i="35"/>
  <c r="AE80" i="35"/>
  <c r="W80" i="35"/>
  <c r="AE68" i="35"/>
  <c r="AF68" i="35"/>
  <c r="AB68" i="35"/>
  <c r="Y68" i="35"/>
  <c r="W68" i="35"/>
  <c r="AG68" i="35"/>
  <c r="AC68" i="35"/>
  <c r="AA68" i="35"/>
  <c r="V68" i="35"/>
  <c r="AF86" i="35"/>
  <c r="AA86" i="35"/>
  <c r="AG86" i="35"/>
  <c r="AB86" i="35"/>
  <c r="AD86" i="35"/>
  <c r="Y86" i="35"/>
  <c r="W86" i="35"/>
  <c r="AC86" i="35"/>
  <c r="AE86" i="35"/>
  <c r="Z86" i="35"/>
  <c r="AC60" i="35"/>
  <c r="W60" i="35"/>
  <c r="AD60" i="35"/>
  <c r="Y60" i="35"/>
  <c r="AE60" i="35"/>
  <c r="Z60" i="35"/>
  <c r="AF60" i="35"/>
  <c r="AA60" i="35"/>
  <c r="AG60" i="35"/>
  <c r="AB60" i="35"/>
  <c r="V60" i="35"/>
  <c r="AC28" i="35"/>
  <c r="Y28" i="35"/>
  <c r="AE28" i="35"/>
  <c r="Z28" i="35"/>
  <c r="AD28" i="35"/>
  <c r="W28" i="35"/>
  <c r="AB28" i="35"/>
  <c r="V28" i="35"/>
  <c r="AG28" i="35"/>
  <c r="AA28" i="35"/>
  <c r="AD7" i="35"/>
  <c r="Z7" i="35"/>
  <c r="AG7" i="35"/>
  <c r="AC7" i="35"/>
  <c r="Y7" i="35"/>
  <c r="AF7" i="35"/>
  <c r="AB7" i="35"/>
  <c r="AE7" i="35"/>
  <c r="AA7" i="35"/>
  <c r="AD114" i="35"/>
  <c r="Z114" i="35"/>
  <c r="AF114" i="35"/>
  <c r="AB114" i="35"/>
  <c r="W114" i="35"/>
  <c r="AC114" i="35"/>
  <c r="AA114" i="35"/>
  <c r="AG114" i="35"/>
  <c r="Y114" i="35"/>
  <c r="AE114" i="35"/>
  <c r="V114" i="35"/>
  <c r="AG91" i="35"/>
  <c r="AC91" i="35"/>
  <c r="Y91" i="35"/>
  <c r="AD91" i="35"/>
  <c r="W91" i="35"/>
  <c r="AB91" i="35"/>
  <c r="V91" i="35"/>
  <c r="AF91" i="35"/>
  <c r="AE91" i="35"/>
  <c r="AA91" i="35"/>
  <c r="Z91" i="35"/>
  <c r="AF27" i="35"/>
  <c r="AB27" i="35"/>
  <c r="W27" i="35"/>
  <c r="Y27" i="35"/>
  <c r="AE27" i="35"/>
  <c r="AA27" i="35"/>
  <c r="V27" i="35"/>
  <c r="AC27" i="35"/>
  <c r="AD27" i="35"/>
  <c r="Z27" i="35"/>
  <c r="AG27" i="35"/>
  <c r="AG47" i="35"/>
  <c r="AC47" i="35"/>
  <c r="Y47" i="35"/>
  <c r="AB47" i="35"/>
  <c r="V47" i="35"/>
  <c r="AF47" i="35"/>
  <c r="AA47" i="35"/>
  <c r="AE47" i="35"/>
  <c r="Z47" i="35"/>
  <c r="W47" i="35"/>
  <c r="AD47" i="35"/>
  <c r="AD129" i="35"/>
  <c r="Z129" i="35"/>
  <c r="AG129" i="35"/>
  <c r="AC129" i="35"/>
  <c r="Y129" i="35"/>
  <c r="AF129" i="35"/>
  <c r="AB129" i="35"/>
  <c r="W129" i="35"/>
  <c r="AE129" i="35"/>
  <c r="AA129" i="35"/>
  <c r="V129" i="35"/>
  <c r="AE96" i="35"/>
  <c r="AA96" i="35"/>
  <c r="V96" i="35"/>
  <c r="AF96" i="35"/>
  <c r="Z96" i="35"/>
  <c r="AD96" i="35"/>
  <c r="Y96" i="35"/>
  <c r="AB96" i="35"/>
  <c r="W96" i="35"/>
  <c r="AG96" i="35"/>
  <c r="AC96" i="35"/>
  <c r="AF32" i="35"/>
  <c r="AB32" i="35"/>
  <c r="W32" i="35"/>
  <c r="Y32" i="35"/>
  <c r="AE32" i="35"/>
  <c r="AA32" i="35"/>
  <c r="V32" i="35"/>
  <c r="AC32" i="35"/>
  <c r="AD32" i="35"/>
  <c r="Z32" i="35"/>
  <c r="AG32" i="35"/>
  <c r="AG97" i="35"/>
  <c r="AC97" i="35"/>
  <c r="W97" i="35"/>
  <c r="AF97" i="35"/>
  <c r="AA97" i="35"/>
  <c r="AE97" i="35"/>
  <c r="Y97" i="35"/>
  <c r="AB97" i="35"/>
  <c r="AD97" i="35"/>
  <c r="AE70" i="35"/>
  <c r="AA70" i="35"/>
  <c r="V70" i="35"/>
  <c r="AD70" i="35"/>
  <c r="Y70" i="35"/>
  <c r="AC70" i="35"/>
  <c r="W70" i="35"/>
  <c r="AG70" i="35"/>
  <c r="AB70" i="35"/>
  <c r="Z70" i="35"/>
  <c r="AF70" i="35"/>
  <c r="AG59" i="35"/>
  <c r="AC59" i="35"/>
  <c r="Y59" i="35"/>
  <c r="AF59" i="35"/>
  <c r="AA59" i="35"/>
  <c r="AE59" i="35"/>
  <c r="Z59" i="35"/>
  <c r="AD59" i="35"/>
  <c r="W59" i="35"/>
  <c r="V59" i="35"/>
  <c r="AB59" i="35"/>
  <c r="AE89" i="35"/>
  <c r="AA89" i="35"/>
  <c r="V89" i="35"/>
  <c r="AD89" i="35"/>
  <c r="Z89" i="35"/>
  <c r="AB89" i="35"/>
  <c r="AG89" i="35"/>
  <c r="Y89" i="35"/>
  <c r="AF89" i="35"/>
  <c r="W89" i="35"/>
  <c r="AC89" i="35"/>
  <c r="AF40" i="35"/>
  <c r="AG40" i="35"/>
  <c r="AB40" i="35"/>
  <c r="W40" i="35"/>
  <c r="Y40" i="35"/>
  <c r="AE40" i="35"/>
  <c r="AA40" i="35"/>
  <c r="V40" i="35"/>
  <c r="AD40" i="35"/>
  <c r="Z40" i="35"/>
  <c r="AC40" i="35"/>
  <c r="AD112" i="35"/>
  <c r="Z112" i="35"/>
  <c r="AF112" i="35"/>
  <c r="AB112" i="35"/>
  <c r="W112" i="35"/>
  <c r="AG112" i="35"/>
  <c r="Y112" i="35"/>
  <c r="AE112" i="35"/>
  <c r="V112" i="35"/>
  <c r="AC112" i="35"/>
  <c r="AA112" i="35"/>
  <c r="AE73" i="35"/>
  <c r="AA73" i="35"/>
  <c r="V73" i="35"/>
  <c r="AF73" i="35"/>
  <c r="Z73" i="35"/>
  <c r="AD73" i="35"/>
  <c r="Y73" i="35"/>
  <c r="AC73" i="35"/>
  <c r="W73" i="35"/>
  <c r="AG73" i="35"/>
  <c r="AB73" i="35"/>
  <c r="AE19" i="35"/>
  <c r="Z19" i="35"/>
  <c r="V19" i="35"/>
  <c r="AD19" i="35"/>
  <c r="Y19" i="35"/>
  <c r="AA19" i="35"/>
  <c r="AC19" i="35"/>
  <c r="W19" i="35"/>
  <c r="AG19" i="35"/>
  <c r="AG65" i="35"/>
  <c r="AC65" i="35"/>
  <c r="Y65" i="35"/>
  <c r="AB65" i="35"/>
  <c r="V65" i="35"/>
  <c r="AF65" i="35"/>
  <c r="AA65" i="35"/>
  <c r="AE65" i="35"/>
  <c r="Z65" i="35"/>
  <c r="AD65" i="35"/>
  <c r="W65" i="35"/>
  <c r="AE85" i="35"/>
  <c r="AA85" i="35"/>
  <c r="V85" i="35"/>
  <c r="AD85" i="35"/>
  <c r="Z85" i="35"/>
  <c r="AB85" i="35"/>
  <c r="AG85" i="35"/>
  <c r="Y85" i="35"/>
  <c r="AF85" i="35"/>
  <c r="W85" i="35"/>
  <c r="AC85" i="35"/>
  <c r="AG98" i="35"/>
  <c r="AC98" i="35"/>
  <c r="Y98" i="35"/>
  <c r="AE98" i="35"/>
  <c r="Z98" i="35"/>
  <c r="AD98" i="35"/>
  <c r="W98" i="35"/>
  <c r="AA98" i="35"/>
  <c r="V98" i="35"/>
  <c r="AF98" i="35"/>
  <c r="AB98" i="35"/>
  <c r="AE77" i="35"/>
  <c r="AA77" i="35"/>
  <c r="V77" i="35"/>
  <c r="AD77" i="35"/>
  <c r="Z77" i="35"/>
  <c r="AB77" i="35"/>
  <c r="AG77" i="35"/>
  <c r="Y77" i="35"/>
  <c r="AF77" i="35"/>
  <c r="W77" i="35"/>
  <c r="AC77" i="35"/>
  <c r="AF30" i="35"/>
  <c r="AB30" i="35"/>
  <c r="W30" i="35"/>
  <c r="Y30" i="35"/>
  <c r="AE30" i="35"/>
  <c r="AA30" i="35"/>
  <c r="V30" i="35"/>
  <c r="AC30" i="35"/>
  <c r="AD30" i="35"/>
  <c r="Z30" i="35"/>
  <c r="AG30" i="35"/>
  <c r="AE54" i="35"/>
  <c r="AA54" i="35"/>
  <c r="V54" i="35"/>
  <c r="AD54" i="35"/>
  <c r="Y54" i="35"/>
  <c r="AC54" i="35"/>
  <c r="W54" i="35"/>
  <c r="AG54" i="35"/>
  <c r="AB54" i="35"/>
  <c r="AF54" i="35"/>
  <c r="Z54" i="35"/>
  <c r="AE56" i="35"/>
  <c r="AA56" i="35"/>
  <c r="V56" i="35"/>
  <c r="AG56" i="35"/>
  <c r="AB56" i="35"/>
  <c r="AF56" i="35"/>
  <c r="Z56" i="35"/>
  <c r="AD56" i="35"/>
  <c r="Y56" i="35"/>
  <c r="W56" i="35"/>
  <c r="AC56" i="35"/>
  <c r="AD94" i="35"/>
  <c r="Z94" i="35"/>
  <c r="AC94" i="35"/>
  <c r="W94" i="35"/>
  <c r="AG94" i="35"/>
  <c r="AB94" i="35"/>
  <c r="V94" i="35"/>
  <c r="AF94" i="35"/>
  <c r="AE94" i="35"/>
  <c r="AA94" i="35"/>
  <c r="Y94" i="35"/>
  <c r="AE79" i="35"/>
  <c r="AA79" i="35"/>
  <c r="V79" i="35"/>
  <c r="AD79" i="35"/>
  <c r="Z79" i="35"/>
  <c r="AF79" i="35"/>
  <c r="W79" i="35"/>
  <c r="AC79" i="35"/>
  <c r="AB79" i="35"/>
  <c r="AG79" i="35"/>
  <c r="Y79" i="35"/>
  <c r="AE55" i="35"/>
  <c r="AA55" i="35"/>
  <c r="V55" i="35"/>
  <c r="AC55" i="35"/>
  <c r="W55" i="35"/>
  <c r="AG55" i="35"/>
  <c r="AB55" i="35"/>
  <c r="AF55" i="35"/>
  <c r="Z55" i="35"/>
  <c r="AD55" i="35"/>
  <c r="Y55" i="35"/>
  <c r="AF95" i="35"/>
  <c r="AB95" i="35"/>
  <c r="W95" i="35"/>
  <c r="AE95" i="35"/>
  <c r="AD95" i="35"/>
  <c r="Y95" i="35"/>
  <c r="AG95" i="35"/>
  <c r="AC95" i="35"/>
  <c r="AD117" i="35"/>
  <c r="Z117" i="35"/>
  <c r="AF117" i="35"/>
  <c r="AB117" i="35"/>
  <c r="W117" i="35"/>
  <c r="AA117" i="35"/>
  <c r="AG117" i="35"/>
  <c r="Y117" i="35"/>
  <c r="AE117" i="35"/>
  <c r="V117" i="35"/>
  <c r="AC117" i="35"/>
  <c r="AE71" i="35"/>
  <c r="AA71" i="35"/>
  <c r="V71" i="35"/>
  <c r="AC71" i="35"/>
  <c r="W71" i="35"/>
  <c r="AG71" i="35"/>
  <c r="AB71" i="35"/>
  <c r="AF71" i="35"/>
  <c r="Z71" i="35"/>
  <c r="Y71" i="35"/>
  <c r="AD71" i="35"/>
  <c r="AE75" i="35"/>
  <c r="AA75" i="35"/>
  <c r="V75" i="35"/>
  <c r="AD75" i="35"/>
  <c r="Z75" i="35"/>
  <c r="AF75" i="35"/>
  <c r="W75" i="35"/>
  <c r="AC75" i="35"/>
  <c r="AB75" i="35"/>
  <c r="Y75" i="35"/>
  <c r="AG75" i="35"/>
  <c r="AF25" i="35"/>
  <c r="AB25" i="35"/>
  <c r="W25" i="35"/>
  <c r="Y25" i="35"/>
  <c r="AE25" i="35"/>
  <c r="AA25" i="35"/>
  <c r="V25" i="35"/>
  <c r="AC25" i="35"/>
  <c r="AD25" i="35"/>
  <c r="Z25" i="35"/>
  <c r="AG25" i="35"/>
  <c r="AD119" i="35"/>
  <c r="Z119" i="35"/>
  <c r="AF119" i="35"/>
  <c r="AB119" i="35"/>
  <c r="W119" i="35"/>
  <c r="AC119" i="35"/>
  <c r="AA119" i="35"/>
  <c r="AG119" i="35"/>
  <c r="Y119" i="35"/>
  <c r="AE119" i="35"/>
  <c r="V119" i="35"/>
  <c r="AG67" i="35"/>
  <c r="AC67" i="35"/>
  <c r="Y67" i="35"/>
  <c r="AF67" i="35"/>
  <c r="AA67" i="35"/>
  <c r="AE67" i="35"/>
  <c r="Z67" i="35"/>
  <c r="AD67" i="35"/>
  <c r="W67" i="35"/>
  <c r="V67" i="35"/>
  <c r="AB67" i="35"/>
  <c r="AF37" i="35"/>
  <c r="AB37" i="35"/>
  <c r="W37" i="35"/>
  <c r="Y37" i="35"/>
  <c r="AE37" i="35"/>
  <c r="AA37" i="35"/>
  <c r="V37" i="35"/>
  <c r="AG37" i="35"/>
  <c r="AD37" i="35"/>
  <c r="Z37" i="35"/>
  <c r="AC37" i="35"/>
  <c r="AE52" i="35"/>
  <c r="AA52" i="35"/>
  <c r="V52" i="35"/>
  <c r="AF52" i="35"/>
  <c r="Z52" i="35"/>
  <c r="AD52" i="35"/>
  <c r="Y52" i="35"/>
  <c r="AC52" i="35"/>
  <c r="W52" i="35"/>
  <c r="AB52" i="35"/>
  <c r="AG52" i="35"/>
  <c r="AD111" i="35"/>
  <c r="Z111" i="35"/>
  <c r="AF111" i="35"/>
  <c r="AB111" i="35"/>
  <c r="W111" i="35"/>
  <c r="AA111" i="35"/>
  <c r="AG111" i="35"/>
  <c r="Y111" i="35"/>
  <c r="AE111" i="35"/>
  <c r="AC111" i="35"/>
  <c r="V111" i="35"/>
  <c r="AG102" i="35"/>
  <c r="AC102" i="35"/>
  <c r="Y102" i="35"/>
  <c r="AE102" i="35"/>
  <c r="AA102" i="35"/>
  <c r="V102" i="35"/>
  <c r="AD102" i="35"/>
  <c r="AB102" i="35"/>
  <c r="Z102" i="35"/>
  <c r="W102" i="35"/>
  <c r="AF102" i="35"/>
  <c r="AE69" i="35"/>
  <c r="AA69" i="35"/>
  <c r="V69" i="35"/>
  <c r="AF69" i="35"/>
  <c r="Z69" i="35"/>
  <c r="AD69" i="35"/>
  <c r="Y69" i="35"/>
  <c r="AC69" i="35"/>
  <c r="W69" i="35"/>
  <c r="AG69" i="35"/>
  <c r="AB69" i="35"/>
  <c r="AF51" i="35"/>
  <c r="AB51" i="35"/>
  <c r="W51" i="35"/>
  <c r="AE51" i="35"/>
  <c r="AA51" i="35"/>
  <c r="V51" i="35"/>
  <c r="AG51" i="35"/>
  <c r="AC51" i="35"/>
  <c r="AD51" i="35"/>
  <c r="Z51" i="35"/>
  <c r="Y51" i="35"/>
  <c r="AE57" i="35"/>
  <c r="AA57" i="35"/>
  <c r="V57" i="35"/>
  <c r="AF57" i="35"/>
  <c r="Z57" i="35"/>
  <c r="AD57" i="35"/>
  <c r="Y57" i="35"/>
  <c r="AC57" i="35"/>
  <c r="W57" i="35"/>
  <c r="AB57" i="35"/>
  <c r="AG57" i="35"/>
  <c r="AD109" i="35"/>
  <c r="Z109" i="35"/>
  <c r="AF109" i="35"/>
  <c r="AB109" i="35"/>
  <c r="W109" i="35"/>
  <c r="AC109" i="35"/>
  <c r="AA109" i="35"/>
  <c r="AG109" i="35"/>
  <c r="AE109" i="35"/>
  <c r="Y109" i="35"/>
  <c r="V109" i="35"/>
  <c r="AG62" i="35"/>
  <c r="AC62" i="35"/>
  <c r="Y62" i="35"/>
  <c r="AE62" i="35"/>
  <c r="Z62" i="35"/>
  <c r="AD62" i="35"/>
  <c r="W62" i="35"/>
  <c r="AB62" i="35"/>
  <c r="V62" i="35"/>
  <c r="AA62" i="35"/>
  <c r="AF62" i="35"/>
  <c r="AF88" i="35"/>
  <c r="AB88" i="35"/>
  <c r="W88" i="35"/>
  <c r="AG88" i="35"/>
  <c r="AA88" i="35"/>
  <c r="AE88" i="35"/>
  <c r="Z88" i="35"/>
  <c r="Y88" i="35"/>
  <c r="AD88" i="35"/>
  <c r="AC88" i="35"/>
  <c r="AF35" i="35"/>
  <c r="AB35" i="35"/>
  <c r="W35" i="35"/>
  <c r="AE35" i="35"/>
  <c r="AA35" i="35"/>
  <c r="V35" i="35"/>
  <c r="AG35" i="35"/>
  <c r="AC35" i="35"/>
  <c r="AD35" i="35"/>
  <c r="Z35" i="35"/>
  <c r="Y35" i="35"/>
  <c r="AE84" i="35"/>
  <c r="AA84" i="35"/>
  <c r="V84" i="35"/>
  <c r="AD84" i="35"/>
  <c r="Z84" i="35"/>
  <c r="AG84" i="35"/>
  <c r="Y84" i="35"/>
  <c r="AF84" i="35"/>
  <c r="W84" i="35"/>
  <c r="AC84" i="35"/>
  <c r="AB84" i="35"/>
  <c r="AD125" i="35"/>
  <c r="Z125" i="35"/>
  <c r="AG125" i="35"/>
  <c r="AC125" i="35"/>
  <c r="Y125" i="35"/>
  <c r="AF125" i="35"/>
  <c r="AB125" i="35"/>
  <c r="AE125" i="35"/>
  <c r="AA125" i="35"/>
  <c r="AE72" i="35"/>
  <c r="AA72" i="35"/>
  <c r="V72" i="35"/>
  <c r="AG72" i="35"/>
  <c r="AB72" i="35"/>
  <c r="AF72" i="35"/>
  <c r="Z72" i="35"/>
  <c r="AD72" i="35"/>
  <c r="Y72" i="35"/>
  <c r="AC72" i="35"/>
  <c r="W72" i="35"/>
  <c r="AG90" i="35"/>
  <c r="AC90" i="35"/>
  <c r="Y90" i="35"/>
  <c r="AE90" i="35"/>
  <c r="Z90" i="35"/>
  <c r="AD90" i="35"/>
  <c r="W90" i="35"/>
  <c r="AF90" i="35"/>
  <c r="AB90" i="35"/>
  <c r="AA90" i="35"/>
  <c r="AF34" i="35"/>
  <c r="AB34" i="35"/>
  <c r="W34" i="35"/>
  <c r="AC34" i="35"/>
  <c r="AE34" i="35"/>
  <c r="AA34" i="35"/>
  <c r="V34" i="35"/>
  <c r="AG34" i="35"/>
  <c r="AD34" i="35"/>
  <c r="Z34" i="35"/>
  <c r="Y34" i="35"/>
  <c r="AG64" i="35"/>
  <c r="AC64" i="35"/>
  <c r="Y64" i="35"/>
  <c r="AD64" i="35"/>
  <c r="W64" i="35"/>
  <c r="AB64" i="35"/>
  <c r="V64" i="35"/>
  <c r="AF64" i="35"/>
  <c r="AA64" i="35"/>
  <c r="AE64" i="35"/>
  <c r="Z64" i="35"/>
  <c r="AD116" i="35"/>
  <c r="Z116" i="35"/>
  <c r="AF116" i="35"/>
  <c r="AB116" i="35"/>
  <c r="W116" i="35"/>
  <c r="AG116" i="35"/>
  <c r="Y116" i="35"/>
  <c r="AE116" i="35"/>
  <c r="V116" i="35"/>
  <c r="AC116" i="35"/>
  <c r="AA116" i="35"/>
  <c r="AF42" i="35"/>
  <c r="AB42" i="35"/>
  <c r="W42" i="35"/>
  <c r="AE42" i="35"/>
  <c r="Z42" i="35"/>
  <c r="AD42" i="35"/>
  <c r="Y42" i="35"/>
  <c r="AC42" i="35"/>
  <c r="V42" i="35"/>
  <c r="AG42" i="35"/>
  <c r="AA42" i="35"/>
  <c r="AF43" i="35"/>
  <c r="AB43" i="35"/>
  <c r="W43" i="35"/>
  <c r="AD43" i="35"/>
  <c r="Y43" i="35"/>
  <c r="AC43" i="35"/>
  <c r="V43" i="35"/>
  <c r="AG43" i="35"/>
  <c r="AA43" i="35"/>
  <c r="AE43" i="35"/>
  <c r="Z43" i="35"/>
  <c r="Z128" i="33"/>
  <c r="AB128" i="33" s="1"/>
  <c r="Z171" i="33"/>
  <c r="AB171" i="33" s="1"/>
  <c r="Z138" i="33"/>
  <c r="AB138" i="33" s="1"/>
  <c r="Z200" i="33"/>
  <c r="Z38" i="33"/>
  <c r="Z81" i="33"/>
  <c r="Z69" i="33"/>
  <c r="Z18" i="33"/>
  <c r="Z140" i="33"/>
  <c r="Z141" i="33"/>
  <c r="Z134" i="33"/>
  <c r="Z183" i="33"/>
  <c r="Z185" i="33"/>
  <c r="Z153" i="33"/>
  <c r="Z25" i="33"/>
  <c r="Z213" i="33"/>
  <c r="Z149" i="33"/>
  <c r="Z118" i="33"/>
  <c r="Z102" i="33"/>
  <c r="Z160" i="33"/>
  <c r="Z51" i="33"/>
  <c r="Z92" i="33"/>
  <c r="Z139" i="33"/>
  <c r="Z135" i="33"/>
  <c r="Z211" i="33"/>
  <c r="Z55" i="33"/>
  <c r="Z88" i="33"/>
  <c r="Z31" i="33"/>
  <c r="Z162" i="33"/>
  <c r="Z181" i="33"/>
  <c r="Z151" i="33"/>
  <c r="Z222" i="33"/>
  <c r="Z223" i="33"/>
  <c r="AM60" i="33"/>
  <c r="AN60" i="33" s="1"/>
  <c r="AM148" i="33"/>
  <c r="AN148" i="33" s="1"/>
  <c r="Z107" i="33"/>
  <c r="Z9" i="33"/>
  <c r="Z193" i="33"/>
  <c r="Z120" i="33"/>
  <c r="Z189" i="33"/>
  <c r="Z219" i="33"/>
  <c r="Z179" i="33"/>
  <c r="Z208" i="33"/>
  <c r="Z154" i="33"/>
  <c r="Z186" i="33"/>
  <c r="Z184" i="33"/>
  <c r="Z3" i="33"/>
  <c r="Z202" i="33"/>
  <c r="Z100" i="33"/>
  <c r="Z129" i="33"/>
  <c r="Z16" i="33"/>
  <c r="Z164" i="33"/>
  <c r="Z224" i="33"/>
  <c r="Z20" i="33"/>
  <c r="Z22" i="33"/>
  <c r="Z75" i="33"/>
  <c r="Z47" i="33"/>
  <c r="Z117" i="33"/>
  <c r="Z49" i="33"/>
  <c r="Z172" i="33"/>
  <c r="Z168" i="33"/>
  <c r="Z19" i="33"/>
  <c r="Z10" i="33"/>
  <c r="Z207" i="33"/>
  <c r="Z85" i="33"/>
  <c r="Z136" i="33"/>
  <c r="Z220" i="33"/>
  <c r="Z182" i="33"/>
  <c r="Z93" i="33"/>
  <c r="Z132" i="33"/>
  <c r="Z169" i="33"/>
  <c r="Z166" i="33"/>
  <c r="Z91" i="33"/>
  <c r="Z43" i="33"/>
  <c r="V5" i="35"/>
  <c r="AA5" i="35"/>
  <c r="AE5" i="35"/>
  <c r="AD5" i="35"/>
  <c r="W5" i="35"/>
  <c r="AB5" i="35"/>
  <c r="AF5" i="35"/>
  <c r="Y5" i="35"/>
  <c r="AC5" i="35"/>
  <c r="AG5" i="35"/>
  <c r="Z5" i="35"/>
  <c r="AM18" i="33"/>
  <c r="AN18" i="33" s="1"/>
  <c r="AM30" i="33"/>
  <c r="AN30" i="33" s="1"/>
  <c r="AM71" i="33"/>
  <c r="AN71" i="33" s="1"/>
  <c r="AM29" i="33"/>
  <c r="AN29" i="33" s="1"/>
  <c r="Z79" i="33"/>
  <c r="Z34" i="33"/>
  <c r="Z12" i="33"/>
  <c r="Z32" i="33"/>
  <c r="Z13" i="33"/>
  <c r="Z71" i="33"/>
  <c r="Z158" i="33"/>
  <c r="Z175" i="33"/>
  <c r="Z190" i="33"/>
  <c r="AM149" i="33"/>
  <c r="AN149" i="33" s="1"/>
  <c r="AM47" i="33"/>
  <c r="AN47" i="33" s="1"/>
  <c r="AM41" i="33"/>
  <c r="AN41" i="33" s="1"/>
  <c r="AM39" i="33"/>
  <c r="AN39" i="33" s="1"/>
  <c r="Z5" i="33"/>
  <c r="Z41" i="33"/>
  <c r="Z126" i="33"/>
  <c r="AM169" i="33"/>
  <c r="AN169" i="33" s="1"/>
  <c r="AM224" i="33"/>
  <c r="AN224" i="33" s="1"/>
  <c r="AM19" i="33"/>
  <c r="AN19" i="33" s="1"/>
  <c r="AU89" i="33"/>
  <c r="AU163" i="33"/>
  <c r="AM74" i="33"/>
  <c r="AN74" i="33" s="1"/>
  <c r="AM75" i="33"/>
  <c r="AN75" i="33" s="1"/>
  <c r="AM28" i="33"/>
  <c r="AN28" i="33" s="1"/>
  <c r="AV28" i="33"/>
  <c r="AS28" i="33"/>
  <c r="Z28" i="33"/>
  <c r="AP28" i="33"/>
  <c r="AT28" i="33"/>
  <c r="AQ28" i="33"/>
  <c r="AU28" i="33"/>
  <c r="AR28" i="33"/>
  <c r="AU112" i="33"/>
  <c r="Z94" i="33"/>
  <c r="Z156" i="33"/>
  <c r="K7" i="48"/>
  <c r="AM147" i="33"/>
  <c r="AN147" i="33" s="1"/>
  <c r="AM178" i="33"/>
  <c r="AN178" i="33" s="1"/>
  <c r="AM177" i="33"/>
  <c r="AN177" i="33" s="1"/>
  <c r="AM176" i="33"/>
  <c r="AN176" i="33" s="1"/>
  <c r="AM82" i="33"/>
  <c r="AN82" i="33" s="1"/>
  <c r="AM80" i="33"/>
  <c r="AM216" i="33"/>
  <c r="AN216" i="33" s="1"/>
  <c r="AM201" i="33"/>
  <c r="AM78" i="33"/>
  <c r="AN78" i="33" s="1"/>
  <c r="AM72" i="33"/>
  <c r="AM172" i="33"/>
  <c r="AN172" i="33" s="1"/>
  <c r="AM159" i="33"/>
  <c r="AN159" i="33" s="1"/>
  <c r="AM44" i="33"/>
  <c r="AN44" i="33" s="1"/>
  <c r="AM70" i="33"/>
  <c r="AN70" i="33" s="1"/>
  <c r="AM225" i="33"/>
  <c r="AN225" i="33" s="1"/>
  <c r="AM175" i="33"/>
  <c r="AN175" i="33" s="1"/>
  <c r="AM174" i="33"/>
  <c r="AN174" i="33" s="1"/>
  <c r="AM173" i="33"/>
  <c r="AN173" i="33" s="1"/>
  <c r="AM195" i="33"/>
  <c r="AN195" i="33" s="1"/>
  <c r="AM46" i="33"/>
  <c r="AN46" i="33" s="1"/>
  <c r="AM120" i="33"/>
  <c r="AN120" i="33" s="1"/>
  <c r="AM105" i="33"/>
  <c r="AN105" i="33" s="1"/>
  <c r="AM198" i="33"/>
  <c r="AN198" i="33" s="1"/>
  <c r="AM138" i="33"/>
  <c r="AM137" i="33"/>
  <c r="AM62" i="33"/>
  <c r="AN62" i="33" s="1"/>
  <c r="AM61" i="33"/>
  <c r="AM197" i="33"/>
  <c r="AM196" i="33"/>
  <c r="AN196" i="33" s="1"/>
  <c r="AM125" i="33"/>
  <c r="AN125" i="33" s="1"/>
  <c r="AM124" i="33"/>
  <c r="AM36" i="33"/>
  <c r="AM35" i="33"/>
  <c r="AM111" i="33"/>
  <c r="AN111" i="33" s="1"/>
  <c r="AM212" i="33"/>
  <c r="AN212" i="33" s="1"/>
  <c r="AM110" i="33"/>
  <c r="AN110" i="33" s="1"/>
  <c r="AM146" i="33"/>
  <c r="AM77" i="33"/>
  <c r="AN77" i="33" s="1"/>
  <c r="AM180" i="33"/>
  <c r="AN180" i="33" s="1"/>
  <c r="AM130" i="33"/>
  <c r="AN130" i="33" s="1"/>
  <c r="AM53" i="33"/>
  <c r="AN53" i="33" s="1"/>
  <c r="AM45" i="33"/>
  <c r="AN45" i="33" s="1"/>
  <c r="AM94" i="33"/>
  <c r="AN94" i="33" s="1"/>
  <c r="AM98" i="33"/>
  <c r="AN98" i="33" s="1"/>
  <c r="AM95" i="33"/>
  <c r="AN95" i="33" s="1"/>
  <c r="AM89" i="33"/>
  <c r="AN89" i="33" s="1"/>
  <c r="AM48" i="33"/>
  <c r="AN48" i="33" s="1"/>
  <c r="AM210" i="33"/>
  <c r="AN210" i="33" s="1"/>
  <c r="AM209" i="33"/>
  <c r="AN209" i="33" s="1"/>
  <c r="AM86" i="33"/>
  <c r="AN86" i="33" s="1"/>
  <c r="AM187" i="33"/>
  <c r="AN187" i="33" s="1"/>
  <c r="AM191" i="33"/>
  <c r="AN191" i="33" s="1"/>
  <c r="AM150" i="33"/>
  <c r="AN150" i="33" s="1"/>
  <c r="AM66" i="33"/>
  <c r="AN66" i="33" s="1"/>
  <c r="AM194" i="33"/>
  <c r="AU77" i="33"/>
  <c r="AQ89" i="33"/>
  <c r="AM59" i="33"/>
  <c r="AM103" i="33"/>
  <c r="AN103" i="33" s="1"/>
  <c r="AM101" i="33"/>
  <c r="AN101" i="33" s="1"/>
  <c r="AM108" i="33"/>
  <c r="AN108" i="33" s="1"/>
  <c r="AM156" i="33"/>
  <c r="AN156" i="33" s="1"/>
  <c r="AM52" i="33"/>
  <c r="AN52" i="33" s="1"/>
  <c r="AM64" i="33"/>
  <c r="AM5" i="33"/>
  <c r="AN5" i="33" s="1"/>
  <c r="AM68" i="33"/>
  <c r="AN68" i="33" s="1"/>
  <c r="AM203" i="33"/>
  <c r="AQ124" i="33"/>
  <c r="AU146" i="33"/>
  <c r="AP44" i="33"/>
  <c r="AU46" i="33"/>
  <c r="AQ42" i="33"/>
  <c r="AP209" i="33"/>
  <c r="AQ113" i="33"/>
  <c r="AU109" i="33"/>
  <c r="AS147" i="33"/>
  <c r="AU178" i="33"/>
  <c r="AU176" i="33"/>
  <c r="AU137" i="33"/>
  <c r="AS125" i="33"/>
  <c r="AP15" i="33"/>
  <c r="AP103" i="33"/>
  <c r="AR101" i="33"/>
  <c r="AT68" i="33"/>
  <c r="AU145" i="33"/>
  <c r="AU207" i="33"/>
  <c r="AU138" i="33"/>
  <c r="AU115" i="33"/>
  <c r="AU93" i="33"/>
  <c r="AU15" i="33"/>
  <c r="AU103" i="33"/>
  <c r="AU156" i="33"/>
  <c r="AU50" i="33"/>
  <c r="AQ115" i="33"/>
  <c r="AU121" i="33"/>
  <c r="AU42" i="33"/>
  <c r="AQ220" i="33"/>
  <c r="AU17" i="33"/>
  <c r="AU5" i="33"/>
  <c r="AU11" i="33"/>
  <c r="AU34" i="33"/>
  <c r="AU32" i="33"/>
  <c r="AU120" i="33"/>
  <c r="AU4" i="33"/>
  <c r="AU147" i="33"/>
  <c r="AU80" i="33"/>
  <c r="AU82" i="33"/>
  <c r="AU85" i="33"/>
  <c r="AQ53" i="33"/>
  <c r="AU56" i="33"/>
  <c r="AU68" i="33"/>
  <c r="AU177" i="33"/>
  <c r="AU221" i="33"/>
  <c r="AS34" i="33"/>
  <c r="AU10" i="33"/>
  <c r="AV89" i="33"/>
  <c r="AR89" i="33"/>
  <c r="AU22" i="33"/>
  <c r="AU70" i="33"/>
  <c r="AU98" i="33"/>
  <c r="AU94" i="33"/>
  <c r="AQ45" i="33"/>
  <c r="AU45" i="33"/>
  <c r="AU100" i="33"/>
  <c r="AQ100" i="33"/>
  <c r="AU119" i="33"/>
  <c r="AQ94" i="33"/>
  <c r="AQ85" i="33"/>
  <c r="AU210" i="33"/>
  <c r="AU195" i="33"/>
  <c r="AU175" i="33"/>
  <c r="AU173" i="33"/>
  <c r="AU225" i="33"/>
  <c r="AT34" i="33"/>
  <c r="AU21" i="33"/>
  <c r="AQ20" i="33"/>
  <c r="AQ22" i="33"/>
  <c r="AQ133" i="33"/>
  <c r="AU113" i="33"/>
  <c r="AU116" i="33"/>
  <c r="AU86" i="33"/>
  <c r="AU83" i="33"/>
  <c r="AU62" i="33"/>
  <c r="AQ61" i="33"/>
  <c r="AU122" i="33"/>
  <c r="AQ112" i="33"/>
  <c r="AQ21" i="33"/>
  <c r="AU54" i="33"/>
  <c r="AQ216" i="33"/>
  <c r="AU143" i="33"/>
  <c r="AU101" i="33"/>
  <c r="AU158" i="33"/>
  <c r="AU105" i="33"/>
  <c r="AU196" i="33"/>
  <c r="AU123" i="33"/>
  <c r="AU201" i="33"/>
  <c r="AU72" i="33"/>
  <c r="AQ120" i="33"/>
  <c r="AU197" i="33"/>
  <c r="AU110" i="33"/>
  <c r="AU191" i="33"/>
  <c r="AU182" i="33"/>
  <c r="AS136" i="33"/>
  <c r="AQ93" i="33"/>
  <c r="AQ109" i="33"/>
  <c r="AQ130" i="33"/>
  <c r="AV191" i="33"/>
  <c r="AR191" i="33"/>
  <c r="AS146" i="33"/>
  <c r="AS158" i="33"/>
  <c r="AQ146" i="33"/>
  <c r="AR78" i="33"/>
  <c r="AT136" i="33"/>
  <c r="AP145" i="33"/>
  <c r="AT32" i="33"/>
  <c r="AP32" i="33"/>
  <c r="AQ68" i="33"/>
  <c r="AQ177" i="33"/>
  <c r="AQ176" i="33"/>
  <c r="AQ82" i="33"/>
  <c r="AU36" i="33"/>
  <c r="AU114" i="33"/>
  <c r="AU187" i="33"/>
  <c r="AU43" i="33"/>
  <c r="AV210" i="33"/>
  <c r="AR210" i="33"/>
  <c r="AP156" i="33"/>
  <c r="AT156" i="33"/>
  <c r="AV34" i="33"/>
  <c r="AR34" i="33"/>
  <c r="AP123" i="33"/>
  <c r="AV158" i="33"/>
  <c r="AR158" i="33"/>
  <c r="AR203" i="33"/>
  <c r="AS203" i="33"/>
  <c r="AT5" i="33"/>
  <c r="AP5" i="33"/>
  <c r="AQ80" i="33"/>
  <c r="AQ77" i="33"/>
  <c r="AU164" i="33"/>
  <c r="AU209" i="33"/>
  <c r="AQ164" i="33"/>
  <c r="AV156" i="33"/>
  <c r="AR156" i="33"/>
  <c r="AV52" i="33"/>
  <c r="AP34" i="33"/>
  <c r="AP158" i="33"/>
  <c r="AT158" i="33"/>
  <c r="AP68" i="33"/>
  <c r="AU127" i="33"/>
  <c r="AQ116" i="33"/>
  <c r="AQ178" i="33"/>
  <c r="AT172" i="33"/>
  <c r="AP172" i="33"/>
  <c r="AV70" i="33"/>
  <c r="AR173" i="33"/>
  <c r="AV195" i="33"/>
  <c r="AR195" i="33"/>
  <c r="AT46" i="33"/>
  <c r="AS120" i="33"/>
  <c r="AS138" i="33"/>
  <c r="AU129" i="33"/>
  <c r="AV164" i="33"/>
  <c r="AT86" i="33"/>
  <c r="AV192" i="33"/>
  <c r="AV32" i="33"/>
  <c r="AR32" i="33"/>
  <c r="AV40" i="33"/>
  <c r="AS5" i="33"/>
  <c r="AV68" i="33"/>
  <c r="AR68" i="33"/>
  <c r="AQ129" i="33"/>
  <c r="AQ98" i="33"/>
  <c r="AQ23" i="33"/>
  <c r="AQ6" i="33"/>
  <c r="AQ33" i="33"/>
  <c r="AU48" i="33"/>
  <c r="AV72" i="33"/>
  <c r="AS46" i="33"/>
  <c r="AV5" i="33"/>
  <c r="AR5" i="33"/>
  <c r="AQ137" i="33"/>
  <c r="AU125" i="33"/>
  <c r="AU33" i="33"/>
  <c r="AU13" i="33"/>
  <c r="AV197" i="33"/>
  <c r="AR197" i="33"/>
  <c r="AU20" i="33"/>
  <c r="AV207" i="33"/>
  <c r="AV48" i="33"/>
  <c r="AV86" i="33"/>
  <c r="AR86" i="33"/>
  <c r="AU220" i="33"/>
  <c r="AT101" i="33"/>
  <c r="AP101" i="33"/>
  <c r="Z17" i="33"/>
  <c r="AP17" i="33"/>
  <c r="Z163" i="33"/>
  <c r="AP163" i="33"/>
  <c r="AT33" i="33"/>
  <c r="AP33" i="33"/>
  <c r="AR207" i="33"/>
  <c r="AR11" i="33"/>
  <c r="AP220" i="33"/>
  <c r="AS101" i="33"/>
  <c r="AT17" i="33"/>
  <c r="AT56" i="33"/>
  <c r="AT163" i="33"/>
  <c r="AT13" i="33"/>
  <c r="AP13" i="33"/>
  <c r="AV225" i="33"/>
  <c r="AR225" i="33"/>
  <c r="AS137" i="33"/>
  <c r="AT61" i="33"/>
  <c r="AP61" i="33"/>
  <c r="AS100" i="33"/>
  <c r="AS33" i="33"/>
  <c r="AR4" i="33"/>
  <c r="AS43" i="33"/>
  <c r="AS13" i="33"/>
  <c r="AT78" i="33"/>
  <c r="AV175" i="33"/>
  <c r="AR175" i="33"/>
  <c r="AV33" i="33"/>
  <c r="AV220" i="33"/>
  <c r="AR220" i="33"/>
  <c r="AV43" i="33"/>
  <c r="AR43" i="33"/>
  <c r="AV17" i="33"/>
  <c r="AR17" i="33"/>
  <c r="AV108" i="33"/>
  <c r="AR108" i="33"/>
  <c r="AV163" i="33"/>
  <c r="AR163" i="33"/>
  <c r="AV13" i="33"/>
  <c r="AR13" i="33"/>
  <c r="AT44" i="33"/>
  <c r="Z221" i="33"/>
  <c r="AP221" i="33"/>
  <c r="AU44" i="33"/>
  <c r="AV178" i="33"/>
  <c r="AR178" i="33"/>
  <c r="AP159" i="33"/>
  <c r="AP225" i="33"/>
  <c r="Z195" i="33"/>
  <c r="AV46" i="33"/>
  <c r="AR46" i="33"/>
  <c r="Z146" i="33"/>
  <c r="AV146" i="33"/>
  <c r="Z50" i="33"/>
  <c r="AT50" i="33"/>
  <c r="Z56" i="33"/>
  <c r="AP56" i="33"/>
  <c r="AV177" i="33"/>
  <c r="AR177" i="33"/>
  <c r="AV80" i="33"/>
  <c r="AS216" i="33"/>
  <c r="AV44" i="33"/>
  <c r="AR44" i="33"/>
  <c r="AP173" i="33"/>
  <c r="AT103" i="33"/>
  <c r="AR123" i="33"/>
  <c r="AT123" i="33"/>
  <c r="Z123" i="33"/>
  <c r="AV83" i="33"/>
  <c r="AR83" i="33"/>
  <c r="AT120" i="33"/>
  <c r="AP120" i="33"/>
  <c r="AV45" i="33"/>
  <c r="AV100" i="33"/>
  <c r="AT121" i="33"/>
  <c r="AP121" i="33"/>
  <c r="AP85" i="33"/>
  <c r="Z209" i="33"/>
  <c r="AT54" i="33"/>
  <c r="AP54" i="33"/>
  <c r="AV4" i="33"/>
  <c r="AT221" i="33"/>
  <c r="AP50" i="33"/>
  <c r="AP109" i="33"/>
  <c r="AS48" i="33"/>
  <c r="Z115" i="33"/>
  <c r="AP136" i="33"/>
  <c r="AS123" i="33"/>
  <c r="AS50" i="33"/>
  <c r="AV120" i="33"/>
  <c r="AV105" i="33"/>
  <c r="AR105" i="33"/>
  <c r="AV36" i="33"/>
  <c r="AR36" i="33"/>
  <c r="AT35" i="33"/>
  <c r="AP35" i="33"/>
  <c r="AV110" i="33"/>
  <c r="AR110" i="33"/>
  <c r="AT146" i="33"/>
  <c r="AP146" i="33"/>
  <c r="AT100" i="33"/>
  <c r="AP100" i="33"/>
  <c r="AS129" i="33"/>
  <c r="AS20" i="33"/>
  <c r="AT10" i="33"/>
  <c r="AP10" i="33"/>
  <c r="AT207" i="33"/>
  <c r="AP207" i="33"/>
  <c r="AV121" i="33"/>
  <c r="AR121" i="33"/>
  <c r="AT210" i="33"/>
  <c r="AP210" i="33"/>
  <c r="AV54" i="33"/>
  <c r="AR54" i="33"/>
  <c r="AS116" i="33"/>
  <c r="AV56" i="33"/>
  <c r="AR56" i="33"/>
  <c r="AV221" i="33"/>
  <c r="AR221" i="33"/>
  <c r="AV123" i="33"/>
  <c r="AV50" i="33"/>
  <c r="AR50" i="33"/>
  <c r="AT203" i="33"/>
  <c r="AP203" i="33"/>
  <c r="AR70" i="33"/>
  <c r="AT125" i="33"/>
  <c r="Z122" i="33"/>
  <c r="AP122" i="33"/>
  <c r="AR119" i="33"/>
  <c r="AV119" i="33"/>
  <c r="Z62" i="33"/>
  <c r="AT62" i="33"/>
  <c r="AR72" i="33"/>
  <c r="AT173" i="33"/>
  <c r="Z83" i="33"/>
  <c r="AT83" i="33"/>
  <c r="AT122" i="33"/>
  <c r="AP176" i="33"/>
  <c r="AS176" i="33"/>
  <c r="Z82" i="33"/>
  <c r="AT72" i="33"/>
  <c r="AP72" i="33"/>
  <c r="AT70" i="33"/>
  <c r="AP70" i="33"/>
  <c r="Z70" i="33"/>
  <c r="AT195" i="33"/>
  <c r="AP195" i="33"/>
  <c r="Z197" i="33"/>
  <c r="AP197" i="33"/>
  <c r="Z110" i="33"/>
  <c r="AP110" i="33"/>
  <c r="AS98" i="33"/>
  <c r="AM157" i="33"/>
  <c r="AN157" i="33" s="1"/>
  <c r="AT176" i="33"/>
  <c r="AS178" i="33"/>
  <c r="AV176" i="33"/>
  <c r="AS72" i="33"/>
  <c r="AR172" i="33"/>
  <c r="AS70" i="33"/>
  <c r="AT225" i="33"/>
  <c r="Z46" i="33"/>
  <c r="AP83" i="33"/>
  <c r="AS83" i="33"/>
  <c r="Z105" i="33"/>
  <c r="AP105" i="33"/>
  <c r="AQ198" i="33"/>
  <c r="Z36" i="33"/>
  <c r="AT36" i="33"/>
  <c r="AT110" i="33"/>
  <c r="Z194" i="33"/>
  <c r="AR120" i="33"/>
  <c r="AT105" i="33"/>
  <c r="AT198" i="33"/>
  <c r="AP198" i="33"/>
  <c r="AS62" i="33"/>
  <c r="AT197" i="33"/>
  <c r="AR146" i="33"/>
  <c r="AV129" i="33"/>
  <c r="AV20" i="33"/>
  <c r="AT89" i="33"/>
  <c r="AP89" i="33"/>
  <c r="Z116" i="33"/>
  <c r="Z150" i="33"/>
  <c r="AS105" i="33"/>
  <c r="AV62" i="33"/>
  <c r="AR62" i="33"/>
  <c r="AS197" i="33"/>
  <c r="AS36" i="33"/>
  <c r="AU35" i="33"/>
  <c r="AQ35" i="33"/>
  <c r="AS110" i="33"/>
  <c r="AV77" i="33"/>
  <c r="AR77" i="33"/>
  <c r="AV21" i="33"/>
  <c r="AR21" i="33"/>
  <c r="AV122" i="33"/>
  <c r="AR122" i="33"/>
  <c r="AS89" i="33"/>
  <c r="AS127" i="33"/>
  <c r="AS42" i="33"/>
  <c r="Z113" i="33"/>
  <c r="AP113" i="33"/>
  <c r="AT113" i="33"/>
  <c r="AS182" i="33"/>
  <c r="AR48" i="33"/>
  <c r="AV127" i="33"/>
  <c r="AR127" i="33"/>
  <c r="AV42" i="33"/>
  <c r="AV113" i="33"/>
  <c r="AV116" i="33"/>
  <c r="AT115" i="33"/>
  <c r="AP115" i="33"/>
  <c r="AU136" i="33"/>
  <c r="AQ136" i="33"/>
  <c r="AT182" i="33"/>
  <c r="AP182" i="33"/>
  <c r="AT93" i="33"/>
  <c r="AP93" i="33"/>
  <c r="AT119" i="33"/>
  <c r="AP119" i="33"/>
  <c r="AV150" i="33"/>
  <c r="AT4" i="33"/>
  <c r="AP4" i="33"/>
  <c r="AT40" i="33"/>
  <c r="AP40" i="33"/>
  <c r="AS119" i="33"/>
  <c r="AS4" i="33"/>
  <c r="AV101" i="33"/>
  <c r="AV203" i="33"/>
  <c r="AS207" i="33"/>
  <c r="AT48" i="33"/>
  <c r="AP48" i="33"/>
  <c r="AT42" i="33"/>
  <c r="AP42" i="33"/>
  <c r="Z42" i="33"/>
  <c r="AV114" i="33"/>
  <c r="AS54" i="33"/>
  <c r="AT116" i="33"/>
  <c r="AP116" i="33"/>
  <c r="AV115" i="33"/>
  <c r="AV182" i="33"/>
  <c r="AR182" i="33"/>
  <c r="AV93" i="33"/>
  <c r="AR93" i="33"/>
  <c r="AT150" i="33"/>
  <c r="AP150" i="33"/>
  <c r="AT43" i="33"/>
  <c r="AP43" i="33"/>
  <c r="AS103" i="33"/>
  <c r="AS17" i="33"/>
  <c r="AS156" i="33"/>
  <c r="AS56" i="33"/>
  <c r="AV145" i="33"/>
  <c r="AS32" i="33"/>
  <c r="AS163" i="33"/>
  <c r="AS221" i="33"/>
  <c r="Z78" i="33"/>
  <c r="AR174" i="33"/>
  <c r="Z174" i="33"/>
  <c r="AV174" i="33"/>
  <c r="AT147" i="33"/>
  <c r="AP147" i="33"/>
  <c r="AS82" i="33"/>
  <c r="AM113" i="33"/>
  <c r="AN113" i="33" s="1"/>
  <c r="AM116" i="33"/>
  <c r="AN116" i="33" s="1"/>
  <c r="AR192" i="33"/>
  <c r="Z192" i="33"/>
  <c r="Z108" i="33"/>
  <c r="AT178" i="33"/>
  <c r="AP178" i="33"/>
  <c r="AR80" i="33"/>
  <c r="AV78" i="33"/>
  <c r="AP78" i="33"/>
  <c r="Z72" i="33"/>
  <c r="Z147" i="33"/>
  <c r="AT174" i="33"/>
  <c r="AQ196" i="33"/>
  <c r="AV147" i="33"/>
  <c r="AQ147" i="33"/>
  <c r="AS177" i="33"/>
  <c r="AV82" i="33"/>
  <c r="AU130" i="33"/>
  <c r="AS22" i="33"/>
  <c r="AV216" i="33"/>
  <c r="AR216" i="33"/>
  <c r="AU216" i="33"/>
  <c r="Z201" i="33"/>
  <c r="Z173" i="33"/>
  <c r="AU198" i="33"/>
  <c r="Z125" i="33"/>
  <c r="AP125" i="33"/>
  <c r="Z45" i="33"/>
  <c r="AS45" i="33"/>
  <c r="AT82" i="33"/>
  <c r="AP82" i="33"/>
  <c r="AS80" i="33"/>
  <c r="AT216" i="33"/>
  <c r="AP216" i="33"/>
  <c r="AU78" i="33"/>
  <c r="AS172" i="33"/>
  <c r="Z44" i="33"/>
  <c r="AP174" i="33"/>
  <c r="AS195" i="33"/>
  <c r="Z112" i="33"/>
  <c r="AT112" i="33"/>
  <c r="AU111" i="33"/>
  <c r="AT130" i="33"/>
  <c r="AP130" i="33"/>
  <c r="AT22" i="33"/>
  <c r="AP22" i="33"/>
  <c r="Z95" i="33"/>
  <c r="AR95" i="33"/>
  <c r="AT177" i="33"/>
  <c r="AP177" i="33"/>
  <c r="Z176" i="33"/>
  <c r="AT80" i="33"/>
  <c r="AP80" i="33"/>
  <c r="AV172" i="33"/>
  <c r="AT159" i="33"/>
  <c r="Z159" i="33"/>
  <c r="Z225" i="33"/>
  <c r="AP175" i="33"/>
  <c r="AT175" i="33"/>
  <c r="AS174" i="33"/>
  <c r="AV173" i="33"/>
  <c r="AQ111" i="33"/>
  <c r="AS114" i="33"/>
  <c r="AR114" i="33"/>
  <c r="AP46" i="33"/>
  <c r="AP112" i="33"/>
  <c r="AT95" i="33"/>
  <c r="AP95" i="33"/>
  <c r="Z11" i="33"/>
  <c r="AV11" i="33"/>
  <c r="AT209" i="33"/>
  <c r="AT114" i="33"/>
  <c r="AP114" i="33"/>
  <c r="AR59" i="33"/>
  <c r="AV59" i="33"/>
  <c r="AS59" i="33"/>
  <c r="AP64" i="33"/>
  <c r="AT64" i="33"/>
  <c r="AU172" i="33"/>
  <c r="AS44" i="33"/>
  <c r="AS225" i="33"/>
  <c r="AS175" i="33"/>
  <c r="AU174" i="33"/>
  <c r="AS173" i="33"/>
  <c r="AP138" i="33"/>
  <c r="AT138" i="33"/>
  <c r="AV125" i="33"/>
  <c r="AR125" i="33"/>
  <c r="AT98" i="33"/>
  <c r="AP98" i="33"/>
  <c r="AS164" i="33"/>
  <c r="AV95" i="33"/>
  <c r="AT11" i="33"/>
  <c r="AP11" i="33"/>
  <c r="AT85" i="33"/>
  <c r="AM15" i="33"/>
  <c r="AN15" i="33" s="1"/>
  <c r="AT15" i="33"/>
  <c r="Z15" i="33"/>
  <c r="AP108" i="33"/>
  <c r="AT108" i="33"/>
  <c r="AS112" i="33"/>
  <c r="AT196" i="33"/>
  <c r="AP196" i="33"/>
  <c r="AU124" i="33"/>
  <c r="AS35" i="33"/>
  <c r="AT111" i="33"/>
  <c r="AP111" i="33"/>
  <c r="AT45" i="33"/>
  <c r="AP45" i="33"/>
  <c r="AT21" i="33"/>
  <c r="AP21" i="33"/>
  <c r="AT164" i="33"/>
  <c r="AP164" i="33"/>
  <c r="AU6" i="33"/>
  <c r="AS10" i="33"/>
  <c r="AS11" i="33"/>
  <c r="Z121" i="33"/>
  <c r="AS85" i="33"/>
  <c r="AT127" i="33"/>
  <c r="AP127" i="33"/>
  <c r="AQ209" i="33"/>
  <c r="AS209" i="33"/>
  <c r="AM115" i="33"/>
  <c r="AN115" i="33" s="1"/>
  <c r="AQ187" i="33"/>
  <c r="AP187" i="33"/>
  <c r="Z143" i="33"/>
  <c r="AV143" i="33"/>
  <c r="AR143" i="33"/>
  <c r="Z66" i="33"/>
  <c r="AT192" i="33"/>
  <c r="AP192" i="33"/>
  <c r="AR52" i="33"/>
  <c r="Z52" i="33"/>
  <c r="AR145" i="33"/>
  <c r="AT145" i="33"/>
  <c r="Z145" i="33"/>
  <c r="AR40" i="33"/>
  <c r="Z40" i="33"/>
  <c r="Z203" i="33"/>
  <c r="AV109" i="33"/>
  <c r="AR109" i="33"/>
  <c r="Z109" i="33"/>
  <c r="AT109" i="33"/>
  <c r="Z68" i="33"/>
  <c r="AV112" i="33"/>
  <c r="AR112" i="33"/>
  <c r="AV138" i="33"/>
  <c r="AR138" i="33"/>
  <c r="AT137" i="33"/>
  <c r="AP137" i="33"/>
  <c r="AP62" i="33"/>
  <c r="AU61" i="33"/>
  <c r="AS196" i="33"/>
  <c r="AT124" i="33"/>
  <c r="AP124" i="33"/>
  <c r="AP36" i="33"/>
  <c r="AP77" i="33"/>
  <c r="Z77" i="33"/>
  <c r="AT94" i="33"/>
  <c r="AP94" i="33"/>
  <c r="AT129" i="33"/>
  <c r="AP129" i="33"/>
  <c r="AV98" i="33"/>
  <c r="AV22" i="33"/>
  <c r="AM21" i="33"/>
  <c r="AN21" i="33" s="1"/>
  <c r="AT20" i="33"/>
  <c r="AP20" i="33"/>
  <c r="AT6" i="33"/>
  <c r="Z33" i="33"/>
  <c r="AS122" i="33"/>
  <c r="AU95" i="33"/>
  <c r="AV10" i="33"/>
  <c r="AR10" i="33"/>
  <c r="AS121" i="33"/>
  <c r="Z48" i="33"/>
  <c r="AV85" i="33"/>
  <c r="AM85" i="33"/>
  <c r="AN85" i="33" s="1"/>
  <c r="AS210" i="33"/>
  <c r="AV209" i="33"/>
  <c r="AS143" i="33"/>
  <c r="Z103" i="33"/>
  <c r="AT52" i="33"/>
  <c r="AP52" i="33"/>
  <c r="Z64" i="33"/>
  <c r="AT143" i="33"/>
  <c r="AP143" i="33"/>
  <c r="AR103" i="33"/>
  <c r="AS192" i="33"/>
  <c r="AU108" i="33"/>
  <c r="AS52" i="33"/>
  <c r="AM163" i="33"/>
  <c r="AN163" i="33" s="1"/>
  <c r="AS40" i="33"/>
  <c r="AM50" i="33"/>
  <c r="AN50" i="33" s="1"/>
  <c r="Z187" i="33"/>
  <c r="Z191" i="33"/>
  <c r="AR150" i="33"/>
  <c r="AU59" i="33"/>
  <c r="AS15" i="33"/>
  <c r="Z101" i="33"/>
  <c r="AS145" i="33"/>
  <c r="AS113" i="33"/>
  <c r="AS86" i="33"/>
  <c r="AS115" i="33"/>
  <c r="AS187" i="33"/>
  <c r="AR136" i="33"/>
  <c r="AT220" i="33"/>
  <c r="Z119" i="33"/>
  <c r="Z4" i="33"/>
  <c r="AT59" i="33"/>
  <c r="AP59" i="33"/>
  <c r="Z59" i="33"/>
  <c r="AM43" i="33"/>
  <c r="AN43" i="33" s="1"/>
  <c r="AV15" i="33"/>
  <c r="AR15" i="33"/>
  <c r="AU192" i="33"/>
  <c r="AU52" i="33"/>
  <c r="AU40" i="33"/>
  <c r="AM13" i="33"/>
  <c r="AN13" i="33" s="1"/>
  <c r="AU203" i="33"/>
  <c r="AV201" i="33"/>
  <c r="AQ201" i="33"/>
  <c r="AS201" i="33"/>
  <c r="AT201" i="33"/>
  <c r="AP201" i="33"/>
  <c r="AU159" i="33"/>
  <c r="AR147" i="33"/>
  <c r="Z178" i="33"/>
  <c r="Z177" i="33"/>
  <c r="AR176" i="33"/>
  <c r="AR82" i="33"/>
  <c r="Z80" i="33"/>
  <c r="Z216" i="33"/>
  <c r="AR201" i="33"/>
  <c r="AQ78" i="33"/>
  <c r="AS78" i="33"/>
  <c r="AR159" i="33"/>
  <c r="AV159" i="33"/>
  <c r="AS159" i="33"/>
  <c r="AQ172" i="33"/>
  <c r="AQ44" i="33"/>
  <c r="AQ83" i="33"/>
  <c r="AM83" i="33"/>
  <c r="AN83" i="33" s="1"/>
  <c r="AR212" i="33"/>
  <c r="AV212" i="33"/>
  <c r="Z212" i="33"/>
  <c r="AP6" i="33"/>
  <c r="AM6" i="33"/>
  <c r="AN6" i="33" s="1"/>
  <c r="AQ101" i="33"/>
  <c r="AQ156" i="33"/>
  <c r="AQ225" i="33"/>
  <c r="AQ174" i="33"/>
  <c r="AS198" i="33"/>
  <c r="AR137" i="33"/>
  <c r="AV137" i="33"/>
  <c r="Z137" i="33"/>
  <c r="AS61" i="33"/>
  <c r="AR196" i="33"/>
  <c r="AV196" i="33"/>
  <c r="Z196" i="33"/>
  <c r="AS124" i="33"/>
  <c r="AR35" i="33"/>
  <c r="AV35" i="33"/>
  <c r="Z35" i="33"/>
  <c r="AS111" i="33"/>
  <c r="AT212" i="33"/>
  <c r="AP212" i="33"/>
  <c r="AS99" i="33"/>
  <c r="Z99" i="33"/>
  <c r="AU99" i="33"/>
  <c r="AM129" i="33"/>
  <c r="AN129" i="33" s="1"/>
  <c r="AR129" i="33"/>
  <c r="AS165" i="33"/>
  <c r="Z165" i="33"/>
  <c r="AU165" i="33"/>
  <c r="AM164" i="33"/>
  <c r="AN164" i="33" s="1"/>
  <c r="AR164" i="33"/>
  <c r="Z157" i="33"/>
  <c r="AU157" i="33"/>
  <c r="AV157" i="33"/>
  <c r="AQ157" i="33"/>
  <c r="AR157" i="33"/>
  <c r="AU212" i="33"/>
  <c r="AS212" i="33"/>
  <c r="AT77" i="33"/>
  <c r="Z180" i="33"/>
  <c r="AQ180" i="33"/>
  <c r="AS180" i="33"/>
  <c r="AU180" i="33"/>
  <c r="AQ99" i="33"/>
  <c r="AQ165" i="33"/>
  <c r="AQ72" i="33"/>
  <c r="AQ159" i="33"/>
  <c r="AQ70" i="33"/>
  <c r="AQ175" i="33"/>
  <c r="AQ173" i="33"/>
  <c r="AQ195" i="33"/>
  <c r="AQ46" i="33"/>
  <c r="AM112" i="33"/>
  <c r="AN112" i="33" s="1"/>
  <c r="AR198" i="33"/>
  <c r="AV198" i="33"/>
  <c r="Z198" i="33"/>
  <c r="AR61" i="33"/>
  <c r="AV61" i="33"/>
  <c r="Z61" i="33"/>
  <c r="AR124" i="33"/>
  <c r="AV124" i="33"/>
  <c r="Z124" i="33"/>
  <c r="AR111" i="33"/>
  <c r="AV111" i="33"/>
  <c r="Z111" i="33"/>
  <c r="AQ212" i="33"/>
  <c r="AS77" i="33"/>
  <c r="AS53" i="33"/>
  <c r="Z53" i="33"/>
  <c r="AU53" i="33"/>
  <c r="AR45" i="33"/>
  <c r="AS23" i="33"/>
  <c r="Z23" i="33"/>
  <c r="AU23" i="33"/>
  <c r="AM22" i="33"/>
  <c r="AN22" i="33" s="1"/>
  <c r="AR22" i="33"/>
  <c r="AS133" i="33"/>
  <c r="Z133" i="33"/>
  <c r="AU133" i="33"/>
  <c r="AT180" i="33"/>
  <c r="AP180" i="33"/>
  <c r="AV130" i="33"/>
  <c r="AR130" i="33"/>
  <c r="AT53" i="33"/>
  <c r="AP53" i="33"/>
  <c r="AV94" i="33"/>
  <c r="AR94" i="33"/>
  <c r="AT99" i="33"/>
  <c r="AP99" i="33"/>
  <c r="AT23" i="33"/>
  <c r="AP23" i="33"/>
  <c r="AT165" i="33"/>
  <c r="AP165" i="33"/>
  <c r="AT133" i="33"/>
  <c r="AP133" i="33"/>
  <c r="AT157" i="33"/>
  <c r="AP157" i="33"/>
  <c r="AM121" i="33"/>
  <c r="AN121" i="33" s="1"/>
  <c r="AQ121" i="33"/>
  <c r="AQ105" i="33"/>
  <c r="AQ138" i="33"/>
  <c r="AQ62" i="33"/>
  <c r="AQ197" i="33"/>
  <c r="AQ125" i="33"/>
  <c r="AQ36" i="33"/>
  <c r="AQ110" i="33"/>
  <c r="AS130" i="33"/>
  <c r="Z130" i="33"/>
  <c r="AS94" i="33"/>
  <c r="AM100" i="33"/>
  <c r="AN100" i="33" s="1"/>
  <c r="AR100" i="33"/>
  <c r="AM99" i="33"/>
  <c r="AN99" i="33" s="1"/>
  <c r="AR98" i="33"/>
  <c r="AM23" i="33"/>
  <c r="AN23" i="33" s="1"/>
  <c r="AS21" i="33"/>
  <c r="Z21" i="33"/>
  <c r="AM20" i="33"/>
  <c r="AN20" i="33" s="1"/>
  <c r="AR20" i="33"/>
  <c r="AM165" i="33"/>
  <c r="AN165" i="33" s="1"/>
  <c r="AM133" i="33"/>
  <c r="AN133" i="33" s="1"/>
  <c r="AV6" i="33"/>
  <c r="AR6" i="33"/>
  <c r="AQ95" i="33"/>
  <c r="AV180" i="33"/>
  <c r="AR180" i="33"/>
  <c r="AV53" i="33"/>
  <c r="AR53" i="33"/>
  <c r="AV99" i="33"/>
  <c r="AR99" i="33"/>
  <c r="Z98" i="33"/>
  <c r="AV23" i="33"/>
  <c r="AR23" i="33"/>
  <c r="AV165" i="33"/>
  <c r="AR165" i="33"/>
  <c r="AV133" i="33"/>
  <c r="AR133" i="33"/>
  <c r="AS6" i="33"/>
  <c r="Z6" i="33"/>
  <c r="AM33" i="33"/>
  <c r="AN33" i="33" s="1"/>
  <c r="AR33" i="33"/>
  <c r="AM122" i="33"/>
  <c r="AN122" i="33" s="1"/>
  <c r="AQ122" i="33"/>
  <c r="AS157" i="33"/>
  <c r="AM11" i="33"/>
  <c r="AN11" i="33" s="1"/>
  <c r="AQ11" i="33"/>
  <c r="AM42" i="33"/>
  <c r="AN42" i="33" s="1"/>
  <c r="AQ191" i="33"/>
  <c r="AM220" i="33"/>
  <c r="AN220" i="33" s="1"/>
  <c r="AS220" i="33"/>
  <c r="AQ59" i="33"/>
  <c r="AS95" i="33"/>
  <c r="AM10" i="33"/>
  <c r="AN10" i="33" s="1"/>
  <c r="AM114" i="33"/>
  <c r="AN114" i="33" s="1"/>
  <c r="AQ114" i="33"/>
  <c r="AM54" i="33"/>
  <c r="AN54" i="33" s="1"/>
  <c r="AQ54" i="33"/>
  <c r="AQ86" i="33"/>
  <c r="AT191" i="33"/>
  <c r="AP191" i="33"/>
  <c r="AP194" i="33"/>
  <c r="AT194" i="33"/>
  <c r="AS194" i="33"/>
  <c r="Z89" i="33"/>
  <c r="AM207" i="33"/>
  <c r="AN207" i="33" s="1"/>
  <c r="AQ48" i="33"/>
  <c r="AM127" i="33"/>
  <c r="AN127" i="33" s="1"/>
  <c r="AQ127" i="33"/>
  <c r="AQ210" i="33"/>
  <c r="AP86" i="33"/>
  <c r="AT187" i="33"/>
  <c r="AV187" i="33"/>
  <c r="AM182" i="33"/>
  <c r="AN182" i="33" s="1"/>
  <c r="AQ182" i="33"/>
  <c r="AQ66" i="33"/>
  <c r="AU66" i="33"/>
  <c r="AS66" i="33"/>
  <c r="AM4" i="33"/>
  <c r="AN4" i="33" s="1"/>
  <c r="AQ4" i="33"/>
  <c r="AV194" i="33"/>
  <c r="AR194" i="33"/>
  <c r="AV103" i="33"/>
  <c r="AQ108" i="33"/>
  <c r="AM56" i="33"/>
  <c r="AN56" i="33" s="1"/>
  <c r="AQ56" i="33"/>
  <c r="AM158" i="33"/>
  <c r="AN158" i="33" s="1"/>
  <c r="AQ158" i="33"/>
  <c r="AR85" i="33"/>
  <c r="Z127" i="33"/>
  <c r="AR42" i="33"/>
  <c r="Z210" i="33"/>
  <c r="AR209" i="33"/>
  <c r="Z114" i="33"/>
  <c r="AR113" i="33"/>
  <c r="Z54" i="33"/>
  <c r="AR116" i="33"/>
  <c r="Z86" i="33"/>
  <c r="AR115" i="33"/>
  <c r="AR187" i="33"/>
  <c r="AM136" i="33"/>
  <c r="AN136" i="33" s="1"/>
  <c r="AM93" i="33"/>
  <c r="AN93" i="33" s="1"/>
  <c r="AS93" i="33"/>
  <c r="AM143" i="33"/>
  <c r="AN143" i="33" s="1"/>
  <c r="AQ143" i="33"/>
  <c r="AQ150" i="33"/>
  <c r="AU150" i="33"/>
  <c r="AS150" i="33"/>
  <c r="AT66" i="33"/>
  <c r="AV66" i="33"/>
  <c r="AR66" i="33"/>
  <c r="AU194" i="33"/>
  <c r="AM17" i="33"/>
  <c r="AN17" i="33" s="1"/>
  <c r="AQ17" i="33"/>
  <c r="AM34" i="33"/>
  <c r="AN34" i="33" s="1"/>
  <c r="AQ34" i="33"/>
  <c r="AQ10" i="33"/>
  <c r="AQ207" i="33"/>
  <c r="AS191" i="33"/>
  <c r="AV136" i="33"/>
  <c r="AM119" i="33"/>
  <c r="AN119" i="33" s="1"/>
  <c r="AQ119" i="33"/>
  <c r="AP66" i="33"/>
  <c r="AM192" i="33"/>
  <c r="AN192" i="33" s="1"/>
  <c r="AQ192" i="33"/>
  <c r="AQ52" i="33"/>
  <c r="AM40" i="33"/>
  <c r="AN40" i="33" s="1"/>
  <c r="AQ40" i="33"/>
  <c r="AQ203" i="33"/>
  <c r="AQ5" i="33"/>
  <c r="AS108" i="33"/>
  <c r="AM32" i="33"/>
  <c r="AN32" i="33" s="1"/>
  <c r="AQ32" i="33"/>
  <c r="AM123" i="33"/>
  <c r="AN123" i="33" s="1"/>
  <c r="AQ123" i="33"/>
  <c r="AQ194" i="33"/>
  <c r="AQ43" i="33"/>
  <c r="AQ15" i="33"/>
  <c r="AQ103" i="33"/>
  <c r="AM145" i="33"/>
  <c r="AN145" i="33" s="1"/>
  <c r="AM221" i="33"/>
  <c r="AN221" i="33" s="1"/>
  <c r="AM109" i="33"/>
  <c r="AN109" i="33" s="1"/>
  <c r="AS109" i="33"/>
  <c r="AQ64" i="33"/>
  <c r="AU64" i="33"/>
  <c r="AR64" i="33"/>
  <c r="AV64" i="33"/>
  <c r="AS64" i="33"/>
  <c r="AS68" i="33"/>
  <c r="AQ145" i="33"/>
  <c r="AQ163" i="33"/>
  <c r="AQ221" i="33"/>
  <c r="AQ13" i="33"/>
  <c r="AQ50" i="33"/>
  <c r="AB89" i="33" l="1"/>
  <c r="AB23" i="33"/>
  <c r="AB53" i="33"/>
  <c r="AB111" i="33"/>
  <c r="AB59" i="33"/>
  <c r="AB119" i="33"/>
  <c r="AB101" i="33"/>
  <c r="AB191" i="33"/>
  <c r="AB64" i="33"/>
  <c r="AB68" i="33"/>
  <c r="AB145" i="33"/>
  <c r="AB66" i="33"/>
  <c r="AB121" i="33"/>
  <c r="AB15" i="33"/>
  <c r="AB125" i="33"/>
  <c r="AB72" i="33"/>
  <c r="AB108" i="33"/>
  <c r="AB113" i="33"/>
  <c r="AB194" i="33"/>
  <c r="AB110" i="33"/>
  <c r="AB115" i="33"/>
  <c r="AB209" i="33"/>
  <c r="AB50" i="33"/>
  <c r="AB221" i="33"/>
  <c r="AB163" i="33"/>
  <c r="AB94" i="33"/>
  <c r="AB190" i="33"/>
  <c r="AB13" i="33"/>
  <c r="AB79" i="33"/>
  <c r="AB169" i="33"/>
  <c r="AB220" i="33"/>
  <c r="AB19" i="33"/>
  <c r="AB117" i="33"/>
  <c r="AB20" i="33"/>
  <c r="AB129" i="33"/>
  <c r="AB184" i="33"/>
  <c r="AB189" i="33"/>
  <c r="AB107" i="33"/>
  <c r="AB181" i="33"/>
  <c r="AB55" i="33"/>
  <c r="AB92" i="33"/>
  <c r="AB118" i="33"/>
  <c r="AB153" i="33"/>
  <c r="AB69" i="33"/>
  <c r="AB86" i="33"/>
  <c r="AB114" i="33"/>
  <c r="AB127" i="33"/>
  <c r="AB6" i="33"/>
  <c r="AB98" i="33"/>
  <c r="AB21" i="33"/>
  <c r="AB130" i="33"/>
  <c r="AB198" i="33"/>
  <c r="AB180" i="33"/>
  <c r="AB157" i="33"/>
  <c r="AB165" i="33"/>
  <c r="AB212" i="33"/>
  <c r="AB187" i="33"/>
  <c r="AB48" i="33"/>
  <c r="AB203" i="33"/>
  <c r="AB11" i="33"/>
  <c r="AB225" i="33"/>
  <c r="AB44" i="33"/>
  <c r="AB192" i="33"/>
  <c r="AB174" i="33"/>
  <c r="AB42" i="33"/>
  <c r="AB46" i="33"/>
  <c r="AB70" i="33"/>
  <c r="AB195" i="33"/>
  <c r="AB126" i="33"/>
  <c r="AB175" i="33"/>
  <c r="AB32" i="33"/>
  <c r="AB43" i="33"/>
  <c r="AB132" i="33"/>
  <c r="AB136" i="33"/>
  <c r="AB168" i="33"/>
  <c r="AB47" i="33"/>
  <c r="AB224" i="33"/>
  <c r="AB100" i="33"/>
  <c r="AB186" i="33"/>
  <c r="AB208" i="33"/>
  <c r="AB223" i="33"/>
  <c r="AB162" i="33"/>
  <c r="AB211" i="33"/>
  <c r="AB160" i="33"/>
  <c r="AB149" i="33"/>
  <c r="AB25" i="33"/>
  <c r="AB185" i="33"/>
  <c r="AB134" i="33"/>
  <c r="AB140" i="33"/>
  <c r="AB81" i="33"/>
  <c r="AB61" i="33"/>
  <c r="AB99" i="33"/>
  <c r="AB216" i="33"/>
  <c r="AB177" i="33"/>
  <c r="AB77" i="33"/>
  <c r="AB109" i="33"/>
  <c r="AB40" i="33"/>
  <c r="AB159" i="33"/>
  <c r="AB112" i="33"/>
  <c r="AB45" i="33"/>
  <c r="AB173" i="33"/>
  <c r="AB150" i="33"/>
  <c r="AB105" i="33"/>
  <c r="AB197" i="33"/>
  <c r="AB82" i="33"/>
  <c r="AB123" i="33"/>
  <c r="AB56" i="33"/>
  <c r="AB146" i="33"/>
  <c r="AB17" i="33"/>
  <c r="AB41" i="33"/>
  <c r="AB158" i="33"/>
  <c r="AB12" i="33"/>
  <c r="AB91" i="33"/>
  <c r="AB93" i="33"/>
  <c r="AB85" i="33"/>
  <c r="AB172" i="33"/>
  <c r="AB75" i="33"/>
  <c r="AB164" i="33"/>
  <c r="AB202" i="33"/>
  <c r="AB154" i="33"/>
  <c r="AB179" i="33"/>
  <c r="AB120" i="33"/>
  <c r="AB193" i="33"/>
  <c r="AB222" i="33"/>
  <c r="AB31" i="33"/>
  <c r="AB135" i="33"/>
  <c r="AB51" i="33"/>
  <c r="AB102" i="33"/>
  <c r="AB183" i="33"/>
  <c r="AB18" i="33"/>
  <c r="AB200" i="33"/>
  <c r="AB54" i="33"/>
  <c r="AB210" i="33"/>
  <c r="AB133" i="33"/>
  <c r="AB124" i="33"/>
  <c r="AB35" i="33"/>
  <c r="AB196" i="33"/>
  <c r="AB137" i="33"/>
  <c r="AB80" i="33"/>
  <c r="AB178" i="33"/>
  <c r="AB4" i="33"/>
  <c r="AB103" i="33"/>
  <c r="AB33" i="33"/>
  <c r="AB52" i="33"/>
  <c r="AB143" i="33"/>
  <c r="AB176" i="33"/>
  <c r="AB95" i="33"/>
  <c r="AB201" i="33"/>
  <c r="AB147" i="33"/>
  <c r="AB78" i="33"/>
  <c r="AB116" i="33"/>
  <c r="AB36" i="33"/>
  <c r="AB83" i="33"/>
  <c r="AB62" i="33"/>
  <c r="AB122" i="33"/>
  <c r="AB156" i="33"/>
  <c r="AB28" i="33"/>
  <c r="AB5" i="33"/>
  <c r="AB71" i="33"/>
  <c r="AB34" i="33"/>
  <c r="AB166" i="33"/>
  <c r="AB182" i="33"/>
  <c r="AB207" i="33"/>
  <c r="AB10" i="33"/>
  <c r="AB49" i="33"/>
  <c r="AB22" i="33"/>
  <c r="AB16" i="33"/>
  <c r="AB3" i="33"/>
  <c r="AB219" i="33"/>
  <c r="AB9" i="33"/>
  <c r="AB151" i="33"/>
  <c r="AB88" i="33"/>
  <c r="AB139" i="33"/>
  <c r="AB213" i="33"/>
  <c r="AB141" i="33"/>
  <c r="AB38" i="33"/>
  <c r="AN64" i="33"/>
  <c r="AN61" i="33"/>
  <c r="AN35" i="33"/>
  <c r="AN137" i="33"/>
  <c r="AN80" i="33"/>
  <c r="AN194" i="33"/>
  <c r="AN59" i="33"/>
  <c r="AN146" i="33"/>
  <c r="AN36" i="33"/>
  <c r="AN197" i="33"/>
  <c r="AN138" i="33"/>
  <c r="AN201" i="33"/>
  <c r="AN203" i="33"/>
  <c r="AN124" i="33"/>
  <c r="AN72" i="33"/>
  <c r="AW15" i="45" l="1"/>
  <c r="AW16" i="45"/>
  <c r="AW17" i="45"/>
  <c r="AW18" i="45"/>
  <c r="AW19" i="45"/>
  <c r="AW20" i="45"/>
  <c r="AW21" i="45"/>
  <c r="AW22" i="45"/>
  <c r="W2" i="45" l="1"/>
  <c r="W5" i="45" a="1"/>
  <c r="AW14" i="45" l="1"/>
  <c r="AW13" i="45"/>
  <c r="AW12" i="45"/>
  <c r="AW6" i="45"/>
  <c r="AW7" i="45"/>
  <c r="AW8" i="45"/>
  <c r="AW9" i="45"/>
  <c r="AW10" i="45"/>
  <c r="AW11" i="45"/>
  <c r="W5" i="45"/>
  <c r="AW5" i="45" s="1"/>
  <c r="AJ6" i="35" l="1"/>
  <c r="V6" i="35" l="1"/>
  <c r="AA6" i="35"/>
  <c r="AE6" i="35"/>
  <c r="Z6" i="35"/>
  <c r="W6" i="35"/>
  <c r="AB6" i="35"/>
  <c r="AF6" i="35"/>
  <c r="AG6" i="35"/>
  <c r="Y6" i="35"/>
  <c r="AC6" i="35"/>
  <c r="AD6" i="35"/>
  <c r="Y76" i="33" l="1"/>
  <c r="X76" i="33"/>
  <c r="I76" i="33" l="1"/>
  <c r="K76" i="33"/>
  <c r="L76" i="33" s="1"/>
  <c r="M76" i="33"/>
  <c r="N76" i="33" s="1"/>
  <c r="AA76" i="33"/>
  <c r="AC76" i="33"/>
  <c r="AL76" i="33" s="1"/>
  <c r="AD76" i="33"/>
  <c r="AE76" i="33"/>
  <c r="AF76" i="33"/>
  <c r="AG76" i="33"/>
  <c r="AH76" i="33"/>
  <c r="AI76" i="33"/>
  <c r="AJ76" i="33"/>
  <c r="AK76" i="33"/>
  <c r="AO76" i="33"/>
  <c r="AJ4" i="35"/>
  <c r="W4" i="35"/>
  <c r="A2" i="59" a="1"/>
  <c r="E17" i="56" a="1"/>
  <c r="E17" i="56" s="1"/>
  <c r="F6" i="56" a="1"/>
  <c r="F6" i="56" s="1"/>
  <c r="G6" i="56" a="1"/>
  <c r="G6" i="56" s="1"/>
  <c r="H6" i="56" a="1"/>
  <c r="H6" i="56" s="1"/>
  <c r="I6" i="56" a="1"/>
  <c r="I6" i="56" s="1"/>
  <c r="J6" i="56" a="1"/>
  <c r="J6" i="56" s="1"/>
  <c r="K6" i="56" a="1"/>
  <c r="K6" i="56" s="1"/>
  <c r="L6" i="56" a="1"/>
  <c r="L6" i="56" s="1"/>
  <c r="M6" i="56" a="1"/>
  <c r="M6" i="56" s="1"/>
  <c r="N6" i="56" a="1"/>
  <c r="N6" i="56" s="1"/>
  <c r="O6" i="56" a="1"/>
  <c r="O6" i="56" s="1"/>
  <c r="F7" i="56" a="1"/>
  <c r="F7" i="56" s="1"/>
  <c r="G7" i="56" a="1"/>
  <c r="G7" i="56" s="1"/>
  <c r="H7" i="56" a="1"/>
  <c r="H7" i="56" s="1"/>
  <c r="I7" i="56" a="1"/>
  <c r="I7" i="56" s="1"/>
  <c r="J7" i="56" a="1"/>
  <c r="J7" i="56" s="1"/>
  <c r="K7" i="56" a="1"/>
  <c r="K7" i="56" s="1"/>
  <c r="L7" i="56" a="1"/>
  <c r="L7" i="56" s="1"/>
  <c r="M7" i="56" a="1"/>
  <c r="M7" i="56" s="1"/>
  <c r="N7" i="56" a="1"/>
  <c r="N7" i="56" s="1"/>
  <c r="O7" i="56" a="1"/>
  <c r="O7" i="56" s="1"/>
  <c r="F8" i="56" a="1"/>
  <c r="F8" i="56" s="1"/>
  <c r="G8" i="56" a="1"/>
  <c r="G8" i="56" s="1"/>
  <c r="H8" i="56" a="1"/>
  <c r="H8" i="56" s="1"/>
  <c r="I8" i="56" a="1"/>
  <c r="I8" i="56" s="1"/>
  <c r="J8" i="56" a="1"/>
  <c r="J8" i="56" s="1"/>
  <c r="K8" i="56" a="1"/>
  <c r="K8" i="56" s="1"/>
  <c r="L8" i="56" a="1"/>
  <c r="L8" i="56" s="1"/>
  <c r="M8" i="56" a="1"/>
  <c r="M8" i="56" s="1"/>
  <c r="N8" i="56" a="1"/>
  <c r="N8" i="56" s="1"/>
  <c r="O8" i="56" a="1"/>
  <c r="O8" i="56" s="1"/>
  <c r="F9" i="56" a="1"/>
  <c r="F9" i="56" s="1"/>
  <c r="G9" i="56" a="1"/>
  <c r="G9" i="56" s="1"/>
  <c r="H9" i="56" a="1"/>
  <c r="H9" i="56" s="1"/>
  <c r="I9" i="56" a="1"/>
  <c r="I9" i="56" s="1"/>
  <c r="J9" i="56" a="1"/>
  <c r="J9" i="56" s="1"/>
  <c r="K9" i="56" a="1"/>
  <c r="K9" i="56" s="1"/>
  <c r="L9" i="56" a="1"/>
  <c r="L9" i="56" s="1"/>
  <c r="M9" i="56" a="1"/>
  <c r="M9" i="56" s="1"/>
  <c r="N9" i="56" a="1"/>
  <c r="N9" i="56" s="1"/>
  <c r="O9" i="56" a="1"/>
  <c r="O9" i="56" s="1"/>
  <c r="F10" i="56" a="1"/>
  <c r="F10" i="56" s="1"/>
  <c r="G10" i="56" a="1"/>
  <c r="G10" i="56" s="1"/>
  <c r="H10" i="56" a="1"/>
  <c r="H10" i="56" s="1"/>
  <c r="I10" i="56" a="1"/>
  <c r="I10" i="56" s="1"/>
  <c r="J10" i="56" a="1"/>
  <c r="J10" i="56" s="1"/>
  <c r="K10" i="56" a="1"/>
  <c r="K10" i="56" s="1"/>
  <c r="L10" i="56" a="1"/>
  <c r="L10" i="56" s="1"/>
  <c r="M10" i="56" a="1"/>
  <c r="M10" i="56" s="1"/>
  <c r="N10" i="56" a="1"/>
  <c r="N10" i="56" s="1"/>
  <c r="O10" i="56" a="1"/>
  <c r="O10" i="56" s="1"/>
  <c r="F11" i="56" a="1"/>
  <c r="F11" i="56" s="1"/>
  <c r="G11" i="56" a="1"/>
  <c r="G11" i="56" s="1"/>
  <c r="H11" i="56" a="1"/>
  <c r="H11" i="56" s="1"/>
  <c r="I11" i="56" a="1"/>
  <c r="I11" i="56" s="1"/>
  <c r="J11" i="56" a="1"/>
  <c r="J11" i="56" s="1"/>
  <c r="K11" i="56" a="1"/>
  <c r="K11" i="56" s="1"/>
  <c r="L11" i="56" a="1"/>
  <c r="L11" i="56" s="1"/>
  <c r="M11" i="56" a="1"/>
  <c r="M11" i="56" s="1"/>
  <c r="N11" i="56" a="1"/>
  <c r="N11" i="56" s="1"/>
  <c r="O11" i="56" a="1"/>
  <c r="O11" i="56" s="1"/>
  <c r="F12" i="56" a="1"/>
  <c r="F12" i="56" s="1"/>
  <c r="G12" i="56" a="1"/>
  <c r="G12" i="56" s="1"/>
  <c r="H12" i="56" a="1"/>
  <c r="H12" i="56" s="1"/>
  <c r="I12" i="56" a="1"/>
  <c r="I12" i="56" s="1"/>
  <c r="J12" i="56" a="1"/>
  <c r="J12" i="56" s="1"/>
  <c r="K12" i="56" a="1"/>
  <c r="K12" i="56" s="1"/>
  <c r="L12" i="56" a="1"/>
  <c r="L12" i="56" s="1"/>
  <c r="M12" i="56" a="1"/>
  <c r="M12" i="56" s="1"/>
  <c r="N12" i="56" a="1"/>
  <c r="N12" i="56" s="1"/>
  <c r="O12" i="56" a="1"/>
  <c r="O12" i="56" s="1"/>
  <c r="F13" i="56" a="1"/>
  <c r="F13" i="56" s="1"/>
  <c r="G13" i="56" a="1"/>
  <c r="G13" i="56" s="1"/>
  <c r="H13" i="56" a="1"/>
  <c r="H13" i="56" s="1"/>
  <c r="I13" i="56" a="1"/>
  <c r="I13" i="56" s="1"/>
  <c r="J13" i="56" a="1"/>
  <c r="J13" i="56" s="1"/>
  <c r="K13" i="56" a="1"/>
  <c r="K13" i="56" s="1"/>
  <c r="L13" i="56" a="1"/>
  <c r="L13" i="56" s="1"/>
  <c r="M13" i="56" a="1"/>
  <c r="M13" i="56" s="1"/>
  <c r="N13" i="56" a="1"/>
  <c r="N13" i="56" s="1"/>
  <c r="O13" i="56" a="1"/>
  <c r="O13" i="56" s="1"/>
  <c r="F14" i="56" a="1"/>
  <c r="F14" i="56" s="1"/>
  <c r="G14" i="56" a="1"/>
  <c r="G14" i="56" s="1"/>
  <c r="H14" i="56" a="1"/>
  <c r="H14" i="56" s="1"/>
  <c r="I14" i="56" a="1"/>
  <c r="I14" i="56" s="1"/>
  <c r="J14" i="56" a="1"/>
  <c r="J14" i="56" s="1"/>
  <c r="K14" i="56" a="1"/>
  <c r="K14" i="56" s="1"/>
  <c r="L14" i="56" a="1"/>
  <c r="L14" i="56" s="1"/>
  <c r="M14" i="56" a="1"/>
  <c r="M14" i="56" s="1"/>
  <c r="N14" i="56" a="1"/>
  <c r="N14" i="56" s="1"/>
  <c r="O14" i="56" a="1"/>
  <c r="O14" i="56" s="1"/>
  <c r="F15" i="56" a="1"/>
  <c r="F15" i="56" s="1"/>
  <c r="G15" i="56" a="1"/>
  <c r="G15" i="56" s="1"/>
  <c r="H15" i="56" a="1"/>
  <c r="H15" i="56" s="1"/>
  <c r="I15" i="56" a="1"/>
  <c r="I15" i="56" s="1"/>
  <c r="J15" i="56" a="1"/>
  <c r="J15" i="56" s="1"/>
  <c r="K15" i="56" a="1"/>
  <c r="K15" i="56" s="1"/>
  <c r="L15" i="56" a="1"/>
  <c r="L15" i="56" s="1"/>
  <c r="M15" i="56" a="1"/>
  <c r="M15" i="56" s="1"/>
  <c r="N15" i="56" a="1"/>
  <c r="N15" i="56" s="1"/>
  <c r="O15" i="56" a="1"/>
  <c r="O15" i="56" s="1"/>
  <c r="F16" i="56" a="1"/>
  <c r="F16" i="56" s="1"/>
  <c r="G16" i="56" a="1"/>
  <c r="G16" i="56" s="1"/>
  <c r="H16" i="56" a="1"/>
  <c r="H16" i="56" s="1"/>
  <c r="I16" i="56" a="1"/>
  <c r="I16" i="56" s="1"/>
  <c r="J16" i="56" a="1"/>
  <c r="J16" i="56" s="1"/>
  <c r="K16" i="56" a="1"/>
  <c r="K16" i="56" s="1"/>
  <c r="L16" i="56" a="1"/>
  <c r="L16" i="56" s="1"/>
  <c r="M16" i="56" a="1"/>
  <c r="M16" i="56" s="1"/>
  <c r="N16" i="56" a="1"/>
  <c r="N16" i="56" s="1"/>
  <c r="O16" i="56" a="1"/>
  <c r="O16" i="56" s="1"/>
  <c r="F17" i="56" a="1"/>
  <c r="F17" i="56" s="1"/>
  <c r="G17" i="56" a="1"/>
  <c r="G17" i="56" s="1"/>
  <c r="H17" i="56" a="1"/>
  <c r="H17" i="56" s="1"/>
  <c r="I17" i="56" a="1"/>
  <c r="I17" i="56" s="1"/>
  <c r="J17" i="56" a="1"/>
  <c r="J17" i="56" s="1"/>
  <c r="K17" i="56" a="1"/>
  <c r="K17" i="56" s="1"/>
  <c r="L17" i="56" a="1"/>
  <c r="L17" i="56" s="1"/>
  <c r="M17" i="56" a="1"/>
  <c r="M17" i="56" s="1"/>
  <c r="N17" i="56" a="1"/>
  <c r="N17" i="56" s="1"/>
  <c r="O17" i="56" a="1"/>
  <c r="O17" i="56" s="1"/>
  <c r="F18" i="56" a="1"/>
  <c r="F18" i="56" s="1"/>
  <c r="G18" i="56" a="1"/>
  <c r="G18" i="56" s="1"/>
  <c r="H18" i="56" a="1"/>
  <c r="H18" i="56" s="1"/>
  <c r="I18" i="56" a="1"/>
  <c r="I18" i="56" s="1"/>
  <c r="J18" i="56" a="1"/>
  <c r="J18" i="56" s="1"/>
  <c r="K18" i="56" a="1"/>
  <c r="K18" i="56" s="1"/>
  <c r="L18" i="56" a="1"/>
  <c r="L18" i="56" s="1"/>
  <c r="M18" i="56" a="1"/>
  <c r="M18" i="56" s="1"/>
  <c r="N18" i="56" a="1"/>
  <c r="N18" i="56" s="1"/>
  <c r="O18" i="56" a="1"/>
  <c r="O18" i="56" s="1"/>
  <c r="F19" i="56" a="1"/>
  <c r="F19" i="56" s="1"/>
  <c r="G19" i="56" a="1"/>
  <c r="G19" i="56" s="1"/>
  <c r="H19" i="56" a="1"/>
  <c r="H19" i="56" s="1"/>
  <c r="I19" i="56" a="1"/>
  <c r="I19" i="56" s="1"/>
  <c r="J19" i="56" a="1"/>
  <c r="J19" i="56" s="1"/>
  <c r="K19" i="56" a="1"/>
  <c r="K19" i="56" s="1"/>
  <c r="L19" i="56" a="1"/>
  <c r="L19" i="56" s="1"/>
  <c r="M19" i="56" a="1"/>
  <c r="M19" i="56" s="1"/>
  <c r="N19" i="56" a="1"/>
  <c r="N19" i="56" s="1"/>
  <c r="O19" i="56" a="1"/>
  <c r="O19" i="56" s="1"/>
  <c r="F20" i="56" a="1"/>
  <c r="F20" i="56" s="1"/>
  <c r="G20" i="56" a="1"/>
  <c r="G20" i="56" s="1"/>
  <c r="H20" i="56" a="1"/>
  <c r="H20" i="56" s="1"/>
  <c r="I20" i="56" a="1"/>
  <c r="I20" i="56" s="1"/>
  <c r="J20" i="56" a="1"/>
  <c r="J20" i="56" s="1"/>
  <c r="K20" i="56" a="1"/>
  <c r="K20" i="56" s="1"/>
  <c r="L20" i="56" a="1"/>
  <c r="L20" i="56" s="1"/>
  <c r="M20" i="56" a="1"/>
  <c r="M20" i="56" s="1"/>
  <c r="N20" i="56" a="1"/>
  <c r="N20" i="56" s="1"/>
  <c r="O20" i="56" a="1"/>
  <c r="O20" i="56" s="1"/>
  <c r="F21" i="56" a="1"/>
  <c r="F21" i="56" s="1"/>
  <c r="G21" i="56" a="1"/>
  <c r="G21" i="56" s="1"/>
  <c r="H21" i="56" a="1"/>
  <c r="H21" i="56" s="1"/>
  <c r="I21" i="56" a="1"/>
  <c r="I21" i="56" s="1"/>
  <c r="J21" i="56" a="1"/>
  <c r="J21" i="56" s="1"/>
  <c r="K21" i="56" a="1"/>
  <c r="K21" i="56" s="1"/>
  <c r="L21" i="56" a="1"/>
  <c r="L21" i="56" s="1"/>
  <c r="M21" i="56" a="1"/>
  <c r="M21" i="56" s="1"/>
  <c r="N21" i="56" a="1"/>
  <c r="N21" i="56" s="1"/>
  <c r="O21" i="56" a="1"/>
  <c r="O21" i="56" s="1"/>
  <c r="F22" i="56" a="1"/>
  <c r="F22" i="56" s="1"/>
  <c r="G22" i="56" a="1"/>
  <c r="G22" i="56" s="1"/>
  <c r="H22" i="56" a="1"/>
  <c r="H22" i="56" s="1"/>
  <c r="I22" i="56" a="1"/>
  <c r="I22" i="56" s="1"/>
  <c r="J22" i="56" a="1"/>
  <c r="J22" i="56" s="1"/>
  <c r="K22" i="56" a="1"/>
  <c r="K22" i="56" s="1"/>
  <c r="L22" i="56" a="1"/>
  <c r="L22" i="56" s="1"/>
  <c r="M22" i="56" a="1"/>
  <c r="M22" i="56" s="1"/>
  <c r="N22" i="56" a="1"/>
  <c r="N22" i="56" s="1"/>
  <c r="O22" i="56" a="1"/>
  <c r="O22" i="56" s="1"/>
  <c r="F23" i="56" a="1"/>
  <c r="F23" i="56" s="1"/>
  <c r="G23" i="56" a="1"/>
  <c r="G23" i="56" s="1"/>
  <c r="H23" i="56" a="1"/>
  <c r="H23" i="56" s="1"/>
  <c r="I23" i="56" a="1"/>
  <c r="I23" i="56" s="1"/>
  <c r="J23" i="56" a="1"/>
  <c r="J23" i="56" s="1"/>
  <c r="K23" i="56" a="1"/>
  <c r="K23" i="56" s="1"/>
  <c r="L23" i="56" a="1"/>
  <c r="L23" i="56" s="1"/>
  <c r="M23" i="56" a="1"/>
  <c r="M23" i="56" s="1"/>
  <c r="N23" i="56" a="1"/>
  <c r="N23" i="56" s="1"/>
  <c r="O23" i="56" a="1"/>
  <c r="O23" i="56" s="1"/>
  <c r="F24" i="56" a="1"/>
  <c r="F24" i="56" s="1"/>
  <c r="G24" i="56" a="1"/>
  <c r="G24" i="56" s="1"/>
  <c r="H24" i="56" a="1"/>
  <c r="H24" i="56" s="1"/>
  <c r="I24" i="56" a="1"/>
  <c r="I24" i="56" s="1"/>
  <c r="J24" i="56" a="1"/>
  <c r="J24" i="56" s="1"/>
  <c r="K24" i="56" a="1"/>
  <c r="K24" i="56" s="1"/>
  <c r="L24" i="56" a="1"/>
  <c r="L24" i="56" s="1"/>
  <c r="M24" i="56" a="1"/>
  <c r="M24" i="56" s="1"/>
  <c r="N24" i="56" a="1"/>
  <c r="N24" i="56" s="1"/>
  <c r="O24" i="56" a="1"/>
  <c r="O24" i="56" s="1"/>
  <c r="F25" i="56" a="1"/>
  <c r="F25" i="56" s="1"/>
  <c r="G25" i="56" a="1"/>
  <c r="G25" i="56" s="1"/>
  <c r="H25" i="56" a="1"/>
  <c r="H25" i="56" s="1"/>
  <c r="I25" i="56" a="1"/>
  <c r="I25" i="56" s="1"/>
  <c r="J25" i="56" a="1"/>
  <c r="J25" i="56" s="1"/>
  <c r="K25" i="56" a="1"/>
  <c r="K25" i="56" s="1"/>
  <c r="L25" i="56" a="1"/>
  <c r="L25" i="56" s="1"/>
  <c r="M25" i="56" a="1"/>
  <c r="M25" i="56" s="1"/>
  <c r="N25" i="56" a="1"/>
  <c r="N25" i="56" s="1"/>
  <c r="O25" i="56" a="1"/>
  <c r="O25" i="56" s="1"/>
  <c r="F26" i="56" a="1"/>
  <c r="F26" i="56" s="1"/>
  <c r="G26" i="56" a="1"/>
  <c r="G26" i="56" s="1"/>
  <c r="H26" i="56" a="1"/>
  <c r="H26" i="56" s="1"/>
  <c r="I26" i="56" a="1"/>
  <c r="I26" i="56" s="1"/>
  <c r="J26" i="56" a="1"/>
  <c r="J26" i="56" s="1"/>
  <c r="K26" i="56" a="1"/>
  <c r="K26" i="56" s="1"/>
  <c r="L26" i="56" a="1"/>
  <c r="L26" i="56" s="1"/>
  <c r="M26" i="56" a="1"/>
  <c r="M26" i="56" s="1"/>
  <c r="N26" i="56" a="1"/>
  <c r="N26" i="56" s="1"/>
  <c r="O26" i="56" a="1"/>
  <c r="O26" i="56" s="1"/>
  <c r="F27" i="56" a="1"/>
  <c r="F27" i="56" s="1"/>
  <c r="G27" i="56" a="1"/>
  <c r="G27" i="56" s="1"/>
  <c r="H27" i="56" a="1"/>
  <c r="H27" i="56" s="1"/>
  <c r="I27" i="56" a="1"/>
  <c r="I27" i="56" s="1"/>
  <c r="J27" i="56" a="1"/>
  <c r="J27" i="56" s="1"/>
  <c r="K27" i="56" a="1"/>
  <c r="K27" i="56" s="1"/>
  <c r="L27" i="56" a="1"/>
  <c r="L27" i="56" s="1"/>
  <c r="M27" i="56" a="1"/>
  <c r="M27" i="56" s="1"/>
  <c r="N27" i="56" a="1"/>
  <c r="N27" i="56" s="1"/>
  <c r="O27" i="56" a="1"/>
  <c r="O27" i="56" s="1"/>
  <c r="F28" i="56" a="1"/>
  <c r="F28" i="56" s="1"/>
  <c r="G28" i="56" a="1"/>
  <c r="G28" i="56" s="1"/>
  <c r="H28" i="56" a="1"/>
  <c r="H28" i="56" s="1"/>
  <c r="I28" i="56" a="1"/>
  <c r="I28" i="56" s="1"/>
  <c r="J28" i="56" a="1"/>
  <c r="J28" i="56" s="1"/>
  <c r="K28" i="56" a="1"/>
  <c r="K28" i="56" s="1"/>
  <c r="L28" i="56" a="1"/>
  <c r="L28" i="56" s="1"/>
  <c r="M28" i="56" a="1"/>
  <c r="M28" i="56" s="1"/>
  <c r="N28" i="56" a="1"/>
  <c r="N28" i="56" s="1"/>
  <c r="O28" i="56" a="1"/>
  <c r="O28" i="56" s="1"/>
  <c r="F29" i="56" a="1"/>
  <c r="F29" i="56" s="1"/>
  <c r="G29" i="56" a="1"/>
  <c r="G29" i="56" s="1"/>
  <c r="H29" i="56" a="1"/>
  <c r="H29" i="56" s="1"/>
  <c r="I29" i="56" a="1"/>
  <c r="I29" i="56" s="1"/>
  <c r="J29" i="56" a="1"/>
  <c r="J29" i="56" s="1"/>
  <c r="K29" i="56" a="1"/>
  <c r="K29" i="56" s="1"/>
  <c r="L29" i="56" a="1"/>
  <c r="L29" i="56" s="1"/>
  <c r="M29" i="56" a="1"/>
  <c r="M29" i="56" s="1"/>
  <c r="N29" i="56" a="1"/>
  <c r="N29" i="56" s="1"/>
  <c r="O29" i="56" a="1"/>
  <c r="O29" i="56" s="1"/>
  <c r="F30" i="56" a="1"/>
  <c r="F30" i="56" s="1"/>
  <c r="G30" i="56" a="1"/>
  <c r="G30" i="56" s="1"/>
  <c r="H30" i="56" a="1"/>
  <c r="H30" i="56" s="1"/>
  <c r="I30" i="56" a="1"/>
  <c r="I30" i="56" s="1"/>
  <c r="J30" i="56" a="1"/>
  <c r="J30" i="56" s="1"/>
  <c r="K30" i="56" a="1"/>
  <c r="K30" i="56" s="1"/>
  <c r="L30" i="56" a="1"/>
  <c r="L30" i="56" s="1"/>
  <c r="M30" i="56" a="1"/>
  <c r="M30" i="56" s="1"/>
  <c r="N30" i="56" a="1"/>
  <c r="N30" i="56" s="1"/>
  <c r="O30" i="56" a="1"/>
  <c r="O30" i="56" s="1"/>
  <c r="F31" i="56" a="1"/>
  <c r="F31" i="56" s="1"/>
  <c r="G31" i="56" a="1"/>
  <c r="G31" i="56" s="1"/>
  <c r="H31" i="56" a="1"/>
  <c r="H31" i="56" s="1"/>
  <c r="I31" i="56" a="1"/>
  <c r="I31" i="56" s="1"/>
  <c r="J31" i="56" a="1"/>
  <c r="J31" i="56" s="1"/>
  <c r="K31" i="56" a="1"/>
  <c r="K31" i="56" s="1"/>
  <c r="L31" i="56" a="1"/>
  <c r="L31" i="56" s="1"/>
  <c r="M31" i="56" a="1"/>
  <c r="M31" i="56" s="1"/>
  <c r="N31" i="56" a="1"/>
  <c r="N31" i="56" s="1"/>
  <c r="O31" i="56" a="1"/>
  <c r="O31" i="56" s="1"/>
  <c r="F32" i="56" a="1"/>
  <c r="F32" i="56" s="1"/>
  <c r="G32" i="56" a="1"/>
  <c r="G32" i="56" s="1"/>
  <c r="H32" i="56" a="1"/>
  <c r="H32" i="56" s="1"/>
  <c r="I32" i="56" a="1"/>
  <c r="I32" i="56" s="1"/>
  <c r="J32" i="56" a="1"/>
  <c r="J32" i="56" s="1"/>
  <c r="K32" i="56" a="1"/>
  <c r="K32" i="56" s="1"/>
  <c r="L32" i="56" a="1"/>
  <c r="L32" i="56" s="1"/>
  <c r="M32" i="56" a="1"/>
  <c r="M32" i="56" s="1"/>
  <c r="N32" i="56" a="1"/>
  <c r="N32" i="56" s="1"/>
  <c r="O32" i="56" a="1"/>
  <c r="O32" i="56" s="1"/>
  <c r="F33" i="56" a="1"/>
  <c r="F33" i="56" s="1"/>
  <c r="G33" i="56" a="1"/>
  <c r="G33" i="56" s="1"/>
  <c r="H33" i="56" a="1"/>
  <c r="H33" i="56" s="1"/>
  <c r="I33" i="56" a="1"/>
  <c r="I33" i="56" s="1"/>
  <c r="J33" i="56" a="1"/>
  <c r="J33" i="56" s="1"/>
  <c r="K33" i="56" a="1"/>
  <c r="K33" i="56" s="1"/>
  <c r="L33" i="56" a="1"/>
  <c r="L33" i="56" s="1"/>
  <c r="M33" i="56" a="1"/>
  <c r="M33" i="56" s="1"/>
  <c r="N33" i="56" a="1"/>
  <c r="N33" i="56" s="1"/>
  <c r="O33" i="56" a="1"/>
  <c r="O33" i="56" s="1"/>
  <c r="F34" i="56" a="1"/>
  <c r="F34" i="56" s="1"/>
  <c r="G34" i="56" a="1"/>
  <c r="G34" i="56" s="1"/>
  <c r="H34" i="56" a="1"/>
  <c r="H34" i="56" s="1"/>
  <c r="I34" i="56" a="1"/>
  <c r="I34" i="56" s="1"/>
  <c r="J34" i="56" a="1"/>
  <c r="J34" i="56" s="1"/>
  <c r="K34" i="56" a="1"/>
  <c r="K34" i="56" s="1"/>
  <c r="L34" i="56" a="1"/>
  <c r="L34" i="56" s="1"/>
  <c r="M34" i="56" a="1"/>
  <c r="M34" i="56" s="1"/>
  <c r="N34" i="56" a="1"/>
  <c r="N34" i="56" s="1"/>
  <c r="O34" i="56" a="1"/>
  <c r="O34" i="56" s="1"/>
  <c r="O5" i="56" a="1"/>
  <c r="O5" i="56" s="1"/>
  <c r="N5" i="56" a="1"/>
  <c r="N5" i="56" s="1"/>
  <c r="M5" i="56" a="1"/>
  <c r="M5" i="56" s="1"/>
  <c r="L5" i="56" a="1"/>
  <c r="L5" i="56" s="1"/>
  <c r="K5" i="56" a="1"/>
  <c r="K5" i="56" s="1"/>
  <c r="J5" i="56" a="1"/>
  <c r="J5" i="56" s="1"/>
  <c r="I5" i="56" a="1"/>
  <c r="I5" i="56" s="1"/>
  <c r="H5" i="56" a="1"/>
  <c r="H5" i="56" s="1"/>
  <c r="G5" i="56" a="1"/>
  <c r="G5" i="56" s="1"/>
  <c r="F5" i="56" a="1"/>
  <c r="F5" i="56" s="1"/>
  <c r="E6" i="56" a="1"/>
  <c r="E6" i="56" s="1"/>
  <c r="E7" i="56" a="1"/>
  <c r="E7" i="56" s="1"/>
  <c r="E8" i="56" a="1"/>
  <c r="E8" i="56" s="1"/>
  <c r="E9" i="56" a="1"/>
  <c r="E9" i="56" s="1"/>
  <c r="E10" i="56" a="1"/>
  <c r="E10" i="56" s="1"/>
  <c r="E11" i="56" a="1"/>
  <c r="E11" i="56" s="1"/>
  <c r="E12" i="56" a="1"/>
  <c r="E12" i="56" s="1"/>
  <c r="E13" i="56" a="1"/>
  <c r="E13" i="56" s="1"/>
  <c r="E14" i="56" a="1"/>
  <c r="E14" i="56" s="1"/>
  <c r="E15" i="56" a="1"/>
  <c r="E15" i="56" s="1"/>
  <c r="E16" i="56" a="1"/>
  <c r="E16" i="56" s="1"/>
  <c r="E18" i="56" a="1"/>
  <c r="E18" i="56" s="1"/>
  <c r="E19" i="56" a="1"/>
  <c r="E19" i="56" s="1"/>
  <c r="E20" i="56" a="1"/>
  <c r="E20" i="56" s="1"/>
  <c r="E21" i="56" a="1"/>
  <c r="E21" i="56" s="1"/>
  <c r="E22" i="56" a="1"/>
  <c r="E22" i="56" s="1"/>
  <c r="E23" i="56" a="1"/>
  <c r="E23" i="56" s="1"/>
  <c r="E24" i="56" a="1"/>
  <c r="E24" i="56" s="1"/>
  <c r="E25" i="56" a="1"/>
  <c r="E25" i="56" s="1"/>
  <c r="E26" i="56" a="1"/>
  <c r="E26" i="56" s="1"/>
  <c r="E27" i="56" a="1"/>
  <c r="E27" i="56" s="1"/>
  <c r="E28" i="56" a="1"/>
  <c r="E28" i="56" s="1"/>
  <c r="E29" i="56" a="1"/>
  <c r="E29" i="56" s="1"/>
  <c r="E30" i="56" a="1"/>
  <c r="E30" i="56" s="1"/>
  <c r="E31" i="56" a="1"/>
  <c r="E31" i="56" s="1"/>
  <c r="E32" i="56" a="1"/>
  <c r="E32" i="56" s="1"/>
  <c r="E33" i="56" a="1"/>
  <c r="E33" i="56" s="1"/>
  <c r="E34" i="56" a="1"/>
  <c r="E34" i="56" s="1"/>
  <c r="E5" i="56" a="1"/>
  <c r="E5" i="56" s="1"/>
  <c r="D6" i="56" a="1"/>
  <c r="D6" i="56" s="1"/>
  <c r="D7" i="56" a="1"/>
  <c r="D7" i="56" s="1"/>
  <c r="D8" i="56" a="1"/>
  <c r="D8" i="56" s="1"/>
  <c r="D9" i="56" a="1"/>
  <c r="D9" i="56" s="1"/>
  <c r="D10" i="56" a="1"/>
  <c r="D10" i="56" s="1"/>
  <c r="D11" i="56" a="1"/>
  <c r="D11" i="56" s="1"/>
  <c r="D12" i="56" a="1"/>
  <c r="D12" i="56" s="1"/>
  <c r="D13" i="56" a="1"/>
  <c r="D13" i="56" s="1"/>
  <c r="D14" i="56" a="1"/>
  <c r="D14" i="56" s="1"/>
  <c r="D15" i="56" a="1"/>
  <c r="D15" i="56" s="1"/>
  <c r="D16" i="56" a="1"/>
  <c r="D16" i="56" s="1"/>
  <c r="D17" i="56" a="1"/>
  <c r="D17" i="56" s="1"/>
  <c r="D18" i="56" a="1"/>
  <c r="D18" i="56" s="1"/>
  <c r="D19" i="56" a="1"/>
  <c r="D19" i="56" s="1"/>
  <c r="D20" i="56" a="1"/>
  <c r="D20" i="56" s="1"/>
  <c r="D21" i="56" a="1"/>
  <c r="D21" i="56" s="1"/>
  <c r="D22" i="56" a="1"/>
  <c r="D22" i="56" s="1"/>
  <c r="D23" i="56" a="1"/>
  <c r="D23" i="56" s="1"/>
  <c r="D24" i="56" a="1"/>
  <c r="D24" i="56" s="1"/>
  <c r="D25" i="56" a="1"/>
  <c r="D25" i="56" s="1"/>
  <c r="D26" i="56" a="1"/>
  <c r="D26" i="56" s="1"/>
  <c r="D27" i="56" a="1"/>
  <c r="D27" i="56" s="1"/>
  <c r="D28" i="56" a="1"/>
  <c r="D28" i="56" s="1"/>
  <c r="D29" i="56" a="1"/>
  <c r="D29" i="56" s="1"/>
  <c r="D30" i="56" a="1"/>
  <c r="D30" i="56" s="1"/>
  <c r="D31" i="56" a="1"/>
  <c r="D31" i="56" s="1"/>
  <c r="D32" i="56" a="1"/>
  <c r="D32" i="56" s="1"/>
  <c r="D33" i="56" a="1"/>
  <c r="D33" i="56" s="1"/>
  <c r="D34" i="56" a="1"/>
  <c r="D34" i="56" s="1"/>
  <c r="D5" i="56" a="1"/>
  <c r="D5" i="56" s="1"/>
  <c r="U34" i="46" a="1"/>
  <c r="U34" i="46" s="1"/>
  <c r="S34" i="46" a="1"/>
  <c r="S34" i="46" s="1"/>
  <c r="U33" i="46" a="1"/>
  <c r="U33" i="46" s="1"/>
  <c r="S33" i="46" a="1"/>
  <c r="S33" i="46" s="1"/>
  <c r="U32" i="46" a="1"/>
  <c r="U32" i="46" s="1"/>
  <c r="S32" i="46" a="1"/>
  <c r="S32" i="46" s="1"/>
  <c r="U31" i="46" a="1"/>
  <c r="U31" i="46" s="1"/>
  <c r="S31" i="46" a="1"/>
  <c r="S31" i="46" s="1"/>
  <c r="U30" i="46" a="1"/>
  <c r="U30" i="46" s="1"/>
  <c r="S30" i="46" a="1"/>
  <c r="S30" i="46" s="1"/>
  <c r="U29" i="46" a="1"/>
  <c r="U29" i="46" s="1"/>
  <c r="S29" i="46" a="1"/>
  <c r="S29" i="46" s="1"/>
  <c r="U28" i="46" a="1"/>
  <c r="U28" i="46" s="1"/>
  <c r="S28" i="46" a="1"/>
  <c r="S28" i="46" s="1"/>
  <c r="U27" i="46" a="1"/>
  <c r="U27" i="46" s="1"/>
  <c r="S27" i="46" a="1"/>
  <c r="S27" i="46" s="1"/>
  <c r="U26" i="46" a="1"/>
  <c r="U26" i="46" s="1"/>
  <c r="S26" i="46" a="1"/>
  <c r="S26" i="46" s="1"/>
  <c r="U25" i="46" a="1"/>
  <c r="U25" i="46" s="1"/>
  <c r="S25" i="46" a="1"/>
  <c r="S25" i="46" s="1"/>
  <c r="U24" i="46" a="1"/>
  <c r="U24" i="46" s="1"/>
  <c r="S24" i="46" a="1"/>
  <c r="S24" i="46" s="1"/>
  <c r="U23" i="46" a="1"/>
  <c r="U23" i="46" s="1"/>
  <c r="S23" i="46" a="1"/>
  <c r="S23" i="46" s="1"/>
  <c r="U22" i="46" a="1"/>
  <c r="U22" i="46" s="1"/>
  <c r="S22" i="46" a="1"/>
  <c r="S22" i="46" s="1"/>
  <c r="U21" i="46" a="1"/>
  <c r="U21" i="46" s="1"/>
  <c r="S21" i="46" a="1"/>
  <c r="S21" i="46" s="1"/>
  <c r="U20" i="46" a="1"/>
  <c r="U20" i="46" s="1"/>
  <c r="S20" i="46" a="1"/>
  <c r="S20" i="46" s="1"/>
  <c r="U19" i="46" a="1"/>
  <c r="U19" i="46" s="1"/>
  <c r="S19" i="46" a="1"/>
  <c r="S19" i="46" s="1"/>
  <c r="U18" i="46" a="1"/>
  <c r="U18" i="46" s="1"/>
  <c r="S18" i="46" a="1"/>
  <c r="S18" i="46" s="1"/>
  <c r="U17" i="46" a="1"/>
  <c r="U17" i="46" s="1"/>
  <c r="S17" i="46" a="1"/>
  <c r="S17" i="46" s="1"/>
  <c r="U16" i="46" a="1"/>
  <c r="U16" i="46" s="1"/>
  <c r="S16" i="46" a="1"/>
  <c r="S16" i="46" s="1"/>
  <c r="U15" i="46" a="1"/>
  <c r="U15" i="46" s="1"/>
  <c r="S15" i="46" a="1"/>
  <c r="S15" i="46" s="1"/>
  <c r="U14" i="46" a="1"/>
  <c r="U14" i="46" s="1"/>
  <c r="S14" i="46" a="1"/>
  <c r="S14" i="46" s="1"/>
  <c r="U13" i="46" a="1"/>
  <c r="U13" i="46" s="1"/>
  <c r="S13" i="46" a="1"/>
  <c r="S13" i="46" s="1"/>
  <c r="U12" i="46" a="1"/>
  <c r="U12" i="46" s="1"/>
  <c r="S12" i="46" a="1"/>
  <c r="S12" i="46" s="1"/>
  <c r="U11" i="46" a="1"/>
  <c r="U11" i="46" s="1"/>
  <c r="S11" i="46" a="1"/>
  <c r="S11" i="46" s="1"/>
  <c r="U10" i="46" a="1"/>
  <c r="U10" i="46" s="1"/>
  <c r="S10" i="46" a="1"/>
  <c r="S10" i="46" s="1"/>
  <c r="U9" i="46" a="1"/>
  <c r="U9" i="46" s="1"/>
  <c r="S9" i="46" a="1"/>
  <c r="S9" i="46" s="1"/>
  <c r="U8" i="46" a="1"/>
  <c r="U8" i="46" s="1"/>
  <c r="S8" i="46" a="1"/>
  <c r="S8" i="46" s="1"/>
  <c r="U7" i="46" a="1"/>
  <c r="U7" i="46" s="1"/>
  <c r="S7" i="46" a="1"/>
  <c r="S7" i="46" s="1"/>
  <c r="U6" i="46" a="1"/>
  <c r="U6" i="46" s="1"/>
  <c r="S6" i="46" a="1"/>
  <c r="S6" i="46" s="1"/>
  <c r="U5" i="46" a="1"/>
  <c r="U5" i="46" s="1"/>
  <c r="S5" i="46" a="1"/>
  <c r="S5" i="46" s="1"/>
  <c r="R34" i="46" a="1"/>
  <c r="R34" i="46" s="1"/>
  <c r="P34" i="46" a="1"/>
  <c r="P34" i="46" s="1"/>
  <c r="O34" i="46" a="1"/>
  <c r="O34" i="46" s="1"/>
  <c r="M34" i="46" a="1"/>
  <c r="M34" i="46" s="1"/>
  <c r="L34" i="46" a="1"/>
  <c r="L34" i="46" s="1"/>
  <c r="J34" i="46" a="1"/>
  <c r="J34" i="46" s="1"/>
  <c r="I34" i="46" a="1"/>
  <c r="I34" i="46" s="1"/>
  <c r="G34" i="46" a="1"/>
  <c r="G34" i="46" s="1"/>
  <c r="F34" i="46" a="1"/>
  <c r="F34" i="46" s="1"/>
  <c r="D34" i="46" a="1"/>
  <c r="D34" i="46" s="1"/>
  <c r="R33" i="46" a="1"/>
  <c r="R33" i="46" s="1"/>
  <c r="P33" i="46" a="1"/>
  <c r="P33" i="46" s="1"/>
  <c r="O33" i="46" a="1"/>
  <c r="O33" i="46" s="1"/>
  <c r="M33" i="46" a="1"/>
  <c r="M33" i="46" s="1"/>
  <c r="L33" i="46" a="1"/>
  <c r="L33" i="46" s="1"/>
  <c r="J33" i="46" a="1"/>
  <c r="J33" i="46" s="1"/>
  <c r="I33" i="46" a="1"/>
  <c r="I33" i="46" s="1"/>
  <c r="G33" i="46" a="1"/>
  <c r="G33" i="46" s="1"/>
  <c r="F33" i="46" a="1"/>
  <c r="F33" i="46" s="1"/>
  <c r="D33" i="46" a="1"/>
  <c r="D33" i="46" s="1"/>
  <c r="R32" i="46" a="1"/>
  <c r="R32" i="46" s="1"/>
  <c r="P32" i="46" a="1"/>
  <c r="P32" i="46" s="1"/>
  <c r="O32" i="46" a="1"/>
  <c r="O32" i="46" s="1"/>
  <c r="M32" i="46" a="1"/>
  <c r="M32" i="46" s="1"/>
  <c r="L32" i="46" a="1"/>
  <c r="L32" i="46" s="1"/>
  <c r="J32" i="46" a="1"/>
  <c r="J32" i="46" s="1"/>
  <c r="I32" i="46" a="1"/>
  <c r="I32" i="46" s="1"/>
  <c r="G32" i="46" a="1"/>
  <c r="G32" i="46" s="1"/>
  <c r="F32" i="46" a="1"/>
  <c r="F32" i="46" s="1"/>
  <c r="D32" i="46" a="1"/>
  <c r="D32" i="46" s="1"/>
  <c r="R31" i="46" a="1"/>
  <c r="R31" i="46" s="1"/>
  <c r="P31" i="46" a="1"/>
  <c r="P31" i="46" s="1"/>
  <c r="O31" i="46" a="1"/>
  <c r="O31" i="46" s="1"/>
  <c r="M31" i="46" a="1"/>
  <c r="M31" i="46" s="1"/>
  <c r="L31" i="46" a="1"/>
  <c r="L31" i="46" s="1"/>
  <c r="J31" i="46" a="1"/>
  <c r="J31" i="46" s="1"/>
  <c r="I31" i="46" a="1"/>
  <c r="I31" i="46" s="1"/>
  <c r="G31" i="46" a="1"/>
  <c r="G31" i="46" s="1"/>
  <c r="F31" i="46" a="1"/>
  <c r="F31" i="46" s="1"/>
  <c r="D31" i="46" a="1"/>
  <c r="D31" i="46" s="1"/>
  <c r="R30" i="46" a="1"/>
  <c r="R30" i="46" s="1"/>
  <c r="P30" i="46" a="1"/>
  <c r="P30" i="46" s="1"/>
  <c r="O30" i="46" a="1"/>
  <c r="O30" i="46" s="1"/>
  <c r="M30" i="46" a="1"/>
  <c r="M30" i="46" s="1"/>
  <c r="L30" i="46" a="1"/>
  <c r="L30" i="46" s="1"/>
  <c r="J30" i="46" a="1"/>
  <c r="J30" i="46" s="1"/>
  <c r="I30" i="46" a="1"/>
  <c r="I30" i="46" s="1"/>
  <c r="G30" i="46" a="1"/>
  <c r="G30" i="46" s="1"/>
  <c r="F30" i="46" a="1"/>
  <c r="F30" i="46" s="1"/>
  <c r="D30" i="46" a="1"/>
  <c r="D30" i="46" s="1"/>
  <c r="R29" i="46" a="1"/>
  <c r="R29" i="46" s="1"/>
  <c r="P29" i="46" a="1"/>
  <c r="P29" i="46" s="1"/>
  <c r="O29" i="46" a="1"/>
  <c r="O29" i="46" s="1"/>
  <c r="M29" i="46" a="1"/>
  <c r="M29" i="46" s="1"/>
  <c r="L29" i="46" a="1"/>
  <c r="L29" i="46" s="1"/>
  <c r="J29" i="46" a="1"/>
  <c r="J29" i="46" s="1"/>
  <c r="I29" i="46" a="1"/>
  <c r="I29" i="46" s="1"/>
  <c r="G29" i="46" a="1"/>
  <c r="G29" i="46" s="1"/>
  <c r="F29" i="46" a="1"/>
  <c r="F29" i="46" s="1"/>
  <c r="D29" i="46" a="1"/>
  <c r="D29" i="46" s="1"/>
  <c r="R28" i="46" a="1"/>
  <c r="R28" i="46" s="1"/>
  <c r="P28" i="46" a="1"/>
  <c r="P28" i="46" s="1"/>
  <c r="O28" i="46" a="1"/>
  <c r="O28" i="46" s="1"/>
  <c r="M28" i="46" a="1"/>
  <c r="M28" i="46" s="1"/>
  <c r="L28" i="46" a="1"/>
  <c r="L28" i="46" s="1"/>
  <c r="J28" i="46" a="1"/>
  <c r="J28" i="46" s="1"/>
  <c r="I28" i="46" a="1"/>
  <c r="I28" i="46" s="1"/>
  <c r="G28" i="46" a="1"/>
  <c r="G28" i="46" s="1"/>
  <c r="F28" i="46" a="1"/>
  <c r="F28" i="46" s="1"/>
  <c r="D28" i="46" a="1"/>
  <c r="D28" i="46" s="1"/>
  <c r="R27" i="46" a="1"/>
  <c r="R27" i="46" s="1"/>
  <c r="P27" i="46" a="1"/>
  <c r="P27" i="46" s="1"/>
  <c r="O27" i="46" a="1"/>
  <c r="O27" i="46" s="1"/>
  <c r="M27" i="46" a="1"/>
  <c r="M27" i="46" s="1"/>
  <c r="L27" i="46" a="1"/>
  <c r="L27" i="46" s="1"/>
  <c r="J27" i="46" a="1"/>
  <c r="J27" i="46" s="1"/>
  <c r="I27" i="46" a="1"/>
  <c r="I27" i="46" s="1"/>
  <c r="G27" i="46" a="1"/>
  <c r="G27" i="46" s="1"/>
  <c r="F27" i="46" a="1"/>
  <c r="F27" i="46" s="1"/>
  <c r="D27" i="46" a="1"/>
  <c r="D27" i="46" s="1"/>
  <c r="R26" i="46" a="1"/>
  <c r="R26" i="46" s="1"/>
  <c r="P26" i="46" a="1"/>
  <c r="P26" i="46" s="1"/>
  <c r="O26" i="46" a="1"/>
  <c r="O26" i="46" s="1"/>
  <c r="M26" i="46" a="1"/>
  <c r="M26" i="46" s="1"/>
  <c r="L26" i="46" a="1"/>
  <c r="L26" i="46" s="1"/>
  <c r="J26" i="46" a="1"/>
  <c r="J26" i="46" s="1"/>
  <c r="I26" i="46" a="1"/>
  <c r="I26" i="46" s="1"/>
  <c r="G26" i="46" a="1"/>
  <c r="G26" i="46" s="1"/>
  <c r="F26" i="46" a="1"/>
  <c r="F26" i="46" s="1"/>
  <c r="D26" i="46" a="1"/>
  <c r="D26" i="46" s="1"/>
  <c r="R25" i="46" a="1"/>
  <c r="R25" i="46" s="1"/>
  <c r="P25" i="46" a="1"/>
  <c r="P25" i="46" s="1"/>
  <c r="O25" i="46" a="1"/>
  <c r="O25" i="46" s="1"/>
  <c r="M25" i="46" a="1"/>
  <c r="M25" i="46" s="1"/>
  <c r="L25" i="46" a="1"/>
  <c r="L25" i="46" s="1"/>
  <c r="J25" i="46" a="1"/>
  <c r="J25" i="46" s="1"/>
  <c r="I25" i="46" a="1"/>
  <c r="I25" i="46" s="1"/>
  <c r="G25" i="46" a="1"/>
  <c r="G25" i="46" s="1"/>
  <c r="F25" i="46" a="1"/>
  <c r="F25" i="46" s="1"/>
  <c r="D25" i="46" a="1"/>
  <c r="D25" i="46" s="1"/>
  <c r="R24" i="46" a="1"/>
  <c r="R24" i="46" s="1"/>
  <c r="P24" i="46" a="1"/>
  <c r="P24" i="46" s="1"/>
  <c r="O24" i="46" a="1"/>
  <c r="O24" i="46" s="1"/>
  <c r="M24" i="46" a="1"/>
  <c r="M24" i="46" s="1"/>
  <c r="L24" i="46" a="1"/>
  <c r="L24" i="46" s="1"/>
  <c r="J24" i="46" a="1"/>
  <c r="J24" i="46" s="1"/>
  <c r="I24" i="46" a="1"/>
  <c r="I24" i="46" s="1"/>
  <c r="G24" i="46" a="1"/>
  <c r="G24" i="46" s="1"/>
  <c r="F24" i="46" a="1"/>
  <c r="F24" i="46" s="1"/>
  <c r="D24" i="46" a="1"/>
  <c r="D24" i="46" s="1"/>
  <c r="R23" i="46" a="1"/>
  <c r="R23" i="46" s="1"/>
  <c r="P23" i="46" a="1"/>
  <c r="P23" i="46" s="1"/>
  <c r="O23" i="46" a="1"/>
  <c r="O23" i="46" s="1"/>
  <c r="M23" i="46" a="1"/>
  <c r="M23" i="46" s="1"/>
  <c r="L23" i="46" a="1"/>
  <c r="L23" i="46" s="1"/>
  <c r="J23" i="46" a="1"/>
  <c r="J23" i="46" s="1"/>
  <c r="I23" i="46" a="1"/>
  <c r="I23" i="46" s="1"/>
  <c r="G23" i="46" a="1"/>
  <c r="G23" i="46" s="1"/>
  <c r="F23" i="46" a="1"/>
  <c r="F23" i="46" s="1"/>
  <c r="D23" i="46" a="1"/>
  <c r="D23" i="46" s="1"/>
  <c r="R22" i="46" a="1"/>
  <c r="R22" i="46" s="1"/>
  <c r="P22" i="46" a="1"/>
  <c r="P22" i="46" s="1"/>
  <c r="O22" i="46" a="1"/>
  <c r="O22" i="46" s="1"/>
  <c r="M22" i="46" a="1"/>
  <c r="M22" i="46" s="1"/>
  <c r="L22" i="46" a="1"/>
  <c r="L22" i="46" s="1"/>
  <c r="J22" i="46" a="1"/>
  <c r="J22" i="46" s="1"/>
  <c r="I22" i="46" a="1"/>
  <c r="I22" i="46" s="1"/>
  <c r="G22" i="46" a="1"/>
  <c r="G22" i="46" s="1"/>
  <c r="F22" i="46" a="1"/>
  <c r="F22" i="46" s="1"/>
  <c r="D22" i="46" a="1"/>
  <c r="D22" i="46" s="1"/>
  <c r="R21" i="46" a="1"/>
  <c r="R21" i="46" s="1"/>
  <c r="P21" i="46" a="1"/>
  <c r="P21" i="46" s="1"/>
  <c r="O21" i="46" a="1"/>
  <c r="O21" i="46" s="1"/>
  <c r="M21" i="46" a="1"/>
  <c r="M21" i="46" s="1"/>
  <c r="L21" i="46" a="1"/>
  <c r="L21" i="46" s="1"/>
  <c r="J21" i="46" a="1"/>
  <c r="J21" i="46" s="1"/>
  <c r="I21" i="46" a="1"/>
  <c r="I21" i="46" s="1"/>
  <c r="G21" i="46" a="1"/>
  <c r="G21" i="46" s="1"/>
  <c r="F21" i="46" a="1"/>
  <c r="F21" i="46" s="1"/>
  <c r="D21" i="46" a="1"/>
  <c r="D21" i="46" s="1"/>
  <c r="R20" i="46" a="1"/>
  <c r="R20" i="46" s="1"/>
  <c r="P20" i="46" a="1"/>
  <c r="P20" i="46" s="1"/>
  <c r="O20" i="46" a="1"/>
  <c r="O20" i="46" s="1"/>
  <c r="M20" i="46" a="1"/>
  <c r="M20" i="46" s="1"/>
  <c r="L20" i="46" a="1"/>
  <c r="L20" i="46" s="1"/>
  <c r="J20" i="46" a="1"/>
  <c r="J20" i="46" s="1"/>
  <c r="I20" i="46" a="1"/>
  <c r="I20" i="46" s="1"/>
  <c r="G20" i="46" a="1"/>
  <c r="G20" i="46" s="1"/>
  <c r="F20" i="46" a="1"/>
  <c r="F20" i="46" s="1"/>
  <c r="D20" i="46" a="1"/>
  <c r="D20" i="46" s="1"/>
  <c r="R19" i="46" a="1"/>
  <c r="R19" i="46" s="1"/>
  <c r="P19" i="46" a="1"/>
  <c r="P19" i="46" s="1"/>
  <c r="O19" i="46" a="1"/>
  <c r="O19" i="46" s="1"/>
  <c r="M19" i="46" a="1"/>
  <c r="M19" i="46" s="1"/>
  <c r="L19" i="46" a="1"/>
  <c r="L19" i="46" s="1"/>
  <c r="J19" i="46" a="1"/>
  <c r="J19" i="46" s="1"/>
  <c r="I19" i="46" a="1"/>
  <c r="I19" i="46" s="1"/>
  <c r="G19" i="46" a="1"/>
  <c r="G19" i="46" s="1"/>
  <c r="F19" i="46" a="1"/>
  <c r="F19" i="46" s="1"/>
  <c r="D19" i="46" a="1"/>
  <c r="D19" i="46" s="1"/>
  <c r="R18" i="46" a="1"/>
  <c r="R18" i="46" s="1"/>
  <c r="P18" i="46" a="1"/>
  <c r="P18" i="46" s="1"/>
  <c r="O18" i="46" a="1"/>
  <c r="O18" i="46" s="1"/>
  <c r="M18" i="46" a="1"/>
  <c r="M18" i="46" s="1"/>
  <c r="L18" i="46" a="1"/>
  <c r="L18" i="46" s="1"/>
  <c r="J18" i="46" a="1"/>
  <c r="J18" i="46" s="1"/>
  <c r="I18" i="46" a="1"/>
  <c r="I18" i="46" s="1"/>
  <c r="G18" i="46" a="1"/>
  <c r="G18" i="46" s="1"/>
  <c r="F18" i="46" a="1"/>
  <c r="F18" i="46" s="1"/>
  <c r="D18" i="46" a="1"/>
  <c r="D18" i="46" s="1"/>
  <c r="R17" i="46" a="1"/>
  <c r="R17" i="46" s="1"/>
  <c r="P17" i="46" a="1"/>
  <c r="P17" i="46" s="1"/>
  <c r="O17" i="46" a="1"/>
  <c r="O17" i="46" s="1"/>
  <c r="M17" i="46" a="1"/>
  <c r="M17" i="46" s="1"/>
  <c r="L17" i="46" a="1"/>
  <c r="L17" i="46" s="1"/>
  <c r="J17" i="46" a="1"/>
  <c r="J17" i="46" s="1"/>
  <c r="I17" i="46" a="1"/>
  <c r="I17" i="46" s="1"/>
  <c r="G17" i="46" a="1"/>
  <c r="G17" i="46" s="1"/>
  <c r="F17" i="46" a="1"/>
  <c r="F17" i="46" s="1"/>
  <c r="D17" i="46" a="1"/>
  <c r="D17" i="46" s="1"/>
  <c r="R16" i="46" a="1"/>
  <c r="R16" i="46" s="1"/>
  <c r="P16" i="46" a="1"/>
  <c r="P16" i="46" s="1"/>
  <c r="O16" i="46" a="1"/>
  <c r="O16" i="46" s="1"/>
  <c r="M16" i="46" a="1"/>
  <c r="M16" i="46" s="1"/>
  <c r="L16" i="46" a="1"/>
  <c r="L16" i="46" s="1"/>
  <c r="J16" i="46" a="1"/>
  <c r="J16" i="46" s="1"/>
  <c r="I16" i="46" a="1"/>
  <c r="I16" i="46" s="1"/>
  <c r="G16" i="46" a="1"/>
  <c r="G16" i="46" s="1"/>
  <c r="F16" i="46" a="1"/>
  <c r="F16" i="46" s="1"/>
  <c r="D16" i="46" a="1"/>
  <c r="D16" i="46" s="1"/>
  <c r="R15" i="46" a="1"/>
  <c r="R15" i="46" s="1"/>
  <c r="P15" i="46" a="1"/>
  <c r="P15" i="46" s="1"/>
  <c r="O15" i="46" a="1"/>
  <c r="O15" i="46" s="1"/>
  <c r="M15" i="46" a="1"/>
  <c r="M15" i="46" s="1"/>
  <c r="L15" i="46" a="1"/>
  <c r="L15" i="46" s="1"/>
  <c r="J15" i="46" a="1"/>
  <c r="J15" i="46" s="1"/>
  <c r="I15" i="46" a="1"/>
  <c r="I15" i="46" s="1"/>
  <c r="G15" i="46" a="1"/>
  <c r="G15" i="46" s="1"/>
  <c r="F15" i="46" a="1"/>
  <c r="F15" i="46" s="1"/>
  <c r="D15" i="46" a="1"/>
  <c r="D15" i="46" s="1"/>
  <c r="R14" i="46" a="1"/>
  <c r="R14" i="46" s="1"/>
  <c r="P14" i="46" a="1"/>
  <c r="P14" i="46" s="1"/>
  <c r="O14" i="46" a="1"/>
  <c r="O14" i="46" s="1"/>
  <c r="M14" i="46" a="1"/>
  <c r="M14" i="46" s="1"/>
  <c r="L14" i="46" a="1"/>
  <c r="L14" i="46" s="1"/>
  <c r="J14" i="46" a="1"/>
  <c r="J14" i="46" s="1"/>
  <c r="I14" i="46" a="1"/>
  <c r="I14" i="46" s="1"/>
  <c r="G14" i="46" a="1"/>
  <c r="G14" i="46" s="1"/>
  <c r="F14" i="46" a="1"/>
  <c r="F14" i="46" s="1"/>
  <c r="D14" i="46" a="1"/>
  <c r="D14" i="46" s="1"/>
  <c r="R13" i="46" a="1"/>
  <c r="R13" i="46" s="1"/>
  <c r="P13" i="46" a="1"/>
  <c r="P13" i="46" s="1"/>
  <c r="O13" i="46" a="1"/>
  <c r="O13" i="46" s="1"/>
  <c r="M13" i="46" a="1"/>
  <c r="M13" i="46" s="1"/>
  <c r="L13" i="46" a="1"/>
  <c r="L13" i="46" s="1"/>
  <c r="J13" i="46" a="1"/>
  <c r="J13" i="46" s="1"/>
  <c r="I13" i="46" a="1"/>
  <c r="I13" i="46" s="1"/>
  <c r="G13" i="46" a="1"/>
  <c r="G13" i="46" s="1"/>
  <c r="F13" i="46" a="1"/>
  <c r="F13" i="46" s="1"/>
  <c r="D13" i="46" a="1"/>
  <c r="D13" i="46" s="1"/>
  <c r="R12" i="46" a="1"/>
  <c r="R12" i="46" s="1"/>
  <c r="P12" i="46" a="1"/>
  <c r="P12" i="46" s="1"/>
  <c r="O12" i="46" a="1"/>
  <c r="O12" i="46" s="1"/>
  <c r="M12" i="46" a="1"/>
  <c r="M12" i="46" s="1"/>
  <c r="L12" i="46" a="1"/>
  <c r="L12" i="46" s="1"/>
  <c r="J12" i="46" a="1"/>
  <c r="J12" i="46" s="1"/>
  <c r="I12" i="46" a="1"/>
  <c r="I12" i="46" s="1"/>
  <c r="G12" i="46" a="1"/>
  <c r="G12" i="46" s="1"/>
  <c r="F12" i="46" a="1"/>
  <c r="F12" i="46" s="1"/>
  <c r="D12" i="46" a="1"/>
  <c r="D12" i="46" s="1"/>
  <c r="R11" i="46" a="1"/>
  <c r="R11" i="46" s="1"/>
  <c r="P11" i="46" a="1"/>
  <c r="P11" i="46" s="1"/>
  <c r="O11" i="46" a="1"/>
  <c r="O11" i="46" s="1"/>
  <c r="M11" i="46" a="1"/>
  <c r="M11" i="46" s="1"/>
  <c r="L11" i="46" a="1"/>
  <c r="L11" i="46" s="1"/>
  <c r="J11" i="46" a="1"/>
  <c r="J11" i="46" s="1"/>
  <c r="I11" i="46" a="1"/>
  <c r="I11" i="46" s="1"/>
  <c r="G11" i="46" a="1"/>
  <c r="G11" i="46" s="1"/>
  <c r="F11" i="46" a="1"/>
  <c r="F11" i="46" s="1"/>
  <c r="D11" i="46" a="1"/>
  <c r="D11" i="46" s="1"/>
  <c r="R10" i="46" a="1"/>
  <c r="R10" i="46" s="1"/>
  <c r="P10" i="46" a="1"/>
  <c r="P10" i="46" s="1"/>
  <c r="O10" i="46" a="1"/>
  <c r="O10" i="46" s="1"/>
  <c r="M10" i="46" a="1"/>
  <c r="M10" i="46" s="1"/>
  <c r="L10" i="46" a="1"/>
  <c r="L10" i="46" s="1"/>
  <c r="J10" i="46" a="1"/>
  <c r="J10" i="46" s="1"/>
  <c r="I10" i="46" a="1"/>
  <c r="I10" i="46" s="1"/>
  <c r="G10" i="46" a="1"/>
  <c r="G10" i="46" s="1"/>
  <c r="F10" i="46" a="1"/>
  <c r="F10" i="46" s="1"/>
  <c r="D10" i="46" a="1"/>
  <c r="D10" i="46" s="1"/>
  <c r="R9" i="46" a="1"/>
  <c r="R9" i="46" s="1"/>
  <c r="P9" i="46" a="1"/>
  <c r="P9" i="46" s="1"/>
  <c r="O9" i="46" a="1"/>
  <c r="O9" i="46" s="1"/>
  <c r="M9" i="46" a="1"/>
  <c r="M9" i="46" s="1"/>
  <c r="L9" i="46" a="1"/>
  <c r="L9" i="46" s="1"/>
  <c r="J9" i="46" a="1"/>
  <c r="J9" i="46" s="1"/>
  <c r="I9" i="46" a="1"/>
  <c r="I9" i="46" s="1"/>
  <c r="G9" i="46" a="1"/>
  <c r="G9" i="46" s="1"/>
  <c r="F9" i="46" a="1"/>
  <c r="F9" i="46" s="1"/>
  <c r="D9" i="46" a="1"/>
  <c r="D9" i="46" s="1"/>
  <c r="R8" i="46" a="1"/>
  <c r="R8" i="46" s="1"/>
  <c r="P8" i="46" a="1"/>
  <c r="P8" i="46" s="1"/>
  <c r="O8" i="46" a="1"/>
  <c r="O8" i="46" s="1"/>
  <c r="M8" i="46" a="1"/>
  <c r="M8" i="46" s="1"/>
  <c r="L8" i="46" a="1"/>
  <c r="L8" i="46" s="1"/>
  <c r="J8" i="46" a="1"/>
  <c r="J8" i="46" s="1"/>
  <c r="I8" i="46" a="1"/>
  <c r="I8" i="46" s="1"/>
  <c r="G8" i="46" a="1"/>
  <c r="G8" i="46" s="1"/>
  <c r="F8" i="46" a="1"/>
  <c r="F8" i="46" s="1"/>
  <c r="D8" i="46" a="1"/>
  <c r="D8" i="46" s="1"/>
  <c r="R7" i="46" a="1"/>
  <c r="R7" i="46" s="1"/>
  <c r="P7" i="46" a="1"/>
  <c r="P7" i="46" s="1"/>
  <c r="O7" i="46" a="1"/>
  <c r="O7" i="46" s="1"/>
  <c r="M7" i="46" a="1"/>
  <c r="M7" i="46" s="1"/>
  <c r="L7" i="46" a="1"/>
  <c r="L7" i="46" s="1"/>
  <c r="J7" i="46" a="1"/>
  <c r="J7" i="46" s="1"/>
  <c r="I7" i="46" a="1"/>
  <c r="I7" i="46" s="1"/>
  <c r="G7" i="46" a="1"/>
  <c r="G7" i="46" s="1"/>
  <c r="F7" i="46" a="1"/>
  <c r="F7" i="46" s="1"/>
  <c r="D7" i="46" a="1"/>
  <c r="D7" i="46" s="1"/>
  <c r="R6" i="46" a="1"/>
  <c r="R6" i="46" s="1"/>
  <c r="P6" i="46" a="1"/>
  <c r="P6" i="46" s="1"/>
  <c r="O6" i="46" a="1"/>
  <c r="O6" i="46" s="1"/>
  <c r="M6" i="46" a="1"/>
  <c r="M6" i="46" s="1"/>
  <c r="L6" i="46" a="1"/>
  <c r="L6" i="46" s="1"/>
  <c r="J6" i="46" a="1"/>
  <c r="J6" i="46" s="1"/>
  <c r="I6" i="46" a="1"/>
  <c r="I6" i="46" s="1"/>
  <c r="G6" i="46" a="1"/>
  <c r="G6" i="46" s="1"/>
  <c r="F6" i="46" a="1"/>
  <c r="F6" i="46" s="1"/>
  <c r="D6" i="46" a="1"/>
  <c r="D6" i="46" s="1"/>
  <c r="R5" i="46" a="1"/>
  <c r="R5" i="46" s="1"/>
  <c r="P5" i="46" a="1"/>
  <c r="P5" i="46" s="1"/>
  <c r="O5" i="46" a="1"/>
  <c r="O5" i="46" s="1"/>
  <c r="M5" i="46" a="1"/>
  <c r="M5" i="46" s="1"/>
  <c r="L5" i="46" a="1"/>
  <c r="L5" i="46" s="1"/>
  <c r="J5" i="46" a="1"/>
  <c r="J5" i="46" s="1"/>
  <c r="I5" i="46" a="1"/>
  <c r="I5" i="46" s="1"/>
  <c r="G5" i="46" a="1"/>
  <c r="G5" i="46" s="1"/>
  <c r="F5" i="46" a="1"/>
  <c r="F5" i="46" s="1"/>
  <c r="D5" i="46" a="1"/>
  <c r="D5" i="46" s="1"/>
  <c r="AE4" i="35"/>
  <c r="V4" i="35"/>
  <c r="AF4" i="35"/>
  <c r="AG4" i="35"/>
  <c r="AC4" i="35"/>
  <c r="AB4" i="35"/>
  <c r="AA4" i="35"/>
  <c r="Y4" i="35"/>
  <c r="AD4" i="35"/>
  <c r="Z4" i="35"/>
  <c r="N7" i="46" a="1"/>
  <c r="N7" i="46" s="1"/>
  <c r="K8" i="46" a="1"/>
  <c r="K8" i="46" s="1"/>
  <c r="H5" i="46" a="1"/>
  <c r="H5" i="46" s="1"/>
  <c r="N29" i="46" a="1"/>
  <c r="N29" i="46" s="1"/>
  <c r="T14" i="46" a="1"/>
  <c r="T14" i="46" s="1"/>
  <c r="H15" i="46" a="1"/>
  <c r="H15" i="46" s="1"/>
  <c r="H13" i="46" a="1"/>
  <c r="H13" i="46" s="1"/>
  <c r="Q32" i="46" a="1"/>
  <c r="Q32" i="46" s="1"/>
  <c r="E17" i="46" a="1"/>
  <c r="E17" i="46" s="1"/>
  <c r="N6" i="46" a="1"/>
  <c r="N6" i="46" s="1"/>
  <c r="T28" i="46" a="1"/>
  <c r="T28" i="46" s="1"/>
  <c r="T13" i="46" a="1"/>
  <c r="T13" i="46" s="1"/>
  <c r="T31" i="46" a="1"/>
  <c r="T31" i="46" s="1"/>
  <c r="T30" i="46" a="1"/>
  <c r="T30" i="46" s="1"/>
  <c r="E15" i="46" a="1"/>
  <c r="E15" i="46" s="1"/>
  <c r="K9" i="46" a="1"/>
  <c r="K9" i="46" s="1"/>
  <c r="N32" i="46" a="1"/>
  <c r="N32" i="46" s="1"/>
  <c r="T21" i="46" a="1"/>
  <c r="T21" i="46" s="1"/>
  <c r="H26" i="46" a="1"/>
  <c r="H26" i="46" s="1"/>
  <c r="T23" i="46" a="1"/>
  <c r="T23" i="46" s="1"/>
  <c r="H34" i="46" a="1"/>
  <c r="H34" i="46" s="1"/>
  <c r="K16" i="46" a="1"/>
  <c r="K16" i="46" s="1"/>
  <c r="Q33" i="46" a="1"/>
  <c r="Q33" i="46" s="1"/>
  <c r="T16" i="46" a="1"/>
  <c r="T16" i="46" s="1"/>
  <c r="Q19" i="46" a="1"/>
  <c r="Q19" i="46" s="1"/>
  <c r="Q20" i="46" a="1"/>
  <c r="Q20" i="46" s="1"/>
  <c r="N10" i="46" a="1"/>
  <c r="N10" i="46" s="1"/>
  <c r="T22" i="46" a="1"/>
  <c r="T22" i="46" s="1"/>
  <c r="T26" i="46" a="1"/>
  <c r="T26" i="46" s="1"/>
  <c r="Q6" i="46" a="1"/>
  <c r="Q6" i="46" s="1"/>
  <c r="E14" i="46" a="1"/>
  <c r="E14" i="46" s="1"/>
  <c r="K26" i="46" a="1"/>
  <c r="K26" i="46" s="1"/>
  <c r="H18" i="46" a="1"/>
  <c r="H18" i="46" s="1"/>
  <c r="H17" i="46" a="1"/>
  <c r="H17" i="46" s="1"/>
  <c r="H28" i="46" a="1"/>
  <c r="H28" i="46" s="1"/>
  <c r="K15" i="46" a="1"/>
  <c r="K15" i="46" s="1"/>
  <c r="H29" i="46" a="1"/>
  <c r="H29" i="46" s="1"/>
  <c r="N22" i="46" a="1"/>
  <c r="N22" i="46" s="1"/>
  <c r="H16" i="46" a="1"/>
  <c r="H16" i="46" s="1"/>
  <c r="N20" i="46" a="1"/>
  <c r="N20" i="46" s="1"/>
  <c r="T15" i="46" a="1"/>
  <c r="T15" i="46" s="1"/>
  <c r="N23" i="46" a="1"/>
  <c r="N23" i="46" s="1"/>
  <c r="K13" i="46" a="1"/>
  <c r="K13" i="46" s="1"/>
  <c r="K10" i="46" a="1"/>
  <c r="K10" i="46" s="1"/>
  <c r="T8" i="46" a="1"/>
  <c r="T8" i="46" s="1"/>
  <c r="N18" i="46" a="1"/>
  <c r="N18" i="46" s="1"/>
  <c r="T9" i="46" a="1"/>
  <c r="T9" i="46" s="1"/>
  <c r="K20" i="46" a="1"/>
  <c r="K20" i="46" s="1"/>
  <c r="Q11" i="46" a="1"/>
  <c r="Q11" i="46" s="1"/>
  <c r="N21" i="46" a="1"/>
  <c r="N21" i="46" s="1"/>
  <c r="N17" i="46" a="1"/>
  <c r="N17" i="46" s="1"/>
  <c r="N27" i="46" a="1"/>
  <c r="N27" i="46" s="1"/>
  <c r="Q29" i="46" a="1"/>
  <c r="Q29" i="46" s="1"/>
  <c r="K29" i="46" a="1"/>
  <c r="K29" i="46" s="1"/>
  <c r="T24" i="46" a="1"/>
  <c r="T24" i="46" s="1"/>
  <c r="T7" i="46" a="1"/>
  <c r="T7" i="46" s="1"/>
  <c r="K18" i="46" a="1"/>
  <c r="K18" i="46" s="1"/>
  <c r="K23" i="46" a="1"/>
  <c r="K23" i="46" s="1"/>
  <c r="E28" i="46" a="1"/>
  <c r="E28" i="46" s="1"/>
  <c r="E20" i="46" a="1"/>
  <c r="E20" i="46" s="1"/>
  <c r="K34" i="46" a="1"/>
  <c r="K34" i="46" s="1"/>
  <c r="T11" i="46" a="1"/>
  <c r="T11" i="46" s="1"/>
  <c r="Q9" i="46" a="1"/>
  <c r="Q9" i="46" s="1"/>
  <c r="N12" i="46" a="1"/>
  <c r="N12" i="46" s="1"/>
  <c r="H11" i="46" a="1"/>
  <c r="H11" i="46" s="1"/>
  <c r="N19" i="46" a="1"/>
  <c r="N19" i="46" s="1"/>
  <c r="K30" i="46" a="1"/>
  <c r="K30" i="46" s="1"/>
  <c r="H14" i="46" a="1"/>
  <c r="H14" i="46" s="1"/>
  <c r="Q34" i="46" a="1"/>
  <c r="Q34" i="46" s="1"/>
  <c r="K24" i="46" a="1"/>
  <c r="K24" i="46" s="1"/>
  <c r="H21" i="46" a="1"/>
  <c r="H21" i="46" s="1"/>
  <c r="Q22" i="46" a="1"/>
  <c r="Q22" i="46" s="1"/>
  <c r="N34" i="46" a="1"/>
  <c r="N34" i="46" s="1"/>
  <c r="T34" i="46" a="1"/>
  <c r="T34" i="46" s="1"/>
  <c r="Q18" i="46" a="1"/>
  <c r="Q18" i="46" s="1"/>
  <c r="Q8" i="46" a="1"/>
  <c r="Q8" i="46" s="1"/>
  <c r="Q26" i="46" a="1"/>
  <c r="Q26" i="46" s="1"/>
  <c r="E22" i="46" a="1"/>
  <c r="E22" i="46" s="1"/>
  <c r="H31" i="46" a="1"/>
  <c r="H31" i="46" s="1"/>
  <c r="T12" i="46" a="1"/>
  <c r="T12" i="46" s="1"/>
  <c r="E23" i="46" a="1"/>
  <c r="E23" i="46" s="1"/>
  <c r="K7" i="46" a="1"/>
  <c r="K7" i="46" s="1"/>
  <c r="Q25" i="46" a="1"/>
  <c r="Q25" i="46" s="1"/>
  <c r="N14" i="46" a="1"/>
  <c r="N14" i="46" s="1"/>
  <c r="E13" i="46" a="1"/>
  <c r="E13" i="46" s="1"/>
  <c r="E7" i="46" a="1"/>
  <c r="E7" i="46" s="1"/>
  <c r="N25" i="46" a="1"/>
  <c r="N25" i="46" s="1"/>
  <c r="N9" i="46" a="1"/>
  <c r="N9" i="46" s="1"/>
  <c r="K6" i="46" a="1"/>
  <c r="K6" i="46" s="1"/>
  <c r="K19" i="46" a="1"/>
  <c r="K19" i="46" s="1"/>
  <c r="E25" i="46" a="1"/>
  <c r="E25" i="46" s="1"/>
  <c r="H7" i="46" a="1"/>
  <c r="H7" i="46" s="1"/>
  <c r="H33" i="46" a="1"/>
  <c r="H33" i="46" s="1"/>
  <c r="T29" i="46" a="1"/>
  <c r="T29" i="46" s="1"/>
  <c r="Q21" i="46" a="1"/>
  <c r="Q21" i="46" s="1"/>
  <c r="N24" i="46" a="1"/>
  <c r="N24" i="46" s="1"/>
  <c r="H10" i="46" a="1"/>
  <c r="H10" i="46" s="1"/>
  <c r="K28" i="46" a="1"/>
  <c r="K28" i="46" s="1"/>
  <c r="K14" i="46" a="1"/>
  <c r="K14" i="46" s="1"/>
  <c r="H9" i="46" a="1"/>
  <c r="H9" i="46" s="1"/>
  <c r="E6" i="46" a="1"/>
  <c r="E6" i="46" s="1"/>
  <c r="Q5" i="46" a="1"/>
  <c r="Q5" i="46" s="1"/>
  <c r="E11" i="46" a="1"/>
  <c r="E11" i="46" s="1"/>
  <c r="Q28" i="46" a="1"/>
  <c r="Q28" i="46" s="1"/>
  <c r="E9" i="46" a="1"/>
  <c r="E9" i="46" s="1"/>
  <c r="T20" i="46" a="1"/>
  <c r="T20" i="46" s="1"/>
  <c r="H8" i="46" a="1"/>
  <c r="H8" i="46" s="1"/>
  <c r="K25" i="46" a="1"/>
  <c r="K25" i="46" s="1"/>
  <c r="H12" i="46" a="1"/>
  <c r="H12" i="46" s="1"/>
  <c r="K21" i="46" a="1"/>
  <c r="K21" i="46" s="1"/>
  <c r="N31" i="46" a="1"/>
  <c r="N31" i="46" s="1"/>
  <c r="E8" i="46" a="1"/>
  <c r="E8" i="46" s="1"/>
  <c r="Q24" i="46" a="1"/>
  <c r="Q24" i="46" s="1"/>
  <c r="N13" i="46" a="1"/>
  <c r="N13" i="46" s="1"/>
  <c r="E29" i="46" a="1"/>
  <c r="E29" i="46" s="1"/>
  <c r="N30" i="46" a="1"/>
  <c r="N30" i="46" s="1"/>
  <c r="K32" i="46" a="1"/>
  <c r="K32" i="46" s="1"/>
  <c r="H25" i="46" a="1"/>
  <c r="H25" i="46" s="1"/>
  <c r="H30" i="46" a="1"/>
  <c r="H30" i="46" s="1"/>
  <c r="T5" i="46" a="1"/>
  <c r="T5" i="46" s="1"/>
  <c r="E19" i="46" a="1"/>
  <c r="E19" i="46" s="1"/>
  <c r="Q31" i="46" a="1"/>
  <c r="Q31" i="46" s="1"/>
  <c r="K33" i="46" a="1"/>
  <c r="K33" i="46" s="1"/>
  <c r="H6" i="46" a="1"/>
  <c r="H6" i="46" s="1"/>
  <c r="T18" i="46" a="1"/>
  <c r="T18" i="46" s="1"/>
  <c r="Q30" i="46" a="1"/>
  <c r="Q30" i="46" s="1"/>
  <c r="E5" i="46" a="1"/>
  <c r="E5" i="46" s="1"/>
  <c r="T27" i="46" a="1"/>
  <c r="T27" i="46" s="1"/>
  <c r="Q7" i="46" a="1"/>
  <c r="Q7" i="46" s="1"/>
  <c r="K22" i="46" a="1"/>
  <c r="K22" i="46" s="1"/>
  <c r="Q27" i="46" a="1"/>
  <c r="Q27" i="46" s="1"/>
  <c r="H19" i="46" a="1"/>
  <c r="H19" i="46" s="1"/>
  <c r="N8" i="46" a="1"/>
  <c r="N8" i="46" s="1"/>
  <c r="Q14" i="46" a="1"/>
  <c r="Q14" i="46" s="1"/>
  <c r="Q16" i="46" a="1"/>
  <c r="Q16" i="46" s="1"/>
  <c r="T25" i="46" a="1"/>
  <c r="T25" i="46" s="1"/>
  <c r="T17" i="46" a="1"/>
  <c r="T17" i="46" s="1"/>
  <c r="E18" i="46" a="1"/>
  <c r="E18" i="46" s="1"/>
  <c r="N11" i="46" a="1"/>
  <c r="N11" i="46" s="1"/>
  <c r="T33" i="46" a="1"/>
  <c r="T33" i="46" s="1"/>
  <c r="T19" i="46" a="1"/>
  <c r="T19" i="46" s="1"/>
  <c r="K12" i="46" a="1"/>
  <c r="K12" i="46" s="1"/>
  <c r="E31" i="46" a="1"/>
  <c r="E31" i="46" s="1"/>
  <c r="E34" i="46" a="1"/>
  <c r="E34" i="46" s="1"/>
  <c r="E30" i="46" a="1"/>
  <c r="E30" i="46" s="1"/>
  <c r="E27" i="46" a="1"/>
  <c r="E27" i="46" s="1"/>
  <c r="Q12" i="46" a="1"/>
  <c r="Q12" i="46" s="1"/>
  <c r="H20" i="46" a="1"/>
  <c r="H20" i="46" s="1"/>
  <c r="E21" i="46" a="1"/>
  <c r="E21" i="46" s="1"/>
  <c r="E12" i="46" a="1"/>
  <c r="E12" i="46" s="1"/>
  <c r="E33" i="46" a="1"/>
  <c r="E33" i="46" s="1"/>
  <c r="T32" i="46" a="1"/>
  <c r="T32" i="46" s="1"/>
  <c r="Q13" i="46" a="1"/>
  <c r="Q13" i="46" s="1"/>
  <c r="H32" i="46" a="1"/>
  <c r="H32" i="46" s="1"/>
  <c r="E24" i="46" a="1"/>
  <c r="E24" i="46" s="1"/>
  <c r="Q17" i="46" a="1"/>
  <c r="Q17" i="46" s="1"/>
  <c r="E16" i="46" a="1"/>
  <c r="E16" i="46" s="1"/>
  <c r="Q15" i="46" a="1"/>
  <c r="Q15" i="46" s="1"/>
  <c r="E32" i="46" a="1"/>
  <c r="E32" i="46" s="1"/>
  <c r="K17" i="46" a="1"/>
  <c r="K17" i="46" s="1"/>
  <c r="Q10" i="46" a="1"/>
  <c r="Q10" i="46" s="1"/>
  <c r="N33" i="46" a="1"/>
  <c r="N33" i="46" s="1"/>
  <c r="N15" i="46" a="1"/>
  <c r="N15" i="46" s="1"/>
  <c r="H27" i="46" a="1"/>
  <c r="H27" i="46" s="1"/>
  <c r="H22" i="46" a="1"/>
  <c r="H22" i="46" s="1"/>
  <c r="K27" i="46" a="1"/>
  <c r="K27" i="46" s="1"/>
  <c r="H24" i="46" a="1"/>
  <c r="H24" i="46" s="1"/>
  <c r="T10" i="46" a="1"/>
  <c r="T10" i="46" s="1"/>
  <c r="K11" i="46" a="1"/>
  <c r="K11" i="46" s="1"/>
  <c r="K5" i="46" a="1"/>
  <c r="K5" i="46" s="1"/>
  <c r="Q23" i="46" a="1"/>
  <c r="Q23" i="46" s="1"/>
  <c r="K31" i="46" a="1"/>
  <c r="K31" i="46" s="1"/>
  <c r="N5" i="46" a="1"/>
  <c r="N5" i="46" s="1"/>
  <c r="N16" i="46" a="1"/>
  <c r="N16" i="46" s="1"/>
  <c r="N28" i="46" a="1"/>
  <c r="N28" i="46" s="1"/>
  <c r="H23" i="46" a="1"/>
  <c r="H23" i="46" s="1"/>
  <c r="E26" i="46" a="1"/>
  <c r="E26" i="46" s="1"/>
  <c r="N26" i="46" a="1"/>
  <c r="N26" i="46" s="1"/>
  <c r="T6" i="46" a="1"/>
  <c r="T6" i="46" s="1"/>
  <c r="E10" i="46" a="1"/>
  <c r="E10" i="46" s="1"/>
  <c r="J31" i="45" a="1"/>
  <c r="J9" i="45" a="1"/>
  <c r="AD44" i="35" l="1"/>
  <c r="Z44" i="35"/>
  <c r="AG44" i="35"/>
  <c r="Y44" i="35"/>
  <c r="W44" i="35"/>
  <c r="AC44" i="35"/>
  <c r="AF44" i="35"/>
  <c r="AE44" i="35"/>
  <c r="AA44" i="35"/>
  <c r="V44" i="35"/>
  <c r="AG48" i="35"/>
  <c r="AC48" i="35"/>
  <c r="Y48" i="35"/>
  <c r="AF48" i="35"/>
  <c r="AA48" i="35"/>
  <c r="AE48" i="35"/>
  <c r="Z48" i="35"/>
  <c r="AD48" i="35"/>
  <c r="W48" i="35"/>
  <c r="AB48" i="35"/>
  <c r="V48" i="35"/>
  <c r="Z218" i="33"/>
  <c r="AM76" i="33"/>
  <c r="AN76" i="33" s="1"/>
  <c r="J9" i="45"/>
  <c r="J31" i="45"/>
  <c r="AU76" i="33"/>
  <c r="Z76" i="33"/>
  <c r="AA3" i="59"/>
  <c r="AA96" i="59"/>
  <c r="AA50" i="59"/>
  <c r="AA82" i="59"/>
  <c r="A2" i="59"/>
  <c r="AA2" i="59" s="1"/>
  <c r="AA30" i="59"/>
  <c r="AR76" i="33"/>
  <c r="AS76" i="33"/>
  <c r="AV76" i="33"/>
  <c r="AP76" i="33"/>
  <c r="AQ76" i="33"/>
  <c r="AT76" i="33"/>
  <c r="O8" i="57"/>
  <c r="P8" i="57" s="1"/>
  <c r="O7" i="57"/>
  <c r="O6" i="57"/>
  <c r="O5" i="57"/>
  <c r="O4" i="57"/>
  <c r="O3" i="57"/>
  <c r="E8" i="57"/>
  <c r="E5" i="57"/>
  <c r="E6" i="57"/>
  <c r="E7" i="57"/>
  <c r="E4" i="57"/>
  <c r="D10" i="57"/>
  <c r="E11" i="57"/>
  <c r="D8" i="57"/>
  <c r="D9" i="57"/>
  <c r="D4" i="57"/>
  <c r="D6" i="57"/>
  <c r="D7" i="57"/>
  <c r="D13" i="57"/>
  <c r="D11" i="57"/>
  <c r="D5" i="57"/>
  <c r="E13" i="57"/>
  <c r="E9" i="57"/>
  <c r="E12" i="57"/>
  <c r="E10" i="57"/>
  <c r="D12" i="57"/>
  <c r="D3" i="57"/>
  <c r="E3" i="57"/>
  <c r="J9" i="57"/>
  <c r="J7" i="57"/>
  <c r="J8" i="57"/>
  <c r="J5" i="57"/>
  <c r="J6" i="57"/>
  <c r="J4" i="57"/>
  <c r="J3" i="57"/>
  <c r="I8" i="57"/>
  <c r="I9" i="57"/>
  <c r="I6" i="57"/>
  <c r="I7" i="57"/>
  <c r="I4" i="57"/>
  <c r="I5" i="57"/>
  <c r="I3" i="57"/>
  <c r="J11" i="57"/>
  <c r="I11" i="57"/>
  <c r="H11" i="57"/>
  <c r="C3" i="57"/>
  <c r="AA36" i="59"/>
  <c r="AA68" i="59"/>
  <c r="AA45" i="59"/>
  <c r="AA10" i="59"/>
  <c r="AA106" i="59"/>
  <c r="AA83" i="59"/>
  <c r="AA59" i="59"/>
  <c r="AA64" i="59"/>
  <c r="AA44" i="59"/>
  <c r="AA16" i="59"/>
  <c r="AA90" i="59"/>
  <c r="AA53" i="59"/>
  <c r="AA67" i="59"/>
  <c r="AA4" i="59"/>
  <c r="AA8" i="59"/>
  <c r="AA38" i="59"/>
  <c r="AA21" i="59"/>
  <c r="AA107" i="59"/>
  <c r="AA79" i="59"/>
  <c r="AA33" i="59"/>
  <c r="AA65" i="59"/>
  <c r="AA37" i="59"/>
  <c r="AA87" i="59"/>
  <c r="AA18" i="59"/>
  <c r="AA91" i="59"/>
  <c r="AA54" i="59"/>
  <c r="AA25" i="59"/>
  <c r="AA46" i="59"/>
  <c r="AA85" i="59"/>
  <c r="AA86" i="59"/>
  <c r="AA104" i="59"/>
  <c r="AA31" i="59"/>
  <c r="AA52" i="59"/>
  <c r="AA76" i="59"/>
  <c r="AA56" i="59"/>
  <c r="AA60" i="59"/>
  <c r="AA62" i="59"/>
  <c r="AA55" i="59"/>
  <c r="AA27" i="59"/>
  <c r="AA32" i="59"/>
  <c r="AA95" i="59"/>
  <c r="AA92" i="59"/>
  <c r="AA9" i="59"/>
  <c r="AA113" i="59"/>
  <c r="AA78" i="59"/>
  <c r="AA73" i="59"/>
  <c r="AA14" i="59"/>
  <c r="AA109" i="59"/>
  <c r="AA7" i="59"/>
  <c r="AA66" i="59"/>
  <c r="AA69" i="59"/>
  <c r="AA20" i="59"/>
  <c r="AA99" i="59"/>
  <c r="AA70" i="59"/>
  <c r="AA89" i="59"/>
  <c r="AA75" i="59"/>
  <c r="AA114" i="59"/>
  <c r="AA94" i="59"/>
  <c r="C11" i="57"/>
  <c r="AA34" i="59"/>
  <c r="AA23" i="59"/>
  <c r="AA49" i="59"/>
  <c r="AA84" i="59"/>
  <c r="AA110" i="59"/>
  <c r="AA6" i="59"/>
  <c r="AA77" i="59"/>
  <c r="AA5" i="59"/>
  <c r="AA28" i="59"/>
  <c r="AA71" i="59"/>
  <c r="AA43" i="59"/>
  <c r="AA22" i="59"/>
  <c r="AA61" i="59"/>
  <c r="AA24" i="59"/>
  <c r="C5" i="57"/>
  <c r="C8" i="57"/>
  <c r="C4" i="57"/>
  <c r="C6" i="57"/>
  <c r="C10" i="57"/>
  <c r="AA72" i="59"/>
  <c r="AA97" i="59"/>
  <c r="AA103" i="59"/>
  <c r="AA115" i="59"/>
  <c r="AA19" i="59"/>
  <c r="C7" i="57"/>
  <c r="C9" i="57"/>
  <c r="AA118" i="59"/>
  <c r="AA63" i="59"/>
  <c r="AA81" i="59"/>
  <c r="AA40" i="59"/>
  <c r="AA105" i="59"/>
  <c r="AA48" i="59"/>
  <c r="AA12" i="59"/>
  <c r="AA57" i="59"/>
  <c r="AA13" i="59"/>
  <c r="AA26" i="59"/>
  <c r="AA58" i="59"/>
  <c r="AA101" i="59"/>
  <c r="C13" i="57"/>
  <c r="AA100" i="59"/>
  <c r="AA80" i="59"/>
  <c r="AA15" i="59"/>
  <c r="AA93" i="59"/>
  <c r="AA117" i="59"/>
  <c r="C12" i="57"/>
  <c r="AA74" i="59"/>
  <c r="AA102" i="59"/>
  <c r="AA35" i="59"/>
  <c r="AA47" i="59"/>
  <c r="AA111" i="59"/>
  <c r="AA116" i="59"/>
  <c r="AA108" i="59"/>
  <c r="AA88" i="59"/>
  <c r="AA112" i="59"/>
  <c r="AA98" i="59"/>
  <c r="AA17" i="59"/>
  <c r="AA119" i="59"/>
  <c r="AA41" i="59"/>
  <c r="AA42" i="59"/>
  <c r="AA29" i="59"/>
  <c r="AA51" i="59"/>
  <c r="AA11" i="59"/>
  <c r="AA39" i="59"/>
  <c r="AB76" i="33" l="1"/>
  <c r="AB218" i="33"/>
  <c r="P4" i="57"/>
  <c r="P5" i="57"/>
  <c r="P6" i="57"/>
  <c r="P3" i="57"/>
  <c r="P7" i="57"/>
  <c r="M7" i="57"/>
  <c r="M4" i="57" l="1"/>
  <c r="M5" i="57"/>
  <c r="M6" i="57"/>
  <c r="M3" i="57"/>
  <c r="M8" i="57"/>
  <c r="N8" i="57" s="1"/>
  <c r="H4" i="57"/>
  <c r="H9" i="57"/>
  <c r="H6" i="57"/>
  <c r="H8" i="57"/>
  <c r="H3" i="57"/>
  <c r="H7" i="57"/>
  <c r="H5" i="57"/>
  <c r="K25" i="45" a="1"/>
  <c r="K15" i="45" a="1"/>
  <c r="H24" i="45" a="1"/>
  <c r="K27" i="45" a="1"/>
  <c r="H26" i="45" a="1"/>
  <c r="K12" i="45" a="1"/>
  <c r="H10" i="45" a="1"/>
  <c r="N10" i="45" a="1"/>
  <c r="N29" i="45" a="1"/>
  <c r="E7" i="45" a="1"/>
  <c r="N12" i="45" a="1"/>
  <c r="N34" i="45" a="1"/>
  <c r="Q33" i="45" a="1"/>
  <c r="Q32" i="45" a="1"/>
  <c r="E11" i="45" a="1"/>
  <c r="K19" i="45" a="1"/>
  <c r="K20" i="45" a="1"/>
  <c r="N6" i="45" a="1"/>
  <c r="N5" i="45" a="1"/>
  <c r="Q25" i="45" a="1"/>
  <c r="N7" i="45" a="1"/>
  <c r="H17" i="45" a="1"/>
  <c r="K32" i="45" a="1"/>
  <c r="H31" i="45" a="1"/>
  <c r="K28" i="45" a="1"/>
  <c r="K7" i="45" a="1"/>
  <c r="E5" i="45" a="1"/>
  <c r="K23" i="45" a="1"/>
  <c r="Q22" i="45" a="1"/>
  <c r="E18" i="45" a="1"/>
  <c r="K24" i="45" a="1"/>
  <c r="H6" i="45" a="1"/>
  <c r="Q18" i="45" a="1"/>
  <c r="K14" i="45" a="1"/>
  <c r="N19" i="45" a="1"/>
  <c r="H25" i="45" a="1"/>
  <c r="N13" i="45" a="1"/>
  <c r="N25" i="45" a="1"/>
  <c r="Q12" i="45" a="1"/>
  <c r="E30" i="45" a="1"/>
  <c r="N16" i="45" a="1"/>
  <c r="E10" i="45" a="1"/>
  <c r="K16" i="45" a="1"/>
  <c r="K29" i="45" a="1"/>
  <c r="Q7" i="45" a="1"/>
  <c r="K9" i="45" a="1"/>
  <c r="Q11" i="45" a="1"/>
  <c r="N9" i="45" a="1"/>
  <c r="Q10" i="45" a="1"/>
  <c r="E13" i="45" a="1"/>
  <c r="E21" i="45" a="1"/>
  <c r="H16" i="45" a="1"/>
  <c r="N33" i="45" a="1"/>
  <c r="H23" i="45" a="1"/>
  <c r="E9" i="45" a="1"/>
  <c r="K33" i="45" a="1"/>
  <c r="H20" i="45" a="1"/>
  <c r="H19" i="45" a="1"/>
  <c r="H21" i="45" a="1"/>
  <c r="Q19" i="45" a="1"/>
  <c r="N22" i="45" a="1"/>
  <c r="K18" i="45" a="1"/>
  <c r="K26" i="45" a="1"/>
  <c r="N18" i="45" a="1"/>
  <c r="Q31" i="45" a="1"/>
  <c r="H22" i="45" a="1"/>
  <c r="N27" i="45" a="1"/>
  <c r="E22" i="45" a="1"/>
  <c r="E19" i="45" a="1"/>
  <c r="K31" i="45" a="1"/>
  <c r="H32" i="45" a="1"/>
  <c r="E28" i="45" a="1"/>
  <c r="K5" i="45" a="1"/>
  <c r="K8" i="45" a="1"/>
  <c r="N15" i="45" a="1"/>
  <c r="Q15" i="45" a="1"/>
  <c r="E20" i="45" a="1"/>
  <c r="N24" i="45" a="1"/>
  <c r="K21" i="45" a="1"/>
  <c r="N21" i="45" a="1"/>
  <c r="H18" i="45" a="1"/>
  <c r="N17" i="45" a="1"/>
  <c r="Q16" i="45" a="1"/>
  <c r="K6" i="45" a="1"/>
  <c r="Q29" i="45" a="1"/>
  <c r="K17" i="45" a="1"/>
  <c r="K30" i="45" a="1"/>
  <c r="H7" i="45" a="1"/>
  <c r="H12" i="45" a="1"/>
  <c r="N14" i="45" a="1"/>
  <c r="Q9" i="45" a="1"/>
  <c r="N8" i="45" a="1"/>
  <c r="H28" i="45" a="1"/>
  <c r="N26" i="45" a="1"/>
  <c r="E34" i="45" a="1"/>
  <c r="N11" i="45" a="1"/>
  <c r="H9" i="45" a="1"/>
  <c r="H33" i="45" a="1"/>
  <c r="K10" i="45" a="1"/>
  <c r="E32" i="45" a="1"/>
  <c r="Q34" i="45" a="1"/>
  <c r="E33" i="45" a="1"/>
  <c r="Q13" i="45" a="1"/>
  <c r="Q20" i="45" a="1"/>
  <c r="Q6" i="45" a="1"/>
  <c r="H5" i="45" a="1"/>
  <c r="E29" i="45" a="1"/>
  <c r="K34" i="45" a="1"/>
  <c r="H8" i="45" a="1"/>
  <c r="E14" i="45" a="1"/>
  <c r="N31" i="45" a="1"/>
  <c r="Q30" i="45" a="1"/>
  <c r="Q26" i="45" a="1"/>
  <c r="E25" i="45" a="1"/>
  <c r="K13" i="45" a="1"/>
  <c r="H13" i="45" a="1"/>
  <c r="E16" i="45" a="1"/>
  <c r="E27" i="45" a="1"/>
  <c r="H34" i="45" a="1"/>
  <c r="K11" i="45" a="1"/>
  <c r="E8" i="45" a="1"/>
  <c r="N32" i="45" a="1"/>
  <c r="H30" i="45" a="1"/>
  <c r="Q24" i="45" a="1"/>
  <c r="N28" i="45" a="1"/>
  <c r="H29" i="45" a="1"/>
  <c r="E26" i="45" a="1"/>
  <c r="Q27" i="45" a="1"/>
  <c r="H15" i="45" a="1"/>
  <c r="N20" i="45" a="1"/>
  <c r="E23" i="45" a="1"/>
  <c r="H27" i="45" a="1"/>
  <c r="Q23" i="45" a="1"/>
  <c r="E31" i="45" a="1"/>
  <c r="E17" i="45" a="1"/>
  <c r="N23" i="45" a="1"/>
  <c r="Q21" i="45" a="1"/>
  <c r="Q28" i="45" a="1"/>
  <c r="H11" i="45" a="1"/>
  <c r="Q14" i="45" a="1"/>
  <c r="E6" i="45" a="1"/>
  <c r="E24" i="45" a="1"/>
  <c r="H14" i="45" a="1"/>
  <c r="N30" i="45" a="1"/>
  <c r="Q17" i="45" a="1"/>
  <c r="E15" i="45" a="1"/>
  <c r="Q5" i="45" a="1"/>
  <c r="E12" i="45" a="1"/>
  <c r="Q8" i="45" a="1"/>
  <c r="K22" i="45" a="1"/>
  <c r="Q13" i="45" l="1"/>
  <c r="H16" i="45"/>
  <c r="E19" i="45"/>
  <c r="Q9" i="45"/>
  <c r="K10" i="45"/>
  <c r="K19" i="45"/>
  <c r="N31" i="45"/>
  <c r="H27" i="45"/>
  <c r="K12" i="45"/>
  <c r="K22" i="45"/>
  <c r="H20" i="45"/>
  <c r="H8" i="45"/>
  <c r="N28" i="45"/>
  <c r="K6" i="45"/>
  <c r="N24" i="45"/>
  <c r="K8" i="45"/>
  <c r="Q6" i="45"/>
  <c r="N29" i="45"/>
  <c r="E22" i="45"/>
  <c r="Q17" i="45"/>
  <c r="Q19" i="45"/>
  <c r="K25" i="45"/>
  <c r="N7" i="45"/>
  <c r="H32" i="45"/>
  <c r="N30" i="45"/>
  <c r="E27" i="45"/>
  <c r="N15" i="45"/>
  <c r="N23" i="45"/>
  <c r="Q30" i="45"/>
  <c r="H29" i="45"/>
  <c r="N14" i="45"/>
  <c r="E34" i="45"/>
  <c r="Q14" i="45"/>
  <c r="K11" i="45"/>
  <c r="H21" i="45"/>
  <c r="N26" i="45"/>
  <c r="K7" i="45"/>
  <c r="E25" i="45"/>
  <c r="N25" i="45"/>
  <c r="E20" i="45"/>
  <c r="N33" i="45"/>
  <c r="Q5" i="45"/>
  <c r="Q24" i="45"/>
  <c r="K33" i="45"/>
  <c r="H7" i="45"/>
  <c r="N16" i="45"/>
  <c r="N32" i="45"/>
  <c r="K24" i="45"/>
  <c r="H9" i="45"/>
  <c r="K9" i="45"/>
  <c r="N11" i="45"/>
  <c r="H10" i="45"/>
  <c r="K17" i="45"/>
  <c r="K21" i="45"/>
  <c r="H5" i="45"/>
  <c r="E15" i="45"/>
  <c r="K28" i="45"/>
  <c r="E29" i="45"/>
  <c r="Q18" i="45"/>
  <c r="Q26" i="45"/>
  <c r="H28" i="45"/>
  <c r="Q8" i="45"/>
  <c r="K29" i="45"/>
  <c r="K16" i="45"/>
  <c r="N27" i="45"/>
  <c r="K26" i="45"/>
  <c r="N20" i="45"/>
  <c r="H25" i="45"/>
  <c r="H33" i="45"/>
  <c r="K5" i="45"/>
  <c r="E24" i="45"/>
  <c r="K20" i="45"/>
  <c r="Q12" i="45"/>
  <c r="N18" i="45"/>
  <c r="H24" i="45"/>
  <c r="E17" i="45"/>
  <c r="Q33" i="45"/>
  <c r="N34" i="45"/>
  <c r="Q21" i="45"/>
  <c r="Q7" i="45"/>
  <c r="K27" i="45"/>
  <c r="N6" i="45"/>
  <c r="E11" i="45"/>
  <c r="E18" i="45"/>
  <c r="Q25" i="45"/>
  <c r="E21" i="45"/>
  <c r="K30" i="45"/>
  <c r="K34" i="45"/>
  <c r="H22" i="45"/>
  <c r="N5" i="45"/>
  <c r="K32" i="45"/>
  <c r="E5" i="45"/>
  <c r="Q23" i="45"/>
  <c r="E12" i="45"/>
  <c r="N21" i="45"/>
  <c r="Q27" i="45"/>
  <c r="E31" i="45"/>
  <c r="H34" i="45"/>
  <c r="N8" i="45"/>
  <c r="H31" i="45"/>
  <c r="E26" i="45"/>
  <c r="N9" i="45"/>
  <c r="H19" i="45"/>
  <c r="H30" i="45"/>
  <c r="Q32" i="45"/>
  <c r="Q34" i="45"/>
  <c r="K31" i="45"/>
  <c r="Q31" i="45"/>
  <c r="E33" i="45"/>
  <c r="H6" i="45"/>
  <c r="K13" i="45"/>
  <c r="E13" i="45"/>
  <c r="E9" i="45"/>
  <c r="E23" i="45"/>
  <c r="H12" i="45"/>
  <c r="Q10" i="45"/>
  <c r="E6" i="45"/>
  <c r="E14" i="45"/>
  <c r="N12" i="45"/>
  <c r="K23" i="45"/>
  <c r="H14" i="45"/>
  <c r="Q16" i="45"/>
  <c r="E32" i="45"/>
  <c r="K15" i="45"/>
  <c r="H11" i="45"/>
  <c r="Q28" i="45"/>
  <c r="E8" i="45"/>
  <c r="N17" i="45"/>
  <c r="N22" i="45"/>
  <c r="E10" i="45"/>
  <c r="E30" i="45"/>
  <c r="N10" i="45"/>
  <c r="Q15" i="45"/>
  <c r="H13" i="45"/>
  <c r="H15" i="45"/>
  <c r="N13" i="45"/>
  <c r="Q29" i="45"/>
  <c r="H18" i="45"/>
  <c r="E7" i="45"/>
  <c r="H17" i="45"/>
  <c r="K18" i="45"/>
  <c r="E28" i="45"/>
  <c r="E16" i="45"/>
  <c r="Q11" i="45"/>
  <c r="Q22" i="45"/>
  <c r="H23" i="45"/>
  <c r="N19" i="45"/>
  <c r="H26" i="45"/>
  <c r="K14" i="45"/>
  <c r="Q20" i="45"/>
  <c r="N5" i="57"/>
  <c r="N7" i="57"/>
  <c r="N4" i="57"/>
  <c r="N3" i="57"/>
  <c r="N6" i="57"/>
  <c r="R31" i="45" a="1"/>
  <c r="O11" i="45" a="1"/>
  <c r="F6" i="45" a="1"/>
  <c r="I9" i="45" a="1"/>
  <c r="T27" i="45" a="1"/>
  <c r="S13" i="45" a="1"/>
  <c r="T15" i="45" a="1"/>
  <c r="D30" i="45" a="1"/>
  <c r="T12" i="45" a="1"/>
  <c r="L11" i="45" a="1"/>
  <c r="F22" i="45" a="1"/>
  <c r="J16" i="45" a="1"/>
  <c r="M20" i="45" a="1"/>
  <c r="F31" i="45" a="1"/>
  <c r="O18" i="45" a="1"/>
  <c r="D8" i="45" a="1"/>
  <c r="P27" i="45" a="1"/>
  <c r="G32" i="45" a="1"/>
  <c r="O34" i="45" a="1"/>
  <c r="L21" i="45" a="1"/>
  <c r="I32" i="45" a="1"/>
  <c r="J32" i="45" a="1"/>
  <c r="I21" i="45" a="1"/>
  <c r="P14" i="45" a="1"/>
  <c r="G31" i="45" a="1"/>
  <c r="U25" i="45" a="1"/>
  <c r="S16" i="45" a="1"/>
  <c r="O32" i="45" a="1"/>
  <c r="G21" i="45" a="1"/>
  <c r="D24" i="45" a="1"/>
  <c r="L20" i="45" a="1"/>
  <c r="O25" i="45" a="1"/>
  <c r="L8" i="45" a="1"/>
  <c r="R18" i="45" a="1"/>
  <c r="J29" i="45" a="1"/>
  <c r="M19" i="45" a="1"/>
  <c r="M8" i="45" a="1"/>
  <c r="O7" i="45" a="1"/>
  <c r="M14" i="45" a="1"/>
  <c r="I27" i="45" a="1"/>
  <c r="G11" i="45" a="1"/>
  <c r="F28" i="45" a="1"/>
  <c r="U27" i="45" a="1"/>
  <c r="S11" i="45" a="1"/>
  <c r="J10" i="45" a="1"/>
  <c r="T8" i="45" a="1"/>
  <c r="T6" i="45" a="1"/>
  <c r="P5" i="45" a="1"/>
  <c r="J26" i="45" a="1"/>
  <c r="U19" i="45" a="1"/>
  <c r="S31" i="45" a="1"/>
  <c r="I15" i="45" a="1"/>
  <c r="F9" i="45" a="1"/>
  <c r="I23" i="45" a="1"/>
  <c r="I29" i="45" a="1"/>
  <c r="J6" i="45" a="1"/>
  <c r="L23" i="45" a="1"/>
  <c r="O17" i="45" a="1"/>
  <c r="T13" i="45" a="1"/>
  <c r="G28" i="45" a="1"/>
  <c r="J25" i="45" a="1"/>
  <c r="R29" i="45" a="1"/>
  <c r="T7" i="45" a="1"/>
  <c r="S7" i="45" a="1"/>
  <c r="J18" i="45" a="1"/>
  <c r="G16" i="45" a="1"/>
  <c r="S15" i="45" a="1"/>
  <c r="M23" i="45" a="1"/>
  <c r="R33" i="45" a="1"/>
  <c r="P12" i="45" a="1"/>
  <c r="M31" i="45" a="1"/>
  <c r="D20" i="45" a="1"/>
  <c r="G7" i="45" a="1"/>
  <c r="U33" i="45" a="1"/>
  <c r="I22" i="45" a="1"/>
  <c r="R27" i="45" a="1"/>
  <c r="P16" i="45" a="1"/>
  <c r="D11" i="45" a="1"/>
  <c r="T5" i="45" a="1"/>
  <c r="G19" i="45" a="1"/>
  <c r="P7" i="45" a="1"/>
  <c r="S27" i="45" a="1"/>
  <c r="L31" i="45" a="1"/>
  <c r="S19" i="45" a="1"/>
  <c r="S17" i="45" a="1"/>
  <c r="G25" i="45" a="1"/>
  <c r="L6" i="45" a="1"/>
  <c r="O17" i="45" l="1"/>
  <c r="D30" i="45"/>
  <c r="O18" i="45"/>
  <c r="I27" i="45"/>
  <c r="R29" i="45"/>
  <c r="J26" i="45"/>
  <c r="I23" i="45"/>
  <c r="J25" i="45"/>
  <c r="I15" i="45"/>
  <c r="L20" i="45"/>
  <c r="M31" i="45"/>
  <c r="T27" i="45"/>
  <c r="L31" i="45"/>
  <c r="O32" i="45"/>
  <c r="G32" i="45"/>
  <c r="I9" i="45"/>
  <c r="O7" i="45"/>
  <c r="I32" i="45"/>
  <c r="S17" i="45"/>
  <c r="R27" i="45"/>
  <c r="I21" i="45"/>
  <c r="O11" i="45"/>
  <c r="I22" i="45"/>
  <c r="R18" i="45"/>
  <c r="G21" i="45"/>
  <c r="I29" i="45"/>
  <c r="D24" i="45"/>
  <c r="U27" i="45"/>
  <c r="R33" i="45"/>
  <c r="S13" i="45"/>
  <c r="S16" i="45"/>
  <c r="T8" i="45"/>
  <c r="T5" i="45"/>
  <c r="M19" i="45"/>
  <c r="P5" i="45"/>
  <c r="G28" i="45"/>
  <c r="F6" i="45"/>
  <c r="G16" i="45"/>
  <c r="P14" i="45"/>
  <c r="L21" i="45"/>
  <c r="G19" i="45"/>
  <c r="P7" i="45"/>
  <c r="R31" i="45"/>
  <c r="L8" i="45"/>
  <c r="S15" i="45"/>
  <c r="M14" i="45"/>
  <c r="D11" i="45"/>
  <c r="T12" i="45"/>
  <c r="F9" i="45"/>
  <c r="F31" i="45"/>
  <c r="P12" i="45"/>
  <c r="F22" i="45"/>
  <c r="J10" i="45"/>
  <c r="S19" i="45"/>
  <c r="D20" i="45"/>
  <c r="G11" i="45"/>
  <c r="J29" i="45"/>
  <c r="U33" i="45"/>
  <c r="M8" i="45"/>
  <c r="T13" i="45"/>
  <c r="S7" i="45"/>
  <c r="G7" i="45"/>
  <c r="L11" i="45"/>
  <c r="O34" i="45"/>
  <c r="J16" i="45"/>
  <c r="J6" i="45"/>
  <c r="M23" i="45"/>
  <c r="T6" i="45"/>
  <c r="M20" i="45"/>
  <c r="S11" i="45"/>
  <c r="T7" i="45"/>
  <c r="U25" i="45"/>
  <c r="S31" i="45"/>
  <c r="T15" i="45"/>
  <c r="J32" i="45"/>
  <c r="G31" i="45"/>
  <c r="J18" i="45"/>
  <c r="P16" i="45"/>
  <c r="G25" i="45"/>
  <c r="S27" i="45"/>
  <c r="O25" i="45"/>
  <c r="D8" i="45"/>
  <c r="L23" i="45"/>
  <c r="F28" i="45"/>
  <c r="U19" i="45"/>
  <c r="L6" i="45"/>
  <c r="P27" i="45"/>
  <c r="F25" i="45" a="1"/>
  <c r="F7" i="45" a="1"/>
  <c r="S9" i="45" a="1"/>
  <c r="T18" i="45" a="1"/>
  <c r="P22" i="45" a="1"/>
  <c r="P17" i="45" a="1"/>
  <c r="R19" i="45" a="1"/>
  <c r="G34" i="45" a="1"/>
  <c r="M32" i="45" a="1"/>
  <c r="S34" i="45" a="1"/>
  <c r="I18" i="45" a="1"/>
  <c r="L29" i="45" a="1"/>
  <c r="F8" i="45" a="1"/>
  <c r="O12" i="45" a="1"/>
  <c r="S6" i="45" a="1"/>
  <c r="P18" i="45" a="1"/>
  <c r="G14" i="45" a="1"/>
  <c r="S18" i="45" a="1"/>
  <c r="D32" i="45" a="1"/>
  <c r="R12" i="45" a="1"/>
  <c r="P8" i="45" a="1"/>
  <c r="U32" i="45" a="1"/>
  <c r="P29" i="45" a="1"/>
  <c r="U5" i="45" a="1"/>
  <c r="U17" i="45" a="1"/>
  <c r="R11" i="45" a="1"/>
  <c r="U16" i="45" a="1"/>
  <c r="L12" i="45" a="1"/>
  <c r="I24" i="45" a="1"/>
  <c r="F10" i="45" a="1"/>
  <c r="S14" i="45" a="1"/>
  <c r="F12" i="45" a="1"/>
  <c r="D29" i="45" a="1"/>
  <c r="L22" i="45" a="1"/>
  <c r="T32" i="45" a="1"/>
  <c r="P25" i="45" a="1"/>
  <c r="P31" i="45" a="1"/>
  <c r="U14" i="45" a="1"/>
  <c r="O28" i="45" a="1"/>
  <c r="J23" i="45" a="1"/>
  <c r="T32" i="45" l="1"/>
  <c r="P25" i="45"/>
  <c r="O28" i="45"/>
  <c r="P22" i="45"/>
  <c r="G34" i="45"/>
  <c r="U5" i="45"/>
  <c r="S34" i="45"/>
  <c r="S18" i="45"/>
  <c r="F25" i="45"/>
  <c r="P18" i="45"/>
  <c r="M32" i="45"/>
  <c r="L22" i="45"/>
  <c r="U17" i="45"/>
  <c r="R19" i="45"/>
  <c r="P8" i="45"/>
  <c r="J23" i="45"/>
  <c r="D29" i="45"/>
  <c r="U16" i="45"/>
  <c r="L12" i="45"/>
  <c r="S9" i="45"/>
  <c r="D32" i="45"/>
  <c r="P17" i="45"/>
  <c r="S14" i="45"/>
  <c r="U14" i="45"/>
  <c r="F12" i="45"/>
  <c r="I18" i="45"/>
  <c r="F7" i="45"/>
  <c r="I24" i="45"/>
  <c r="L29" i="45"/>
  <c r="T18" i="45"/>
  <c r="F8" i="45"/>
  <c r="S6" i="45"/>
  <c r="P31" i="45"/>
  <c r="O12" i="45"/>
  <c r="R12" i="45"/>
  <c r="U32" i="45"/>
  <c r="G14" i="45"/>
  <c r="F10" i="45"/>
  <c r="R11" i="45"/>
  <c r="P29" i="45"/>
  <c r="M13" i="45" a="1"/>
  <c r="L9" i="45" a="1"/>
  <c r="F34" i="45" a="1"/>
  <c r="M22" i="45" a="1"/>
  <c r="L27" i="45" a="1"/>
  <c r="T29" i="45" a="1"/>
  <c r="R14" i="45" a="1"/>
  <c r="G30" i="45" a="1"/>
  <c r="O8" i="45" a="1"/>
  <c r="L26" i="45" a="1"/>
  <c r="L34" i="45" a="1"/>
  <c r="P11" i="45" a="1"/>
  <c r="M16" i="45" a="1"/>
  <c r="R20" i="45" a="1"/>
  <c r="L15" i="45" a="1"/>
  <c r="I8" i="45" a="1"/>
  <c r="U21" i="45" a="1"/>
  <c r="D6" i="45" a="1"/>
  <c r="J12" i="45" a="1"/>
  <c r="I5" i="45" a="1"/>
  <c r="M26" i="45" a="1"/>
  <c r="U7" i="45" a="1"/>
  <c r="G33" i="45" a="1"/>
  <c r="I20" i="45" a="1"/>
  <c r="U8" i="45" a="1"/>
  <c r="U20" i="45" a="1"/>
  <c r="L19" i="45" a="1"/>
  <c r="L17" i="45" a="1"/>
  <c r="L24" i="45" a="1"/>
  <c r="L28" i="45" a="1"/>
  <c r="G10" i="45" a="1"/>
  <c r="F29" i="45" a="1"/>
  <c r="O5" i="45" a="1"/>
  <c r="J13" i="45" a="1"/>
  <c r="G6" i="45" a="1"/>
  <c r="S25" i="45" a="1"/>
  <c r="J17" i="45" a="1"/>
  <c r="M17" i="45" a="1"/>
  <c r="R22" i="45" a="1"/>
  <c r="P9" i="45" a="1"/>
  <c r="J14" i="45" a="1"/>
  <c r="L10" i="45" a="1"/>
  <c r="P19" i="45" a="1"/>
  <c r="D19" i="45" a="1"/>
  <c r="S22" i="45" a="1"/>
  <c r="D12" i="45" a="1"/>
  <c r="T17" i="45" a="1"/>
  <c r="D7" i="45" a="1"/>
  <c r="M24" i="45" a="1"/>
  <c r="G29" i="45" a="1"/>
  <c r="R34" i="45" a="1"/>
  <c r="J20" i="45" a="1"/>
  <c r="T9" i="45" a="1"/>
  <c r="G27" i="45" a="1"/>
  <c r="S26" i="45" a="1"/>
  <c r="U24" i="45" a="1"/>
  <c r="R7" i="45" a="1"/>
  <c r="R32" i="45" a="1"/>
  <c r="M9" i="45" a="1"/>
  <c r="T30" i="45" a="1"/>
  <c r="U9" i="45" a="1"/>
  <c r="S21" i="45" a="1"/>
  <c r="F13" i="45" a="1"/>
  <c r="J33" i="45" a="1"/>
  <c r="J28" i="45" a="1"/>
  <c r="G18" i="45" a="1"/>
  <c r="M25" i="45" a="1"/>
  <c r="O10" i="45" a="1"/>
  <c r="F17" i="45" a="1"/>
  <c r="F14" i="45" a="1"/>
  <c r="O27" i="45" a="1"/>
  <c r="G24" i="45" a="1"/>
  <c r="P32" i="45" a="1"/>
  <c r="R9" i="45" a="1"/>
  <c r="R26" i="45" a="1"/>
  <c r="M30" i="45" a="1"/>
  <c r="T10" i="45" a="1"/>
  <c r="T26" i="45" a="1"/>
  <c r="D33" i="45" a="1"/>
  <c r="L30" i="45" a="1"/>
  <c r="O23" i="45" a="1"/>
  <c r="U10" i="45" a="1"/>
  <c r="F21" i="45" a="1"/>
  <c r="T21" i="45" a="1"/>
  <c r="O15" i="45" a="1"/>
  <c r="M15" i="45" a="1"/>
  <c r="M6" i="45" a="1"/>
  <c r="I28" i="45" a="1"/>
  <c r="D28" i="45" a="1"/>
  <c r="D12" i="45" l="1"/>
  <c r="G27" i="45"/>
  <c r="F17" i="45"/>
  <c r="J13" i="45"/>
  <c r="F14" i="45"/>
  <c r="I5" i="45"/>
  <c r="T30" i="45"/>
  <c r="R14" i="45"/>
  <c r="M15" i="45"/>
  <c r="L19" i="45"/>
  <c r="M24" i="45"/>
  <c r="R20" i="45"/>
  <c r="T10" i="45"/>
  <c r="S25" i="45"/>
  <c r="U21" i="45"/>
  <c r="M17" i="45"/>
  <c r="R26" i="45"/>
  <c r="L24" i="45"/>
  <c r="M22" i="45"/>
  <c r="G30" i="45"/>
  <c r="S21" i="45"/>
  <c r="L30" i="45"/>
  <c r="J28" i="45"/>
  <c r="J12" i="45"/>
  <c r="U7" i="45"/>
  <c r="L28" i="45"/>
  <c r="G33" i="45"/>
  <c r="J20" i="45"/>
  <c r="P9" i="45"/>
  <c r="S22" i="45"/>
  <c r="J17" i="45"/>
  <c r="O8" i="45"/>
  <c r="L15" i="45"/>
  <c r="G18" i="45"/>
  <c r="D19" i="45"/>
  <c r="U8" i="45"/>
  <c r="G10" i="45"/>
  <c r="D6" i="45"/>
  <c r="L17" i="45"/>
  <c r="R7" i="45"/>
  <c r="R32" i="45"/>
  <c r="T21" i="45"/>
  <c r="R9" i="45"/>
  <c r="L10" i="45"/>
  <c r="T29" i="45"/>
  <c r="M26" i="45"/>
  <c r="G6" i="45"/>
  <c r="D28" i="45"/>
  <c r="M6" i="45"/>
  <c r="S26" i="45"/>
  <c r="O10" i="45"/>
  <c r="R34" i="45"/>
  <c r="L26" i="45"/>
  <c r="P11" i="45"/>
  <c r="L34" i="45"/>
  <c r="P19" i="45"/>
  <c r="J14" i="45"/>
  <c r="L27" i="45"/>
  <c r="M16" i="45"/>
  <c r="F13" i="45"/>
  <c r="M9" i="45"/>
  <c r="U24" i="45"/>
  <c r="T9" i="45"/>
  <c r="F34" i="45"/>
  <c r="D7" i="45"/>
  <c r="P32" i="45"/>
  <c r="O15" i="45"/>
  <c r="M30" i="45"/>
  <c r="L9" i="45"/>
  <c r="U9" i="45"/>
  <c r="J33" i="45"/>
  <c r="F21" i="45"/>
  <c r="G24" i="45"/>
  <c r="D33" i="45"/>
  <c r="T26" i="45"/>
  <c r="M13" i="45"/>
  <c r="O27" i="45"/>
  <c r="F29" i="45"/>
  <c r="O23" i="45"/>
  <c r="I20" i="45"/>
  <c r="O5" i="45"/>
  <c r="U10" i="45"/>
  <c r="R22" i="45"/>
  <c r="G29" i="45"/>
  <c r="M25" i="45"/>
  <c r="I28" i="45"/>
  <c r="I8" i="45"/>
  <c r="U20" i="45"/>
  <c r="T17" i="45"/>
  <c r="D34" i="45" a="1"/>
  <c r="D15" i="45" a="1"/>
  <c r="L18" i="45" a="1"/>
  <c r="R24" i="45" a="1"/>
  <c r="O6" i="45" a="1"/>
  <c r="P34" i="45" a="1"/>
  <c r="I17" i="45" a="1"/>
  <c r="U29" i="45" a="1"/>
  <c r="T33" i="45" a="1"/>
  <c r="U6" i="45" a="1"/>
  <c r="D22" i="45" a="1"/>
  <c r="F19" i="45" a="1"/>
  <c r="U18" i="45" a="1"/>
  <c r="J8" i="45" a="1"/>
  <c r="F16" i="45" a="1"/>
  <c r="M27" i="45" a="1"/>
  <c r="S29" i="45" a="1"/>
  <c r="J34" i="45" a="1"/>
  <c r="P33" i="45" a="1"/>
  <c r="O13" i="45" a="1"/>
  <c r="D23" i="45" a="1"/>
  <c r="I6" i="45" a="1"/>
  <c r="J19" i="45" a="1"/>
  <c r="F5" i="45" a="1"/>
  <c r="R6" i="45" a="1"/>
  <c r="O16" i="45" a="1"/>
  <c r="J30" i="45" a="1"/>
  <c r="I19" i="45" a="1"/>
  <c r="I16" i="45" a="1"/>
  <c r="S20" i="45" a="1"/>
  <c r="I30" i="45" a="1"/>
  <c r="M34" i="45" a="1"/>
  <c r="O20" i="45" a="1"/>
  <c r="P23" i="45" a="1"/>
  <c r="T16" i="45" a="1"/>
  <c r="T33" i="45" l="1"/>
  <c r="D22" i="45"/>
  <c r="P33" i="45"/>
  <c r="I17" i="45"/>
  <c r="F16" i="45"/>
  <c r="T16" i="45"/>
  <c r="R24" i="45"/>
  <c r="D15" i="45"/>
  <c r="I6" i="45"/>
  <c r="U29" i="45"/>
  <c r="P23" i="45"/>
  <c r="S20" i="45"/>
  <c r="S29" i="45"/>
  <c r="J30" i="45"/>
  <c r="R6" i="45"/>
  <c r="U18" i="45"/>
  <c r="O13" i="45"/>
  <c r="O20" i="45"/>
  <c r="M27" i="45"/>
  <c r="I30" i="45"/>
  <c r="O16" i="45"/>
  <c r="J8" i="45"/>
  <c r="D34" i="45"/>
  <c r="F19" i="45"/>
  <c r="M34" i="45"/>
  <c r="D23" i="45"/>
  <c r="L18" i="45"/>
  <c r="O6" i="45"/>
  <c r="J19" i="45"/>
  <c r="F5" i="45"/>
  <c r="I19" i="45"/>
  <c r="I16" i="45"/>
  <c r="J34" i="45"/>
  <c r="U6" i="45"/>
  <c r="P34" i="45"/>
  <c r="P30" i="45" a="1"/>
  <c r="I33" i="45" a="1"/>
  <c r="R15" i="45" a="1"/>
  <c r="U30" i="45" a="1"/>
  <c r="P6" i="45" a="1"/>
  <c r="M33" i="45" a="1"/>
  <c r="F11" i="45" a="1"/>
  <c r="T34" i="45" a="1"/>
  <c r="S10" i="45" a="1"/>
  <c r="F33" i="45" a="1"/>
  <c r="R16" i="45" a="1"/>
  <c r="M12" i="45" a="1"/>
  <c r="T11" i="45" a="1"/>
  <c r="I7" i="45" a="1"/>
  <c r="J7" i="45" a="1"/>
  <c r="M11" i="45" a="1"/>
  <c r="O29" i="45" a="1"/>
  <c r="D27" i="45" a="1"/>
  <c r="J21" i="45" a="1"/>
  <c r="D26" i="45" a="1"/>
  <c r="O19" i="45" a="1"/>
  <c r="R30" i="45" a="1"/>
  <c r="J15" i="45" a="1"/>
  <c r="U22" i="45" a="1"/>
  <c r="L5" i="45" a="1"/>
  <c r="O30" i="45" a="1"/>
  <c r="P10" i="45" a="1"/>
  <c r="I12" i="45" a="1"/>
  <c r="U28" i="45" a="1"/>
  <c r="I13" i="45" a="1"/>
  <c r="U26" i="45" a="1"/>
  <c r="F27" i="45" a="1"/>
  <c r="R10" i="45" a="1"/>
  <c r="P13" i="45" a="1"/>
  <c r="G15" i="45" a="1"/>
  <c r="S30" i="45" a="1"/>
  <c r="I26" i="45" a="1"/>
  <c r="G9" i="45" a="1"/>
  <c r="D10" i="45" a="1"/>
  <c r="G22" i="45" a="1"/>
  <c r="S8" i="45" a="1"/>
  <c r="O24" i="45" a="1"/>
  <c r="U23" i="45" a="1"/>
  <c r="P28" i="45" a="1"/>
  <c r="D14" i="45" a="1"/>
  <c r="J24" i="45" a="1"/>
  <c r="G20" i="45" a="1"/>
  <c r="T19" i="45" a="1"/>
  <c r="G26" i="45" a="1"/>
  <c r="O22" i="45" a="1"/>
  <c r="G23" i="45" a="1"/>
  <c r="R13" i="45" a="1"/>
  <c r="I14" i="45" a="1"/>
  <c r="M21" i="45" a="1"/>
  <c r="D18" i="45" a="1"/>
  <c r="O31" i="45" a="1"/>
  <c r="U28" i="45" l="1"/>
  <c r="I14" i="45"/>
  <c r="G9" i="45"/>
  <c r="P13" i="45"/>
  <c r="U30" i="45"/>
  <c r="I13" i="45"/>
  <c r="R15" i="45"/>
  <c r="P28" i="45"/>
  <c r="J7" i="45"/>
  <c r="D18" i="45"/>
  <c r="D27" i="45"/>
  <c r="F27" i="45"/>
  <c r="G20" i="45"/>
  <c r="J21" i="45"/>
  <c r="I7" i="45"/>
  <c r="O31" i="45"/>
  <c r="R13" i="45"/>
  <c r="G23" i="45"/>
  <c r="U22" i="45"/>
  <c r="D26" i="45"/>
  <c r="T34" i="45"/>
  <c r="I26" i="45"/>
  <c r="J24" i="45"/>
  <c r="F33" i="45"/>
  <c r="I12" i="45"/>
  <c r="U23" i="45"/>
  <c r="P6" i="45"/>
  <c r="L5" i="45"/>
  <c r="G22" i="45"/>
  <c r="M33" i="45"/>
  <c r="P30" i="45"/>
  <c r="T11" i="45"/>
  <c r="O30" i="45"/>
  <c r="O19" i="45"/>
  <c r="T19" i="45"/>
  <c r="R16" i="45"/>
  <c r="U26" i="45"/>
  <c r="D10" i="45"/>
  <c r="R10" i="45"/>
  <c r="G26" i="45"/>
  <c r="F11" i="45"/>
  <c r="O24" i="45"/>
  <c r="G15" i="45"/>
  <c r="M21" i="45"/>
  <c r="P10" i="45"/>
  <c r="J15" i="45"/>
  <c r="S30" i="45"/>
  <c r="D14" i="45"/>
  <c r="M12" i="45"/>
  <c r="R30" i="45"/>
  <c r="I33" i="45"/>
  <c r="S8" i="45"/>
  <c r="M11" i="45"/>
  <c r="O29" i="45"/>
  <c r="S10" i="45"/>
  <c r="O22" i="45"/>
  <c r="O9" i="45" a="1"/>
  <c r="U31" i="45" a="1"/>
  <c r="S12" i="45" a="1"/>
  <c r="R28" i="45" a="1"/>
  <c r="P21" i="45" a="1"/>
  <c r="T20" i="45" a="1"/>
  <c r="G12" i="45" a="1"/>
  <c r="R17" i="45" a="1"/>
  <c r="O33" i="45" a="1"/>
  <c r="S32" i="45" a="1"/>
  <c r="S24" i="45" a="1"/>
  <c r="T14" i="45" a="1"/>
  <c r="D9" i="45" a="1"/>
  <c r="D17" i="45" a="1"/>
  <c r="F26" i="45" a="1"/>
  <c r="L33" i="45" a="1"/>
  <c r="U12" i="45" a="1"/>
  <c r="S28" i="45" a="1"/>
  <c r="M29" i="45" a="1"/>
  <c r="G8" i="45" a="1"/>
  <c r="P24" i="45" a="1"/>
  <c r="R21" i="45" a="1"/>
  <c r="S23" i="45" a="1"/>
  <c r="D13" i="45" a="1"/>
  <c r="L25" i="45" a="1"/>
  <c r="T31" i="45" a="1"/>
  <c r="I10" i="45" a="1"/>
  <c r="P20" i="45" a="1"/>
  <c r="L33" i="45" l="1"/>
  <c r="P21" i="45"/>
  <c r="S24" i="45"/>
  <c r="S32" i="45"/>
  <c r="G8" i="45"/>
  <c r="O33" i="45"/>
  <c r="P20" i="45"/>
  <c r="S28" i="45"/>
  <c r="O9" i="45"/>
  <c r="T14" i="45"/>
  <c r="R21" i="45"/>
  <c r="S12" i="45"/>
  <c r="S23" i="45"/>
  <c r="F26" i="45"/>
  <c r="D17" i="45"/>
  <c r="R28" i="45"/>
  <c r="D13" i="45"/>
  <c r="G12" i="45"/>
  <c r="T31" i="45"/>
  <c r="T20" i="45"/>
  <c r="I10" i="45"/>
  <c r="P24" i="45"/>
  <c r="L25" i="45"/>
  <c r="D9" i="45"/>
  <c r="U31" i="45"/>
  <c r="U12" i="45"/>
  <c r="M29" i="45"/>
  <c r="R17" i="45"/>
  <c r="O14" i="45" a="1"/>
  <c r="F24" i="45" a="1"/>
  <c r="O14" i="45" l="1"/>
  <c r="F24" i="45"/>
  <c r="G13" i="45" a="1"/>
  <c r="L32" i="45" a="1"/>
  <c r="S5" i="45" a="1"/>
  <c r="P15" i="45" a="1"/>
  <c r="R5" i="45" a="1"/>
  <c r="P26" i="45" a="1"/>
  <c r="J11" i="45" a="1"/>
  <c r="D25" i="45" a="1"/>
  <c r="I25" i="45" a="1"/>
  <c r="J27" i="45" a="1"/>
  <c r="O26" i="45" a="1"/>
  <c r="R23" i="45" a="1"/>
  <c r="L13" i="45" a="1"/>
  <c r="M18" i="45" a="1"/>
  <c r="M7" i="45" a="1"/>
  <c r="G17" i="45" a="1"/>
  <c r="I11" i="45" a="1"/>
  <c r="J22" i="45" a="1"/>
  <c r="O21" i="45" a="1"/>
  <c r="F15" i="45" a="1"/>
  <c r="R25" i="45" a="1"/>
  <c r="F32" i="45" a="1"/>
  <c r="U13" i="45" a="1"/>
  <c r="D31" i="45" a="1"/>
  <c r="M10" i="45" a="1"/>
  <c r="F20" i="45" a="1"/>
  <c r="T24" i="45" a="1"/>
  <c r="L7" i="45" a="1"/>
  <c r="D16" i="45" a="1"/>
  <c r="T25" i="45" a="1"/>
  <c r="R8" i="45" a="1"/>
  <c r="L14" i="45" a="1"/>
  <c r="M28" i="45" a="1"/>
  <c r="U34" i="45" a="1"/>
  <c r="S33" i="45" a="1"/>
  <c r="U11" i="45" a="1"/>
  <c r="G5" i="45" a="1"/>
  <c r="I31" i="45" a="1"/>
  <c r="F30" i="45" a="1"/>
  <c r="D5" i="45" a="1"/>
  <c r="U15" i="45" a="1"/>
  <c r="I34" i="45" a="1"/>
  <c r="I34" i="45" l="1"/>
  <c r="G13" i="45"/>
  <c r="M28" i="45"/>
  <c r="I11" i="45"/>
  <c r="M10" i="45"/>
  <c r="F15" i="45"/>
  <c r="F32" i="45"/>
  <c r="D31" i="45"/>
  <c r="J11" i="45"/>
  <c r="R8" i="45"/>
  <c r="U34" i="45"/>
  <c r="M18" i="45"/>
  <c r="L14" i="45"/>
  <c r="I25" i="45"/>
  <c r="J22" i="45"/>
  <c r="U13" i="45"/>
  <c r="M7" i="45"/>
  <c r="J27" i="45"/>
  <c r="U11" i="45"/>
  <c r="L7" i="45"/>
  <c r="G17" i="45"/>
  <c r="L32" i="45"/>
  <c r="I31" i="45"/>
  <c r="P26" i="45"/>
  <c r="T24" i="45"/>
  <c r="P15" i="45"/>
  <c r="F30" i="45"/>
  <c r="D16" i="45"/>
  <c r="G5" i="45"/>
  <c r="D5" i="45"/>
  <c r="R5" i="45"/>
  <c r="S33" i="45"/>
  <c r="U15" i="45"/>
  <c r="T25" i="45"/>
  <c r="R23" i="45"/>
  <c r="D25" i="45"/>
  <c r="O26" i="45"/>
  <c r="F20" i="45"/>
  <c r="O21" i="45"/>
  <c r="L13" i="45"/>
  <c r="S5" i="45"/>
  <c r="R25" i="45"/>
  <c r="L16" i="45" a="1"/>
  <c r="J5" i="45" a="1"/>
  <c r="T22" i="45" a="1"/>
  <c r="F23" i="45" a="1"/>
  <c r="M5" i="45" a="1"/>
  <c r="T23" i="45" a="1"/>
  <c r="D21" i="45" a="1"/>
  <c r="T28" i="45" a="1"/>
  <c r="F18" i="45" a="1"/>
  <c r="F18" i="45" l="1"/>
  <c r="T28" i="45"/>
  <c r="L16" i="45"/>
  <c r="D21" i="45"/>
  <c r="T22" i="45"/>
  <c r="J5" i="45"/>
  <c r="T23" i="45"/>
  <c r="F23" i="45"/>
  <c r="M5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tc={847DE3AB-7BC2-4CFC-94EC-C927653993A0}</author>
    <author>tc={CC7EDE9C-AAA4-45E1-B190-C82A02297C20}</author>
    <author>tc={F31BCEF2-18B5-4D74-B973-8CB4D6C992F5}</author>
    <author>tc={DDC57956-EB81-4B81-8AEB-9D6DCC275F39}</author>
    <author>tc={41845C4E-26F6-46F7-8C28-6E241BB0C7EB}</author>
    <author>tc={DA03F3CE-D8CE-4A58-B65F-D5F03D56A958}</author>
    <author>tc={FC54F48C-A8CB-4B2F-B48F-7AEEDB770D22}</author>
    <author>tc={9BF0001A-3A51-43C0-91DE-F5ADB5EC3890}</author>
    <author>tc={1C2B8B83-392E-4BA2-B8F9-2578169B8CB3}</author>
    <author>tc={E5DF52BA-A3ED-483A-BA89-C78152F2F12A}</author>
    <author>tc={2088147B-AF4B-42C8-A6AD-2DF398A72F06}</author>
    <author>tc={A02BAE7B-EE91-421C-AEB6-E336CCFC218F}</author>
    <author>tc={2DF96E64-7565-4F2D-962A-6875A729CE72}</author>
    <author>tc={793B518C-46E5-44C8-85D4-E050B4057B10}</author>
    <author>tc={895983CA-50CF-4611-B4FA-223E2A246859}</author>
    <author>tc={F1883853-BC69-4B12-BE84-E40F0F023FBE}</author>
    <author>tc={EB1ED6A4-A9D3-4A8E-ADA9-459BC514AD2C}</author>
    <author>tc={407A3C1C-FB05-4FF9-B8DC-33F313F38A1A}</author>
    <author>tc={C656DDC5-07B0-4941-9050-D4EC33084452}</author>
    <author>tc={760E47FB-506E-46FF-94FE-9264EF53288F}</author>
    <author>tc={C40C3A97-CC25-4FC6-9EE2-3DCACE5277CB}</author>
    <author>tc={96C75BAA-8AAB-4A50-BCED-EFD355B12473}</author>
    <author>tc={21230CB9-36A9-4F75-8C13-C7811AFEBC3A}</author>
    <author>tc={160652B2-B0A6-4CAF-9F9C-3F930531CB59}</author>
    <author>tc={C2553CE8-F7E2-49D6-922C-547F81412274}</author>
    <author>tc={DCC8D808-F62A-46DD-A814-F6465861647B}</author>
    <author>tc={67E4916D-4CA9-4964-9B2D-1231D5F4D870}</author>
    <author>tc={D072C28E-8173-4817-8D99-5B41DEC166F2}</author>
    <author>tc={D081E80F-2577-44ED-A1BC-1DBCEB2BB12F}</author>
    <author>tc={9C49559A-47C3-4039-9493-20398FA208DB}</author>
    <author>tc={95E86669-8ECB-4A2F-8DE0-C86E5B29D639}</author>
    <author>tc={2A578E25-7794-4D2B-A493-58CD25103875}</author>
    <author>tc={665CCC58-FDFA-4143-A277-1FED40EC9629}</author>
    <author>tc={03DD3A1E-A9FE-445D-BAF8-47661A44C900}</author>
    <author>tc={95256B6B-9C6C-49AA-9591-A4B2B31F2C43}</author>
    <author>tc={B8A5104D-11E9-4ED5-9D3E-4E84C6F398AE}</author>
    <author>tc={504726AC-C67F-4FFA-911A-CF8BAAC407E5}</author>
    <author>tc={EFF0F285-5B5D-4138-80F2-C05971FD6BCE}</author>
    <author>tc={D4E143D8-C0D8-496D-8D2D-A22ABD9EDA82}</author>
    <author>tc={8B92EFE5-2CFC-4E0F-94D0-E383F4D8A220}</author>
    <author>tc={78FFA84E-77DB-429A-8B22-445B0F5B1A97}</author>
    <author>tc={9B163855-8A5B-45C8-BEC8-767652520F7A}</author>
    <author>tc={97EDB631-08EB-4CCC-BB1D-6843D2490925}</author>
    <author>tc={D1AEE289-C3A0-4A9B-A9AF-113C8519C8E5}</author>
    <author>tc={0B3EC865-C087-4757-B558-ED9DCA3C6672}</author>
    <author>tc={D33E8EB6-2294-4C0A-93D9-252AD89768B3}</author>
    <author>tc={BD7B1752-1D63-498E-A036-1D2ABF85643D}</author>
    <author>tc={71554051-FE5E-4D9E-A6AD-062F0A725E5B}</author>
    <author>tc={D8C49C29-C208-416A-A3BA-9B3F91ECD14B}</author>
    <author>tc={734A1C76-7917-4F18-BAC3-F270B07A1E72}</author>
    <author>tc={C28F7E6A-60B5-4033-8856-66ADC5C1A9F0}</author>
    <author>tc={86579B50-B671-4272-B815-1C5A389A824C}</author>
    <author>tc={21477385-8B9C-4DC4-93B0-26B6BC3EF851}</author>
  </authors>
  <commentList>
    <comment ref="H5" authorId="0" shapeId="0" xr:uid="{847DE3AB-7BC2-4CFC-94EC-C927653993A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hay compu-aula Folio de CAUSD 66285 
Respuesta:
    Sale de MIT, porque se decide hoy 07/08/2023 que será en línea</t>
      </text>
    </comment>
    <comment ref="AW5" authorId="1" shapeId="0" xr:uid="{CC7EDE9C-AAA4-45E1-B190-C82A02297C2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Tal vez cambie la liga porque se hizo solamente para hoy 07082023</t>
      </text>
    </comment>
    <comment ref="H10" authorId="2" shapeId="0" xr:uid="{F31BCEF2-18B5-4D74-B973-8CB4D6C992F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solicito aula de posgrado por correo 07/06/2023
Respuesta:
    Sale del Aula Cosío para irse al C04</t>
      </text>
    </comment>
    <comment ref="H12" authorId="3" shapeId="0" xr:uid="{DDC57956-EB81-4B81-8AEB-9D6DCC275F3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A16</t>
      </text>
    </comment>
    <comment ref="H13" authorId="4" shapeId="0" xr:uid="{41845C4E-26F6-46F7-8C28-6E241BB0C7E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A14</t>
      </text>
    </comment>
    <comment ref="H15" authorId="5" shapeId="0" xr:uid="{DA03F3CE-D8CE-4A58-B65F-D5F03D56A958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CAUSD, folio 62844
</t>
      </text>
    </comment>
    <comment ref="J15" authorId="6" shapeId="0" xr:uid="{FC54F48C-A8CB-4B2F-B48F-7AEEDB770D2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va ser uno menos porque el alumno Miguel Pedroza de TI, su materia tiene que aprecer de Intercambio</t>
      </text>
    </comment>
    <comment ref="H16" authorId="7" shapeId="0" xr:uid="{9BF0001A-3A51-43C0-91DE-F5ADB5EC3890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CAUSD, folio 62844
</t>
      </text>
    </comment>
    <comment ref="C21" authorId="8" shapeId="0" xr:uid="{1C2B8B83-392E-4BA2-B8F9-2578169B8CB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fusiona con Proyecto Mecatrónica I</t>
      </text>
    </comment>
    <comment ref="C22" authorId="9" shapeId="0" xr:uid="{E5DF52BA-A3ED-483A-BA89-C78152F2F12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fusiona con Elementos de Mecatrónica</t>
      </text>
    </comment>
    <comment ref="H33" authorId="10" shapeId="0" xr:uid="{2088147B-AF4B-42C8-A6AD-2DF398A72F0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ITE, para irse Online</t>
      </text>
    </comment>
    <comment ref="H40" authorId="11" shapeId="0" xr:uid="{A02BAE7B-EE91-421C-AEB6-E336CCFC218F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Solicitar aula en el sistema de espacios
Respuesta:
    Folio de CAUSD 66285 </t>
      </text>
    </comment>
    <comment ref="H41" authorId="12" shapeId="0" xr:uid="{2DF96E64-7565-4F2D-962A-6875A729CE72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Solicitarla en espacios
Respuesta:
    Folio de CAUSD 66285 </t>
      </text>
    </comment>
    <comment ref="H43" authorId="13" shapeId="0" xr:uid="{793B518C-46E5-44C8-85D4-E050B4057B1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solicitará compu-aula
Respuesta:
    CAUSD, folio 66261</t>
      </text>
    </comment>
    <comment ref="H47" authorId="14" shapeId="0" xr:uid="{895983CA-50CF-4611-B4FA-223E2A246859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de CAUSD 66285 </t>
      </text>
    </comment>
    <comment ref="H57" authorId="15" shapeId="0" xr:uid="{F1883853-BC69-4B12-BE84-E40F0F023FB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Electrónica. El folio de la nueva es 83340</t>
      </text>
    </comment>
    <comment ref="O57" authorId="16" shapeId="0" xr:uid="{EB1ED6A4-A9D3-4A8E-ADA9-459BC514AD2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3er. Semestre solamente tendrán un Profesor? No. IM (23) BIO (7), ITE (4)=34</t>
      </text>
    </comment>
    <comment ref="H58" authorId="17" shapeId="0" xr:uid="{407A3C1C-FB05-4FF9-B8DC-33F313F38A1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Electrónica. Folio de la nueva 83341</t>
      </text>
    </comment>
    <comment ref="O58" authorId="18" shapeId="0" xr:uid="{C656DDC5-07B0-4941-9050-D4EC3308445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3er. Semestre solamente tendrán un Profesor? No. IM (23) BIO (7), ITE (4)=34</t>
      </text>
    </comment>
    <comment ref="B59" authorId="19" shapeId="0" xr:uid="{760E47FB-506E-46FF-94FE-9264EF53288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1 materia, prefiere cálculo diferencial</t>
      </text>
    </comment>
    <comment ref="C59" authorId="20" shapeId="0" xr:uid="{C40C3A97-CC25-4FC6-9EE2-3DCACE5277C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inicia con 3 profesor, todo depende del No. de alumnos que tomarán Álgebra de 4 o de 8 hrs.</t>
      </text>
    </comment>
    <comment ref="B60" authorId="21" shapeId="0" xr:uid="{96C75BAA-8AAB-4A50-BCED-EFD355B1247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1 materia, prefiere cálculo diferencial</t>
      </text>
    </comment>
    <comment ref="B66" authorId="22" shapeId="0" xr:uid="{21230CB9-36A9-4F75-8C13-C7811AFEBC3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2 materias, preferencias: cálculo integral, álgebra lineal, probabilidad y estadística</t>
      </text>
    </comment>
    <comment ref="B67" authorId="23" shapeId="0" xr:uid="{160652B2-B0A6-4CAF-9F9C-3F930531CB5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2 materias, preferencias: cálculo integral, álgebra lineal, probabilidad y estadística</t>
      </text>
    </comment>
    <comment ref="H68" authorId="24" shapeId="0" xr:uid="{C2553CE8-F7E2-49D6-922C-547F81412274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de CAUSD 66285 </t>
      </text>
    </comment>
    <comment ref="H70" authorId="25" shapeId="0" xr:uid="{DCC8D808-F62A-46DD-A814-F6465861647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62844</t>
      </text>
    </comment>
    <comment ref="H71" authorId="26" shapeId="0" xr:uid="{67E4916D-4CA9-4964-9B2D-1231D5F4D870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CAUSD, folio 62844
</t>
      </text>
    </comment>
    <comment ref="H85" authorId="27" shapeId="0" xr:uid="{D072C28E-8173-4817-8D99-5B41DEC166F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ICA</t>
      </text>
    </comment>
    <comment ref="H101" authorId="28" shapeId="0" xr:uid="{D081E80F-2577-44ED-A1BC-1DBCEB2BB12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aula A14</t>
      </text>
    </comment>
    <comment ref="H102" authorId="29" shapeId="0" xr:uid="{9C49559A-47C3-4039-9493-20398FA208D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aula A17</t>
      </text>
    </comment>
    <comment ref="B109" authorId="30" shapeId="0" xr:uid="{95E86669-8ECB-4A2F-8DE0-C86E5B29D63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 (documentos pendientes)</t>
      </text>
    </comment>
    <comment ref="H111" authorId="31" shapeId="0" xr:uid="{2A578E25-7794-4D2B-A493-58CD251038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solicito aula de posgrado por correo 07/06/2023</t>
      </text>
    </comment>
    <comment ref="H115" authorId="32" shapeId="0" xr:uid="{665CCC58-FDFA-4143-A277-1FED40EC962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ICA</t>
      </text>
    </comment>
    <comment ref="H116" authorId="33" shapeId="0" xr:uid="{03DD3A1E-A9FE-445D-BAF8-47661A44C90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ICA</t>
      </text>
    </comment>
    <comment ref="H126" authorId="34" shapeId="0" xr:uid="{95256B6B-9C6C-49AA-9591-A4B2B31F2C4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Compu-aula Programa Rhino
Respuesta:
    No tienen el programa
Respuesta:
    CAUSD folio 62844
Respuesta:
    ¿Sale CC001?</t>
      </text>
    </comment>
    <comment ref="B128" authorId="35" shapeId="0" xr:uid="{B8A5104D-11E9-4ED5-9D3E-4E84C6F398A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 va ser Profr. Adjunto.</t>
      </text>
    </comment>
    <comment ref="B129" authorId="36" shapeId="0" xr:uid="{504726AC-C67F-4FFA-911A-CF8BAAC407E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 va ser Profr. Adjunto.</t>
      </text>
    </comment>
    <comment ref="H135" authorId="37" shapeId="0" xr:uid="{EFF0F285-5B5D-4138-80F2-C05971FD6BC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C23</t>
      </text>
    </comment>
    <comment ref="H139" authorId="38" shapeId="0" xr:uid="{D4E143D8-C0D8-496D-8D2D-A22ABD9EDA8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Correo 01/08/2023</t>
      </text>
    </comment>
    <comment ref="H147" authorId="39" shapeId="0" xr:uid="{8B92EFE5-2CFC-4E0F-94D0-E383F4D8A22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Online</t>
      </text>
    </comment>
    <comment ref="H154" authorId="40" shapeId="0" xr:uid="{78FFA84E-77DB-429A-8B22-445B0F5B1A97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 folio 66260 </t>
      </text>
    </comment>
    <comment ref="H155" authorId="41" shapeId="0" xr:uid="{9B163855-8A5B-45C8-BEC8-767652520F7A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hay aula
Respuesta:
    No hay compu-aula Folio 66260 </t>
      </text>
    </comment>
    <comment ref="C156" authorId="42" shapeId="0" xr:uid="{97EDB631-08EB-4CCC-BB1D-6843D249092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ICA en la mañana</t>
      </text>
    </comment>
    <comment ref="H162" authorId="43" shapeId="0" xr:uid="{D1AEE289-C3A0-4A9B-A9AF-113C8519C8E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C22
Respuesta:
    Sale del C03</t>
      </text>
    </comment>
    <comment ref="H163" authorId="44" shapeId="0" xr:uid="{0B3EC865-C087-4757-B558-ED9DCA3C667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A25</t>
      </text>
    </comment>
    <comment ref="H164" authorId="45" shapeId="0" xr:uid="{D33E8EB6-2294-4C0A-93D9-252AD89768B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A17</t>
      </text>
    </comment>
    <comment ref="G181" authorId="46" shapeId="0" xr:uid="{BD7B1752-1D63-498E-A036-1D2ABF85643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LE PAGARÁN 2 HORAS FUERA DE CARGA.. SU CARGA QUEDA DE 6 HRS CLASE + 6 HRS DE PREPARACIÓN Y 2 HRS FUERA</t>
      </text>
    </comment>
    <comment ref="H182" authorId="47" shapeId="0" xr:uid="{71554051-FE5E-4D9E-A6AD-062F0A725E5B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66259
</t>
      </text>
    </comment>
    <comment ref="H183" authorId="48" shapeId="0" xr:uid="{D8C49C29-C208-416A-A3BA-9B3F91ECD14B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66259
</t>
      </text>
    </comment>
    <comment ref="G216" authorId="49" shapeId="0" xr:uid="{734A1C76-7917-4F18-BAC3-F270B07A1E7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 ESTA CLASE SEACORDÓ DEJAR 2 HORAS EN CARGA + 2HRS DE PREPARACIÓN Y SE PAGA 1 HORA DE CLASE FUERA DE CARGA</t>
      </text>
    </comment>
    <comment ref="G217" authorId="50" shapeId="0" xr:uid="{C28F7E6A-60B5-4033-8856-66ADC5C1A9F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 ESTA CLASE SEACORDÓ DEJAR 2 HORAS EN CARGA + 2HRS DE PREPARACIÓN Y SE PAGA 1 HORA DE CLASE FUERA DE CARGA</t>
      </text>
    </comment>
    <comment ref="H225" authorId="51" shapeId="0" xr:uid="{86579B50-B671-4272-B815-1C5A389A824C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de CAUSD 66285 </t>
      </text>
    </comment>
    <comment ref="O230" authorId="52" shapeId="0" xr:uid="{21477385-8B9C-4DC4-93B0-26B6BC3EF85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83403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tc={C09362F9-5B13-4543-8867-B1E9B2127B62}</author>
    <author>tc={9607CDC6-9D74-4BF5-8830-4F3AE7860573}</author>
    <author>tc={B788FF39-9C35-4E2C-BB1C-E9D5B0853696}</author>
    <author>tc={30DF4EE2-8A95-4A74-B3BE-BC836ABED789}</author>
    <author>tc={91D630B5-C732-41FD-AFB6-CC793419D0EC}</author>
    <author>tc={DEC9BD30-2388-429A-857F-CCE76F1C8653}</author>
    <author>tc={DCA6DC65-F95E-4D75-8B0C-AB884C01B154}</author>
    <author>tc={286D5578-82E5-4AD2-9121-2E7904B4D043}</author>
    <author>tc={3F8FFDB9-031E-4233-86DA-25E395A076C6}</author>
  </authors>
  <commentList>
    <comment ref="F3" authorId="0" shapeId="0" xr:uid="{C09362F9-5B13-4543-8867-B1E9B2127B6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
Respuesta:
    Queda como profr. Adjunto (falta titulo)</t>
      </text>
    </comment>
    <comment ref="C9" authorId="1" shapeId="0" xr:uid="{9607CDC6-9D74-4BF5-8830-4F3AE786057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
Respuesta:
    Profesora Adjunta</t>
      </text>
    </comment>
    <comment ref="F11" authorId="2" shapeId="0" xr:uid="{B788FF39-9C35-4E2C-BB1C-E9D5B085369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</t>
      </text>
    </comment>
    <comment ref="C36" authorId="3" shapeId="0" xr:uid="{30DF4EE2-8A95-4A74-B3BE-BC836ABED789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Tal vez cambie a Especialidad su grado (necesitan comprobarlo) </t>
      </text>
    </comment>
    <comment ref="AR42" authorId="4" shapeId="0" xr:uid="{91D630B5-C732-41FD-AFB6-CC793419D0E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Consultado con Diego la capacidad</t>
      </text>
    </comment>
    <comment ref="F46" authorId="5" shapeId="0" xr:uid="{DEC9BD30-2388-429A-857F-CCE76F1C865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 otra sede (ingreso a Ags.)</t>
      </text>
    </comment>
    <comment ref="F59" authorId="6" shapeId="0" xr:uid="{DCA6DC65-F95E-4D75-8B0C-AB884C01B15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</t>
      </text>
    </comment>
    <comment ref="F69" authorId="7" shapeId="0" xr:uid="{286D5578-82E5-4AD2-9121-2E7904B4D04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</t>
      </text>
    </comment>
    <comment ref="C71" authorId="8" shapeId="0" xr:uid="{3F8FFDB9-031E-4233-86DA-25E395A076C6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su contrato queda como profr. adjunto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tc={788032CE-9C7F-4F64-9C86-22340CD3336A}</author>
  </authors>
  <commentList>
    <comment ref="L7" authorId="0" shapeId="0" xr:uid="{788032CE-9C7F-4F64-9C86-22340CD3336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suma 1 en el ciclo1229 para IM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Bego</author>
    <author>Laura Patricia Renteria Solis</author>
    <author>tc={DFAB6337-DA00-4924-A41F-029349F1CF14}</author>
    <author>tc={36F4509D-FAE5-4348-B79B-85BA59F0A54D}</author>
    <author>tc={754CCBD8-4D70-4336-A704-81DD02E5F74C}</author>
    <author>tc={F93F9756-B0CC-4C45-A780-94334BFE4F75}</author>
    <author>tc={27F68019-6BAC-4F6C-8B6A-F57CA96CB5B7}</author>
    <author>tc={CA7A506D-1CED-46B0-942B-0D28DB2534F8}</author>
    <author>tc={F2A8545F-5009-4755-890B-21EB754FF99E}</author>
    <author>tc={A0EF9814-9550-4452-A919-3D2F3B9896A3}</author>
    <author>tc={AF5434D4-EAAB-48DC-979A-437A82FD15C6}</author>
    <author>tc={2C176F6D-E4A7-46FF-8135-C39472FCD042}</author>
    <author>tc={11E72D43-D7DF-44B8-B01C-80C1E4D6FEC8}</author>
    <author>tc={097C7817-C50B-4C22-8F5D-48B58C854027}</author>
    <author>tc={B08269CD-0407-46FD-9481-C6DE958E5BF8}</author>
    <author>tc={A73D0277-B97D-467E-BA4F-2F7FD88DB3C6}</author>
    <author>tc={2D4F2B91-3A3F-48AB-9C9C-3096C66663EA}</author>
    <author>tc={23358092-EA64-4EB2-AA9D-C62722FCC2E2}</author>
    <author>tc={10972E3D-4AAA-4C42-9A76-971A58C27794}</author>
    <author>tc={49310659-F2A5-41A3-B980-FA16E2303EBC}</author>
    <author>tc={059A2DB0-352F-457C-9096-E24556F3FA04}</author>
    <author>tc={837D64DB-57C6-4B53-8895-ADF6F4E1D755}</author>
    <author>tc={4FC8D050-4347-438C-9953-C950FF760742}</author>
    <author>tc={DAC1048F-1DB8-4C27-A047-C0BEDB01D257}</author>
    <author>tc={56E02B86-69CE-423D-8BC9-8BE8EA05DE03}</author>
    <author>tc={D5C81F4D-AF4F-428F-962E-3A937A07D994}</author>
    <author>tc={E20E2352-1657-48AA-936B-CB18EF092AD9}</author>
    <author>tc={8494A38A-50BA-493C-870A-20BC8D499862}</author>
    <author>tc={65422061-DE33-4EB7-8D72-E9451EBA3CBF}</author>
    <author>tc={FE25BC45-B4FE-4ABA-BE30-0279E3732559}</author>
    <author>tc={14B6EF98-DA6C-42D3-A64F-1CDF9FE958B4}</author>
    <author>tc={8AD28B5E-9B66-4271-B7C2-1C3CA805E975}</author>
    <author>tc={25975C4D-B325-4AC1-9F92-427F3533199F}</author>
    <author>tc={0A534E91-2553-46E8-BB2F-B70E7F039784}</author>
    <author>tc={DDEF3613-85A3-48CB-B897-9D90EDBF2923}</author>
    <author>tc={21576DDF-101E-4266-AB99-20F60BC3B727}</author>
  </authors>
  <commentList>
    <comment ref="I12" authorId="0" shapeId="0" xr:uid="{ADBEAB96-BBAD-4471-AB8D-AE3347AD6E3E}">
      <text>
        <r>
          <rPr>
            <b/>
            <sz val="9"/>
            <color indexed="81"/>
            <rFont val="Tahoma"/>
            <family val="2"/>
          </rPr>
          <t xml:space="preserve">No se abrirá
</t>
        </r>
      </text>
    </comment>
    <comment ref="H15" authorId="1" shapeId="0" xr:uid="{00000000-0006-0000-0400-00000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Introducción a la computación</t>
        </r>
      </text>
    </comment>
    <comment ref="I1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Programación para Ing Civil
</t>
        </r>
      </text>
    </comment>
    <comment ref="H1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Teologìa Dogmática</t>
        </r>
      </text>
    </comment>
    <comment ref="H17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Teología Moral</t>
        </r>
      </text>
    </comment>
    <comment ref="I30" authorId="0" shapeId="0" xr:uid="{18F0DFB6-C7BA-4233-B6A6-A973E87D726E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sesegundo pero se abrirá en primero</t>
        </r>
      </text>
    </comment>
    <comment ref="I31" authorId="2" shapeId="0" xr:uid="{DFAB6337-DA00-4924-A41F-029349F1CF1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1228, esta materia es optiva, se toma la decisión de abrir otras.</t>
      </text>
    </comment>
    <comment ref="C37" authorId="3" shapeId="0" xr:uid="{36F4509D-FAE5-4348-B79B-85BA59F0A54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aparecen para EEC</t>
      </text>
    </comment>
    <comment ref="K3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 64</t>
        </r>
      </text>
    </comment>
    <comment ref="K39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Laura Patricia Renteria Solis:
ITE 64
el resto 48
para el 1218 la pusimos de 64 xq se abre para ITE exclusivamente</t>
        </r>
      </text>
    </comment>
    <comment ref="E45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Laura Patricia Renteria Solis:
Optativa</t>
        </r>
      </text>
    </comment>
    <comment ref="E48" authorId="4" shapeId="0" xr:uid="{754CCBD8-4D70-4336-A704-81DD02E5F74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ciclo 1228, no llevarán la materia (7mo.)</t>
      </text>
    </comment>
    <comment ref="E54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K57" authorId="1" shapeId="0" xr:uid="{00000000-0006-0000-0400-00001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48 hrs.</t>
        </r>
      </text>
    </comment>
    <comment ref="I70" authorId="5" shapeId="0" xr:uid="{F93F9756-B0CC-4C45-A780-94334BFE4F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materia de primer semestre y se darán en segundo semestre, ciclo 1222</t>
      </text>
    </comment>
    <comment ref="K73" authorId="1" shapeId="0" xr:uid="{00000000-0006-0000-0400-000012000000}">
      <text>
        <r>
          <rPr>
            <b/>
            <sz val="9"/>
            <color indexed="81"/>
            <rFont val="Tahoma"/>
            <family val="2"/>
          </rPr>
          <t>Laura Patricia Renteria Solis:
ITE, 64</t>
        </r>
      </text>
    </comment>
    <comment ref="E74" authorId="6" shapeId="0" xr:uid="{27F68019-6BAC-4F6C-8B6A-F57CA96CB5B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se lleva en este ciclo escolar 1228, pero efectivamente es de 7mo. semestre.</t>
      </text>
    </comment>
    <comment ref="H75" authorId="7" shapeId="0" xr:uid="{CA7A506D-1CED-46B0-942B-0D28DB2534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Esta materia se debe ofertar en 3eroaunque en ruta aparece de 4to</t>
      </text>
    </comment>
    <comment ref="F80" authorId="1" shapeId="0" xr:uid="{00000000-0006-0000-0400-00001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G80" authorId="1" shapeId="0" xr:uid="{00000000-0006-0000-0400-00001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
</t>
        </r>
      </text>
    </comment>
    <comment ref="I80" authorId="8" shapeId="0" xr:uid="{F2A8545F-5009-4755-890B-21EB754FF99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En este ciclo, civil decidio no llevar emprendedores.
Respuesta:
    7mo. semes (1228)</t>
      </text>
    </comment>
    <comment ref="I84" authorId="9" shapeId="0" xr:uid="{A0EF9814-9550-4452-A919-3D2F3B9896A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I87" authorId="1" shapeId="0" xr:uid="{00000000-0006-0000-0400-00001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88" authorId="10" shapeId="0" xr:uid="{AF5434D4-EAAB-48DC-979A-437A82FD15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Es de 10mo. semestre y no se oferta</t>
      </text>
    </comment>
    <comment ref="F98" authorId="0" shapeId="0" xr:uid="{BCD1AEF3-1A08-41D6-A4F5-59E2184492F7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da en sexto</t>
        </r>
      </text>
    </comment>
    <comment ref="I99" authorId="11" shapeId="0" xr:uid="{2C176F6D-E4A7-46FF-8135-C39472FCD04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decisión de la academia en este ciclo 1238, la materia Ética Profesional, la tomarán en noveno.</t>
      </text>
    </comment>
    <comment ref="C117" authorId="12" shapeId="0" xr:uid="{11E72D43-D7DF-44B8-B01C-80C1E4D6FEC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 esta para el área ETF</t>
      </text>
    </comment>
    <comment ref="I117" authorId="13" shapeId="0" xr:uid="{097C7817-C50B-4C22-8F5D-48B58C85402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H118" authorId="1" shapeId="0" xr:uid="{00000000-0006-0000-0400-00001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</t>
        </r>
      </text>
    </comment>
    <comment ref="H119" authorId="1" shapeId="0" xr:uid="{00000000-0006-0000-0400-00001C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Ética de las Virtudes</t>
        </r>
      </text>
    </comment>
    <comment ref="C125" authorId="14" shapeId="0" xr:uid="{B08269CD-0407-46FD-9481-C6DE958E5B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dice que le pertenece a la academia DIOP?</t>
      </text>
    </comment>
    <comment ref="I130" authorId="15" shapeId="0" xr:uid="{A73D0277-B97D-467E-BA4F-2F7FD88DB3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No abrira</t>
      </text>
    </comment>
    <comment ref="D140" authorId="1" shapeId="0" xr:uid="{00000000-0006-0000-0400-00002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43" authorId="0" shapeId="0" xr:uid="{E180F3BD-FBB2-493A-8E92-7FE924447B5C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tercero pero se abrirá en 4to
</t>
        </r>
      </text>
    </comment>
    <comment ref="K144" authorId="1" shapeId="0" xr:uid="{00000000-0006-0000-0400-00002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H150" authorId="1" shapeId="0" xr:uid="{00000000-0006-0000-0400-00002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Microcontroladores</t>
        </r>
      </text>
    </comment>
    <comment ref="H151" authorId="1" shapeId="0" xr:uid="{00000000-0006-0000-0400-00002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Microprocesadores</t>
        </r>
      </text>
    </comment>
    <comment ref="K151" authorId="1" shapeId="0" xr:uid="{00000000-0006-0000-0400-00002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F157" authorId="16" shapeId="0" xr:uid="{2D4F2B91-3A3F-48AB-9C9C-3096C66663E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Definitiva</t>
      </text>
    </comment>
    <comment ref="C159" authorId="17" shapeId="0" xr:uid="{23358092-EA64-4EB2-AA9D-C62722FCC2E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esta para el área ETF</t>
      </text>
    </comment>
    <comment ref="D160" authorId="18" shapeId="0" xr:uid="{10972E3D-4AAA-4C42-9A76-971A58C27794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Industrial aparece en la academía de Administración en Upsite
Respuesta:
    Para este ciclo 1228 se elimina la materia de Optimización y Control Energético
Respuesta:
    Para el 1238 se elige la otra optativa
</t>
      </text>
    </comment>
    <comment ref="H160" authorId="19" shapeId="0" xr:uid="{49310659-F2A5-41A3-B980-FA16E2303EB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7mo. No se da en el ciclo 1238, porque se ofertará en verano (1234)</t>
      </text>
    </comment>
    <comment ref="K160" authorId="1" shapeId="0" xr:uid="{00000000-0006-0000-0400-00002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II 48</t>
        </r>
      </text>
    </comment>
    <comment ref="H164" authorId="1" shapeId="0" xr:uid="{00000000-0006-0000-0400-000029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II</t>
        </r>
      </text>
    </comment>
    <comment ref="I164" authorId="20" shapeId="0" xr:uid="{059A2DB0-352F-457C-9096-E24556F3FA0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estaba, lo puse</t>
      </text>
    </comment>
    <comment ref="C165" authorId="21" shapeId="0" xr:uid="{837D64DB-57C6-4B53-8895-ADF6F4E1D75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Aparece en la academia de Civil pero Rocío Contrato</t>
      </text>
    </comment>
    <comment ref="H176" authorId="1" shapeId="0" xr:uid="{00000000-0006-0000-0400-00002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Programación Computacional</t>
        </r>
      </text>
    </comment>
    <comment ref="K180" authorId="22" shapeId="0" xr:uid="{4FC8D050-4347-438C-9953-C950FF76074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
Respuesta:
    Corrigí el No. de horas, según el plan de estudios es de 80 horas</t>
      </text>
    </comment>
    <comment ref="I181" authorId="23" shapeId="0" xr:uid="{DAC1048F-1DB8-4C27-A047-C0BEDB01D25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décimo y se va da en noveno para el ciclo 1218</t>
      </text>
    </comment>
    <comment ref="I184" authorId="1" shapeId="0" xr:uid="{00000000-0006-0000-0400-00002D000000}">
      <text>
        <r>
          <rPr>
            <b/>
            <sz val="9"/>
            <color indexed="81"/>
            <rFont val="Tahoma"/>
            <family val="2"/>
          </rPr>
          <t>Optativa en plan de estudios en tercero pero nunca se va a abrir</t>
        </r>
      </text>
    </comment>
    <comment ref="F191" authorId="24" shapeId="0" xr:uid="{56E02B86-69CE-423D-8BC9-8BE8EA05DE0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abre para 5to. semestre ciclo 1228</t>
      </text>
    </comment>
    <comment ref="G191" authorId="1" shapeId="0" xr:uid="{1F4134C4-E909-4B5A-8145-97572D877757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C192" authorId="25" shapeId="0" xr:uid="{D5C81F4D-AF4F-428F-962E-3A937A07D99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La gestión, será IID para el ciclo 1228</t>
      </text>
    </comment>
    <comment ref="G192" authorId="1" shapeId="0" xr:uid="{00000000-0006-0000-0400-00002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93" authorId="26" shapeId="0" xr:uid="{E20E2352-1657-48AA-936B-CB18EF092AD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F196" authorId="0" shapeId="0" xr:uid="{F5195F00-E277-4CB1-8ED9-CFB43F06422D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6to se dio en 5to en 1208</t>
        </r>
      </text>
    </comment>
    <comment ref="I197" authorId="0" shapeId="0" xr:uid="{AEE11F5F-680F-49E0-9282-2EB9509FC7D6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cambia a tercero siempre</t>
        </r>
      </text>
    </comment>
    <comment ref="I198" authorId="27" shapeId="0" xr:uid="{8494A38A-50BA-493C-870A-20BC8D49986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10mo. Semestre (optativa)</t>
      </text>
    </comment>
    <comment ref="D203" authorId="1" shapeId="0" xr:uid="{00000000-0006-0000-0400-00003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203" authorId="28" shapeId="0" xr:uid="{65422061-DE33-4EB7-8D72-E9451EBA3CB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F204" authorId="29" shapeId="0" xr:uid="{FE25BC45-B4FE-4ABA-BE30-0279E373255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Realmente es de 8vo. semestre pero en este ciclo 1218 se adelanta</t>
      </text>
    </comment>
    <comment ref="B210" authorId="30" shapeId="0" xr:uid="{14B6EF98-DA6C-42D3-A64F-1CDF9FE958B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ajustes de pandemia</t>
      </text>
    </comment>
    <comment ref="I212" authorId="31" shapeId="0" xr:uid="{8AD28B5E-9B66-4271-B7C2-1C3CA805E975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abre para el ciclo 1238
</t>
      </text>
    </comment>
    <comment ref="I223" authorId="0" shapeId="0" xr:uid="{530DC9C9-693A-4EEF-AB09-3B719203C8B5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primero pero se abrirá en 2ndo siempre
</t>
        </r>
      </text>
    </comment>
    <comment ref="C225" authorId="32" shapeId="0" xr:uid="{25975C4D-B325-4AC1-9F92-427F3533199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aparecerán en EEC</t>
      </text>
    </comment>
    <comment ref="C227" authorId="33" shapeId="0" xr:uid="{0A534E91-2553-46E8-BB2F-B70E7F03978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es de cómputo</t>
      </text>
    </comment>
    <comment ref="F227" authorId="34" shapeId="0" xr:uid="{DDEF3613-85A3-48CB-B897-9D90EDBF292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oferta ciclo 1228 5to. semestre</t>
      </text>
    </comment>
    <comment ref="I228" authorId="35" shapeId="0" xr:uid="{21576DDF-101E-4266-AB99-20F60BC3B72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5to. Semestre y es optativa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<sst xmlns="http://schemas.openxmlformats.org/spreadsheetml/2006/main" count="4260" uniqueCount="1660">
  <si>
    <t>Aula</t>
  </si>
  <si>
    <t>ITE</t>
  </si>
  <si>
    <t>HORA</t>
  </si>
  <si>
    <t>LUNES</t>
  </si>
  <si>
    <t>No clase</t>
  </si>
  <si>
    <t>MARTES</t>
  </si>
  <si>
    <t>MIÉRCOLES</t>
  </si>
  <si>
    <t>JUEVES</t>
  </si>
  <si>
    <t>VIERNES</t>
  </si>
  <si>
    <t>Sábado</t>
  </si>
  <si>
    <t>Profesor:</t>
  </si>
  <si>
    <t>Martha Arizmendiz Mancillas</t>
  </si>
  <si>
    <t>Carrera</t>
  </si>
  <si>
    <t>Bioelectrónica</t>
  </si>
  <si>
    <t>Semestre</t>
  </si>
  <si>
    <t>SÁBADO</t>
  </si>
  <si>
    <t>Materias</t>
  </si>
  <si>
    <t>Academia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</si>
  <si>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</t>
  </si>
  <si>
    <t>Profesor</t>
  </si>
  <si>
    <t>Materia</t>
  </si>
  <si>
    <t xml:space="preserve">Número de grupo </t>
  </si>
  <si>
    <t>Hora inicio</t>
  </si>
  <si>
    <t>Hora fin</t>
  </si>
  <si>
    <t>Se paga</t>
  </si>
  <si>
    <t>Capacidad</t>
  </si>
  <si>
    <t>Inscritos</t>
  </si>
  <si>
    <t>Cap 1.5</t>
  </si>
  <si>
    <t>Diferencia 1.5</t>
  </si>
  <si>
    <t>Cap .90</t>
  </si>
  <si>
    <t>Diferencia .90</t>
  </si>
  <si>
    <t>Lunes</t>
  </si>
  <si>
    <t>Martes</t>
  </si>
  <si>
    <t>Miércoles</t>
  </si>
  <si>
    <t>Jueves</t>
  </si>
  <si>
    <t>Viernes</t>
  </si>
  <si>
    <t>Inglés</t>
  </si>
  <si>
    <t>Examen</t>
  </si>
  <si>
    <t>HT Plan</t>
  </si>
  <si>
    <t>Horas</t>
  </si>
  <si>
    <t>Horas totales</t>
  </si>
  <si>
    <t>Misma o no</t>
  </si>
  <si>
    <t>Error en horas</t>
  </si>
  <si>
    <t>Grado de profesor</t>
  </si>
  <si>
    <t>Tipo</t>
  </si>
  <si>
    <t>Industrial</t>
  </si>
  <si>
    <t>Mecatrónica</t>
  </si>
  <si>
    <t>Innovación y Diseño</t>
  </si>
  <si>
    <t>Inteligencia Artificial</t>
  </si>
  <si>
    <t>Tecnologías Energéticas</t>
  </si>
  <si>
    <t>Civil y Administración</t>
  </si>
  <si>
    <t>Índice</t>
  </si>
  <si>
    <t>Pronóstico</t>
  </si>
  <si>
    <t>Grupos 25</t>
  </si>
  <si>
    <t>ICA II</t>
  </si>
  <si>
    <t>ICA IM</t>
  </si>
  <si>
    <t>ICA IID</t>
  </si>
  <si>
    <t>ICA IIA</t>
  </si>
  <si>
    <t>ICA ITE</t>
  </si>
  <si>
    <t>ICA ICA</t>
  </si>
  <si>
    <t>ICA IBE</t>
  </si>
  <si>
    <t>Liga de zoom</t>
  </si>
  <si>
    <t>Columna1</t>
  </si>
  <si>
    <t>Abel Guillermo Gutiérrez Gutiérrez</t>
  </si>
  <si>
    <t>BIM construcción integral</t>
  </si>
  <si>
    <t>no</t>
  </si>
  <si>
    <t>online</t>
  </si>
  <si>
    <t>x</t>
  </si>
  <si>
    <t>https://up-edu-mx.zoom.us/j/96689981778?pwd=bHl4dG1NeEd1bEloSlRnQnF2RWFtUT09</t>
  </si>
  <si>
    <t>Introducción a la ingeniería civil</t>
  </si>
  <si>
    <t>A-11</t>
  </si>
  <si>
    <t>Adrián Pastor López Monroy</t>
  </si>
  <si>
    <t>Programación orientada a objetos</t>
  </si>
  <si>
    <t>Online</t>
  </si>
  <si>
    <t>1491, 1492, 1493/94</t>
  </si>
  <si>
    <t>meet.google.com/twm-wxvo-rib</t>
  </si>
  <si>
    <t>Agustiín Viquez Fabré</t>
  </si>
  <si>
    <t>Portafolios de inversión</t>
  </si>
  <si>
    <t>B-15</t>
  </si>
  <si>
    <t>5722 (7mo. II)</t>
  </si>
  <si>
    <t>C-22</t>
  </si>
  <si>
    <t>Alberto Navarro Pérez</t>
  </si>
  <si>
    <t>Proyectos de inversión e introducción a la valuación de empresas</t>
  </si>
  <si>
    <t>https://up-edu-mx.zoom.us/j/95865114127?pwd=dk1adVozQ0lxbXRnQUl0RTl5T2ZRdz09</t>
  </si>
  <si>
    <t>Alejandro Pureco Corona</t>
  </si>
  <si>
    <t>Evaluación de nuevas tecnologías en construcción</t>
  </si>
  <si>
    <t>D-01</t>
  </si>
  <si>
    <t>C-04</t>
  </si>
  <si>
    <t>Alfredo Alonso Ruiz Esparza</t>
  </si>
  <si>
    <t>Biosustentabilidad</t>
  </si>
  <si>
    <t>5574/75</t>
  </si>
  <si>
    <t>Alfredo Márquez Martínez</t>
  </si>
  <si>
    <t>Cómputo distribuido</t>
  </si>
  <si>
    <t>CC010</t>
  </si>
  <si>
    <t>Interconexión de dispositivos inteligentes</t>
  </si>
  <si>
    <t>CC001</t>
  </si>
  <si>
    <t>Alfredo Pedroza Díaz</t>
  </si>
  <si>
    <t>Álgebra</t>
  </si>
  <si>
    <t>C21</t>
  </si>
  <si>
    <t>Ana Carolina García Meyemberg</t>
  </si>
  <si>
    <t>Imágenes digitales</t>
  </si>
  <si>
    <t>Plásticos y cerámicos para el diseño</t>
  </si>
  <si>
    <t>Cerámica, textiles</t>
  </si>
  <si>
    <t>Ana Sofía Romo Robles</t>
  </si>
  <si>
    <t>Maderas y textiles para el diseño</t>
  </si>
  <si>
    <t>1625/26</t>
  </si>
  <si>
    <t>Ángel de Jesús Jiménez Ochoa</t>
  </si>
  <si>
    <t>Circuitos digitales I o Diseño lógico</t>
  </si>
  <si>
    <t>C-24</t>
  </si>
  <si>
    <t>1505, 1507, 5836</t>
  </si>
  <si>
    <t>Elementos de mecatrónica</t>
  </si>
  <si>
    <t>si</t>
  </si>
  <si>
    <t>C-12</t>
  </si>
  <si>
    <t>5800/02</t>
  </si>
  <si>
    <t>Innova 2</t>
  </si>
  <si>
    <t>Proyecto mecatrónico I</t>
  </si>
  <si>
    <t>5797/98</t>
  </si>
  <si>
    <t>Ángel Paúl Moreno Plascencia</t>
  </si>
  <si>
    <t>Dinámica</t>
  </si>
  <si>
    <t>A-12</t>
  </si>
  <si>
    <t>1604, 1606</t>
  </si>
  <si>
    <t>A-13</t>
  </si>
  <si>
    <t>Armando Alejandro Huizar González</t>
  </si>
  <si>
    <t>Fundamentos de Control Inteligente</t>
  </si>
  <si>
    <t>Electrónica</t>
  </si>
  <si>
    <t>Begoña Noriega Olalde</t>
  </si>
  <si>
    <t>Modelos probabilísticos</t>
  </si>
  <si>
    <t>C-13</t>
  </si>
  <si>
    <t xml:space="preserve">Bernardo Arámbula </t>
  </si>
  <si>
    <t>Maderas</t>
  </si>
  <si>
    <t>Brianda Rugarcía González</t>
  </si>
  <si>
    <t>Diseño de producto y proceso</t>
  </si>
  <si>
    <t>C-14</t>
  </si>
  <si>
    <t>Emprendedores</t>
  </si>
  <si>
    <t>5807 (7II)</t>
  </si>
  <si>
    <t>https://up-edu-mx.zoom.us/j/99313827351?pwd=Qkt4bFBwRFBEazNhaHdqOEg5QjBHdz09</t>
  </si>
  <si>
    <t>Modelos funcionales</t>
  </si>
  <si>
    <t>Carlos Humberto Acosta Gastelúm</t>
  </si>
  <si>
    <t>Historia de la cultura/Antropología Filosófica I</t>
  </si>
  <si>
    <t>8696, 8702, 8707</t>
  </si>
  <si>
    <t>C02</t>
  </si>
  <si>
    <t>Carlos Sergio Palacios Martínez</t>
  </si>
  <si>
    <t>Taller de diseño para la sustentabilidad</t>
  </si>
  <si>
    <t>Celia Marisa Rodríguez Rubio</t>
  </si>
  <si>
    <t>Análisis y diseño de algoritmos/Introducción a la Comptuacional/Programación para Ingeniería Civil</t>
  </si>
  <si>
    <t>Turing</t>
  </si>
  <si>
    <t>1475, 1479, 1483, 1487/90</t>
  </si>
  <si>
    <t>Introducción a las bases de datos</t>
  </si>
  <si>
    <t>César López Murillo</t>
  </si>
  <si>
    <t>1477, 1481, 1485, 1489/90</t>
  </si>
  <si>
    <t>Christian Emmanuel Mujica Arochi</t>
  </si>
  <si>
    <t>BIM creación de modelos</t>
  </si>
  <si>
    <t>https://up-edu-mx.zoom.us/j/93173778306?pwd=TTlBdEcwYmdHT2dSN3NTOFdVQkxxUT09</t>
  </si>
  <si>
    <t>CAD aplicado a la ingeniería civil</t>
  </si>
  <si>
    <t>CC011</t>
  </si>
  <si>
    <t>1580/81</t>
  </si>
  <si>
    <t>Claudia Nallely Sánchez Gómez</t>
  </si>
  <si>
    <t>Optimización y metaheurísticas II</t>
  </si>
  <si>
    <t>Claudio César Calabrese</t>
  </si>
  <si>
    <t>Ética/Ética General</t>
  </si>
  <si>
    <t>8742, 8750, 8754</t>
  </si>
  <si>
    <t>Crisdalith Cachutt Alvarado</t>
  </si>
  <si>
    <t>Introducción a la logística</t>
  </si>
  <si>
    <t>David Alejandro Montoya  Murillo</t>
  </si>
  <si>
    <t>1476, 1480, 1484,  1488/90</t>
  </si>
  <si>
    <t>Diego Larrondo Montalvo</t>
  </si>
  <si>
    <t>Diseño de elementos de máquinas</t>
  </si>
  <si>
    <t>Procesos de manufactura</t>
  </si>
  <si>
    <t>Eduardo Emmanuel Rodríguez López</t>
  </si>
  <si>
    <t>Programación avanzada</t>
  </si>
  <si>
    <t>1495, 1498 (IM. BIO)</t>
  </si>
  <si>
    <t>meet.google.com/rod-drtq-mgq</t>
  </si>
  <si>
    <t>Eduardo Sánchez de Alba</t>
  </si>
  <si>
    <t>Antropología teológica I/Teología Dogmática</t>
  </si>
  <si>
    <t>8767, 8769, 8768</t>
  </si>
  <si>
    <t>8745, 8751, 8755</t>
  </si>
  <si>
    <t>Elise Anaís Medrano Escobedo</t>
  </si>
  <si>
    <t>Geología</t>
  </si>
  <si>
    <t>Scholas</t>
  </si>
  <si>
    <t>Eric Manuel Rodríguez Herrera</t>
  </si>
  <si>
    <t>Diseño de experimentos</t>
  </si>
  <si>
    <t>A-25</t>
  </si>
  <si>
    <t>C-23</t>
  </si>
  <si>
    <t>Erika Iliana del Rocío Hernández Ramírez</t>
  </si>
  <si>
    <t>Circuitos eléctricos</t>
  </si>
  <si>
    <t>Jesús María</t>
  </si>
  <si>
    <t>1509/10, 1511/12, 1513/14</t>
  </si>
  <si>
    <t>D-03</t>
  </si>
  <si>
    <t>Ernesto Save Moreno</t>
  </si>
  <si>
    <t>Cálculo Diferencial</t>
  </si>
  <si>
    <t>1446,1449,  1452</t>
  </si>
  <si>
    <t>Cálculo diferencial</t>
  </si>
  <si>
    <t>Ethel Beatriz Junco de Calabrese</t>
  </si>
  <si>
    <t>A-17</t>
  </si>
  <si>
    <t>8700, 8705, 8710</t>
  </si>
  <si>
    <t>Evelyn Jade Hernández Ramos</t>
  </si>
  <si>
    <t>Probabilidad</t>
  </si>
  <si>
    <t>Fabiola Ayluardo Rivera</t>
  </si>
  <si>
    <t>C23</t>
  </si>
  <si>
    <t>C22</t>
  </si>
  <si>
    <t>Cálculo integral</t>
  </si>
  <si>
    <t>1455, 1457, 1459, 1461/1463</t>
  </si>
  <si>
    <t>Fátima del Rosario Árambula Coronado</t>
  </si>
  <si>
    <t>1474, 1478, 1482, 1486/90</t>
  </si>
  <si>
    <t>Fernando Dávalos  Hernández</t>
  </si>
  <si>
    <t>Microcontroladores I</t>
  </si>
  <si>
    <t>C-11</t>
  </si>
  <si>
    <t>1533/34, 1536/37, 1539/40</t>
  </si>
  <si>
    <t>Francisco de Jesús Guerrero Jiménez</t>
  </si>
  <si>
    <t>Modelado digital</t>
  </si>
  <si>
    <t>Principios del dibujo</t>
  </si>
  <si>
    <t>Técnicas Avanzadas de Representación</t>
  </si>
  <si>
    <t>Francisco de Paula Morales Viesca</t>
  </si>
  <si>
    <t>Administración de proyectos</t>
  </si>
  <si>
    <t>https://up-edu-mx.zoom.us/j/92265219669?pwd=dUExRUhaa3ZWQ2U4MkNGdTlxOGU5QT09</t>
  </si>
  <si>
    <t>Evaluación de proyectos energéticos</t>
  </si>
  <si>
    <t>1568/69</t>
  </si>
  <si>
    <t>https://up-edu-mx.zoom.us/j/91600688874?pwd=MjN1eEJEb1d4ekNJc3kzVkczWGNwdz09</t>
  </si>
  <si>
    <t>https://up-edu-mx.zoom.us/j/99174143923?pwd=dXUyK1VjaitMU3d2ZXdKWjJZVGFQdz09</t>
  </si>
  <si>
    <t>Gabriela Durán Aguilar</t>
  </si>
  <si>
    <t>Taller de Creatividad para el diseño</t>
  </si>
  <si>
    <t>Taller de creatividad para el diseño</t>
  </si>
  <si>
    <t>Taller de diseño ergonómico</t>
  </si>
  <si>
    <t>Gabriela Valdivia Márquez</t>
  </si>
  <si>
    <t>Psicología del comportamiento humano</t>
  </si>
  <si>
    <t>MIT</t>
  </si>
  <si>
    <t>IID</t>
  </si>
  <si>
    <t>https://meet.google.com/rgs-veho-cwe</t>
  </si>
  <si>
    <t>Gaspar Hermenegildo Vela Martínez</t>
  </si>
  <si>
    <t>Diseño de estructuras de concreto I</t>
  </si>
  <si>
    <t>ICA 1 PB</t>
  </si>
  <si>
    <t>1837/38</t>
  </si>
  <si>
    <t>Gastón Leonardo Goñi Tascón</t>
  </si>
  <si>
    <t>Control de procesos</t>
  </si>
  <si>
    <t>A-24</t>
  </si>
  <si>
    <t>1500 (5to. II)</t>
  </si>
  <si>
    <t>Manufactura Esbelta</t>
  </si>
  <si>
    <t>A-23</t>
  </si>
  <si>
    <t>Gerardo Rodríguez Romo</t>
  </si>
  <si>
    <t>Física</t>
  </si>
  <si>
    <t>1611/12, 1616/17, 1621/22</t>
  </si>
  <si>
    <t>Tecnología de materiales</t>
  </si>
  <si>
    <t>A-15</t>
  </si>
  <si>
    <t>1824/25</t>
  </si>
  <si>
    <t>Gustavo Serna Medina</t>
  </si>
  <si>
    <t>Ética profesional</t>
  </si>
  <si>
    <t>8809, 8810, 8811</t>
  </si>
  <si>
    <t>Héctor Eduardo Gilardi Velázquez</t>
  </si>
  <si>
    <t>Ecuaciones diferenciales</t>
  </si>
  <si>
    <t>1683, 1685, 1690, 1693, 6051/53</t>
  </si>
  <si>
    <t>Electricidad y magnetismo</t>
  </si>
  <si>
    <t>Energía nuclear</t>
  </si>
  <si>
    <t>Héctor Luis Villacorta Minaya</t>
  </si>
  <si>
    <t>Electrónica avanzada</t>
  </si>
  <si>
    <t>5824/25</t>
  </si>
  <si>
    <t>Lean (Lab. Métodos)</t>
  </si>
  <si>
    <t>Hiroki Alejandro Sasamoto Cruz</t>
  </si>
  <si>
    <t>Biointerfaces</t>
  </si>
  <si>
    <t>1464/65</t>
  </si>
  <si>
    <t>Biomecánica</t>
  </si>
  <si>
    <t>A-16</t>
  </si>
  <si>
    <t>1466/67</t>
  </si>
  <si>
    <t>Humberto Pacheco Martínez</t>
  </si>
  <si>
    <t>Hombre y mundo contemporáneo</t>
  </si>
  <si>
    <t>8799, 8802, 8805</t>
  </si>
  <si>
    <t>Ignacio Acosta Pineda</t>
  </si>
  <si>
    <t>Biosensores</t>
  </si>
  <si>
    <t>8230/31</t>
  </si>
  <si>
    <t>Ignacio Carrasco García</t>
  </si>
  <si>
    <t>Antropología teológica II/Teología Moral</t>
  </si>
  <si>
    <t>Aula Aguascalientes</t>
  </si>
  <si>
    <t>8783, 8786</t>
  </si>
  <si>
    <t>Isaac Arriaga Moreno</t>
  </si>
  <si>
    <t>No tiene cuenta UP</t>
  </si>
  <si>
    <t>Isaí Gerardo Reyes Cedeño</t>
  </si>
  <si>
    <t>Fundamentos de hidráulica</t>
  </si>
  <si>
    <t>1585/86</t>
  </si>
  <si>
    <t>Hidrología</t>
  </si>
  <si>
    <t>Cosío</t>
  </si>
  <si>
    <t>Jacob Márquez Ávila</t>
  </si>
  <si>
    <t>Geometría descriptiva</t>
  </si>
  <si>
    <t>Jaime  Muñoz Romero</t>
  </si>
  <si>
    <t>Mecánica de suelos</t>
  </si>
  <si>
    <t>Tecnología del concreto</t>
  </si>
  <si>
    <t>1835/36</t>
  </si>
  <si>
    <t>Jesús Adrián Cerda Rodríguez</t>
  </si>
  <si>
    <t>Álgebra lineal</t>
  </si>
  <si>
    <t>C-15</t>
  </si>
  <si>
    <t>1544, 1545, 1546</t>
  </si>
  <si>
    <t>Jesús Emmanuel Montantes Pons</t>
  </si>
  <si>
    <t>Estructuras isostáticas</t>
  </si>
  <si>
    <t>Jesús Enrique Cardona Villa</t>
  </si>
  <si>
    <t>Arquitectura</t>
  </si>
  <si>
    <t>8800, 8803, 8806</t>
  </si>
  <si>
    <t>Jhonatan Limón Gutiérrez</t>
  </si>
  <si>
    <t>Diseño de estructuras de acero I</t>
  </si>
  <si>
    <t>Taller de estructuras</t>
  </si>
  <si>
    <t>5589/91</t>
  </si>
  <si>
    <t>Jonás Velasco Álvarez</t>
  </si>
  <si>
    <t>Optimización y metaheurísticas I</t>
  </si>
  <si>
    <t>A-22</t>
  </si>
  <si>
    <t>Jorge Humberto Mejía Reyes</t>
  </si>
  <si>
    <t>8697, 8703, 8708</t>
  </si>
  <si>
    <t>José de Jesús López Martínez</t>
  </si>
  <si>
    <t>Simulación en 3D</t>
  </si>
  <si>
    <t>José Jacob Durán Casillas</t>
  </si>
  <si>
    <t>Vías terrestres</t>
  </si>
  <si>
    <t>José Luis de Luna Vargas</t>
  </si>
  <si>
    <t>Microelectrónica</t>
  </si>
  <si>
    <t>5822/23</t>
  </si>
  <si>
    <t>José Roberto Tapia Rojas</t>
  </si>
  <si>
    <t>8746, 8752, 8756</t>
  </si>
  <si>
    <t>Juan Carlos García Sánchez</t>
  </si>
  <si>
    <t>Dispositivos inteligentes</t>
  </si>
  <si>
    <t>Juan Carlos Martínez Olivares</t>
  </si>
  <si>
    <t>Costos unitarios</t>
  </si>
  <si>
    <t>A-14</t>
  </si>
  <si>
    <t>Juan Jáuregui Rincón</t>
  </si>
  <si>
    <t>Energía de la biomasa</t>
  </si>
  <si>
    <t>Química</t>
  </si>
  <si>
    <t>1834/47</t>
  </si>
  <si>
    <t>Juan José Macías Gutiérrez</t>
  </si>
  <si>
    <t>8695, 8701, 8706</t>
  </si>
  <si>
    <t>C01</t>
  </si>
  <si>
    <t>Juan Pablo Becerra Calderón</t>
  </si>
  <si>
    <t>C-21</t>
  </si>
  <si>
    <t>5808 (7IID)</t>
  </si>
  <si>
    <t>Karina Jannet Vacio Muro</t>
  </si>
  <si>
    <t>1608/12, 1613/17, 1618/22</t>
  </si>
  <si>
    <t>Impacto ambiental</t>
  </si>
  <si>
    <t>https://up-edu-mx.zoom.us/j/92184157302?pwd=QUYwMEJjeVhCbHBJK0wwbk9YUnJMQT09</t>
  </si>
  <si>
    <t>1588/90, 1592/94, 1596/98</t>
  </si>
  <si>
    <t>Laura Alejandra Arreola Gutiérrez</t>
  </si>
  <si>
    <t>Gestión de la cadena de suministro</t>
  </si>
  <si>
    <t>Luis Alfonso Guerrero Rodríguez</t>
  </si>
  <si>
    <t>1603, 1605</t>
  </si>
  <si>
    <t>Termodinámica</t>
  </si>
  <si>
    <t>1599/1600, 1601/1602, 5784/85</t>
  </si>
  <si>
    <t>https://up-edu-mx.zoom.us/j/93926749877?pwd=TkEwRmh2VDNOWG50N044RmZueWxWZz09</t>
  </si>
  <si>
    <t>Luis Alonso Romo Mercado</t>
  </si>
  <si>
    <t>C24</t>
  </si>
  <si>
    <t>1447, 1450, 1453</t>
  </si>
  <si>
    <t>Cálculo vectorial</t>
  </si>
  <si>
    <t>1551, 1554, 1678</t>
  </si>
  <si>
    <t>A-21</t>
  </si>
  <si>
    <t>Luis Daniel Arriaga Esparza</t>
  </si>
  <si>
    <t>1506, 1508, 5837</t>
  </si>
  <si>
    <t>Manufactura asistida por computadora</t>
  </si>
  <si>
    <t>7139/40</t>
  </si>
  <si>
    <t>Luis Felipe Quesada Pérez</t>
  </si>
  <si>
    <t>Luis Fernando Méndez  Beltrán</t>
  </si>
  <si>
    <t>Aspectos legales de la construcción</t>
  </si>
  <si>
    <t>Luis Manuel Ortiz de la Torre</t>
  </si>
  <si>
    <t>Desarrollo de aplicaciones para dispositivos inteligentes</t>
  </si>
  <si>
    <t>Luisa Fernanda Rojas Gil</t>
  </si>
  <si>
    <t>Filosofía social/Ética Social</t>
  </si>
  <si>
    <t>8788, 8789, 8790</t>
  </si>
  <si>
    <t>Ma. del Rosario Moreno Virgen</t>
  </si>
  <si>
    <t>1610/12, 1615/17, 1620/22</t>
  </si>
  <si>
    <t>Manuel Alejandro Rodríguez Rivera</t>
  </si>
  <si>
    <t>Estructura de datos y algoritmos II</t>
  </si>
  <si>
    <t>María Cristina Ortega Moo</t>
  </si>
  <si>
    <t>5826 (5IID), 8699/5893, 8021/5883</t>
  </si>
  <si>
    <t>1609/12, 1614/17, 1619/22</t>
  </si>
  <si>
    <t>1589/90, 1593/94, 1597/98</t>
  </si>
  <si>
    <t>María del Rosario Moreno Virgen</t>
  </si>
  <si>
    <t>C-03</t>
  </si>
  <si>
    <t>1549, 1552, 1676</t>
  </si>
  <si>
    <t>María Teresa Enríquez Gómez</t>
  </si>
  <si>
    <t>Persona y sociedad/Antropología Filosófica II</t>
  </si>
  <si>
    <t>Ricón de Romos</t>
  </si>
  <si>
    <t>8723, 8724, 8725</t>
  </si>
  <si>
    <t>María Teresa Orvañanos Guerrero</t>
  </si>
  <si>
    <t>1532/34, 1535/37, 1538/40</t>
  </si>
  <si>
    <t>Microcontroladores II</t>
  </si>
  <si>
    <t>1541, 1542, 1543</t>
  </si>
  <si>
    <t>Marián Michelle Gámez Oliva</t>
  </si>
  <si>
    <t>Taller de diseño para la producción</t>
  </si>
  <si>
    <t>Tendencias estéticas del diseño</t>
  </si>
  <si>
    <t xml:space="preserve">Mariana Becerra Calderón </t>
  </si>
  <si>
    <t>8748, 8753, 8757</t>
  </si>
  <si>
    <t>Mauricio Muñoz Zermeño</t>
  </si>
  <si>
    <t>Diseño asistido por computadora</t>
  </si>
  <si>
    <t>1826, 1827/28, 1829</t>
  </si>
  <si>
    <t>Miguel Ángel Díaz Melchor</t>
  </si>
  <si>
    <t>1501 (7mo. IM)</t>
  </si>
  <si>
    <t>Nydia Annency Cadenas  Llegaría</t>
  </si>
  <si>
    <t>Redacción</t>
  </si>
  <si>
    <t>5706, 5707, 5708, 5709</t>
  </si>
  <si>
    <t>Olivia Jimena Juárez Carrillo</t>
  </si>
  <si>
    <t>Agentes inteligentes</t>
  </si>
  <si>
    <t>Omar Fernando Ruiz Martínez</t>
  </si>
  <si>
    <t>1515/16 (5II)</t>
  </si>
  <si>
    <t>1520/21, 1522/23, 1525</t>
  </si>
  <si>
    <t>Fundamentos de electrónica</t>
  </si>
  <si>
    <t>1524, 1527</t>
  </si>
  <si>
    <t>Omar Miranda Ortiz</t>
  </si>
  <si>
    <t>Óscar Dávalos Orozco</t>
  </si>
  <si>
    <t>1448, 1451, 1454</t>
  </si>
  <si>
    <t>Matemáticas discretas</t>
  </si>
  <si>
    <t>Pablo Galindo Cruz</t>
  </si>
  <si>
    <t>C-25</t>
  </si>
  <si>
    <t>8698, 8704, 8709</t>
  </si>
  <si>
    <t>8798, 8801, 8804</t>
  </si>
  <si>
    <t>Paul Ramírez de la Cruz</t>
  </si>
  <si>
    <t>Probabilidad y estadística</t>
  </si>
  <si>
    <t>1706, 1708, 6061, 6063</t>
  </si>
  <si>
    <t>Pia Berger</t>
  </si>
  <si>
    <t xml:space="preserve">1587/90, 1591/94 1595/98, </t>
  </si>
  <si>
    <t>Ramiro Velázquez Guerrero</t>
  </si>
  <si>
    <t>Sistemas de control</t>
  </si>
  <si>
    <t>1528/29, 1530/31</t>
  </si>
  <si>
    <t>Ramsel Toledo León</t>
  </si>
  <si>
    <t>1675 (5to. IID), 9487</t>
  </si>
  <si>
    <t>1705, 1707, 6059, 6062</t>
  </si>
  <si>
    <t>Raúl de Alba de la Cerda</t>
  </si>
  <si>
    <t>Sistemas energéticos I</t>
  </si>
  <si>
    <t>5576/77</t>
  </si>
  <si>
    <t>Ricardo Macías Quijas</t>
  </si>
  <si>
    <t>Descripción de hardware</t>
  </si>
  <si>
    <t>1517/18, 1519</t>
  </si>
  <si>
    <t>Rocío Guadalupe Márquez Martínez</t>
  </si>
  <si>
    <t>Fundamentos de la mercadotecnia</t>
  </si>
  <si>
    <t>Rodrigo Magaña Chávez</t>
  </si>
  <si>
    <t>Introducción a la ingeniería</t>
  </si>
  <si>
    <t>Rodrigo Soulé de Castro</t>
  </si>
  <si>
    <t>Circuitos digitales o Circuitos digitales II</t>
  </si>
  <si>
    <t>7851/52, 7853 y 7854</t>
  </si>
  <si>
    <t>Rogelio Barocio Lira</t>
  </si>
  <si>
    <t>Sistemas de información</t>
  </si>
  <si>
    <t>Rubén Guadalupe García Sánchez</t>
  </si>
  <si>
    <t>Energía eólica</t>
  </si>
  <si>
    <t>Sergio Eduardo Valenzuela Guerrero</t>
  </si>
  <si>
    <t>Desarrollo de aplicaciones web</t>
  </si>
  <si>
    <t>Teresa Susana Uscanga Olea</t>
  </si>
  <si>
    <t>1550, 1553, 1677</t>
  </si>
  <si>
    <t>1684, 1687, 1691, 1694, 6052/53</t>
  </si>
  <si>
    <t>Víctor Manuel Álvarez Pato</t>
  </si>
  <si>
    <t>Modelado de agentes y entornos virtuales</t>
  </si>
  <si>
    <t>Integra UP (Agosto 19, 30 septiembre, 28 octubre, 11 noviembre)</t>
  </si>
  <si>
    <t>Apartado para el área de Pedagogía (7 al 23 de Nov.)</t>
  </si>
  <si>
    <t>Curso de Frances Sábatino (19 de agosto-2 Diciembre)</t>
  </si>
  <si>
    <t>Curso de Toic (7 Octubre)</t>
  </si>
  <si>
    <t>Club de Ajedrez</t>
  </si>
  <si>
    <t>Grado</t>
  </si>
  <si>
    <t>Gdo</t>
  </si>
  <si>
    <t>Tipo de profesor</t>
  </si>
  <si>
    <t>Aulas</t>
  </si>
  <si>
    <t>Equipo</t>
  </si>
  <si>
    <t>1.5</t>
  </si>
  <si>
    <t>0.9</t>
  </si>
  <si>
    <t>Num</t>
  </si>
  <si>
    <t>ID</t>
  </si>
  <si>
    <t>Nombre</t>
  </si>
  <si>
    <t>Nombres</t>
  </si>
  <si>
    <t>Apellido Paterno</t>
  </si>
  <si>
    <t>Apellido Materno</t>
  </si>
  <si>
    <t>Fecha de Nacimiento</t>
  </si>
  <si>
    <t>Clases Presenciales</t>
  </si>
  <si>
    <t>wa</t>
  </si>
  <si>
    <t>Celular</t>
  </si>
  <si>
    <t>Correo electrónico</t>
  </si>
  <si>
    <t>Calle</t>
  </si>
  <si>
    <t>Número</t>
  </si>
  <si>
    <t>Fracc/Colonia</t>
  </si>
  <si>
    <t>Ciudad</t>
  </si>
  <si>
    <t>Estado</t>
  </si>
  <si>
    <t>CP</t>
  </si>
  <si>
    <t>Cantidad de materias</t>
  </si>
  <si>
    <t>MEC</t>
  </si>
  <si>
    <t>COM</t>
  </si>
  <si>
    <t>EEC</t>
  </si>
  <si>
    <t>DOP</t>
  </si>
  <si>
    <t>ETF</t>
  </si>
  <si>
    <t>MAT</t>
  </si>
  <si>
    <t>EMP</t>
  </si>
  <si>
    <t>AIC</t>
  </si>
  <si>
    <t>ESC</t>
  </si>
  <si>
    <t>HUM</t>
  </si>
  <si>
    <t>BIO</t>
  </si>
  <si>
    <t>Ex Inglés</t>
  </si>
  <si>
    <t>Actualizado</t>
  </si>
  <si>
    <t>TOEFL</t>
  </si>
  <si>
    <t>Licenciatura</t>
  </si>
  <si>
    <t>L</t>
  </si>
  <si>
    <t>TC</t>
  </si>
  <si>
    <t>Abel Guillermo</t>
  </si>
  <si>
    <t>Gutiérrez</t>
  </si>
  <si>
    <t>aggutierrez@up.edu.mx</t>
  </si>
  <si>
    <t>Monte Himalaya</t>
  </si>
  <si>
    <t>Jardines de la Concepción</t>
  </si>
  <si>
    <t>Aguascalientes</t>
  </si>
  <si>
    <t>Especialidad</t>
  </si>
  <si>
    <t>E</t>
  </si>
  <si>
    <t>OA</t>
  </si>
  <si>
    <t>Administración</t>
  </si>
  <si>
    <t>Maestría</t>
  </si>
  <si>
    <t>M</t>
  </si>
  <si>
    <t>A</t>
  </si>
  <si>
    <t>SNI</t>
  </si>
  <si>
    <t>Adrián Pastor</t>
  </si>
  <si>
    <t>López</t>
  </si>
  <si>
    <t>Monrroy</t>
  </si>
  <si>
    <t>o</t>
  </si>
  <si>
    <t>ok</t>
  </si>
  <si>
    <t>beiceman@gmail.com, aplopez@up.edu.mx</t>
  </si>
  <si>
    <t xml:space="preserve">Puerto Sosa </t>
  </si>
  <si>
    <t>Ex Hda. Sta. Teresa</t>
  </si>
  <si>
    <t>Guanajuato</t>
  </si>
  <si>
    <t>Doctorado</t>
  </si>
  <si>
    <t>D</t>
  </si>
  <si>
    <t>H</t>
  </si>
  <si>
    <t xml:space="preserve">Agustín </t>
  </si>
  <si>
    <t xml:space="preserve">Viquez </t>
  </si>
  <si>
    <t>Fabre</t>
  </si>
  <si>
    <t>Si</t>
  </si>
  <si>
    <t>aviquez@up.edu.mx</t>
  </si>
  <si>
    <t>Misión Santa Cruz</t>
  </si>
  <si>
    <t>Misión del Campanario</t>
  </si>
  <si>
    <t>MT</t>
  </si>
  <si>
    <t>Alfredo</t>
  </si>
  <si>
    <t>Alonso Ruiz</t>
  </si>
  <si>
    <t>Esparza</t>
  </si>
  <si>
    <t>Fray Junipero Serra</t>
  </si>
  <si>
    <t>Jardines de las Fuentes</t>
  </si>
  <si>
    <t>Márquez</t>
  </si>
  <si>
    <t>Martínez</t>
  </si>
  <si>
    <t>amarquezm@up.edu.mx</t>
  </si>
  <si>
    <t>Morocco</t>
  </si>
  <si>
    <t>Parras</t>
  </si>
  <si>
    <t>Ana Sofía</t>
  </si>
  <si>
    <t xml:space="preserve">Romo </t>
  </si>
  <si>
    <t>Robles</t>
  </si>
  <si>
    <t>sromor@up.edu.mx</t>
  </si>
  <si>
    <t>Francisco Villa</t>
  </si>
  <si>
    <t>Gremial</t>
  </si>
  <si>
    <t>A-18</t>
  </si>
  <si>
    <t xml:space="preserve">Ángel de Jesús </t>
  </si>
  <si>
    <t>Jiménez</t>
  </si>
  <si>
    <t>Ochoa</t>
  </si>
  <si>
    <t>ajimenezo@up.edu.mx</t>
  </si>
  <si>
    <t>Constelación Eridanus</t>
  </si>
  <si>
    <t>Real del Sol</t>
  </si>
  <si>
    <t>No inscrito</t>
  </si>
  <si>
    <t>Armando Alejandro</t>
  </si>
  <si>
    <t>Huizar</t>
  </si>
  <si>
    <t>González</t>
  </si>
  <si>
    <t>ahuizar@up.edu.mx</t>
  </si>
  <si>
    <t xml:space="preserve">Circuito Hacienda Santa Lucía </t>
  </si>
  <si>
    <t>111-A</t>
  </si>
  <si>
    <t>Real de Haciendas</t>
  </si>
  <si>
    <t>Begoña</t>
  </si>
  <si>
    <t>Noriega</t>
  </si>
  <si>
    <t>Olalde</t>
  </si>
  <si>
    <t>bnoriegao@up.edu.mx</t>
  </si>
  <si>
    <t>Hernando Martell</t>
  </si>
  <si>
    <t>Jardines de la Asunción</t>
  </si>
  <si>
    <t>Bernardo de Jesús  Arámbula Coronado</t>
  </si>
  <si>
    <t>Bernardo Jesús</t>
  </si>
  <si>
    <t>Arámbula</t>
  </si>
  <si>
    <t>Coronado</t>
  </si>
  <si>
    <t>31/06/1996</t>
  </si>
  <si>
    <t>barambula@up.edu.mx</t>
  </si>
  <si>
    <t xml:space="preserve">Nueva </t>
  </si>
  <si>
    <t>Valle de Margaritas</t>
  </si>
  <si>
    <t>Brianda</t>
  </si>
  <si>
    <t>Rugarcía</t>
  </si>
  <si>
    <t>brugarcia@up.edu.mx</t>
  </si>
  <si>
    <t>Jardín de Zaragoza</t>
  </si>
  <si>
    <t>Ing</t>
  </si>
  <si>
    <t>Carlos Humberto</t>
  </si>
  <si>
    <t>Acosta</t>
  </si>
  <si>
    <t>Gastelúm</t>
  </si>
  <si>
    <t>chacosta@up.edu.mx</t>
  </si>
  <si>
    <t>Santiago Calatrava</t>
  </si>
  <si>
    <t>Espacios de Barcelona</t>
  </si>
  <si>
    <t>Culiacan</t>
  </si>
  <si>
    <t>Rosales s/n</t>
  </si>
  <si>
    <t>Ok</t>
  </si>
  <si>
    <t>C03</t>
  </si>
  <si>
    <t>Carlos Roberto Rodríguez Castellanos</t>
  </si>
  <si>
    <t>Carlos Roberto</t>
  </si>
  <si>
    <t xml:space="preserve">Rodríguez </t>
  </si>
  <si>
    <t>Castellanos</t>
  </si>
  <si>
    <t>crodriguezc@up.edu.mx</t>
  </si>
  <si>
    <t>Gabriela Mistral</t>
  </si>
  <si>
    <t>Santa Anita</t>
  </si>
  <si>
    <t>Rincon de Romos</t>
  </si>
  <si>
    <t>0269355</t>
  </si>
  <si>
    <t>Carlos Sergio</t>
  </si>
  <si>
    <t>Palacios</t>
  </si>
  <si>
    <t>cpalaciosm@up.edu.mx</t>
  </si>
  <si>
    <t>Melchor Ocampo</t>
  </si>
  <si>
    <t>158 A</t>
  </si>
  <si>
    <t>Centro</t>
  </si>
  <si>
    <t>X</t>
  </si>
  <si>
    <t>Incompleto</t>
  </si>
  <si>
    <t>Rev.</t>
  </si>
  <si>
    <t>Lab. Diseño e Inovacion</t>
  </si>
  <si>
    <t>D-02</t>
  </si>
  <si>
    <t>Celia Marisa</t>
  </si>
  <si>
    <t>Rubio</t>
  </si>
  <si>
    <t>cmrodriguez@up.edu.mx</t>
  </si>
  <si>
    <t>Loma Alta</t>
  </si>
  <si>
    <t>Villas de la Cantera</t>
  </si>
  <si>
    <t>A24</t>
  </si>
  <si>
    <t xml:space="preserve">César </t>
  </si>
  <si>
    <t>Murillo</t>
  </si>
  <si>
    <t>clopezmur@up.edu.mx</t>
  </si>
  <si>
    <t>La Gavia</t>
  </si>
  <si>
    <t>Christian Emmanuel</t>
  </si>
  <si>
    <t>Mujica</t>
  </si>
  <si>
    <t>Arochi</t>
  </si>
  <si>
    <t>cemujica@up.edu.mx</t>
  </si>
  <si>
    <t>Canal interceptor</t>
  </si>
  <si>
    <t>1306- Planta Alta</t>
  </si>
  <si>
    <t>El Plateado</t>
  </si>
  <si>
    <t>Civil</t>
  </si>
  <si>
    <t>Claudia Nallely</t>
  </si>
  <si>
    <t>Sánchez</t>
  </si>
  <si>
    <t>Gómez</t>
  </si>
  <si>
    <t>cnsanchez@up.edu.mx</t>
  </si>
  <si>
    <t>Flor de Nochebuena</t>
  </si>
  <si>
    <t>85 int 2</t>
  </si>
  <si>
    <t>San Javier</t>
  </si>
  <si>
    <t>TI CC010</t>
  </si>
  <si>
    <t>Claudio César</t>
  </si>
  <si>
    <t>Calabrese</t>
  </si>
  <si>
    <t>ccalabrese@up.edu.mx</t>
  </si>
  <si>
    <t>Llano Alto</t>
  </si>
  <si>
    <t>Villas Bonaterra</t>
  </si>
  <si>
    <t>Lab. Ing. Quimica</t>
  </si>
  <si>
    <t>Sede Norte 2</t>
  </si>
  <si>
    <t>COMP</t>
  </si>
  <si>
    <t>Cómputo</t>
  </si>
  <si>
    <t>A13</t>
  </si>
  <si>
    <t>Sede Norte 4</t>
  </si>
  <si>
    <t>Crisdalith</t>
  </si>
  <si>
    <t>Cachutt</t>
  </si>
  <si>
    <t>Alvarado</t>
  </si>
  <si>
    <t>ccachutt@up.edu.mx</t>
  </si>
  <si>
    <t>Valle del Río</t>
  </si>
  <si>
    <t>Villas Bonaterra Coto 2</t>
  </si>
  <si>
    <t>David Alejandro</t>
  </si>
  <si>
    <t xml:space="preserve">Montoya </t>
  </si>
  <si>
    <t>damurrillo@up.edu.mx</t>
  </si>
  <si>
    <t>Paseo del Río</t>
  </si>
  <si>
    <t>Residencial del Valle 2</t>
  </si>
  <si>
    <t>70.76</t>
  </si>
  <si>
    <t>Diego</t>
  </si>
  <si>
    <t>Larrondo</t>
  </si>
  <si>
    <t>Montalvo</t>
  </si>
  <si>
    <t>dlarrondom@up.edu.mx</t>
  </si>
  <si>
    <t>Agua Dulce</t>
  </si>
  <si>
    <t>Lab. Electronica</t>
  </si>
  <si>
    <t>Eduardo Emmanuel</t>
  </si>
  <si>
    <t>eerodriguez@up.edu.mx</t>
  </si>
  <si>
    <t>Diego Rivera</t>
  </si>
  <si>
    <t>Lomas de Santa Anita</t>
  </si>
  <si>
    <t>A16</t>
  </si>
  <si>
    <t xml:space="preserve">Eduardo </t>
  </si>
  <si>
    <t>de Alba</t>
  </si>
  <si>
    <t>esanchez@up.edu.mx</t>
  </si>
  <si>
    <t>Vázquez del Mercado</t>
  </si>
  <si>
    <t>A17</t>
  </si>
  <si>
    <t>Calvillo</t>
  </si>
  <si>
    <t>Eléctrica</t>
  </si>
  <si>
    <t>ICA</t>
  </si>
  <si>
    <t>30PC's</t>
  </si>
  <si>
    <t xml:space="preserve">Elise Anaís </t>
  </si>
  <si>
    <t xml:space="preserve">Medrano </t>
  </si>
  <si>
    <t>Escobedo</t>
  </si>
  <si>
    <t>medranoescobedoelise@gmail.com, eamedrano@up.edu.mx</t>
  </si>
  <si>
    <t>San Francisco</t>
  </si>
  <si>
    <t>168-b</t>
  </si>
  <si>
    <t>Barrio de la Salud</t>
  </si>
  <si>
    <t>A12</t>
  </si>
  <si>
    <t>10PC's</t>
  </si>
  <si>
    <t>Eric Manuel</t>
  </si>
  <si>
    <t>Herrera</t>
  </si>
  <si>
    <t>eric.rodriguez@inegi.org.mx, erodriguezh@up.edu.mx</t>
  </si>
  <si>
    <t>Av. San Antonio</t>
  </si>
  <si>
    <t>201-41</t>
  </si>
  <si>
    <t>Rancho Santa Mónica</t>
  </si>
  <si>
    <t>A23</t>
  </si>
  <si>
    <t>28PC's</t>
  </si>
  <si>
    <t>Erika Iliana del Rocío</t>
  </si>
  <si>
    <t>Hernández</t>
  </si>
  <si>
    <t>Ramírez</t>
  </si>
  <si>
    <t>ehernandez@up.edu.mx</t>
  </si>
  <si>
    <t>Gerónimo de Orozco</t>
  </si>
  <si>
    <t>Primavera</t>
  </si>
  <si>
    <t>C14</t>
  </si>
  <si>
    <t>Pedroza</t>
  </si>
  <si>
    <t>Díaz</t>
  </si>
  <si>
    <t>apedrozad@up.edu.mx</t>
  </si>
  <si>
    <t>Del Cardo</t>
  </si>
  <si>
    <t>La Herradura</t>
  </si>
  <si>
    <t>Ethel Beatriz</t>
  </si>
  <si>
    <t xml:space="preserve">Junco </t>
  </si>
  <si>
    <t>de Calabrese</t>
  </si>
  <si>
    <t>ejunco@up.edu.mx</t>
  </si>
  <si>
    <t>A22</t>
  </si>
  <si>
    <t>Ernesto</t>
  </si>
  <si>
    <t>Save</t>
  </si>
  <si>
    <t>Moreno</t>
  </si>
  <si>
    <t>esave@up.edu.mx</t>
  </si>
  <si>
    <t>0235956</t>
  </si>
  <si>
    <t>Evelyn Jade</t>
  </si>
  <si>
    <t>Ramos</t>
  </si>
  <si>
    <t>ejhernandez@up.edu.mx</t>
  </si>
  <si>
    <t>Los Cuervos</t>
  </si>
  <si>
    <t>Fracc. Ojocaliente II</t>
  </si>
  <si>
    <t>Fátima del Rosario</t>
  </si>
  <si>
    <t>Árambula</t>
  </si>
  <si>
    <t>frarambula@up.edu.mx</t>
  </si>
  <si>
    <t>Fernando</t>
  </si>
  <si>
    <t>Dávalos</t>
  </si>
  <si>
    <t>fdavalos@up.edu.mx</t>
  </si>
  <si>
    <t>Fuente de Trevi</t>
  </si>
  <si>
    <t>IPADE</t>
  </si>
  <si>
    <t>Fluídos</t>
  </si>
  <si>
    <t>Francisco de Jesús</t>
  </si>
  <si>
    <t>Guerrero</t>
  </si>
  <si>
    <t>fjguerrero@up.edu.mx</t>
  </si>
  <si>
    <t>Cerro del Laurel</t>
  </si>
  <si>
    <t>Jardines de la Concepción 1</t>
  </si>
  <si>
    <t>Francisco de Paula</t>
  </si>
  <si>
    <t>Morales</t>
  </si>
  <si>
    <t>Viesca</t>
  </si>
  <si>
    <t>fcomorales@up.edu.mx</t>
  </si>
  <si>
    <t>Silos</t>
  </si>
  <si>
    <t>Trojes de Oriente</t>
  </si>
  <si>
    <t>Gabriela</t>
  </si>
  <si>
    <t>Durán</t>
  </si>
  <si>
    <t>Aguilar</t>
  </si>
  <si>
    <t>33 3577 1987</t>
  </si>
  <si>
    <t>gaduran@up.edu.mx</t>
  </si>
  <si>
    <t>Calzada los pirules</t>
  </si>
  <si>
    <t>83-4</t>
  </si>
  <si>
    <t>Col. Ciudad  Granja</t>
  </si>
  <si>
    <t>Zapopan</t>
  </si>
  <si>
    <t>Jalisco</t>
  </si>
  <si>
    <t>Valdivida</t>
  </si>
  <si>
    <t>TI CC011</t>
  </si>
  <si>
    <t>Metales</t>
  </si>
  <si>
    <t>Gaspar Hermengildo</t>
  </si>
  <si>
    <t>Vela</t>
  </si>
  <si>
    <t>ghvela@up.edu.mx</t>
  </si>
  <si>
    <t>Republica de Venezuela</t>
  </si>
  <si>
    <t>Montebello (junto al dorado)</t>
  </si>
  <si>
    <t>Gastón Leonardo</t>
  </si>
  <si>
    <t>Goñi</t>
  </si>
  <si>
    <t>Tascón</t>
  </si>
  <si>
    <t>glgoni@up.edu.mx</t>
  </si>
  <si>
    <t>Palenque</t>
  </si>
  <si>
    <t>Pirámides</t>
  </si>
  <si>
    <t>Moot Court/Juicios Orales</t>
  </si>
  <si>
    <t>Gerardo</t>
  </si>
  <si>
    <t>Romo</t>
  </si>
  <si>
    <t>grodriguez@up.edu.mx</t>
  </si>
  <si>
    <t>Juan de Asbaje</t>
  </si>
  <si>
    <t>Pecera</t>
  </si>
  <si>
    <t>Gustavo</t>
  </si>
  <si>
    <t>Serna</t>
  </si>
  <si>
    <t>Medina</t>
  </si>
  <si>
    <t>gserna@up.edu.mx</t>
  </si>
  <si>
    <t>Flor de Noche buena</t>
  </si>
  <si>
    <t>103 Int. 21</t>
  </si>
  <si>
    <t>Villasur</t>
  </si>
  <si>
    <t>Fabiola</t>
  </si>
  <si>
    <t>Ayluardo</t>
  </si>
  <si>
    <t>Rivera</t>
  </si>
  <si>
    <t>fayluardo@up.edu.mx</t>
  </si>
  <si>
    <t>Hacienda Caltengo</t>
  </si>
  <si>
    <t>Héctor Luis</t>
  </si>
  <si>
    <t>Villacorta</t>
  </si>
  <si>
    <t>Minaya</t>
  </si>
  <si>
    <t>hvillacorta@up.edu.mx</t>
  </si>
  <si>
    <t>Av. De la Paz</t>
  </si>
  <si>
    <t xml:space="preserve">102, casa 161  Coto San Quintin </t>
  </si>
  <si>
    <t>Robótica</t>
  </si>
  <si>
    <t>Hiroki Alejandro</t>
  </si>
  <si>
    <t>Sasamoto</t>
  </si>
  <si>
    <t>Cruz</t>
  </si>
  <si>
    <t>553 65 53 169</t>
  </si>
  <si>
    <t>hsasamoto@up.edu.mx</t>
  </si>
  <si>
    <t>Paseo del codo</t>
  </si>
  <si>
    <t>Santa Imelda</t>
  </si>
  <si>
    <t>Sala de Consejo</t>
  </si>
  <si>
    <t>Humanidades</t>
  </si>
  <si>
    <t>Humberto</t>
  </si>
  <si>
    <t>Pacheco</t>
  </si>
  <si>
    <t>hpacheco@up.edu.mx</t>
  </si>
  <si>
    <t>Hacienda de San Nicolás</t>
  </si>
  <si>
    <t>404-B</t>
  </si>
  <si>
    <t>Haciendas de Aguascalientes</t>
  </si>
  <si>
    <t>aguascalientes</t>
  </si>
  <si>
    <t>Sede Norte 1</t>
  </si>
  <si>
    <t>Ignacio</t>
  </si>
  <si>
    <t>Pineda</t>
  </si>
  <si>
    <t>iacostap@up.edu.mx</t>
  </si>
  <si>
    <t>Calle 57</t>
  </si>
  <si>
    <t>del Trabajo</t>
  </si>
  <si>
    <t xml:space="preserve">Carrasco </t>
  </si>
  <si>
    <t>García</t>
  </si>
  <si>
    <t>INNO</t>
  </si>
  <si>
    <t>Innovación</t>
  </si>
  <si>
    <t>66.63</t>
  </si>
  <si>
    <t>Isaac</t>
  </si>
  <si>
    <t>Arriaga</t>
  </si>
  <si>
    <t>iamoreno@up.edu.mx</t>
  </si>
  <si>
    <t xml:space="preserve">Almeria </t>
  </si>
  <si>
    <t>110 int. 3</t>
  </si>
  <si>
    <t>El dorado 1A. Sección</t>
  </si>
  <si>
    <t>Isaí Gerardo</t>
  </si>
  <si>
    <t>Reyes</t>
  </si>
  <si>
    <t>Cedeño</t>
  </si>
  <si>
    <t>igreyes@up.edu.mx</t>
  </si>
  <si>
    <t>Miguel Hidalgo</t>
  </si>
  <si>
    <t>Peñuelas (El Cienegal)</t>
  </si>
  <si>
    <t>Jacob</t>
  </si>
  <si>
    <t>Ávila</t>
  </si>
  <si>
    <t>449 142 5728</t>
  </si>
  <si>
    <t>jamarquez@up.edu.mx</t>
  </si>
  <si>
    <t>Av. La Querencia</t>
  </si>
  <si>
    <t>304 Int. 70</t>
  </si>
  <si>
    <t>La Querencia</t>
  </si>
  <si>
    <t>Jaime</t>
  </si>
  <si>
    <t>Muñoz</t>
  </si>
  <si>
    <t>Romero</t>
  </si>
  <si>
    <t>jmunozr@up.edu.mx</t>
  </si>
  <si>
    <t>Ignacio Vallarta</t>
  </si>
  <si>
    <t>La Cruz</t>
  </si>
  <si>
    <t>Héctor Eduardo</t>
  </si>
  <si>
    <t>Gilardi</t>
  </si>
  <si>
    <t>Velázquez</t>
  </si>
  <si>
    <t>444 23 80 291</t>
  </si>
  <si>
    <t>hgilardi@up.edu.mx</t>
  </si>
  <si>
    <t>Av de la Paz</t>
  </si>
  <si>
    <t>203 int 103</t>
  </si>
  <si>
    <t>Jesús Emmanuel</t>
  </si>
  <si>
    <t>Montantes</t>
  </si>
  <si>
    <t>Pons</t>
  </si>
  <si>
    <t>jemontantes@up.edu.mx</t>
  </si>
  <si>
    <t>Margarito González Rubio</t>
  </si>
  <si>
    <t>Col. Centro</t>
  </si>
  <si>
    <t>Lagos de Moreno</t>
  </si>
  <si>
    <t>Juan Enrique</t>
  </si>
  <si>
    <t>Cardona</t>
  </si>
  <si>
    <t>Villa</t>
  </si>
  <si>
    <t>jcardona@up.edu.mx</t>
  </si>
  <si>
    <t xml:space="preserve">Fray Servando de Segovia </t>
  </si>
  <si>
    <t>501-204</t>
  </si>
  <si>
    <t>Fracc. Jardines de la Fuentes</t>
  </si>
  <si>
    <t xml:space="preserve">Jhonatan </t>
  </si>
  <si>
    <t xml:space="preserve">Limón </t>
  </si>
  <si>
    <t>jlimong@up.edu.mx</t>
  </si>
  <si>
    <t>Fray Antonio de Segovia</t>
  </si>
  <si>
    <t>Villa Jardin</t>
  </si>
  <si>
    <t xml:space="preserve">Jonás </t>
  </si>
  <si>
    <t>Velazco</t>
  </si>
  <si>
    <t>Álvarez</t>
  </si>
  <si>
    <t>jvelascoa@up.edu.mx</t>
  </si>
  <si>
    <t>308 Int. 56, Condominio San Telmo Country  Golf</t>
  </si>
  <si>
    <t xml:space="preserve">Jorge Humberto </t>
  </si>
  <si>
    <t xml:space="preserve">Mejía </t>
  </si>
  <si>
    <t>jhmejía@up.edu.mx</t>
  </si>
  <si>
    <t>San Francisco de los Viveros</t>
  </si>
  <si>
    <t>2045, Casa 58</t>
  </si>
  <si>
    <t>Balcones de Oriente</t>
  </si>
  <si>
    <t>0193942</t>
  </si>
  <si>
    <t>José de Jesús</t>
  </si>
  <si>
    <t>jlopezm@up.edu.mx</t>
  </si>
  <si>
    <t>Sinaí de San Felipe</t>
  </si>
  <si>
    <t>Jardines de Oriente</t>
  </si>
  <si>
    <t>León</t>
  </si>
  <si>
    <t>José  Jacob</t>
  </si>
  <si>
    <t xml:space="preserve">Durán </t>
  </si>
  <si>
    <t>Casillas</t>
  </si>
  <si>
    <t>jjduran@up.edu.mx</t>
  </si>
  <si>
    <t>Del Molino</t>
  </si>
  <si>
    <t>Condomnios San Nicólas</t>
  </si>
  <si>
    <t>José Luis</t>
  </si>
  <si>
    <t>de Luna</t>
  </si>
  <si>
    <t>Vargas</t>
  </si>
  <si>
    <t>jlunav@up.edu.mx</t>
  </si>
  <si>
    <t>López Nava</t>
  </si>
  <si>
    <t>Olivares Santana</t>
  </si>
  <si>
    <t>José Roberto</t>
  </si>
  <si>
    <t>Tapia</t>
  </si>
  <si>
    <t>Rojas</t>
  </si>
  <si>
    <t xml:space="preserve">Juan Carlos </t>
  </si>
  <si>
    <t>jcagarcia@up.edu.mx</t>
  </si>
  <si>
    <t>Ribadeo</t>
  </si>
  <si>
    <t>Las Moras</t>
  </si>
  <si>
    <t>Juan Carlos</t>
  </si>
  <si>
    <t>Olivares</t>
  </si>
  <si>
    <t>449 919 38 20</t>
  </si>
  <si>
    <t>jcmartinez@up.edu.mx; ccmarcha@gmail.com</t>
  </si>
  <si>
    <t>Troje de San Ignacio</t>
  </si>
  <si>
    <t>Trojes de San Cristobal</t>
  </si>
  <si>
    <t>Jesús María, Aguascalientes</t>
  </si>
  <si>
    <t xml:space="preserve">Juan </t>
  </si>
  <si>
    <t>Jáurgui</t>
  </si>
  <si>
    <t>Rincón</t>
  </si>
  <si>
    <t>jjauregui@up.edu.mx</t>
  </si>
  <si>
    <t xml:space="preserve">Troje del Chichimeco </t>
  </si>
  <si>
    <t>Reserva San Cristobal</t>
  </si>
  <si>
    <t xml:space="preserve">Juan José </t>
  </si>
  <si>
    <t>Macías</t>
  </si>
  <si>
    <t>jmacías@up.edu.mx</t>
  </si>
  <si>
    <t>Prologación  Paseo de la Asunción</t>
  </si>
  <si>
    <t>Prados del Sur</t>
  </si>
  <si>
    <t>Juan Pablo</t>
  </si>
  <si>
    <t>Becerra</t>
  </si>
  <si>
    <t>Calderón</t>
  </si>
  <si>
    <t>449 96 04 46</t>
  </si>
  <si>
    <t>jbecerra@up.edu.mx</t>
  </si>
  <si>
    <t>Arroyo Hondo</t>
  </si>
  <si>
    <t>Villa Bonaterra</t>
  </si>
  <si>
    <t>Karina Jannet</t>
  </si>
  <si>
    <t>Vacio</t>
  </si>
  <si>
    <t>Muro</t>
  </si>
  <si>
    <t>kvacio@up.edu.mx</t>
  </si>
  <si>
    <t>Teotihuacán</t>
  </si>
  <si>
    <t>Lomas de Jesús María</t>
  </si>
  <si>
    <t>Jesus María</t>
  </si>
  <si>
    <t>Laura Alejandra</t>
  </si>
  <si>
    <t xml:space="preserve">Arreola </t>
  </si>
  <si>
    <t>449 469 8095</t>
  </si>
  <si>
    <t>larreolag@up.edu.mx</t>
  </si>
  <si>
    <t>Blvd Adolfo Ruiz Cortines</t>
  </si>
  <si>
    <t>El Edén</t>
  </si>
  <si>
    <t>Luis Alfonso</t>
  </si>
  <si>
    <t>Rodríguez</t>
  </si>
  <si>
    <t>lguerrero@up.edu.mx</t>
  </si>
  <si>
    <t>Navarra</t>
  </si>
  <si>
    <t>El Dorado 2a Sección</t>
  </si>
  <si>
    <t>Jesús Adrián</t>
  </si>
  <si>
    <t>Cerda</t>
  </si>
  <si>
    <t>jcerda@up.edu.mx</t>
  </si>
  <si>
    <t>Heróes de Chapultepec</t>
  </si>
  <si>
    <t>724 manzana 8</t>
  </si>
  <si>
    <t>Luis Daniel</t>
  </si>
  <si>
    <t>ldarriaga@up.edu.mx</t>
  </si>
  <si>
    <t>817 Int. 3</t>
  </si>
  <si>
    <t>Luis Felipe</t>
  </si>
  <si>
    <t>Quesada</t>
  </si>
  <si>
    <t>Pérez</t>
  </si>
  <si>
    <t>fquesada@up.edu.mx</t>
  </si>
  <si>
    <t>Circuito Alamos</t>
  </si>
  <si>
    <t>Alamos 2A. Sección</t>
  </si>
  <si>
    <t>Quéretaro</t>
  </si>
  <si>
    <t>Luis Fernando</t>
  </si>
  <si>
    <t>Méndez</t>
  </si>
  <si>
    <t>Beltrán</t>
  </si>
  <si>
    <t>lmendez@up.edu.mx</t>
  </si>
  <si>
    <t>Calzada Villa Plata</t>
  </si>
  <si>
    <t>515-1</t>
  </si>
  <si>
    <t>Alcazar Residencial</t>
  </si>
  <si>
    <t xml:space="preserve">Luis Manuel </t>
  </si>
  <si>
    <t xml:space="preserve">Ortiz </t>
  </si>
  <si>
    <t>de la Torre</t>
  </si>
  <si>
    <t>lmortiz@up.edu.mx</t>
  </si>
  <si>
    <t>Circuito Potra Vitta Poniente</t>
  </si>
  <si>
    <t>Porta Vitta</t>
  </si>
  <si>
    <t>Luisa Fernanda</t>
  </si>
  <si>
    <t>Gil</t>
  </si>
  <si>
    <t>Ma. del Rosario</t>
  </si>
  <si>
    <t>Virgen</t>
  </si>
  <si>
    <t>marmoreno@up.edu.mx</t>
  </si>
  <si>
    <t>Cto. Hacienda de la Magdalena</t>
  </si>
  <si>
    <t>103B</t>
  </si>
  <si>
    <t>Fracc. Real del  Haciendas</t>
  </si>
  <si>
    <t>Manuel  Alejandro</t>
  </si>
  <si>
    <t>marodriguezr@up.edu.mx</t>
  </si>
  <si>
    <t xml:space="preserve">Balcones de Oriente </t>
  </si>
  <si>
    <t>Balcones de Ojocaliente</t>
  </si>
  <si>
    <t>Luis Alonso</t>
  </si>
  <si>
    <t>Mercado</t>
  </si>
  <si>
    <t>laromo@up.edu.mx</t>
  </si>
  <si>
    <t>Cerro de la Joya</t>
  </si>
  <si>
    <t>Fovissste Ojocaliente II</t>
  </si>
  <si>
    <t>María Teresa</t>
  </si>
  <si>
    <t xml:space="preserve">Enríquez </t>
  </si>
  <si>
    <t>tenriquez@up.edu.mx</t>
  </si>
  <si>
    <t>Jardínes de la Asunción</t>
  </si>
  <si>
    <t>Orvañanos</t>
  </si>
  <si>
    <t>torvananos@up.edu.mx</t>
  </si>
  <si>
    <t>Tierra de Cameros</t>
  </si>
  <si>
    <t>Cond. Primanza la Rioja Frac. La Rioja</t>
  </si>
  <si>
    <t>Marian Michelle</t>
  </si>
  <si>
    <t>Gámez</t>
  </si>
  <si>
    <t>Oliva</t>
  </si>
  <si>
    <t>mmgamez@up.edu.mx</t>
  </si>
  <si>
    <t>Mariana</t>
  </si>
  <si>
    <t>mbecerrac@up.edu.mx</t>
  </si>
  <si>
    <t>Liquidámbar</t>
  </si>
  <si>
    <t>32, Casa 6</t>
  </si>
  <si>
    <t>Pulgas Pandas Norte</t>
  </si>
  <si>
    <t>Mario Alberto Montañez Robledo</t>
  </si>
  <si>
    <t>Mario Alberto</t>
  </si>
  <si>
    <t>Montañez</t>
  </si>
  <si>
    <t>Robledo</t>
  </si>
  <si>
    <t>María Cristina</t>
  </si>
  <si>
    <t>Ortega</t>
  </si>
  <si>
    <t>Moo</t>
  </si>
  <si>
    <t>mcortega@up.edu.mx</t>
  </si>
  <si>
    <t>MATE</t>
  </si>
  <si>
    <t>Matemáticas</t>
  </si>
  <si>
    <t xml:space="preserve">Mauricio </t>
  </si>
  <si>
    <t>Zermeño</t>
  </si>
  <si>
    <t>mmunozz@up.edu.mx</t>
  </si>
  <si>
    <t>Eucalipto</t>
  </si>
  <si>
    <t>Las Arboledas</t>
  </si>
  <si>
    <t>Mauricio Ruiz Morales</t>
  </si>
  <si>
    <t>Mauricio</t>
  </si>
  <si>
    <t>Ruiz</t>
  </si>
  <si>
    <t>mauruizm@up.edu.mx</t>
  </si>
  <si>
    <t>Enelo</t>
  </si>
  <si>
    <t>Yalta Campestre</t>
  </si>
  <si>
    <t>MECA</t>
  </si>
  <si>
    <t>Mecánica</t>
  </si>
  <si>
    <t>Miguel Ángel</t>
  </si>
  <si>
    <t>Melchor</t>
  </si>
  <si>
    <t>madiaz@up.edu.mx</t>
  </si>
  <si>
    <t>Diego de Ibarra</t>
  </si>
  <si>
    <t>Lindavista</t>
  </si>
  <si>
    <t>Nydia Annency</t>
  </si>
  <si>
    <t>Cadenas</t>
  </si>
  <si>
    <t>Llegaría</t>
  </si>
  <si>
    <t>ncadenas@up.edu.mx</t>
  </si>
  <si>
    <t>Montes Himalaya</t>
  </si>
  <si>
    <t>Olivia Jimena</t>
  </si>
  <si>
    <t xml:space="preserve">Juárez </t>
  </si>
  <si>
    <t>Carrillo</t>
  </si>
  <si>
    <t>olivia. juarez@edu.mx</t>
  </si>
  <si>
    <t>Miguel Caldera</t>
  </si>
  <si>
    <t>Linda Vista</t>
  </si>
  <si>
    <t>Omar Fernando</t>
  </si>
  <si>
    <t>Ruíz</t>
  </si>
  <si>
    <t>ofruizm@up.edu.mx</t>
  </si>
  <si>
    <t>Hermanos Flores Magón</t>
  </si>
  <si>
    <t>José López Portillo</t>
  </si>
  <si>
    <t>Tampico</t>
  </si>
  <si>
    <t>Tamaulipas</t>
  </si>
  <si>
    <t>Omar</t>
  </si>
  <si>
    <t>Miranda</t>
  </si>
  <si>
    <t>Ortiz</t>
  </si>
  <si>
    <t>omiranda@up.edu.mx</t>
  </si>
  <si>
    <t>Alcázar</t>
  </si>
  <si>
    <t>DIOP</t>
  </si>
  <si>
    <t>Operaciones</t>
  </si>
  <si>
    <t>Martha</t>
  </si>
  <si>
    <t>Arizmendiz</t>
  </si>
  <si>
    <t>Mancillas</t>
  </si>
  <si>
    <t>marizmendiz@up.edu.mx</t>
  </si>
  <si>
    <t>30 de Julio</t>
  </si>
  <si>
    <t>Morelos I</t>
  </si>
  <si>
    <t xml:space="preserve">Pablo </t>
  </si>
  <si>
    <t xml:space="preserve">Galindo </t>
  </si>
  <si>
    <t>pgalindo@up.edu.mx</t>
  </si>
  <si>
    <t>Priv. Agustín R. González</t>
  </si>
  <si>
    <t>Óscar</t>
  </si>
  <si>
    <t>Orozco</t>
  </si>
  <si>
    <t>No tiene Cel</t>
  </si>
  <si>
    <t>odavalos@up.edu.mx</t>
  </si>
  <si>
    <t>Rosa Pailine</t>
  </si>
  <si>
    <t>El Rosedal</t>
  </si>
  <si>
    <t>Pia</t>
  </si>
  <si>
    <t>Berger</t>
  </si>
  <si>
    <t>pberger@up.edu.mx</t>
  </si>
  <si>
    <t>Canteras de San Agustín</t>
  </si>
  <si>
    <t>Ramiro</t>
  </si>
  <si>
    <t>rvelazquez@up.edu.mx</t>
  </si>
  <si>
    <t xml:space="preserve">Sierra Canela </t>
  </si>
  <si>
    <t>Bosques del Padro</t>
  </si>
  <si>
    <t>Paul</t>
  </si>
  <si>
    <t>de la Cruz</t>
  </si>
  <si>
    <t>pramirezc@up.edu.mx</t>
  </si>
  <si>
    <t>Santa María de Gallardo</t>
  </si>
  <si>
    <t>Ojocaliente I</t>
  </si>
  <si>
    <t>Raúl</t>
  </si>
  <si>
    <t>de la Cerda</t>
  </si>
  <si>
    <t>rdealba@up.edu.mx</t>
  </si>
  <si>
    <t xml:space="preserve">Agustín de Itubirde </t>
  </si>
  <si>
    <t>Los Vergeles</t>
  </si>
  <si>
    <t>Ricardo</t>
  </si>
  <si>
    <t>Quijas</t>
  </si>
  <si>
    <t>rmacias@up.edu.mx</t>
  </si>
  <si>
    <t>Paseos de Argel</t>
  </si>
  <si>
    <t>105 Int. 38</t>
  </si>
  <si>
    <t>Paseos de Santa Mónica</t>
  </si>
  <si>
    <t>Rocío Guadalupe</t>
  </si>
  <si>
    <t>romarquez@up.edu.mx</t>
  </si>
  <si>
    <t>Rodrigo</t>
  </si>
  <si>
    <t xml:space="preserve">Magaña </t>
  </si>
  <si>
    <t>Chávez</t>
  </si>
  <si>
    <t>rmchavez@up.edumx</t>
  </si>
  <si>
    <t>Paseo del Río Azul</t>
  </si>
  <si>
    <t>San Nicolás</t>
  </si>
  <si>
    <t>Soulé</t>
  </si>
  <si>
    <t>de Castro</t>
  </si>
  <si>
    <t>rsoule@up.edu.mx</t>
  </si>
  <si>
    <t>Cúspide</t>
  </si>
  <si>
    <t>Residencial Altaria</t>
  </si>
  <si>
    <t>Rogelio</t>
  </si>
  <si>
    <t>Barocio</t>
  </si>
  <si>
    <t>Lira</t>
  </si>
  <si>
    <t>rbarociol@up.edu.mx</t>
  </si>
  <si>
    <t>Sendero de las Pergolas</t>
  </si>
  <si>
    <t>Residencial Las Plazas</t>
  </si>
  <si>
    <t>Rubén Gudalupe</t>
  </si>
  <si>
    <t>rgarcias@up.edu.mx</t>
  </si>
  <si>
    <t>Antonio Arias Bernal</t>
  </si>
  <si>
    <t>Barrio de Guadalupe</t>
  </si>
  <si>
    <t>Sergio Eduardo</t>
  </si>
  <si>
    <t>Valenzuela</t>
  </si>
  <si>
    <t>sevalenzuela@up.edu.mx</t>
  </si>
  <si>
    <t>Articulo 18</t>
  </si>
  <si>
    <t>Soberana Convención</t>
  </si>
  <si>
    <t>Ramsel</t>
  </si>
  <si>
    <t>Toledo</t>
  </si>
  <si>
    <t>rtoledo@up.edu.mx</t>
  </si>
  <si>
    <t xml:space="preserve">Adolfo Ruiz Cortinez </t>
  </si>
  <si>
    <t>209 E-2  Dep. 102</t>
  </si>
  <si>
    <t>Primo Verdad</t>
  </si>
  <si>
    <t>Víctor Manuel</t>
  </si>
  <si>
    <t>Pato</t>
  </si>
  <si>
    <t>valvarez@up.edu.mx</t>
  </si>
  <si>
    <t>Jardín de San Marcos</t>
  </si>
  <si>
    <t>Fracc. Jardines de Aguascalientes</t>
  </si>
  <si>
    <t>0269396</t>
  </si>
  <si>
    <t xml:space="preserve">Teresa Susana </t>
  </si>
  <si>
    <t>Uscanga</t>
  </si>
  <si>
    <t>Olea</t>
  </si>
  <si>
    <t>tuscanga@up.edu.mx</t>
  </si>
  <si>
    <t xml:space="preserve">Av. Faisan </t>
  </si>
  <si>
    <t>La Herradura Sección II</t>
  </si>
  <si>
    <t>Materias SNI</t>
  </si>
  <si>
    <t>Horas SNI</t>
  </si>
  <si>
    <t>Índice de calidad académica</t>
  </si>
  <si>
    <t>Porcentaje</t>
  </si>
  <si>
    <t>Total</t>
  </si>
  <si>
    <t>Facultad</t>
  </si>
  <si>
    <t>Suma</t>
  </si>
  <si>
    <t>Ciclo de ingreso</t>
  </si>
  <si>
    <t>10+</t>
  </si>
  <si>
    <t>0213731</t>
  </si>
  <si>
    <t> Navarro González,Sergio Ramón</t>
  </si>
  <si>
    <t>LITEC</t>
  </si>
  <si>
    <t>LMECC</t>
  </si>
  <si>
    <t>0221414</t>
  </si>
  <si>
    <t>Taborga Burgoa,Daniel Ignacio</t>
  </si>
  <si>
    <t>LDISC</t>
  </si>
  <si>
    <t>LINDC</t>
  </si>
  <si>
    <t>0221688</t>
  </si>
  <si>
    <t>Majus García,María Paula</t>
  </si>
  <si>
    <t>LIBIC</t>
  </si>
  <si>
    <t>0223888</t>
  </si>
  <si>
    <t>Gutiérrez de la Riva,Ariadna</t>
  </si>
  <si>
    <t>0236648</t>
  </si>
  <si>
    <t>Juárez Muñoz,Salvador Eduardo</t>
  </si>
  <si>
    <t>LIIAC</t>
  </si>
  <si>
    <t>Optativa</t>
  </si>
  <si>
    <t>ID II</t>
  </si>
  <si>
    <t>ID IM</t>
  </si>
  <si>
    <t>ID IID</t>
  </si>
  <si>
    <t>ID IIA</t>
  </si>
  <si>
    <t>ID ITE</t>
  </si>
  <si>
    <t>ID ICA</t>
  </si>
  <si>
    <t>ID IBE</t>
  </si>
  <si>
    <t>Créditos II</t>
  </si>
  <si>
    <t>Créditos IM</t>
  </si>
  <si>
    <t>Créditos IID</t>
  </si>
  <si>
    <t>Créditos IIA</t>
  </si>
  <si>
    <t>Créditos ITE</t>
  </si>
  <si>
    <t>Créditos ICA</t>
  </si>
  <si>
    <t>Créditos IBE</t>
  </si>
  <si>
    <t>Semestres</t>
  </si>
  <si>
    <t>Hora de inicio</t>
  </si>
  <si>
    <t>Hora de fin</t>
  </si>
  <si>
    <t>Administración de operaciones</t>
  </si>
  <si>
    <t>027009</t>
  </si>
  <si>
    <t>026987</t>
  </si>
  <si>
    <t>029613</t>
  </si>
  <si>
    <t>Administración de riesgos de proyectos</t>
  </si>
  <si>
    <t>032375</t>
  </si>
  <si>
    <t>Aerogeneradores</t>
  </si>
  <si>
    <t>018601</t>
  </si>
  <si>
    <t>029627</t>
  </si>
  <si>
    <t>Agua potable y alcantarillado</t>
  </si>
  <si>
    <t>027071</t>
  </si>
  <si>
    <t>026777</t>
  </si>
  <si>
    <t>028102</t>
  </si>
  <si>
    <t>0182261</t>
  </si>
  <si>
    <t>026790</t>
  </si>
  <si>
    <t>028365</t>
  </si>
  <si>
    <t>018507</t>
  </si>
  <si>
    <t>Almacenamiento energético</t>
  </si>
  <si>
    <t>018602</t>
  </si>
  <si>
    <t>Análisis e interpretación de la información financiera</t>
  </si>
  <si>
    <t>026996</t>
  </si>
  <si>
    <t>Análisis estructural</t>
  </si>
  <si>
    <t>027066</t>
  </si>
  <si>
    <t>Análisis medioambiental</t>
  </si>
  <si>
    <t>018570</t>
  </si>
  <si>
    <t>026781</t>
  </si>
  <si>
    <t>028137</t>
  </si>
  <si>
    <t>018195</t>
  </si>
  <si>
    <t>027047</t>
  </si>
  <si>
    <t>026960</t>
  </si>
  <si>
    <t>028487</t>
  </si>
  <si>
    <t>018529</t>
  </si>
  <si>
    <t>027060</t>
  </si>
  <si>
    <t>026965</t>
  </si>
  <si>
    <t>028520</t>
  </si>
  <si>
    <t>018582</t>
  </si>
  <si>
    <t>027064</t>
  </si>
  <si>
    <t>Aprendizaje de máquina I</t>
  </si>
  <si>
    <t>029628</t>
  </si>
  <si>
    <t>Aprendizaje de máquina II</t>
  </si>
  <si>
    <t>029632</t>
  </si>
  <si>
    <t>032372</t>
  </si>
  <si>
    <t>Bases de datos avanzadas</t>
  </si>
  <si>
    <t>029623</t>
  </si>
  <si>
    <t>027082</t>
  </si>
  <si>
    <t>027074</t>
  </si>
  <si>
    <t>BIM planeación de obra</t>
  </si>
  <si>
    <t>027079</t>
  </si>
  <si>
    <t>Bioinstrumentación</t>
  </si>
  <si>
    <t>028913</t>
  </si>
  <si>
    <t>028377</t>
  </si>
  <si>
    <t>028704</t>
  </si>
  <si>
    <t>028908</t>
  </si>
  <si>
    <t>018938</t>
  </si>
  <si>
    <t>027048</t>
  </si>
  <si>
    <t>CAD Avanzado</t>
  </si>
  <si>
    <t>027084</t>
  </si>
  <si>
    <t>026776</t>
  </si>
  <si>
    <t>028101</t>
  </si>
  <si>
    <t>018196</t>
  </si>
  <si>
    <t>026788</t>
  </si>
  <si>
    <t>026789</t>
  </si>
  <si>
    <t>028362</t>
  </si>
  <si>
    <t>018482</t>
  </si>
  <si>
    <t>Cálculo numérico/Métodos numéricos</t>
  </si>
  <si>
    <t>029612</t>
  </si>
  <si>
    <t>026906</t>
  </si>
  <si>
    <t>026905</t>
  </si>
  <si>
    <t>028370</t>
  </si>
  <si>
    <t>018514</t>
  </si>
  <si>
    <t>Centro de datos</t>
  </si>
  <si>
    <t>027097</t>
  </si>
  <si>
    <t>Certificación energética y ambiental de edificios</t>
  </si>
  <si>
    <t>027099</t>
  </si>
  <si>
    <t>026939</t>
  </si>
  <si>
    <t>028373</t>
  </si>
  <si>
    <t>018518</t>
  </si>
  <si>
    <t>026958</t>
  </si>
  <si>
    <t>018575</t>
  </si>
  <si>
    <t>028689</t>
  </si>
  <si>
    <t>Circuitos digitales y eléctricos</t>
  </si>
  <si>
    <t>026976</t>
  </si>
  <si>
    <t>027003</t>
  </si>
  <si>
    <t>026938</t>
  </si>
  <si>
    <t>018551</t>
  </si>
  <si>
    <t>028372</t>
  </si>
  <si>
    <t>Circuitos eléctricos II</t>
  </si>
  <si>
    <t>028485</t>
  </si>
  <si>
    <t>Comportamiento de materiales</t>
  </si>
  <si>
    <t>027067</t>
  </si>
  <si>
    <t>029626</t>
  </si>
  <si>
    <t>Comunicación de datos</t>
  </si>
  <si>
    <t>027043</t>
  </si>
  <si>
    <t>028911</t>
  </si>
  <si>
    <t>Concreto pre-esforzado</t>
  </si>
  <si>
    <t xml:space="preserve">	
032369</t>
  </si>
  <si>
    <t>Contabilidad y costos</t>
  </si>
  <si>
    <t>027023</t>
  </si>
  <si>
    <t>027065</t>
  </si>
  <si>
    <t>027006</t>
  </si>
  <si>
    <t>027042</t>
  </si>
  <si>
    <t>Control inteligente</t>
  </si>
  <si>
    <t>027086</t>
  </si>
  <si>
    <t>027088</t>
  </si>
  <si>
    <t>Datos masivos</t>
  </si>
  <si>
    <t>029630</t>
  </si>
  <si>
    <t>028906</t>
  </si>
  <si>
    <t>028693</t>
  </si>
  <si>
    <t>027040</t>
  </si>
  <si>
    <t>028902</t>
  </si>
  <si>
    <t>026937</t>
  </si>
  <si>
    <t>027051</t>
  </si>
  <si>
    <t>Dinámica de sistemas físicos</t>
  </si>
  <si>
    <t>027030</t>
  </si>
  <si>
    <t>028707</t>
  </si>
  <si>
    <t>Dirección de empresas</t>
  </si>
  <si>
    <t>027019</t>
  </si>
  <si>
    <t>026994</t>
  </si>
  <si>
    <t>028909</t>
  </si>
  <si>
    <t>018935</t>
  </si>
  <si>
    <t>026894</t>
  </si>
  <si>
    <t>026895</t>
  </si>
  <si>
    <t>018552</t>
  </si>
  <si>
    <t>027033</t>
  </si>
  <si>
    <t>027072</t>
  </si>
  <si>
    <t>Diseño de estructuras de acero II</t>
  </si>
  <si>
    <t>027077</t>
  </si>
  <si>
    <t>027073</t>
  </si>
  <si>
    <t>Diseño de estructuras de concreto II</t>
  </si>
  <si>
    <t>027078</t>
  </si>
  <si>
    <t>027005</t>
  </si>
  <si>
    <t>Diseño de instalaciones industriales y servicios</t>
  </si>
  <si>
    <t>027018</t>
  </si>
  <si>
    <t>Diseño de máquinas</t>
  </si>
  <si>
    <t>027037</t>
  </si>
  <si>
    <t>Diseño de pavimentos</t>
  </si>
  <si>
    <t>032371</t>
  </si>
  <si>
    <t>027016</t>
  </si>
  <si>
    <t>Diseño de sistemas energéticos</t>
  </si>
  <si>
    <t>018941</t>
  </si>
  <si>
    <t>Diseño para la ingeniería civil</t>
  </si>
  <si>
    <t>026786</t>
  </si>
  <si>
    <t>Domótica e Inmótica</t>
  </si>
  <si>
    <t>027094</t>
  </si>
  <si>
    <t>026936</t>
  </si>
  <si>
    <t>029611</t>
  </si>
  <si>
    <t>018513</t>
  </si>
  <si>
    <t>027055</t>
  </si>
  <si>
    <t>028371</t>
  </si>
  <si>
    <t>Eficiencia energética y motores térmicos</t>
  </si>
  <si>
    <t>027041</t>
  </si>
  <si>
    <t>026957</t>
  </si>
  <si>
    <t>026971</t>
  </si>
  <si>
    <t>020643</t>
  </si>
  <si>
    <t>028486</t>
  </si>
  <si>
    <t>027031</t>
  </si>
  <si>
    <t>018583</t>
  </si>
  <si>
    <t>028708</t>
  </si>
  <si>
    <t>028903</t>
  </si>
  <si>
    <t>Electrónica de potencia</t>
  </si>
  <si>
    <t>027038</t>
  </si>
  <si>
    <t>020644</t>
  </si>
  <si>
    <t>028910</t>
  </si>
  <si>
    <t>018922</t>
  </si>
  <si>
    <t>027013</t>
  </si>
  <si>
    <t>029633</t>
  </si>
  <si>
    <t>032373</t>
  </si>
  <si>
    <t>018596</t>
  </si>
  <si>
    <t>018597</t>
  </si>
  <si>
    <t>018598</t>
  </si>
  <si>
    <t>Energía solar</t>
  </si>
  <si>
    <t>027096</t>
  </si>
  <si>
    <t>Energía solar fotovoltáica</t>
  </si>
  <si>
    <t>018595</t>
  </si>
  <si>
    <t>Energía solar térmica</t>
  </si>
  <si>
    <t>018572</t>
  </si>
  <si>
    <t>Energías alternativas</t>
  </si>
  <si>
    <t>018571</t>
  </si>
  <si>
    <t>027087</t>
  </si>
  <si>
    <t>Entorno económico</t>
  </si>
  <si>
    <t>026935</t>
  </si>
  <si>
    <t>029616</t>
  </si>
  <si>
    <t>032365</t>
  </si>
  <si>
    <t>028368</t>
  </si>
  <si>
    <t>Ergonomía para el diseño</t>
  </si>
  <si>
    <t>026896</t>
  </si>
  <si>
    <t>Estadística</t>
  </si>
  <si>
    <t>026997</t>
  </si>
  <si>
    <t>Estática</t>
  </si>
  <si>
    <t>026932</t>
  </si>
  <si>
    <t>027046</t>
  </si>
  <si>
    <t>Estrategias de mercadotecnia</t>
  </si>
  <si>
    <t>026904</t>
  </si>
  <si>
    <t>Estructura de datos y algoritmos I</t>
  </si>
  <si>
    <t>029607</t>
  </si>
  <si>
    <t>029609</t>
  </si>
  <si>
    <t>Estructura de datos y algoritmos III</t>
  </si>
  <si>
    <t>029615</t>
  </si>
  <si>
    <t>Estructuras Física para el Diseño del Producto</t>
  </si>
  <si>
    <t>026967</t>
  </si>
  <si>
    <t>027052</t>
  </si>
  <si>
    <t>Estudio y tecnología de materiales</t>
  </si>
  <si>
    <t>026972</t>
  </si>
  <si>
    <t>026991</t>
  </si>
  <si>
    <t>028912</t>
  </si>
  <si>
    <t>018934</t>
  </si>
  <si>
    <t>032366</t>
  </si>
  <si>
    <t>026903</t>
  </si>
  <si>
    <t>028375</t>
  </si>
  <si>
    <t>018519</t>
  </si>
  <si>
    <t>027054</t>
  </si>
  <si>
    <t>032376</t>
  </si>
  <si>
    <t>018944</t>
  </si>
  <si>
    <t>Evaluación financiera de proyectos</t>
  </si>
  <si>
    <t>027081</t>
  </si>
  <si>
    <t>026979</t>
  </si>
  <si>
    <t>028694</t>
  </si>
  <si>
    <t>018588</t>
  </si>
  <si>
    <t>027070</t>
  </si>
  <si>
    <t>026779</t>
  </si>
  <si>
    <t>028138</t>
  </si>
  <si>
    <t>018508</t>
  </si>
  <si>
    <t>Fundamentos de bioelectrónica</t>
  </si>
  <si>
    <t>028376</t>
  </si>
  <si>
    <t>027085</t>
  </si>
  <si>
    <t>026963</t>
  </si>
  <si>
    <t>028703</t>
  </si>
  <si>
    <t>027061</t>
  </si>
  <si>
    <t>027001</t>
  </si>
  <si>
    <t>027059</t>
  </si>
  <si>
    <t>026783</t>
  </si>
  <si>
    <t>Geometría y trigonometría</t>
  </si>
  <si>
    <t>026893</t>
  </si>
  <si>
    <t>027014</t>
  </si>
  <si>
    <t>Gestión de la calidad</t>
  </si>
  <si>
    <t>027007</t>
  </si>
  <si>
    <t>027045</t>
  </si>
  <si>
    <t>026989</t>
  </si>
  <si>
    <t>Gestión de recursos humanos</t>
  </si>
  <si>
    <t>027091</t>
  </si>
  <si>
    <t>032367</t>
  </si>
  <si>
    <t>026780</t>
  </si>
  <si>
    <t>028139</t>
  </si>
  <si>
    <t>018264</t>
  </si>
  <si>
    <t>026961</t>
  </si>
  <si>
    <t>026985</t>
  </si>
  <si>
    <t>028907</t>
  </si>
  <si>
    <t>018933</t>
  </si>
  <si>
    <t>027076</t>
  </si>
  <si>
    <t>027090</t>
  </si>
  <si>
    <t>Ingeniería de cimentaciones</t>
  </si>
  <si>
    <t>027080</t>
  </si>
  <si>
    <t>Ingeniería de materiales</t>
  </si>
  <si>
    <t>026998</t>
  </si>
  <si>
    <t>Ingeniería de métodos</t>
  </si>
  <si>
    <t>027000</t>
  </si>
  <si>
    <t>Ingeniería de software</t>
  </si>
  <si>
    <t>029629</t>
  </si>
  <si>
    <t>Ingeniería de valor en proyectos de construcción</t>
  </si>
  <si>
    <t>027100</t>
  </si>
  <si>
    <t>Ingeniería sísmica</t>
  </si>
  <si>
    <t>032368</t>
  </si>
  <si>
    <t>Instalaciones en edificios</t>
  </si>
  <si>
    <t>027058</t>
  </si>
  <si>
    <t>Inteligencia artificial I</t>
  </si>
  <si>
    <t>018599</t>
  </si>
  <si>
    <t>027092</t>
  </si>
  <si>
    <t>Introducción a la administración</t>
  </si>
  <si>
    <t>018263</t>
  </si>
  <si>
    <t>026787</t>
  </si>
  <si>
    <t>027004</t>
  </si>
  <si>
    <t>029618</t>
  </si>
  <si>
    <t>Investigación de operaciones</t>
  </si>
  <si>
    <t>026999</t>
  </si>
  <si>
    <t>032359</t>
  </si>
  <si>
    <t>027034</t>
  </si>
  <si>
    <t>Manufactura esbelta</t>
  </si>
  <si>
    <t>027012</t>
  </si>
  <si>
    <t>Máquinas y herramientas</t>
  </si>
  <si>
    <t>026933</t>
  </si>
  <si>
    <t>Marco legal de la innovación</t>
  </si>
  <si>
    <t>027022</t>
  </si>
  <si>
    <t>026988</t>
  </si>
  <si>
    <t>Matemáticas avanzadas</t>
  </si>
  <si>
    <t>026953</t>
  </si>
  <si>
    <t>028483</t>
  </si>
  <si>
    <t>029608</t>
  </si>
  <si>
    <t>Materiales y procesos constructivos</t>
  </si>
  <si>
    <t>027053</t>
  </si>
  <si>
    <t>027027</t>
  </si>
  <si>
    <t>028366</t>
  </si>
  <si>
    <t>018550</t>
  </si>
  <si>
    <t>Mecánica de materiales</t>
  </si>
  <si>
    <t>027057</t>
  </si>
  <si>
    <t>027069</t>
  </si>
  <si>
    <t>Mecanismos</t>
  </si>
  <si>
    <t>027029</t>
  </si>
  <si>
    <t>Mercadotecnia de proyectos de construcción</t>
  </si>
  <si>
    <t xml:space="preserve">	
032378</t>
  </si>
  <si>
    <t>Metales para el diseño</t>
  </si>
  <si>
    <t>026968</t>
  </si>
  <si>
    <t>026964</t>
  </si>
  <si>
    <t>028488</t>
  </si>
  <si>
    <t>018584</t>
  </si>
  <si>
    <t>027032</t>
  </si>
  <si>
    <t>028709</t>
  </si>
  <si>
    <t>018578</t>
  </si>
  <si>
    <t>028905</t>
  </si>
  <si>
    <t>029617</t>
  </si>
  <si>
    <t>Modelado digital avanzado</t>
  </si>
  <si>
    <t>026908</t>
  </si>
  <si>
    <t>Modelos físicos</t>
  </si>
  <si>
    <t>026969</t>
  </si>
  <si>
    <t>027002</t>
  </si>
  <si>
    <t>Obras hidráulicas</t>
  </si>
  <si>
    <t>032364</t>
  </si>
  <si>
    <t>Optimización y control energético</t>
  </si>
  <si>
    <t>027021</t>
  </si>
  <si>
    <t>018940</t>
  </si>
  <si>
    <t>029619</t>
  </si>
  <si>
    <t>Patrones de diseño y arquitectura de software</t>
  </si>
  <si>
    <t>029620</t>
  </si>
  <si>
    <t>026898</t>
  </si>
  <si>
    <t>028369</t>
  </si>
  <si>
    <t>018512</t>
  </si>
  <si>
    <t>027049</t>
  </si>
  <si>
    <t>Planeación estratégica</t>
  </si>
  <si>
    <t xml:space="preserve">	
032377</t>
  </si>
  <si>
    <t>Planeación y control de proyectos</t>
  </si>
  <si>
    <t>027068</t>
  </si>
  <si>
    <t>026973</t>
  </si>
  <si>
    <t>026993</t>
  </si>
  <si>
    <t>026784</t>
  </si>
  <si>
    <t>027025</t>
  </si>
  <si>
    <t>026909</t>
  </si>
  <si>
    <t>028691</t>
  </si>
  <si>
    <t>018520</t>
  </si>
  <si>
    <t>027056</t>
  </si>
  <si>
    <t>Procesamiento del lenguaje natural</t>
  </si>
  <si>
    <t>029631</t>
  </si>
  <si>
    <t>026966</t>
  </si>
  <si>
    <t>026940</t>
  </si>
  <si>
    <t>028374</t>
  </si>
  <si>
    <t>Programación de agentes para entornos virtuales</t>
  </si>
  <si>
    <t>029621</t>
  </si>
  <si>
    <t>026934</t>
  </si>
  <si>
    <t>028367</t>
  </si>
  <si>
    <t>018543</t>
  </si>
  <si>
    <t>Propiedades de los suelos</t>
  </si>
  <si>
    <t>027063</t>
  </si>
  <si>
    <t>027036</t>
  </si>
  <si>
    <t>Proyecto mecatrónico II</t>
  </si>
  <si>
    <t>027039</t>
  </si>
  <si>
    <t>Proyectos biosostenibles</t>
  </si>
  <si>
    <t>018942</t>
  </si>
  <si>
    <t>027008</t>
  </si>
  <si>
    <t>026981</t>
  </si>
  <si>
    <t>029625</t>
  </si>
  <si>
    <t>027101</t>
  </si>
  <si>
    <t>028692</t>
  </si>
  <si>
    <t>Psicología del consumidor</t>
  </si>
  <si>
    <t>026990</t>
  </si>
  <si>
    <t>026778</t>
  </si>
  <si>
    <t>028103</t>
  </si>
  <si>
    <t>018262</t>
  </si>
  <si>
    <t>027083</t>
  </si>
  <si>
    <t>Recursos humanos</t>
  </si>
  <si>
    <t>027020</t>
  </si>
  <si>
    <t>027024</t>
  </si>
  <si>
    <t>026959</t>
  </si>
  <si>
    <t>029610</t>
  </si>
  <si>
    <t>028690</t>
  </si>
  <si>
    <t>Resistencia de materiales</t>
  </si>
  <si>
    <t>026956</t>
  </si>
  <si>
    <t>Señales e imágenes biomédicas</t>
  </si>
  <si>
    <t>028705</t>
  </si>
  <si>
    <t>Simulación asistida por computadora</t>
  </si>
  <si>
    <t>027044</t>
  </si>
  <si>
    <t>Simulación discreta</t>
  </si>
  <si>
    <t>027011</t>
  </si>
  <si>
    <t>Simulación en 3D (5to.)</t>
  </si>
  <si>
    <t>026983</t>
  </si>
  <si>
    <t>029634</t>
  </si>
  <si>
    <t>Sistemas de climatización</t>
  </si>
  <si>
    <t>027095</t>
  </si>
  <si>
    <t>Sistemas de comunicación</t>
  </si>
  <si>
    <t>028706</t>
  </si>
  <si>
    <t>027035</t>
  </si>
  <si>
    <t>028904</t>
  </si>
  <si>
    <t>Sistemas de costos y presupuestos</t>
  </si>
  <si>
    <t>026978</t>
  </si>
  <si>
    <t>027028</t>
  </si>
  <si>
    <t>027050</t>
  </si>
  <si>
    <t>Sistemas de mejoramiento ambiental</t>
  </si>
  <si>
    <t>032379</t>
  </si>
  <si>
    <t>018939</t>
  </si>
  <si>
    <t>Sistemas energéticos II</t>
  </si>
  <si>
    <t>018943</t>
  </si>
  <si>
    <t>Sistemas integrados de manufactura</t>
  </si>
  <si>
    <t>027017</t>
  </si>
  <si>
    <t>Sistemas operativos</t>
  </si>
  <si>
    <t>029614</t>
  </si>
  <si>
    <t>Sustentabilidad y normatividad energética</t>
  </si>
  <si>
    <t>026995</t>
  </si>
  <si>
    <t>Taller avanzado de ingeniería para el diseño</t>
  </si>
  <si>
    <t>026986</t>
  </si>
  <si>
    <t>026782</t>
  </si>
  <si>
    <t>026970</t>
  </si>
  <si>
    <t>Taller de diseño funcional</t>
  </si>
  <si>
    <t>026907</t>
  </si>
  <si>
    <t>Taller de diseño para la sustentabilidad 8 IID</t>
  </si>
  <si>
    <t>026980</t>
  </si>
  <si>
    <t>Taller de estética para el diseño</t>
  </si>
  <si>
    <t>026975</t>
  </si>
  <si>
    <t>032374</t>
  </si>
  <si>
    <t>Taller de metodología del diseño</t>
  </si>
  <si>
    <t>026892</t>
  </si>
  <si>
    <t>Técnicas avanzadas de representación</t>
  </si>
  <si>
    <t>Técnicas de representación</t>
  </si>
  <si>
    <t>026897</t>
  </si>
  <si>
    <t>027062</t>
  </si>
  <si>
    <t>Tecnologías de asistencia</t>
  </si>
  <si>
    <t>028914</t>
  </si>
  <si>
    <t>Tecnologías de iluminación de espacios</t>
  </si>
  <si>
    <t>027093</t>
  </si>
  <si>
    <t>026785</t>
  </si>
  <si>
    <t>027026</t>
  </si>
  <si>
    <t>026955</t>
  </si>
  <si>
    <t>018545</t>
  </si>
  <si>
    <t>028484</t>
  </si>
  <si>
    <t>Tópicos en instalaciones industriales</t>
  </si>
  <si>
    <t>027010</t>
  </si>
  <si>
    <t>Topografía</t>
  </si>
  <si>
    <t>026880</t>
  </si>
  <si>
    <t>Tratamiento de aguas, suelos y atmósferas</t>
  </si>
  <si>
    <t>018600</t>
  </si>
  <si>
    <t>Urbótica</t>
  </si>
  <si>
    <t>027098</t>
  </si>
  <si>
    <t>027075</t>
  </si>
  <si>
    <t>Hidraúlica de Canales Abiertos</t>
  </si>
  <si>
    <t>Grupos necesarios</t>
  </si>
  <si>
    <t>Asignados</t>
  </si>
  <si>
    <t>1, 2, 2</t>
  </si>
  <si>
    <t>3, 1, 2, 3, 3, 3</t>
  </si>
  <si>
    <t>3, 2, 3, 3, 3</t>
  </si>
  <si>
    <t>1, 1</t>
  </si>
  <si>
    <t>2, 1, 2, 2, 2, 2</t>
  </si>
  <si>
    <t>1, 2, 3</t>
  </si>
  <si>
    <t>2, 3</t>
  </si>
  <si>
    <t>3, 1, 2, 2</t>
  </si>
  <si>
    <t>3,2, 2, 2</t>
  </si>
  <si>
    <t>3, 2</t>
  </si>
  <si>
    <t>1, 2</t>
  </si>
  <si>
    <t>3, 2, 2, 3, 3, 3</t>
  </si>
  <si>
    <t>3, 1</t>
  </si>
  <si>
    <t>3, 3, 3</t>
  </si>
  <si>
    <t>3, 2, 3</t>
  </si>
  <si>
    <t>3, 1, 3, 3, 3</t>
  </si>
  <si>
    <t>2, 3, 3, 2</t>
  </si>
  <si>
    <t>2, 1</t>
  </si>
  <si>
    <t>1574, 1575, 1577, 1579, 5725</t>
  </si>
  <si>
    <t>1434, 1439, 1444</t>
  </si>
  <si>
    <t>1628/29</t>
  </si>
  <si>
    <t>1431, 1436, 1441</t>
  </si>
  <si>
    <t>1572, 1573, 1576, 1578, 5724</t>
  </si>
  <si>
    <t>1435, 1440, 1445</t>
  </si>
  <si>
    <t>1432, 1437, 1442</t>
  </si>
  <si>
    <t>1Ju</t>
  </si>
  <si>
    <t>2Ma</t>
  </si>
  <si>
    <t>1Vi</t>
  </si>
  <si>
    <t>1Lu</t>
  </si>
  <si>
    <t>1Mi</t>
  </si>
  <si>
    <t>2Lu</t>
  </si>
  <si>
    <t>2Ju</t>
  </si>
  <si>
    <t>2Vi</t>
  </si>
  <si>
    <t>2Mi</t>
  </si>
  <si>
    <t>1Ma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</si>
</sst>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\ 00\ 00\ 000"/>
    <numFmt numFmtId="165" formatCode="0000000"/>
    <numFmt numFmtId="166" formatCode="[$-80A]hh:mm\ AM/PM;@"/>
    <numFmt numFmtId="167" formatCode="000000"/>
    <numFmt numFmtId="168" formatCode="0.000"/>
    <numFmt numFmtId="169" formatCode="0.0"/>
    <numFmt numFmtId="170" formatCode="0.0%"/>
  </numFmts>
  <fonts count="4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rgb="FF263238"/>
      <name val="Calibri"/>
      <family val="2"/>
      <scheme val="minor"/>
    </font>
    <font>
      <sz val="10"/>
      <name val="Calibri"/>
      <family val="2"/>
      <scheme val="minor"/>
    </font>
    <font>
      <sz val="9"/>
      <color rgb="FF51515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3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Calibri"/>
      <family val="2"/>
      <scheme val="minor"/>
    </font>
    <font>
      <sz val="11"/>
      <color rgb="FF202124"/>
      <name val="Roboto"/>
    </font>
    <font>
      <b/>
      <sz val="12"/>
      <color rgb="FF000000"/>
      <name val="Calibri"/>
      <family val="2"/>
      <scheme val="minor"/>
    </font>
    <font>
      <sz val="10"/>
      <color rgb="FF202124"/>
      <name val="Roboto"/>
    </font>
    <font>
      <sz val="9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5"/>
      <name val="Calibri"/>
      <family val="2"/>
    </font>
    <font>
      <sz val="10"/>
      <color rgb="FFFF0000"/>
      <name val="Calibri"/>
      <family val="2"/>
      <scheme val="minor"/>
    </font>
    <font>
      <sz val="7"/>
      <color rgb="FFFF0000"/>
      <name val="Calibri"/>
      <family val="2"/>
      <scheme val="minor"/>
    </font>
    <font>
      <sz val="9"/>
      <color theme="1"/>
      <name val="Arial"/>
      <family val="2"/>
    </font>
    <font>
      <sz val="9"/>
      <color rgb="FF1F1F1F"/>
      <name val="Roboto"/>
    </font>
    <font>
      <sz val="9"/>
      <color rgb="FF000000"/>
      <name val="Roboto"/>
    </font>
    <font>
      <sz val="9"/>
      <color rgb="FF51515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theme="6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/>
      </left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0">
    <xf numFmtId="0" fontId="0" fillId="0" borderId="0"/>
    <xf numFmtId="0" fontId="6" fillId="0" borderId="3" applyNumberFormat="0" applyFill="0" applyAlignment="0" applyProtection="0"/>
    <xf numFmtId="0" fontId="4" fillId="2" borderId="0" applyNumberFormat="0" applyBorder="0" applyAlignment="0" applyProtection="0"/>
    <xf numFmtId="0" fontId="3" fillId="0" borderId="0"/>
    <xf numFmtId="0" fontId="15" fillId="10" borderId="18" applyNumberFormat="0" applyFill="0" applyBorder="0" applyAlignment="0" applyProtection="0"/>
    <xf numFmtId="0" fontId="20" fillId="0" borderId="23" applyNumberFormat="0" applyFill="0" applyAlignment="0" applyProtection="0"/>
    <xf numFmtId="0" fontId="2" fillId="2" borderId="0" applyNumberFormat="0" applyBorder="0" applyAlignment="0" applyProtection="0"/>
    <xf numFmtId="0" fontId="2" fillId="0" borderId="0"/>
    <xf numFmtId="0" fontId="23" fillId="0" borderId="0" applyNumberFormat="0" applyFill="0" applyBorder="0" applyAlignment="0" applyProtection="0"/>
    <xf numFmtId="9" fontId="25" fillId="0" borderId="0" applyFont="0" applyFill="0" applyBorder="0" applyAlignment="0" applyProtection="0"/>
  </cellStyleXfs>
  <cellXfs count="241">
    <xf numFmtId="0" fontId="0" fillId="0" borderId="0" xfId="0" applyAlignment="1">
      <alignment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8" borderId="0" xfId="0" applyFont="1" applyFill="1" applyAlignment="1">
      <alignment wrapText="1"/>
    </xf>
    <xf numFmtId="0" fontId="11" fillId="0" borderId="0" xfId="0" applyFont="1"/>
    <xf numFmtId="0" fontId="11" fillId="0" borderId="0" xfId="0" applyFont="1" applyAlignment="1">
      <alignment horizontal="center" vertical="center" textRotation="90" wrapText="1"/>
    </xf>
    <xf numFmtId="164" fontId="11" fillId="0" borderId="0" xfId="0" applyNumberFormat="1" applyFont="1"/>
    <xf numFmtId="0" fontId="14" fillId="0" borderId="4" xfId="0" applyFont="1" applyBorder="1"/>
    <xf numFmtId="0" fontId="14" fillId="0" borderId="0" xfId="0" applyFont="1"/>
    <xf numFmtId="0" fontId="11" fillId="9" borderId="0" xfId="0" applyFont="1" applyFill="1"/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0" fontId="11" fillId="9" borderId="0" xfId="0" applyFont="1" applyFill="1" applyAlignment="1">
      <alignment wrapText="1"/>
    </xf>
    <xf numFmtId="0" fontId="14" fillId="7" borderId="0" xfId="0" applyFont="1" applyFill="1" applyAlignment="1">
      <alignment wrapText="1"/>
    </xf>
    <xf numFmtId="0" fontId="12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textRotation="90" wrapText="1"/>
    </xf>
    <xf numFmtId="0" fontId="12" fillId="3" borderId="8" xfId="0" applyFont="1" applyFill="1" applyBorder="1" applyAlignment="1">
      <alignment horizontal="center" vertical="center" textRotation="90" wrapText="1"/>
    </xf>
    <xf numFmtId="0" fontId="12" fillId="3" borderId="12" xfId="0" applyFont="1" applyFill="1" applyBorder="1" applyAlignment="1">
      <alignment horizontal="center" vertical="center" textRotation="90" wrapText="1"/>
    </xf>
    <xf numFmtId="0" fontId="11" fillId="0" borderId="0" xfId="0" applyFont="1" applyAlignment="1">
      <alignment textRotation="90" wrapText="1"/>
    </xf>
    <xf numFmtId="0" fontId="14" fillId="4" borderId="11" xfId="0" applyFont="1" applyFill="1" applyBorder="1"/>
    <xf numFmtId="0" fontId="14" fillId="0" borderId="11" xfId="0" applyFont="1" applyBorder="1"/>
    <xf numFmtId="0" fontId="14" fillId="0" borderId="10" xfId="0" applyFont="1" applyBorder="1"/>
    <xf numFmtId="0" fontId="12" fillId="3" borderId="14" xfId="0" applyFont="1" applyFill="1" applyBorder="1" applyAlignment="1">
      <alignment horizontal="center" vertical="center" textRotation="90" wrapText="1"/>
    </xf>
    <xf numFmtId="0" fontId="12" fillId="3" borderId="15" xfId="0" applyFont="1" applyFill="1" applyBorder="1" applyAlignment="1">
      <alignment horizontal="center" vertical="center" textRotation="90" wrapText="1"/>
    </xf>
    <xf numFmtId="0" fontId="12" fillId="3" borderId="0" xfId="0" applyFont="1" applyFill="1" applyAlignment="1">
      <alignment horizontal="center" vertical="center" wrapText="1"/>
    </xf>
    <xf numFmtId="0" fontId="14" fillId="0" borderId="4" xfId="0" applyFont="1" applyBorder="1" applyAlignment="1">
      <alignment wrapText="1"/>
    </xf>
    <xf numFmtId="0" fontId="11" fillId="0" borderId="0" xfId="0" applyFont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4" fillId="0" borderId="11" xfId="0" applyFont="1" applyBorder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horizontal="left" wrapText="1" indent="1"/>
    </xf>
    <xf numFmtId="18" fontId="11" fillId="0" borderId="0" xfId="0" applyNumberFormat="1" applyFont="1" applyAlignment="1">
      <alignment horizontal="center" wrapText="1"/>
    </xf>
    <xf numFmtId="0" fontId="21" fillId="0" borderId="0" xfId="0" applyFont="1" applyAlignment="1">
      <alignment wrapText="1"/>
    </xf>
    <xf numFmtId="167" fontId="11" fillId="0" borderId="0" xfId="0" quotePrefix="1" applyNumberFormat="1" applyFont="1" applyAlignment="1">
      <alignment wrapText="1"/>
    </xf>
    <xf numFmtId="167" fontId="11" fillId="0" borderId="0" xfId="0" applyNumberFormat="1" applyFont="1" applyAlignment="1">
      <alignment wrapText="1"/>
    </xf>
    <xf numFmtId="167" fontId="19" fillId="0" borderId="0" xfId="0" quotePrefix="1" applyNumberFormat="1" applyFont="1" applyAlignment="1">
      <alignment wrapText="1"/>
    </xf>
    <xf numFmtId="0" fontId="5" fillId="0" borderId="0" xfId="0" applyFont="1" applyAlignment="1">
      <alignment wrapText="1"/>
    </xf>
    <xf numFmtId="0" fontId="20" fillId="0" borderId="23" xfId="5" applyAlignment="1">
      <alignment wrapText="1"/>
    </xf>
    <xf numFmtId="0" fontId="5" fillId="11" borderId="0" xfId="0" applyFont="1" applyFill="1" applyAlignment="1">
      <alignment wrapText="1"/>
    </xf>
    <xf numFmtId="0" fontId="0" fillId="11" borderId="0" xfId="0" applyFill="1" applyAlignment="1">
      <alignment wrapText="1"/>
    </xf>
    <xf numFmtId="0" fontId="20" fillId="11" borderId="23" xfId="5" applyFill="1" applyAlignment="1">
      <alignment wrapText="1"/>
    </xf>
    <xf numFmtId="168" fontId="0" fillId="0" borderId="0" xfId="0" applyNumberFormat="1" applyAlignment="1">
      <alignment wrapText="1"/>
    </xf>
    <xf numFmtId="168" fontId="5" fillId="0" borderId="0" xfId="0" applyNumberFormat="1" applyFont="1" applyAlignment="1">
      <alignment wrapText="1"/>
    </xf>
    <xf numFmtId="168" fontId="0" fillId="11" borderId="0" xfId="0" applyNumberFormat="1" applyFill="1" applyAlignment="1">
      <alignment wrapText="1"/>
    </xf>
    <xf numFmtId="168" fontId="20" fillId="11" borderId="23" xfId="5" applyNumberFormat="1" applyFill="1" applyAlignment="1">
      <alignment wrapText="1"/>
    </xf>
    <xf numFmtId="168" fontId="5" fillId="11" borderId="0" xfId="0" applyNumberFormat="1" applyFont="1" applyFill="1" applyAlignment="1">
      <alignment wrapText="1"/>
    </xf>
    <xf numFmtId="0" fontId="11" fillId="12" borderId="0" xfId="0" applyFont="1" applyFill="1" applyAlignment="1">
      <alignment wrapText="1"/>
    </xf>
    <xf numFmtId="0" fontId="18" fillId="0" borderId="0" xfId="0" applyFont="1" applyAlignment="1">
      <alignment wrapText="1"/>
    </xf>
    <xf numFmtId="164" fontId="11" fillId="0" borderId="0" xfId="0" applyNumberFormat="1" applyFont="1" applyAlignment="1">
      <alignment horizontal="left"/>
    </xf>
    <xf numFmtId="164" fontId="10" fillId="0" borderId="0" xfId="8" applyNumberFormat="1" applyFont="1" applyAlignment="1">
      <alignment horizontal="left"/>
    </xf>
    <xf numFmtId="0" fontId="11" fillId="0" borderId="0" xfId="0" applyFont="1" applyAlignment="1">
      <alignment horizontal="left" vertical="center" wrapText="1"/>
    </xf>
    <xf numFmtId="165" fontId="11" fillId="0" borderId="0" xfId="0" applyNumberFormat="1" applyFont="1" applyAlignment="1">
      <alignment horizontal="center"/>
    </xf>
    <xf numFmtId="14" fontId="11" fillId="0" borderId="0" xfId="0" applyNumberFormat="1" applyFont="1" applyAlignment="1">
      <alignment horizontal="center" wrapText="1"/>
    </xf>
    <xf numFmtId="14" fontId="11" fillId="0" borderId="0" xfId="0" applyNumberFormat="1" applyFont="1" applyAlignment="1">
      <alignment horizontal="center"/>
    </xf>
    <xf numFmtId="0" fontId="12" fillId="3" borderId="24" xfId="0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  <xf numFmtId="0" fontId="12" fillId="3" borderId="26" xfId="0" applyFont="1" applyFill="1" applyBorder="1" applyAlignment="1">
      <alignment horizontal="center" vertical="center" textRotation="90" wrapText="1"/>
    </xf>
    <xf numFmtId="0" fontId="12" fillId="3" borderId="24" xfId="0" applyFont="1" applyFill="1" applyBorder="1" applyAlignment="1">
      <alignment horizontal="center" vertical="center" textRotation="90" wrapText="1"/>
    </xf>
    <xf numFmtId="0" fontId="12" fillId="3" borderId="25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65" fontId="11" fillId="0" borderId="0" xfId="0" applyNumberFormat="1" applyFont="1" applyAlignment="1">
      <alignment horizontal="center" wrapText="1"/>
    </xf>
    <xf numFmtId="0" fontId="0" fillId="0" borderId="5" xfId="0" applyBorder="1"/>
    <xf numFmtId="0" fontId="14" fillId="9" borderId="0" xfId="0" applyFont="1" applyFill="1"/>
    <xf numFmtId="0" fontId="14" fillId="4" borderId="4" xfId="0" applyFont="1" applyFill="1" applyBorder="1"/>
    <xf numFmtId="0" fontId="14" fillId="9" borderId="4" xfId="0" applyFont="1" applyFill="1" applyBorder="1"/>
    <xf numFmtId="0" fontId="14" fillId="13" borderId="4" xfId="0" applyFont="1" applyFill="1" applyBorder="1"/>
    <xf numFmtId="0" fontId="14" fillId="13" borderId="11" xfId="0" applyFont="1" applyFill="1" applyBorder="1"/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 textRotation="90"/>
    </xf>
    <xf numFmtId="166" fontId="12" fillId="0" borderId="19" xfId="0" applyNumberFormat="1" applyFont="1" applyBorder="1" applyAlignment="1">
      <alignment horizontal="center" vertical="center"/>
    </xf>
    <xf numFmtId="166" fontId="12" fillId="0" borderId="20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90"/>
    </xf>
    <xf numFmtId="0" fontId="12" fillId="0" borderId="21" xfId="0" applyFont="1" applyBorder="1" applyAlignment="1">
      <alignment horizontal="center" vertical="center" textRotation="90"/>
    </xf>
    <xf numFmtId="0" fontId="12" fillId="0" borderId="22" xfId="0" applyFont="1" applyBorder="1" applyAlignment="1">
      <alignment horizontal="center" vertical="center" textRotation="90"/>
    </xf>
    <xf numFmtId="0" fontId="13" fillId="0" borderId="0" xfId="0" applyFont="1" applyAlignment="1">
      <alignment horizontal="center" vertical="center" textRotation="90"/>
    </xf>
    <xf numFmtId="0" fontId="12" fillId="0" borderId="12" xfId="0" applyFont="1" applyBorder="1" applyAlignment="1">
      <alignment horizontal="center" vertical="center" textRotation="90"/>
    </xf>
    <xf numFmtId="0" fontId="12" fillId="0" borderId="12" xfId="0" applyFont="1" applyBorder="1" applyAlignment="1">
      <alignment horizontal="center" vertical="center"/>
    </xf>
    <xf numFmtId="0" fontId="15" fillId="0" borderId="0" xfId="4" applyNumberFormat="1" applyFill="1" applyBorder="1" applyAlignment="1"/>
    <xf numFmtId="0" fontId="5" fillId="0" borderId="0" xfId="0" applyFont="1"/>
    <xf numFmtId="0" fontId="0" fillId="0" borderId="0" xfId="0"/>
    <xf numFmtId="165" fontId="11" fillId="0" borderId="0" xfId="0" quotePrefix="1" applyNumberFormat="1" applyFont="1" applyAlignment="1">
      <alignment horizontal="center"/>
    </xf>
    <xf numFmtId="164" fontId="10" fillId="0" borderId="0" xfId="8" applyNumberFormat="1" applyFont="1" applyFill="1"/>
    <xf numFmtId="165" fontId="14" fillId="0" borderId="0" xfId="0" applyNumberFormat="1" applyFont="1" applyAlignment="1">
      <alignment horizontal="center"/>
    </xf>
    <xf numFmtId="164" fontId="10" fillId="0" borderId="0" xfId="8" applyNumberFormat="1" applyFont="1" applyFill="1" applyAlignment="1">
      <alignment horizontal="left"/>
    </xf>
    <xf numFmtId="0" fontId="10" fillId="0" borderId="0" xfId="8" applyFont="1" applyFill="1" applyAlignment="1">
      <alignment wrapText="1"/>
    </xf>
    <xf numFmtId="0" fontId="11" fillId="0" borderId="0" xfId="4" applyNumberFormat="1" applyFont="1" applyFill="1" applyBorder="1" applyAlignment="1"/>
    <xf numFmtId="0" fontId="12" fillId="0" borderId="19" xfId="0" applyFont="1" applyBorder="1" applyAlignment="1">
      <alignment horizontal="center" vertical="center" textRotation="90" wrapText="1"/>
    </xf>
    <xf numFmtId="0" fontId="12" fillId="0" borderId="20" xfId="0" applyFont="1" applyBorder="1" applyAlignment="1">
      <alignment horizontal="center" vertical="center" wrapText="1"/>
    </xf>
    <xf numFmtId="0" fontId="24" fillId="0" borderId="0" xfId="0" applyFont="1"/>
    <xf numFmtId="10" fontId="0" fillId="0" borderId="0" xfId="9" applyNumberFormat="1" applyFont="1" applyAlignment="1">
      <alignment wrapText="1"/>
    </xf>
    <xf numFmtId="10" fontId="0" fillId="11" borderId="0" xfId="9" applyNumberFormat="1" applyFont="1" applyFill="1" applyAlignment="1">
      <alignment wrapText="1"/>
    </xf>
    <xf numFmtId="10" fontId="20" fillId="11" borderId="23" xfId="9" applyNumberFormat="1" applyFont="1" applyFill="1" applyBorder="1" applyAlignment="1">
      <alignment wrapText="1"/>
    </xf>
    <xf numFmtId="169" fontId="0" fillId="0" borderId="0" xfId="0" applyNumberFormat="1" applyAlignment="1">
      <alignment wrapText="1"/>
    </xf>
    <xf numFmtId="169" fontId="0" fillId="11" borderId="0" xfId="0" applyNumberFormat="1" applyFill="1" applyAlignment="1">
      <alignment wrapText="1"/>
    </xf>
    <xf numFmtId="170" fontId="0" fillId="0" borderId="0" xfId="9" applyNumberFormat="1" applyFont="1" applyAlignment="1">
      <alignment wrapText="1"/>
    </xf>
    <xf numFmtId="170" fontId="0" fillId="11" borderId="0" xfId="9" applyNumberFormat="1" applyFont="1" applyFill="1" applyAlignment="1">
      <alignment wrapText="1"/>
    </xf>
    <xf numFmtId="0" fontId="27" fillId="0" borderId="0" xfId="0" applyFont="1" applyAlignment="1">
      <alignment wrapText="1"/>
    </xf>
    <xf numFmtId="169" fontId="27" fillId="0" borderId="0" xfId="0" applyNumberFormat="1" applyFont="1" applyAlignment="1">
      <alignment wrapText="1"/>
    </xf>
    <xf numFmtId="170" fontId="27" fillId="0" borderId="0" xfId="9" applyNumberFormat="1" applyFont="1" applyAlignment="1">
      <alignment wrapText="1"/>
    </xf>
    <xf numFmtId="1" fontId="0" fillId="11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18" fillId="0" borderId="0" xfId="4" applyNumberFormat="1" applyFont="1" applyFill="1" applyBorder="1" applyAlignment="1">
      <alignment horizontal="center" vertical="center"/>
    </xf>
    <xf numFmtId="0" fontId="26" fillId="0" borderId="0" xfId="4" applyNumberFormat="1" applyFont="1" applyFill="1" applyBorder="1" applyAlignment="1"/>
    <xf numFmtId="0" fontId="18" fillId="0" borderId="0" xfId="0" applyFont="1" applyAlignment="1">
      <alignment horizontal="center"/>
    </xf>
    <xf numFmtId="0" fontId="15" fillId="0" borderId="0" xfId="4" applyNumberFormat="1" applyFill="1" applyBorder="1" applyAlignment="1">
      <alignment horizontal="center"/>
    </xf>
    <xf numFmtId="2" fontId="15" fillId="0" borderId="0" xfId="4" applyNumberForma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 vertical="center" wrapText="1"/>
    </xf>
    <xf numFmtId="166" fontId="18" fillId="0" borderId="0" xfId="0" applyNumberFormat="1" applyFont="1"/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4" applyFill="1" applyBorder="1" applyAlignment="1">
      <alignment horizontal="center"/>
    </xf>
    <xf numFmtId="0" fontId="12" fillId="14" borderId="0" xfId="0" applyFont="1" applyFill="1" applyAlignment="1">
      <alignment horizontal="center" vertical="center" wrapText="1"/>
    </xf>
    <xf numFmtId="0" fontId="29" fillId="0" borderId="0" xfId="0" applyFont="1" applyAlignment="1">
      <alignment wrapText="1"/>
    </xf>
    <xf numFmtId="0" fontId="30" fillId="0" borderId="0" xfId="0" applyFont="1" applyAlignment="1">
      <alignment horizontal="center" wrapText="1"/>
    </xf>
    <xf numFmtId="0" fontId="11" fillId="0" borderId="0" xfId="0" quotePrefix="1" applyFont="1" applyAlignment="1">
      <alignment wrapText="1"/>
    </xf>
    <xf numFmtId="0" fontId="31" fillId="0" borderId="0" xfId="0" quotePrefix="1" applyFont="1" applyAlignment="1">
      <alignment wrapText="1"/>
    </xf>
    <xf numFmtId="0" fontId="11" fillId="0" borderId="0" xfId="0" quotePrefix="1" applyFont="1" applyAlignment="1">
      <alignment horizontal="center" wrapText="1"/>
    </xf>
    <xf numFmtId="0" fontId="12" fillId="15" borderId="9" xfId="0" applyFont="1" applyFill="1" applyBorder="1" applyAlignment="1">
      <alignment horizontal="center" vertical="center" textRotation="90" wrapText="1"/>
    </xf>
    <xf numFmtId="0" fontId="12" fillId="14" borderId="12" xfId="0" applyFont="1" applyFill="1" applyBorder="1" applyAlignment="1">
      <alignment horizontal="center" vertical="center" textRotation="90" wrapText="1"/>
    </xf>
    <xf numFmtId="0" fontId="12" fillId="0" borderId="12" xfId="0" applyFont="1" applyBorder="1" applyAlignment="1">
      <alignment horizontal="center" vertical="center" wrapText="1"/>
    </xf>
    <xf numFmtId="167" fontId="11" fillId="0" borderId="0" xfId="0" quotePrefix="1" applyNumberFormat="1" applyFont="1" applyAlignment="1">
      <alignment horizontal="center" wrapText="1"/>
    </xf>
    <xf numFmtId="164" fontId="11" fillId="0" borderId="0" xfId="0" applyNumberFormat="1" applyFont="1" applyAlignment="1">
      <alignment horizontal="center"/>
    </xf>
    <xf numFmtId="0" fontId="18" fillId="0" borderId="5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11" fillId="0" borderId="0" xfId="0" applyFont="1" applyAlignment="1">
      <alignment horizontal="right"/>
    </xf>
    <xf numFmtId="0" fontId="11" fillId="16" borderId="0" xfId="0" applyFont="1" applyFill="1"/>
    <xf numFmtId="0" fontId="11" fillId="16" borderId="0" xfId="0" applyFont="1" applyFill="1" applyAlignment="1">
      <alignment wrapText="1"/>
    </xf>
    <xf numFmtId="0" fontId="11" fillId="8" borderId="0" xfId="0" applyFont="1" applyFill="1"/>
    <xf numFmtId="164" fontId="23" fillId="0" borderId="0" xfId="8" applyNumberFormat="1" applyAlignment="1">
      <alignment horizontal="left"/>
    </xf>
    <xf numFmtId="164" fontId="11" fillId="0" borderId="0" xfId="8" applyNumberFormat="1" applyFont="1" applyFill="1" applyAlignment="1">
      <alignment horizontal="left"/>
    </xf>
    <xf numFmtId="164" fontId="23" fillId="0" borderId="0" xfId="8" applyNumberFormat="1" applyFill="1" applyAlignment="1">
      <alignment horizontal="left"/>
    </xf>
    <xf numFmtId="0" fontId="11" fillId="0" borderId="0" xfId="4" applyFont="1" applyFill="1" applyBorder="1" applyAlignment="1"/>
    <xf numFmtId="0" fontId="26" fillId="0" borderId="0" xfId="4" applyFont="1" applyFill="1" applyBorder="1" applyAlignment="1"/>
    <xf numFmtId="0" fontId="15" fillId="0" borderId="0" xfId="4" applyFill="1" applyBorder="1" applyAlignment="1"/>
    <xf numFmtId="0" fontId="18" fillId="0" borderId="0" xfId="4" applyFont="1" applyFill="1" applyBorder="1" applyAlignment="1">
      <alignment horizontal="center" vertical="center"/>
    </xf>
    <xf numFmtId="0" fontId="14" fillId="8" borderId="0" xfId="0" applyFont="1" applyFill="1"/>
    <xf numFmtId="0" fontId="11" fillId="18" borderId="10" xfId="0" applyFont="1" applyFill="1" applyBorder="1" applyAlignment="1">
      <alignment horizontal="center" wrapText="1"/>
    </xf>
    <xf numFmtId="0" fontId="11" fillId="12" borderId="0" xfId="0" applyFont="1" applyFill="1" applyAlignment="1">
      <alignment horizontal="center" wrapText="1"/>
    </xf>
    <xf numFmtId="0" fontId="11" fillId="17" borderId="0" xfId="0" applyFont="1" applyFill="1" applyAlignment="1">
      <alignment horizontal="center" wrapText="1"/>
    </xf>
    <xf numFmtId="0" fontId="34" fillId="0" borderId="0" xfId="4" applyNumberFormat="1" applyFont="1" applyFill="1" applyBorder="1" applyAlignment="1">
      <alignment horizontal="center"/>
    </xf>
    <xf numFmtId="0" fontId="28" fillId="19" borderId="0" xfId="0" applyFont="1" applyFill="1"/>
    <xf numFmtId="0" fontId="28" fillId="19" borderId="0" xfId="0" applyFont="1" applyFill="1" applyAlignment="1">
      <alignment horizontal="center" vertical="center" wrapText="1"/>
    </xf>
    <xf numFmtId="0" fontId="18" fillId="19" borderId="0" xfId="0" applyFont="1" applyFill="1" applyAlignment="1">
      <alignment horizontal="center"/>
    </xf>
    <xf numFmtId="166" fontId="18" fillId="19" borderId="0" xfId="0" applyNumberFormat="1" applyFont="1" applyFill="1"/>
    <xf numFmtId="0" fontId="18" fillId="19" borderId="0" xfId="4" applyNumberFormat="1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 vertical="center" wrapText="1"/>
    </xf>
    <xf numFmtId="0" fontId="18" fillId="19" borderId="0" xfId="0" applyFont="1" applyFill="1" applyAlignment="1">
      <alignment horizontal="center" vertical="center"/>
    </xf>
    <xf numFmtId="0" fontId="15" fillId="19" borderId="0" xfId="4" applyNumberFormat="1" applyFill="1" applyBorder="1" applyAlignment="1">
      <alignment horizontal="center"/>
    </xf>
    <xf numFmtId="2" fontId="15" fillId="19" borderId="0" xfId="4" applyNumberFormat="1" applyFill="1" applyBorder="1" applyAlignment="1">
      <alignment horizontal="center"/>
    </xf>
    <xf numFmtId="0" fontId="15" fillId="19" borderId="0" xfId="4" applyNumberFormat="1" applyFill="1" applyBorder="1" applyAlignment="1"/>
    <xf numFmtId="0" fontId="26" fillId="19" borderId="0" xfId="4" applyNumberFormat="1" applyFont="1" applyFill="1" applyBorder="1" applyAlignment="1"/>
    <xf numFmtId="0" fontId="11" fillId="19" borderId="0" xfId="4" applyNumberFormat="1" applyFont="1" applyFill="1" applyBorder="1" applyAlignment="1"/>
    <xf numFmtId="0" fontId="11" fillId="19" borderId="0" xfId="0" applyFont="1" applyFill="1"/>
    <xf numFmtId="0" fontId="0" fillId="19" borderId="0" xfId="0" applyFill="1"/>
    <xf numFmtId="0" fontId="11" fillId="20" borderId="0" xfId="0" applyFont="1" applyFill="1" applyAlignment="1">
      <alignment horizontal="center"/>
    </xf>
    <xf numFmtId="0" fontId="11" fillId="21" borderId="0" xfId="0" applyFont="1" applyFill="1"/>
    <xf numFmtId="0" fontId="0" fillId="21" borderId="0" xfId="0" applyFill="1"/>
    <xf numFmtId="0" fontId="0" fillId="22" borderId="0" xfId="0" applyFill="1"/>
    <xf numFmtId="0" fontId="14" fillId="0" borderId="0" xfId="0" applyFont="1" applyAlignment="1">
      <alignment horizontal="center" vertical="center" wrapText="1"/>
    </xf>
    <xf numFmtId="0" fontId="11" fillId="0" borderId="10" xfId="0" applyFont="1" applyBorder="1" applyAlignment="1">
      <alignment horizontal="center" wrapText="1"/>
    </xf>
    <xf numFmtId="0" fontId="12" fillId="0" borderId="0" xfId="0" applyFont="1" applyAlignment="1">
      <alignment horizontal="center" vertical="center" textRotation="90" wrapText="1"/>
    </xf>
    <xf numFmtId="0" fontId="11" fillId="7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11" fillId="8" borderId="0" xfId="0" applyFont="1" applyFill="1" applyAlignment="1">
      <alignment horizontal="center" wrapText="1"/>
    </xf>
    <xf numFmtId="0" fontId="21" fillId="0" borderId="19" xfId="0" applyFont="1" applyBorder="1" applyAlignment="1">
      <alignment horizontal="center" vertical="center" textRotation="90"/>
    </xf>
    <xf numFmtId="0" fontId="21" fillId="0" borderId="20" xfId="0" applyFont="1" applyBorder="1" applyAlignment="1">
      <alignment horizontal="center" vertical="center" textRotation="90"/>
    </xf>
    <xf numFmtId="0" fontId="15" fillId="19" borderId="0" xfId="4" applyFill="1" applyBorder="1" applyAlignment="1">
      <alignment horizontal="center"/>
    </xf>
    <xf numFmtId="0" fontId="18" fillId="19" borderId="0" xfId="4" applyFont="1" applyFill="1" applyBorder="1" applyAlignment="1">
      <alignment horizontal="center" vertical="center"/>
    </xf>
    <xf numFmtId="0" fontId="15" fillId="19" borderId="0" xfId="4" applyFill="1" applyBorder="1" applyAlignment="1"/>
    <xf numFmtId="0" fontId="11" fillId="19" borderId="0" xfId="0" applyFont="1" applyFill="1" applyAlignment="1">
      <alignment wrapText="1"/>
    </xf>
    <xf numFmtId="0" fontId="32" fillId="0" borderId="5" xfId="0" applyFont="1" applyBorder="1" applyAlignment="1">
      <alignment horizontal="center" vertical="center" wrapText="1"/>
    </xf>
    <xf numFmtId="0" fontId="11" fillId="23" borderId="0" xfId="0" applyFont="1" applyFill="1" applyAlignment="1">
      <alignment wrapText="1"/>
    </xf>
    <xf numFmtId="0" fontId="18" fillId="24" borderId="0" xfId="0" applyFont="1" applyFill="1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/>
    </xf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14" fillId="0" borderId="0" xfId="0" applyNumberFormat="1" applyFont="1" applyAlignment="1">
      <alignment horizontal="left"/>
    </xf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4" fontId="11" fillId="0" borderId="0" xfId="0" applyNumberFormat="1" applyFont="1" applyAlignment="1">
      <alignment horizontal="left" wrapText="1"/>
    </xf>
    <xf numFmtId="164" fontId="16" fillId="0" borderId="0" xfId="8" applyNumberFormat="1" applyFont="1" applyFill="1" applyAlignment="1">
      <alignment horizontal="left"/>
    </xf>
    <xf numFmtId="0" fontId="14" fillId="0" borderId="17" xfId="0" applyFont="1" applyBorder="1"/>
    <xf numFmtId="0" fontId="11" fillId="20" borderId="0" xfId="0" applyFont="1" applyFill="1" applyAlignment="1">
      <alignment wrapText="1"/>
    </xf>
    <xf numFmtId="164" fontId="11" fillId="0" borderId="0" xfId="0" quotePrefix="1" applyNumberFormat="1" applyFont="1" applyAlignment="1">
      <alignment horizontal="left"/>
    </xf>
    <xf numFmtId="0" fontId="5" fillId="0" borderId="5" xfId="0" applyFont="1" applyBorder="1"/>
    <xf numFmtId="0" fontId="17" fillId="0" borderId="17" xfId="0" applyFont="1" applyBorder="1" applyAlignment="1">
      <alignment wrapText="1"/>
    </xf>
    <xf numFmtId="0" fontId="16" fillId="0" borderId="0" xfId="8" applyFont="1" applyFill="1" applyAlignment="1">
      <alignment horizontal="left" wrapText="1"/>
    </xf>
    <xf numFmtId="0" fontId="11" fillId="0" borderId="17" xfId="0" applyFont="1" applyBorder="1"/>
    <xf numFmtId="0" fontId="10" fillId="0" borderId="0" xfId="8" applyFont="1" applyFill="1" applyAlignment="1">
      <alignment horizontal="left" wrapText="1"/>
    </xf>
    <xf numFmtId="164" fontId="10" fillId="0" borderId="0" xfId="8" applyNumberFormat="1" applyFont="1" applyFill="1" applyAlignment="1"/>
    <xf numFmtId="164" fontId="18" fillId="0" borderId="0" xfId="0" applyNumberFormat="1" applyFont="1" applyAlignment="1">
      <alignment horizontal="left"/>
    </xf>
    <xf numFmtId="164" fontId="14" fillId="0" borderId="0" xfId="0" applyNumberFormat="1" applyFont="1"/>
    <xf numFmtId="0" fontId="14" fillId="0" borderId="0" xfId="0" applyFont="1" applyAlignment="1">
      <alignment horizontal="right"/>
    </xf>
    <xf numFmtId="0" fontId="11" fillId="12" borderId="0" xfId="0" applyFont="1" applyFill="1"/>
    <xf numFmtId="0" fontId="1" fillId="2" borderId="13" xfId="2" applyFont="1" applyBorder="1" applyAlignment="1">
      <alignment horizontal="centerContinuous" vertical="center" wrapText="1"/>
    </xf>
    <xf numFmtId="0" fontId="1" fillId="2" borderId="5" xfId="2" applyFont="1" applyBorder="1" applyAlignment="1">
      <alignment horizontal="center" wrapText="1"/>
    </xf>
    <xf numFmtId="0" fontId="1" fillId="2" borderId="5" xfId="2" applyFont="1" applyBorder="1" applyAlignment="1">
      <alignment horizontal="center" vertical="center" wrapText="1"/>
    </xf>
    <xf numFmtId="20" fontId="1" fillId="2" borderId="5" xfId="2" applyNumberFormat="1" applyFont="1" applyBorder="1" applyAlignment="1">
      <alignment horizontal="center" wrapText="1"/>
    </xf>
    <xf numFmtId="20" fontId="1" fillId="2" borderId="6" xfId="2" applyNumberFormat="1" applyFont="1" applyBorder="1" applyAlignment="1">
      <alignment horizontal="center" wrapText="1"/>
    </xf>
    <xf numFmtId="0" fontId="1" fillId="2" borderId="5" xfId="2" applyFont="1" applyBorder="1" applyAlignment="1">
      <alignment horizontal="left" wrapText="1"/>
    </xf>
    <xf numFmtId="166" fontId="18" fillId="7" borderId="0" xfId="0" applyNumberFormat="1" applyFont="1" applyFill="1"/>
    <xf numFmtId="0" fontId="18" fillId="7" borderId="0" xfId="0" applyFont="1" applyFill="1" applyAlignment="1">
      <alignment horizontal="center"/>
    </xf>
    <xf numFmtId="0" fontId="18" fillId="7" borderId="0" xfId="0" applyFont="1" applyFill="1" applyAlignment="1">
      <alignment horizontal="center" vertical="center"/>
    </xf>
    <xf numFmtId="0" fontId="18" fillId="12" borderId="0" xfId="4" applyNumberFormat="1" applyFont="1" applyFill="1" applyBorder="1" applyAlignment="1">
      <alignment horizontal="center" vertical="center"/>
    </xf>
    <xf numFmtId="0" fontId="33" fillId="19" borderId="0" xfId="0" applyFont="1" applyFill="1" applyAlignment="1">
      <alignment horizontal="center" vertical="center" wrapText="1"/>
    </xf>
    <xf numFmtId="0" fontId="11" fillId="19" borderId="0" xfId="4" applyFont="1" applyFill="1" applyBorder="1" applyAlignment="1"/>
    <xf numFmtId="0" fontId="18" fillId="12" borderId="0" xfId="0" applyFont="1" applyFill="1" applyAlignment="1">
      <alignment horizontal="center"/>
    </xf>
    <xf numFmtId="0" fontId="5" fillId="19" borderId="0" xfId="4" applyNumberFormat="1" applyFont="1" applyFill="1" applyBorder="1" applyAlignment="1"/>
    <xf numFmtId="0" fontId="37" fillId="19" borderId="0" xfId="0" applyFont="1" applyFill="1"/>
    <xf numFmtId="0" fontId="18" fillId="25" borderId="0" xfId="0" applyFont="1" applyFill="1" applyAlignment="1">
      <alignment horizontal="center"/>
    </xf>
    <xf numFmtId="0" fontId="18" fillId="16" borderId="0" xfId="0" applyFont="1" applyFill="1" applyAlignment="1">
      <alignment wrapText="1"/>
    </xf>
    <xf numFmtId="0" fontId="38" fillId="5" borderId="0" xfId="0" applyFont="1" applyFill="1" applyAlignment="1">
      <alignment wrapText="1"/>
    </xf>
    <xf numFmtId="0" fontId="39" fillId="23" borderId="0" xfId="0" applyFont="1" applyFill="1" applyAlignment="1">
      <alignment wrapText="1"/>
    </xf>
    <xf numFmtId="0" fontId="23" fillId="19" borderId="0" xfId="8" applyFill="1"/>
    <xf numFmtId="0" fontId="40" fillId="0" borderId="0" xfId="0" applyFont="1" applyAlignment="1">
      <alignment wrapText="1"/>
    </xf>
    <xf numFmtId="0" fontId="40" fillId="0" borderId="0" xfId="0" quotePrefix="1" applyFont="1" applyAlignment="1">
      <alignment horizontal="center" wrapText="1"/>
    </xf>
    <xf numFmtId="164" fontId="5" fillId="0" borderId="0" xfId="0" applyNumberFormat="1" applyFont="1"/>
    <xf numFmtId="0" fontId="35" fillId="0" borderId="0" xfId="0" applyFont="1" applyAlignment="1">
      <alignment wrapText="1"/>
    </xf>
    <xf numFmtId="0" fontId="35" fillId="0" borderId="0" xfId="0" applyFont="1"/>
    <xf numFmtId="0" fontId="36" fillId="0" borderId="0" xfId="0" applyFont="1"/>
    <xf numFmtId="165" fontId="11" fillId="20" borderId="0" xfId="0" applyNumberFormat="1" applyFont="1" applyFill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49" fontId="11" fillId="0" borderId="0" xfId="0" applyNumberFormat="1" applyFont="1" applyAlignment="1">
      <alignment horizontal="center"/>
    </xf>
    <xf numFmtId="0" fontId="6" fillId="0" borderId="6" xfId="1" applyFill="1" applyBorder="1" applyAlignment="1">
      <alignment horizontal="left" vertical="center" wrapText="1"/>
    </xf>
    <xf numFmtId="0" fontId="6" fillId="0" borderId="7" xfId="1" applyFill="1" applyBorder="1" applyAlignment="1">
      <alignment horizontal="left" vertical="center" wrapText="1"/>
    </xf>
    <xf numFmtId="0" fontId="1" fillId="2" borderId="6" xfId="2" applyFont="1" applyBorder="1" applyAlignment="1">
      <alignment horizontal="left" wrapText="1"/>
    </xf>
    <xf numFmtId="0" fontId="1" fillId="2" borderId="16" xfId="2" applyFont="1" applyBorder="1" applyAlignment="1">
      <alignment horizontal="left" wrapText="1"/>
    </xf>
    <xf numFmtId="0" fontId="1" fillId="2" borderId="7" xfId="2" applyFont="1" applyBorder="1" applyAlignment="1">
      <alignment horizontal="left" wrapText="1"/>
    </xf>
    <xf numFmtId="0" fontId="1" fillId="2" borderId="1" xfId="2" applyFont="1" applyBorder="1" applyAlignment="1">
      <alignment horizontal="center" vertical="center" wrapText="1"/>
    </xf>
    <xf numFmtId="0" fontId="1" fillId="2" borderId="2" xfId="2" applyFont="1" applyBorder="1" applyAlignment="1">
      <alignment wrapText="1"/>
    </xf>
    <xf numFmtId="0" fontId="11" fillId="0" borderId="0" xfId="0" applyFont="1" applyAlignment="1">
      <alignment horizontal="center" wrapText="1"/>
    </xf>
    <xf numFmtId="0" fontId="31" fillId="0" borderId="0" xfId="0" applyFont="1" applyAlignment="1">
      <alignment horizontal="center" wrapText="1"/>
    </xf>
  </cellXfs>
  <cellStyles count="10">
    <cellStyle name="20% - Énfasis1" xfId="2" builtinId="30"/>
    <cellStyle name="20% - Énfasis1 2" xfId="6" xr:uid="{8E600CA2-C908-44D4-A081-4E1D9A6E9C0A}"/>
    <cellStyle name="Cálculo" xfId="4" builtinId="22" customBuiltin="1"/>
    <cellStyle name="Hipervínculo" xfId="8" builtinId="8"/>
    <cellStyle name="Normal" xfId="0" builtinId="0"/>
    <cellStyle name="Normal 2" xfId="3" xr:uid="{F511A375-05E4-4C7A-A320-CAE040443608}"/>
    <cellStyle name="Normal 2 2" xfId="7" xr:uid="{770A5B4F-2ACD-4E52-82F4-67BE1F065976}"/>
    <cellStyle name="Porcentaje" xfId="9" builtinId="5"/>
    <cellStyle name="Título 2" xfId="1" builtinId="17"/>
    <cellStyle name="Título 3" xfId="5" builtinId="18"/>
  </cellStyles>
  <dxfs count="899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top style="thin">
          <color theme="6" tint="0.39997558519241921"/>
        </top>
      </border>
    </dxf>
    <dxf>
      <border outline="0"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numFmt numFmtId="165" formatCode="0000000"/>
      <alignment horizontal="center" vertical="bottom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wrapText="0" indent="0" justifyLastLine="0" shrinkToFit="0" readingOrder="0"/>
    </dxf>
    <dxf>
      <border outline="0"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auto="1"/>
      </font>
      <fill>
        <patternFill>
          <fgColor rgb="FFFF8989"/>
          <bgColor theme="5" tint="0.79998168889431442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CC99FF"/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152400</xdr:rowOff>
        </xdr:from>
        <xdr:to>
          <xdr:col>7</xdr:col>
          <xdr:colOff>1828800</xdr:colOff>
          <xdr:row>1</xdr:row>
          <xdr:rowOff>215900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152400</xdr:rowOff>
        </xdr:from>
        <xdr:to>
          <xdr:col>9</xdr:col>
          <xdr:colOff>1828800</xdr:colOff>
          <xdr:row>1</xdr:row>
          <xdr:rowOff>215900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482600</xdr:colOff>
          <xdr:row>0</xdr:row>
          <xdr:rowOff>152400</xdr:rowOff>
        </xdr:from>
        <xdr:to>
          <xdr:col>9</xdr:col>
          <xdr:colOff>1828800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26</xdr:row>
      <xdr:rowOff>0</xdr:rowOff>
    </xdr:from>
    <xdr:to>
      <xdr:col>16</xdr:col>
      <xdr:colOff>96544</xdr:colOff>
      <xdr:row>33</xdr:row>
      <xdr:rowOff>105230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" y="4467225"/>
          <a:ext cx="9269119" cy="32580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ia Teresa Orvananos Guerrero" id="{E5CC3CD7-7907-46C7-AB9C-682D23A3D049}" userId="Maria Teresa Orvananos Guerrero" providerId="None"/>
  <person displayName="Begona Noriega Olalde" id="{D2D8617A-7471-4D00-8015-FCE83F00881A}" userId="S::bnoriegao@up.edu.mx::72c30395-ceab-46b0-a09e-b79c44ef28de" providerId="AD"/>
  <person displayName="Laura Patricia Renteria Solis" id="{8079AA11-23E2-46B7-BACF-4A32A5F4AD6A}" userId="S::lrenteria@up.edu.mx::3ac73998-666c-4404-bc35-90ca7806c930" providerId="AD"/>
  <person displayName="Maria Teresa Orvananos Guerrero" id="{0847A110-ED84-4561-8C0D-7FFD1572BD95}" userId="S::torvananos@up.edu.mx::80f579f1-db65-4029-bd37-cce72e3bba2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se_de_datos" displayName="base_de_datos" ref="B2:AX332" totalsRowShown="0" headerRowDxfId="8989" dataDxfId="8987" totalsRowDxfId="8985" headerRowBorderDxfId="8988" tableBorderDxfId="8986">
  <autoFilter ref="B2:AX332" xr:uid="{00000000-000C-0000-FFFF-FFFF00000000}"/>
  <tableColumns count="49">
    <tableColumn id="1" xr3:uid="{00000000-0010-0000-0000-000001000000}" name="Profesor" dataDxfId="8984" totalsRowDxfId="8983"/>
    <tableColumn id="2" xr3:uid="{00000000-0010-0000-0000-000002000000}" name="Materia" dataDxfId="8982" totalsRowDxfId="8981"/>
    <tableColumn id="20" xr3:uid="{00000000-0010-0000-0000-000014000000}" name="Número de grupo " dataDxfId="8980" totalsRowDxfId="8979"/>
    <tableColumn id="3" xr3:uid="{00000000-0010-0000-0000-000003000000}" name="Hora inicio" dataDxfId="8978" totalsRowDxfId="8977"/>
    <tableColumn id="4" xr3:uid="{00000000-0010-0000-0000-000004000000}" name="Hora fin" dataDxfId="8976" totalsRowDxfId="8975"/>
    <tableColumn id="7" xr3:uid="{00000000-0010-0000-0000-000007000000}" name="Se paga" dataDxfId="8974" totalsRowDxfId="8973"/>
    <tableColumn id="21" xr3:uid="{00000000-0010-0000-0000-000015000000}" name="Aula" dataDxfId="8972" totalsRowDxfId="8971"/>
    <tableColumn id="49" xr3:uid="{4F92F078-2BDF-4F7E-A214-9809087AB1C6}" name="Capacidad" dataDxfId="8970" totalsRowDxfId="8969">
      <calculatedColumnFormula>INDEX(Aulas_capacidad,MATCH(base_de_datos[[#This Row],[Aula]],Aulas,0),2)</calculatedColumnFormula>
    </tableColumn>
    <tableColumn id="31" xr3:uid="{450FC873-2698-4198-969C-3589A2457771}" name="Inscritos" dataDxfId="8968" totalsRowDxfId="8967"/>
    <tableColumn id="47" xr3:uid="{679BB7F3-9C04-4367-A697-497A007F6B2A}" name="Cap 1.5" dataDxfId="8966" totalsRowDxfId="8965">
      <calculatedColumnFormula>INDEX(Aulas_capacidad,MATCH(base_de_datos[[#This Row],[Aula]],Aulas,0),4)</calculatedColumnFormula>
    </tableColumn>
    <tableColumn id="6" xr3:uid="{0AE47002-7715-418E-BE5D-C2F99303B594}" name="Diferencia 1.5" dataDxfId="8964" totalsRowDxfId="8963">
      <calculatedColumnFormula>base_de_datos[[#This Row],[Cap 1.5]]-base_de_datos[[#This Row],[Inscritos]]</calculatedColumnFormula>
    </tableColumn>
    <tableColumn id="46" xr3:uid="{72968632-C368-40EB-843E-0B865FEDF061}" name="Cap .90" dataDxfId="8962" totalsRowDxfId="8961">
      <calculatedColumnFormula>INDEX(Aulas_capacidad,MATCH(base_de_datos[[#This Row],[Aula]],Aulas,0),5)</calculatedColumnFormula>
    </tableColumn>
    <tableColumn id="45" xr3:uid="{1B92A662-284F-4CAE-B959-A6280274E2EF}" name="Diferencia .90" dataDxfId="8960" totalsRowDxfId="8959">
      <calculatedColumnFormula>base_de_datos[[#This Row],[Cap .90]]-base_de_datos[[#This Row],[Inscritos]]</calculatedColumnFormula>
    </tableColumn>
    <tableColumn id="22" xr3:uid="{00000000-0010-0000-0000-000016000000}" name="No clase" dataDxfId="8958" totalsRowDxfId="8957"/>
    <tableColumn id="8" xr3:uid="{00000000-0010-0000-0000-000008000000}" name="Lunes" dataDxfId="8956" totalsRowDxfId="8955"/>
    <tableColumn id="9" xr3:uid="{00000000-0010-0000-0000-000009000000}" name="Martes" dataDxfId="8954" totalsRowDxfId="8953"/>
    <tableColumn id="10" xr3:uid="{00000000-0010-0000-0000-00000A000000}" name="Miércoles" dataDxfId="8952" totalsRowDxfId="8951"/>
    <tableColumn id="11" xr3:uid="{00000000-0010-0000-0000-00000B000000}" name="Jueves" dataDxfId="8950" totalsRowDxfId="8949"/>
    <tableColumn id="12" xr3:uid="{00000000-0010-0000-0000-00000C000000}" name="Viernes" dataDxfId="8948" totalsRowDxfId="8947"/>
    <tableColumn id="32" xr3:uid="{1A282C38-A7C2-4B62-884A-36F74F5D4452}" name="Sábado" dataDxfId="8946" totalsRowDxfId="8945"/>
    <tableColumn id="28" xr3:uid="{58ADEBED-DF4D-4CD5-AF32-AE5E8CAD41E2}" name="Inglés" dataDxfId="8944" totalsRowDxfId="8943"/>
    <tableColumn id="34" xr3:uid="{E6E2F771-32C0-452F-95BE-80D990BBF384}" name="Examen" dataDxfId="8942" totalsRowDxfId="8941"/>
    <tableColumn id="27" xr3:uid="{00000000-0010-0000-0000-00001B000000}" name="HT Plan" dataDxfId="8940" totalsRowDxfId="8939">
      <calculatedColumnFormula>_xlfn.XLOOKUP(base_de_datos[[#This Row],[Materia]],Materias,Horas)/16</calculatedColumnFormula>
    </tableColumn>
    <tableColumn id="5" xr3:uid="{00000000-0010-0000-0000-000005000000}" name="Horas" dataDxfId="8938" totalsRowDxfId="8937">
      <calculatedColumnFormula>ROUND(((base_de_datos[[#This Row],[Hora fin]]-base_de_datos[[#This Row],[Hora inicio]])*24)*(COUNTA(base_de_datos[[#This Row],[Lunes]:[Sábado]])),1)</calculatedColumnFormula>
    </tableColumn>
    <tableColumn id="35" xr3:uid="{79049B1A-FD42-4CDC-9279-B12A65C342CA}" name="Horas totales" dataDxfId="8936" totalsRowDxfId="8935">
      <calculatedColumnFormula>IF(base_de_datos[[#This Row],[Misma o no]]=0,"N/A",IF((OFFSET(base_de_datos[[#This Row],[Misma o no]],1,0))=0,base_de_datos[[#This Row],[Horas]]+(OFFSET(base_de_datos[[#This Row],[Horas]],1,0)),base_de_datos[[#This Row],[Horas]]))</calculatedColumnFormula>
    </tableColumn>
    <tableColumn id="33" xr3:uid="{CDFB2D4D-F9E1-4826-9207-288E46924B7C}" name="Misma o no" dataDxfId="8934" totalsRowDxfId="8933">
      <calculatedColumnFormula>IF(base_de_datos[[#This Row],[No clase]]=OFFSET(base_de_datos[[#This Row],[No clase]],-1,0),0,1)</calculatedColumnFormula>
    </tableColumn>
    <tableColumn id="36" xr3:uid="{88BD8E82-967D-405B-93F9-4E7E8995EAA9}" name="Error en horas" dataDxfId="8932" totalsRowDxfId="8931">
      <calculatedColumnFormula>IF(NOT(OR(base_de_datos[[#This Row],[Horas totales]]=base_de_datos[[#This Row],[HT Plan]],base_de_datos[[#This Row],[Horas totales]]="N/A")),1,0)</calculatedColumnFormula>
    </tableColumn>
    <tableColumn id="23" xr3:uid="{00000000-0010-0000-0000-000017000000}" name="Grado de profesor" dataDxfId="8930" totalsRowDxfId="8929">
      <calculatedColumnFormula>_xlfn.XLOOKUP(base_de_datos[[#This Row],[Profesor]],Nombre,Grado)</calculatedColumnFormula>
    </tableColumn>
    <tableColumn id="24" xr3:uid="{00000000-0010-0000-0000-000018000000}" name="Tipo" dataDxfId="8928" totalsRowDxfId="8927">
      <calculatedColumnFormula>_xlfn.XLOOKUP(base_de_datos[[#This Row],[Profesor]],Nombre,Tipo)</calculatedColumnFormula>
    </tableColumn>
    <tableColumn id="13" xr3:uid="{00000000-0010-0000-0000-00000D000000}" name="Industrial" dataDxfId="8926" totalsRowDxfId="8925">
      <calculatedColumnFormula>IF(IFERROR(VLOOKUP($C3,Planes_de_estudio[],MATCH($AE$2,Carreras,0)+2,0),"")&gt;0,IFERROR(VLOOKUP($C3,Planes_de_estudio[],MATCH($AE$2,Carreras,0)+2,0),""),"")</calculatedColumnFormula>
    </tableColumn>
    <tableColumn id="14" xr3:uid="{00000000-0010-0000-0000-00000E000000}" name="Mecatrónica" dataDxfId="8924" totalsRowDxfId="8923">
      <calculatedColumnFormula>IF(IFERROR(VLOOKUP($C3,Planes_de_estudio[],MATCH($AF$2,Carreras,0)+2,0),"")&gt;0,IFERROR(VLOOKUP($C3,Planes_de_estudio[],MATCH($AF$2,Carreras,0)+2,0),""),"")</calculatedColumnFormula>
    </tableColumn>
    <tableColumn id="15" xr3:uid="{00000000-0010-0000-0000-00000F000000}" name="Innovación y Diseño" dataDxfId="8922" totalsRowDxfId="8921">
      <calculatedColumnFormula>IF(IFERROR(VLOOKUP($C3,Planes_de_estudio[],MATCH($AG$2,Carreras,0)+2,0),"")&gt;0,IFERROR(VLOOKUP($C3,Planes_de_estudio[],MATCH($AG$2,Carreras,0)+2,0),""),"")</calculatedColumnFormula>
    </tableColumn>
    <tableColumn id="16" xr3:uid="{00000000-0010-0000-0000-000010000000}" name="Inteligencia Artificial" dataDxfId="8920" totalsRowDxfId="8919">
      <calculatedColumnFormula>IF(IFERROR(VLOOKUP($C3,Planes_de_estudio[],MATCH($AH$2,Carreras,0)+2,0),"")&gt;0,IFERROR(VLOOKUP($C3,Planes_de_estudio[],MATCH($AH$2,Carreras,0)+2,0),""),"")</calculatedColumnFormula>
    </tableColumn>
    <tableColumn id="17" xr3:uid="{00000000-0010-0000-0000-000011000000}" name="Tecnologías Energéticas" dataDxfId="8918" totalsRowDxfId="8917">
      <calculatedColumnFormula>IF(IFERROR(VLOOKUP($C3,Planes_de_estudio[],MATCH($AI$2,Carreras,0)+2,0),"")&gt;0,IFERROR(VLOOKUP($C3,Planes_de_estudio[],MATCH($AI$2,Carreras,0)+2,0),""),"")</calculatedColumnFormula>
    </tableColumn>
    <tableColumn id="18" xr3:uid="{00000000-0010-0000-0000-000012000000}" name="Civil y Administración" dataDxfId="8916" totalsRowDxfId="8915">
      <calculatedColumnFormula>IF(IFERROR(VLOOKUP($C3,Planes_de_estudio[],MATCH($AJ$2,Carreras,0)+2,0),"")&gt;0,IFERROR(VLOOKUP($C3,Planes_de_estudio[],MATCH($AJ$2,Carreras,0)+2,0),""),"")</calculatedColumnFormula>
    </tableColumn>
    <tableColumn id="19" xr3:uid="{00000000-0010-0000-0000-000013000000}" name="Bioelectrónica" dataDxfId="8914" totalsRowDxfId="8913">
      <calculatedColumnFormula>IF(IFERROR(VLOOKUP($C3,Planes_de_estudio[],MATCH($AK$2,Carreras,0)+2,0),"")&gt;0,IFERROR(VLOOKUP($C3,Planes_de_estudio[],MATCH($AK$2,Carreras,0)+2,0),""),"")</calculatedColumnFormula>
    </tableColumn>
    <tableColumn id="37" xr3:uid="{143545DA-7A67-4F33-A418-CD0EAAC9ECCA}" name="Índice" dataDxfId="8912" totalsRowDxfId="8911">
      <calculatedColumnFormula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calculatedColumnFormula>
    </tableColumn>
    <tableColumn id="29" xr3:uid="{74048100-2592-487E-9840-38073E1E7F1B}" name="Pronóstico" dataDxfId="8910" totalsRowDxfId="8909">
      <calculatedColumnFormula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calculatedColumnFormula>
    </tableColumn>
    <tableColumn id="30" xr3:uid="{A9AA1B51-4B55-4B75-91D3-AC99D7C6E890}" name="Grupos 25" dataDxfId="8908" totalsRowDxfId="8907">
      <calculatedColumnFormula>base_de_datos[[#This Row],[Pronóstico]]/25</calculatedColumnFormula>
    </tableColumn>
    <tableColumn id="25" xr3:uid="{00000000-0010-0000-0000-000019000000}" name="Academia" dataDxfId="8906" totalsRowDxfId="8905">
      <calculatedColumnFormula>VLOOKUP($C3,Planes_de_estudio[],2)</calculatedColumnFormula>
    </tableColumn>
    <tableColumn id="38" xr3:uid="{62386185-C4B9-40C1-835D-493146A56411}" name="ICA II" dataDxfId="8904" totalsRowDxfId="8903">
      <calculatedColumnFormula>IF(AND(base_de_datos[[#This Row],[Industrial]]&lt;&gt;"",base_de_datos[[#This Row],[Misma o no]]=1),base_de_datos[[#This Row],[Índice]],"")</calculatedColumnFormula>
    </tableColumn>
    <tableColumn id="39" xr3:uid="{510EBA44-6BC7-446E-BAC9-631BF54FBBDB}" name="ICA IM" dataDxfId="8902" totalsRowDxfId="8901">
      <calculatedColumnFormula>IF(AND(base_de_datos[[#This Row],[Mecatrónica]]&lt;&gt;"",base_de_datos[[#This Row],[Misma o no]]=1),base_de_datos[[#This Row],[Índice]],"")</calculatedColumnFormula>
    </tableColumn>
    <tableColumn id="40" xr3:uid="{A0B4E0BE-93CB-4D7A-909D-22C0195ED580}" name="ICA IID" dataDxfId="8900" totalsRowDxfId="8899">
      <calculatedColumnFormula>IF(AND(base_de_datos[[#This Row],[Innovación y Diseño]]&lt;&gt;"",base_de_datos[[#This Row],[Misma o no]]=1),base_de_datos[[#This Row],[Índice]],"")</calculatedColumnFormula>
    </tableColumn>
    <tableColumn id="41" xr3:uid="{73AF69BB-62F6-4733-A44F-7A2BE33DB3F5}" name="ICA IIA" dataDxfId="8898" totalsRowDxfId="8897">
      <calculatedColumnFormula>IF(AND(base_de_datos[[#This Row],[Inteligencia Artificial]]&lt;&gt;"",base_de_datos[[#This Row],[Misma o no]]=1),base_de_datos[[#This Row],[Índice]],"")</calculatedColumnFormula>
    </tableColumn>
    <tableColumn id="42" xr3:uid="{B58E6916-E8AA-4939-96A1-39773EDF3A0B}" name="ICA ITE" dataDxfId="8896" totalsRowDxfId="8895">
      <calculatedColumnFormula>IF(AND(base_de_datos[[#This Row],[Tecnologías Energéticas]]&lt;&gt;"",base_de_datos[[#This Row],[Misma o no]]=1),base_de_datos[[#This Row],[Índice]],"")</calculatedColumnFormula>
    </tableColumn>
    <tableColumn id="43" xr3:uid="{D77482D1-BF27-4EF1-9FE2-843086EC2274}" name="ICA ICA" dataDxfId="8894" totalsRowDxfId="8893">
      <calculatedColumnFormula>IF(AND(base_de_datos[[#This Row],[Civil y Administración]]&lt;&gt;"",base_de_datos[[#This Row],[Misma o no]]=1),base_de_datos[[#This Row],[Índice]],"")</calculatedColumnFormula>
    </tableColumn>
    <tableColumn id="44" xr3:uid="{00DAD73C-E9CF-47EC-9C3B-90CF5C3AF5EF}" name="ICA IBE" dataDxfId="8892" totalsRowDxfId="8891">
      <calculatedColumnFormula>IF(AND(base_de_datos[[#This Row],[Bioelectrónica]]&lt;&gt;"",base_de_datos[[#This Row],[Misma o no]]=1),base_de_datos[[#This Row],[Índice]],"")</calculatedColumnFormula>
    </tableColumn>
    <tableColumn id="48" xr3:uid="{57FBB4CD-2403-4E54-B7E7-A9B7BA7F192B}" name="Liga de zoom" dataDxfId="8890" totalsRowDxfId="8889"/>
    <tableColumn id="26" xr3:uid="{1F6737E1-550C-4E7F-9393-44D3F533958E}" name="Columna1" dataDxfId="8888" totalsRowDxfId="888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fesores" displayName="Profesores" ref="B2:AJ133" totalsRowShown="0" headerRowDxfId="93" dataDxfId="92">
  <autoFilter ref="B2:AJ133" xr:uid="{933AC759-7385-47FA-9850-DE524D07DCD0}">
    <filterColumn colId="4">
      <filters>
        <filter val="Juan Pablo Becerra Calderón"/>
      </filters>
    </filterColumn>
  </autoFilter>
  <sortState xmlns:xlrd2="http://schemas.microsoft.com/office/spreadsheetml/2017/richdata2" ref="B36:AJ133">
    <sortCondition ref="F2:F133"/>
  </sortState>
  <tableColumns count="35">
    <tableColumn id="3" xr3:uid="{00000000-0010-0000-0100-000003000000}" name="Num" dataDxfId="91"/>
    <tableColumn id="1" xr3:uid="{00000000-0010-0000-0100-000001000000}" name="Grado" dataDxfId="90"/>
    <tableColumn id="7" xr3:uid="{00000000-0010-0000-0100-000007000000}" name="Tipo" dataDxfId="89"/>
    <tableColumn id="10" xr3:uid="{60425155-98F6-4E66-9824-C3B1BE597A5B}" name="ID" dataDxfId="88"/>
    <tableColumn id="4" xr3:uid="{00000000-0010-0000-0100-000004000000}" name="Nombre" dataDxfId="87"/>
    <tableColumn id="9" xr3:uid="{2183B82C-CDF2-4129-92C8-712442ECBEA5}" name="Nombres" dataDxfId="86"/>
    <tableColumn id="8" xr3:uid="{6F06E46D-A9B2-47A1-A506-90D3D1C7C04D}" name="Apellido Paterno" dataDxfId="85"/>
    <tableColumn id="6" xr3:uid="{7429D9BF-59A0-4EA1-91BA-3FF1A636636B}" name="Apellido Materno" dataDxfId="84"/>
    <tableColumn id="16" xr3:uid="{E8717561-5D28-4BCE-B82C-B0E22619B668}" name="Fecha de Nacimiento" dataDxfId="83"/>
    <tableColumn id="28" xr3:uid="{EBFE87BD-C81F-42D0-A24A-E375FDEFAA8E}" name="Clases Presenciales" dataDxfId="82"/>
    <tableColumn id="2" xr3:uid="{479C3380-4347-43EB-8265-DAF8482BE38A}" name="wa" dataDxfId="81"/>
    <tableColumn id="12" xr3:uid="{CDB9490B-6339-4050-83D7-323D461841E8}" name="Celular" dataDxfId="80"/>
    <tableColumn id="19" xr3:uid="{530A5EE8-B83C-408D-BD4C-3141A0892871}" name="Correo electrónico" dataDxfId="79"/>
    <tableColumn id="13" xr3:uid="{2118C4CD-CFD6-443B-953F-66DAE7050D3F}" name="Calle" dataDxfId="78"/>
    <tableColumn id="11" xr3:uid="{97F6B105-9965-4D02-9ED1-CD5AFAC9F657}" name="Número" dataDxfId="77"/>
    <tableColumn id="17" xr3:uid="{8C345DBE-FFCC-4BAD-A6A2-0DB1F0FD768C}" name="Fracc/Colonia" dataDxfId="76"/>
    <tableColumn id="15" xr3:uid="{08FA6858-EA4B-42E5-8F21-8CCBBFC1C27A}" name="Ciudad" dataDxfId="75"/>
    <tableColumn id="14" xr3:uid="{840CE24E-E4E2-4894-BC03-B53B42EF2B92}" name="Estado" dataDxfId="74"/>
    <tableColumn id="31" xr3:uid="{7A6447C7-C0C6-486C-94FD-18B2EBB5999A}" name="CP" dataDxfId="73"/>
    <tableColumn id="5" xr3:uid="{00000000-0010-0000-0100-000005000000}" name="Cantidad de materias" dataDxfId="72"/>
    <tableColumn id="18" xr3:uid="{750DC334-044C-420F-8780-782337D9622A}" name="MEC" dataDxfId="71">
      <calculatedColumnFormula>IF((_xlfn.XLOOKUP(Profesores[[#This Row],[Nombre]],base_de_datos[Profesor],base_de_datos[Academia],1))=Profesores[[#Headers],[MEC]],"x","")</calculatedColumnFormula>
    </tableColumn>
    <tableColumn id="20" xr3:uid="{EF1F8D9D-4D22-4EDC-944D-F5BBA3DFC2E8}" name="COM" dataDxfId="70">
      <calculatedColumnFormula>IF((_xlfn.XLOOKUP(Profesores[[#This Row],[Nombre]],base_de_datos[Profesor],base_de_datos[Academia],1))=Profesores[[#Headers],[COM]],"x","")</calculatedColumnFormula>
    </tableColumn>
    <tableColumn id="21" xr3:uid="{6C47E0B3-4566-4A9F-B07D-CD4912C55863}" name="EEC" dataDxfId="69"/>
    <tableColumn id="22" xr3:uid="{0AC0D0D7-C66B-4AE7-918F-4E40A87263B2}" name="DOP" dataDxfId="68">
      <calculatedColumnFormula>IF((_xlfn.XLOOKUP(Profesores[[#This Row],[Nombre]],base_de_datos[Profesor],base_de_datos[Academia],1))=Profesores[[#Headers],[DOP]],"x","")</calculatedColumnFormula>
    </tableColumn>
    <tableColumn id="23" xr3:uid="{4D93564C-6CD4-42D0-85F8-F6A3C54B29EA}" name="ETF" dataDxfId="67">
      <calculatedColumnFormula>IF((_xlfn.XLOOKUP(Profesores[[#This Row],[Nombre]],base_de_datos[Profesor],base_de_datos[Academia],1))=Profesores[[#Headers],[ETF]],"x","")</calculatedColumnFormula>
    </tableColumn>
    <tableColumn id="24" xr3:uid="{18996135-F10B-4B4A-A6B1-F2D740B939C6}" name="MAT" dataDxfId="66">
      <calculatedColumnFormula>IF((_xlfn.XLOOKUP(Profesores[[#This Row],[Nombre]],base_de_datos[Profesor],base_de_datos[Academia],1))=Profesores[[#Headers],[MAT]],"x","")</calculatedColumnFormula>
    </tableColumn>
    <tableColumn id="25" xr3:uid="{52972594-7803-43C8-B012-C1F284BC302B}" name="EMP" dataDxfId="65">
      <calculatedColumnFormula>IF((_xlfn.XLOOKUP(Profesores[[#This Row],[Nombre]],base_de_datos[Profesor],base_de_datos[Academia],1))=Profesores[[#Headers],[EMP]],"x","")</calculatedColumnFormula>
    </tableColumn>
    <tableColumn id="26" xr3:uid="{A8F1B241-40AF-4EB2-87F2-0505551E9D95}" name="AIC" dataDxfId="64">
      <calculatedColumnFormula>IF((_xlfn.XLOOKUP(Profesores[[#This Row],[Nombre]],base_de_datos[Profesor],base_de_datos[Academia],1))=Profesores[[#Headers],[AIC]],"x","")</calculatedColumnFormula>
    </tableColumn>
    <tableColumn id="33" xr3:uid="{E131A48F-3ED6-410D-A3D9-94BF02F772F3}" name="ESC" dataDxfId="63">
      <calculatedColumnFormula>IF((_xlfn.XLOOKUP(Profesores[[#This Row],[Nombre]],base_de_datos[Profesor],base_de_datos[Academia],1))=Profesores[[#Headers],[ESC]],"x","")</calculatedColumnFormula>
    </tableColumn>
    <tableColumn id="27" xr3:uid="{C83FE2F2-992C-4CC8-935C-CCF86C58BCF4}" name="HUM" dataDxfId="62">
      <calculatedColumnFormula>IF((_xlfn.XLOOKUP(Profesores[[#This Row],[Nombre]],base_de_datos[Profesor],base_de_datos[Academia],1))=Profesores[[#Headers],[HUM]],"x","")</calculatedColumnFormula>
    </tableColumn>
    <tableColumn id="29" xr3:uid="{A299CBE0-966C-4EBF-9537-C66585DDD92B}" name="IID" dataDxfId="61">
      <calculatedColumnFormula>IF((_xlfn.XLOOKUP(Profesores[[#This Row],[Nombre]],base_de_datos[Profesor],base_de_datos[Academia],1))=Profesores[[#Headers],[IID]],"x","")</calculatedColumnFormula>
    </tableColumn>
    <tableColumn id="30" xr3:uid="{71403E2A-9305-4B5D-B31A-5485093D9F43}" name="BIO" dataDxfId="60">
      <calculatedColumnFormula>IF((_xlfn.XLOOKUP(Profesores[[#This Row],[Nombre]],base_de_datos[Profesor],base_de_datos[Academia],1))=Profesores[[#Headers],[BIO]],"x","")</calculatedColumnFormula>
    </tableColumn>
    <tableColumn id="32" xr3:uid="{82907C4E-B402-41A6-8AAB-18DDCED8A758}" name="Ex Inglés" dataDxfId="59"/>
    <tableColumn id="34" xr3:uid="{D570C699-06E6-4CD2-A917-8BD5CCB04D8B}" name="Actualizado" dataDxfId="58"/>
    <tableColumn id="35" xr3:uid="{0AD5B1A0-70D4-4B1B-BD7E-E7CA5DA1C145}" name="TOEFL" dataDxfId="57">
      <calculatedColumnFormula>TRUNC(IFERROR(Profesores[[#This Row],[Ex Inglés]]*677/100,0),0)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B5413A-763C-457B-BF5C-22BB66086DA4}" name="GradoICA" displayName="GradoICA" ref="AL1:AM7" totalsRowShown="0" headerRowDxfId="56" dataDxfId="55">
  <autoFilter ref="AL1:AM7" xr:uid="{84BAD902-2CFC-4AE1-BB25-8205C47833D4}"/>
  <tableColumns count="2">
    <tableColumn id="1" xr3:uid="{CAF3CEF5-87D4-4936-A3D3-C9F133EB8587}" name="Grado" dataDxfId="54"/>
    <tableColumn id="2" xr3:uid="{C75CEA30-F88C-4FF8-9901-260D57C15BDC}" name="Gdo" dataDxfId="5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1CC409-4CA5-416B-AA8B-9035E15FB431}" name="Tabla11" displayName="Tabla11" ref="AO1:AO6" totalsRowShown="0" headerRowDxfId="52" dataDxfId="51">
  <autoFilter ref="AO1:AO6" xr:uid="{E238A52F-6F2C-4DFB-8950-A76FB591E631}"/>
  <tableColumns count="1">
    <tableColumn id="1" xr3:uid="{26B70A65-DF4D-4A1C-AAB6-61BF454CD7C2}" name="Tipo de profesor" dataDxfId="5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CAFA7D-F99F-4A5B-A5C4-7D9B25674FD4}" name="Tabla12" displayName="Tabla12" ref="AQ1:AU80" totalsRowShown="0" headerRowDxfId="49" dataDxfId="48" tableBorderDxfId="47">
  <autoFilter ref="AQ1:AU80" xr:uid="{1FA88BF6-0B8A-4E83-9C48-F06D1C4EC83A}"/>
  <tableColumns count="5">
    <tableColumn id="1" xr3:uid="{CD2267F9-D2E7-4B76-8400-FB817F1B5850}" name="Aulas" dataDxfId="46"/>
    <tableColumn id="2" xr3:uid="{AE58033A-FB03-41AB-A934-C45AB21B926C}" name="Capacidad" dataDxfId="45"/>
    <tableColumn id="3" xr3:uid="{0FE69720-6C5E-4416-B058-D428D1EEF496}" name="Equipo" dataDxfId="44"/>
    <tableColumn id="4" xr3:uid="{D6DD74F7-3C55-48FE-8176-ABD4D8336B83}" name="1.5" dataDxfId="43"/>
    <tableColumn id="5" xr3:uid="{EF9E9071-D0CB-45BD-A8DD-19D9EA1CE5B6}" name="0.9" dataDxfId="42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lanes_de_estudio" displayName="Planes_de_estudio" ref="B2:Z228" totalsRowShown="0" headerRowDxfId="41" dataDxfId="39" headerRowBorderDxfId="40" tableBorderDxfId="38">
  <autoFilter ref="B2:Z228" xr:uid="{00000000-000C-0000-FFFF-FFFF02000000}">
    <filterColumn colId="1">
      <filters>
        <filter val="MEC"/>
      </filters>
    </filterColumn>
  </autoFilter>
  <tableColumns count="25">
    <tableColumn id="1" xr3:uid="{00000000-0010-0000-0200-000001000000}" name="Materias" dataDxfId="37"/>
    <tableColumn id="9" xr3:uid="{00000000-0010-0000-0200-000009000000}" name="Academia" dataDxfId="36"/>
    <tableColumn id="2" xr3:uid="{00000000-0010-0000-0200-000002000000}" name="Industrial" dataDxfId="35"/>
    <tableColumn id="3" xr3:uid="{00000000-0010-0000-0200-000003000000}" name="Mecatrónica" dataDxfId="34"/>
    <tableColumn id="4" xr3:uid="{00000000-0010-0000-0200-000004000000}" name="Innovación y Diseño" dataDxfId="33"/>
    <tableColumn id="5" xr3:uid="{00000000-0010-0000-0200-000005000000}" name="Inteligencia Artificial" dataDxfId="32"/>
    <tableColumn id="6" xr3:uid="{00000000-0010-0000-0200-000006000000}" name="Tecnologías Energéticas" dataDxfId="31"/>
    <tableColumn id="7" xr3:uid="{00000000-0010-0000-0200-000007000000}" name="Civil y Administración" dataDxfId="30"/>
    <tableColumn id="8" xr3:uid="{00000000-0010-0000-0200-000008000000}" name="Bioelectrónica" dataDxfId="29"/>
    <tableColumn id="10" xr3:uid="{00000000-0010-0000-0200-00000A000000}" name="Horas" dataDxfId="28"/>
    <tableColumn id="11" xr3:uid="{00000000-0010-0000-0200-00000B000000}" name="Optativa" dataDxfId="27"/>
    <tableColumn id="25" xr3:uid="{00000000-0010-0000-0200-000019000000}" name="ID II" dataDxfId="26"/>
    <tableColumn id="24" xr3:uid="{00000000-0010-0000-0200-000018000000}" name="ID IM" dataDxfId="25"/>
    <tableColumn id="23" xr3:uid="{00000000-0010-0000-0200-000017000000}" name="ID IID" dataDxfId="24"/>
    <tableColumn id="22" xr3:uid="{00000000-0010-0000-0200-000016000000}" name="ID IIA" dataDxfId="23"/>
    <tableColumn id="21" xr3:uid="{00000000-0010-0000-0200-000015000000}" name="ID ITE" dataDxfId="22"/>
    <tableColumn id="20" xr3:uid="{00000000-0010-0000-0200-000014000000}" name="ID ICA" dataDxfId="21"/>
    <tableColumn id="19" xr3:uid="{00000000-0010-0000-0200-000013000000}" name="ID IBE" dataDxfId="20"/>
    <tableColumn id="18" xr3:uid="{00000000-0010-0000-0200-000012000000}" name="Créditos II" dataDxfId="19"/>
    <tableColumn id="17" xr3:uid="{00000000-0010-0000-0200-000011000000}" name="Créditos IM" dataDxfId="18"/>
    <tableColumn id="16" xr3:uid="{00000000-0010-0000-0200-000010000000}" name="Créditos IID" dataDxfId="17"/>
    <tableColumn id="15" xr3:uid="{00000000-0010-0000-0200-00000F000000}" name="Créditos IIA" dataDxfId="16"/>
    <tableColumn id="14" xr3:uid="{00000000-0010-0000-0200-00000E000000}" name="Créditos ITE" dataDxfId="15"/>
    <tableColumn id="13" xr3:uid="{00000000-0010-0000-0200-00000D000000}" name="Créditos ICA" dataDxfId="14"/>
    <tableColumn id="12" xr3:uid="{00000000-0010-0000-0200-00000C000000}" name="Créditos IBE" dataDxfId="13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B2:AB12" totalsRowShown="0" headerRowDxfId="12" dataDxfId="10" headerRowBorderDxfId="11" tableBorderDxfId="9" totalsRowBorderDxfId="8">
  <autoFilter ref="AB2:AB12" xr:uid="{00000000-0009-0000-0100-000004000000}"/>
  <tableColumns count="1">
    <tableColumn id="1" xr3:uid="{00000000-0010-0000-0300-000001000000}" name="Semestres" dataDxf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D2:AE32" totalsRowShown="0" headerRowDxfId="6" dataDxfId="5" tableBorderDxfId="4">
  <autoFilter ref="AD2:AE32" xr:uid="{00000000-0009-0000-0100-000003000000}"/>
  <tableColumns count="2">
    <tableColumn id="1" xr3:uid="{00000000-0010-0000-0400-000001000000}" name="Hora de inicio" dataDxfId="3"/>
    <tableColumn id="2" xr3:uid="{00000000-0010-0000-0400-000002000000}" name="Hora de fin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3-06-13T20:17:27.43" personId="{8079AA11-23E2-46B7-BACF-4A32A5F4AD6A}" id="{847DE3AB-7BC2-4CFC-94EC-C927653993A0}">
    <text xml:space="preserve">No hay compu-aula Folio de CAUSD 66285 </text>
  </threadedComment>
  <threadedComment ref="H5" dT="2023-08-07T18:24:32.12" personId="{8079AA11-23E2-46B7-BACF-4A32A5F4AD6A}" id="{969C7BB1-7AD1-4ADD-A063-913D57A1A149}" parentId="{847DE3AB-7BC2-4CFC-94EC-C927653993A0}">
    <text>Sale de MIT, porque se decide hoy 07/08/2023 que será en línea</text>
  </threadedComment>
  <threadedComment ref="AW5" dT="2023-08-07T18:25:52.80" personId="{8079AA11-23E2-46B7-BACF-4A32A5F4AD6A}" id="{CC7EDE9C-AAA4-45E1-B190-C82A02297C20}">
    <text>Tal vez cambie la liga porque se hizo solamente para hoy 07082023</text>
  </threadedComment>
  <threadedComment ref="H10" dT="2023-06-07T18:45:53.93" personId="{8079AA11-23E2-46B7-BACF-4A32A5F4AD6A}" id="{F31BCEF2-18B5-4D74-B973-8CB4D6C992F5}">
    <text xml:space="preserve">Se solicito aula de posgrado por correo 07/06/2023
</text>
  </threadedComment>
  <threadedComment ref="H10" dT="2023-08-11T01:01:36.51" personId="{8079AA11-23E2-46B7-BACF-4A32A5F4AD6A}" id="{1E23BE7D-F69C-4EB6-AE4A-A3C3912977F6}" parentId="{F31BCEF2-18B5-4D74-B973-8CB4D6C992F5}">
    <text>Sale del Aula Cosío para irse al C04</text>
  </threadedComment>
  <threadedComment ref="H12" dT="2023-08-16T18:16:00.63" personId="{8079AA11-23E2-46B7-BACF-4A32A5F4AD6A}" id="{DDC57956-EB81-4B81-8AEB-9D6DCC275F39}">
    <text>Sale A16</text>
  </threadedComment>
  <threadedComment ref="H13" dT="2023-08-16T18:14:36.47" personId="{8079AA11-23E2-46B7-BACF-4A32A5F4AD6A}" id="{41845C4E-26F6-46F7-8C28-6E241BB0C7EB}">
    <text>Sale del A14</text>
  </threadedComment>
  <threadedComment ref="H15" dT="2023-06-13T20:40:40.13" personId="{8079AA11-23E2-46B7-BACF-4A32A5F4AD6A}" id="{DA03F3CE-D8CE-4A58-B65F-D5F03D56A958}">
    <text xml:space="preserve">CAUSD, folio CAUSD, folio 62844
</text>
  </threadedComment>
  <threadedComment ref="J15" dT="2022-08-25T15:52:12.86" personId="{8079AA11-23E2-46B7-BACF-4A32A5F4AD6A}" id="{FC54F48C-A8CB-4B2F-B48F-7AEEDB770D22}">
    <text>va ser uno menos porque el alumno Miguel Pedroza de TI, su materia tiene que aprecer de Intercambio</text>
  </threadedComment>
  <threadedComment ref="H16" dT="2023-06-13T20:40:46.53" personId="{8079AA11-23E2-46B7-BACF-4A32A5F4AD6A}" id="{9BF0001A-3A51-43C0-91DE-F5ADB5EC3890}">
    <text xml:space="preserve">CAUSD, folio CAUSD, folio 62844
</text>
  </threadedComment>
  <threadedComment ref="C21" dT="2023-06-27T18:40:33.53" personId="{8079AA11-23E2-46B7-BACF-4A32A5F4AD6A}" id="{1C2B8B83-392E-4BA2-B8F9-2578169B8CB3}">
    <text>Se fusiona con Proyecto Mecatrónica I</text>
  </threadedComment>
  <threadedComment ref="C22" dT="2023-06-27T18:40:56.66" personId="{8079AA11-23E2-46B7-BACF-4A32A5F4AD6A}" id="{E5DF52BA-A3ED-483A-BA89-C78152F2F12A}">
    <text>Se fusiona con Elementos de Mecatrónica</text>
  </threadedComment>
  <threadedComment ref="H33" dT="2023-06-27T19:58:28.68" personId="{8079AA11-23E2-46B7-BACF-4A32A5F4AD6A}" id="{2088147B-AF4B-42C8-A6AD-2DF398A72F06}">
    <text>Sale ITE, para irse Online</text>
  </threadedComment>
  <threadedComment ref="H40" dT="2023-06-13T20:13:58.06" personId="{8079AA11-23E2-46B7-BACF-4A32A5F4AD6A}" id="{A02BAE7B-EE91-421C-AEB6-E336CCFC218F}">
    <text>Solicitar aula en el sistema de espacios</text>
  </threadedComment>
  <threadedComment ref="H40" dT="2023-06-13T20:16:28.04" personId="{8079AA11-23E2-46B7-BACF-4A32A5F4AD6A}" id="{A2D52F15-DE10-47F3-8A7D-006CA6C01D2D}" parentId="{A02BAE7B-EE91-421C-AEB6-E336CCFC218F}">
    <text xml:space="preserve">Folio de CAUSD 66285 </text>
  </threadedComment>
  <threadedComment ref="H41" dT="2023-06-13T20:12:09.42" personId="{8079AA11-23E2-46B7-BACF-4A32A5F4AD6A}" id="{2DF96E64-7565-4F2D-962A-6875A729CE72}">
    <text>Solicitarla en espacios</text>
  </threadedComment>
  <threadedComment ref="H41" dT="2023-06-13T20:16:21.55" personId="{8079AA11-23E2-46B7-BACF-4A32A5F4AD6A}" id="{CE4EB23D-B0AA-420A-BC3C-AECD271B84DC}" parentId="{2DF96E64-7565-4F2D-962A-6875A729CE72}">
    <text xml:space="preserve">Folio de CAUSD 66285 </text>
  </threadedComment>
  <threadedComment ref="H43" dT="2023-06-07T18:47:13.90" personId="{8079AA11-23E2-46B7-BACF-4A32A5F4AD6A}" id="{793B518C-46E5-44C8-85D4-E050B4057B10}">
    <text>Se solicitará compu-aula</text>
  </threadedComment>
  <threadedComment ref="H43" dT="2023-06-13T23:43:28.81" personId="{8079AA11-23E2-46B7-BACF-4A32A5F4AD6A}" id="{D77783D7-FA11-40FB-8CD7-778EE65E8CCB}" parentId="{793B518C-46E5-44C8-85D4-E050B4057B10}">
    <text>CAUSD, folio 66261</text>
  </threadedComment>
  <threadedComment ref="H47" dT="2023-06-13T20:16:07.81" personId="{8079AA11-23E2-46B7-BACF-4A32A5F4AD6A}" id="{895983CA-50CF-4611-B4FA-223E2A246859}">
    <text xml:space="preserve">Folio de CAUSD 66285 </text>
  </threadedComment>
  <threadedComment ref="H57" dT="2023-08-10T00:59:15.48" personId="{8079AA11-23E2-46B7-BACF-4A32A5F4AD6A}" id="{F1883853-BC69-4B12-BE84-E40F0F023FBE}">
    <text>Sale de Electrónica. El folio de la nueva es 83340</text>
  </threadedComment>
  <threadedComment ref="O57" dT="2023-03-29T22:50:07.72" personId="{8079AA11-23E2-46B7-BACF-4A32A5F4AD6A}" id="{EB1ED6A4-A9D3-4A8E-ADA9-459BC514AD2C}">
    <text>Para 3er. Semestre solamente tendrán un Profesor? No. IM (23) BIO (7), ITE (4)=34</text>
  </threadedComment>
  <threadedComment ref="H58" dT="2023-08-10T01:01:16.39" personId="{8079AA11-23E2-46B7-BACF-4A32A5F4AD6A}" id="{407A3C1C-FB05-4FF9-B8DC-33F313F38A1A}">
    <text>Sale de Electrónica. Folio de la nueva 83341</text>
  </threadedComment>
  <threadedComment ref="O58" dT="2023-03-29T22:50:07.72" personId="{8079AA11-23E2-46B7-BACF-4A32A5F4AD6A}" id="{C656DDC5-07B0-4941-9050-D4EC33084452}">
    <text>Para 3er. Semestre solamente tendrán un Profesor? No. IM (23) BIO (7), ITE (4)=34</text>
  </threadedComment>
  <threadedComment ref="B59" dT="2023-03-16T15:49:38.30" personId="{0847A110-ED84-4561-8C0D-7FFD1572BD95}" id="{760E47FB-506E-46FF-94FE-9264EF53288F}">
    <text>Carga: 1 materia, prefiere cálculo diferencial</text>
  </threadedComment>
  <threadedComment ref="C59" dT="2023-04-14T19:55:37.65" personId="{8079AA11-23E2-46B7-BACF-4A32A5F4AD6A}" id="{C40C3A97-CC25-4FC6-9EE2-3DCACE5277CB}">
    <text>Se inicia con 3 profesor, todo depende del No. de alumnos que tomarán Álgebra de 4 o de 8 hrs.</text>
  </threadedComment>
  <threadedComment ref="B60" dT="2023-03-16T15:49:38.30" personId="{0847A110-ED84-4561-8C0D-7FFD1572BD95}" id="{96C75BAA-8AAB-4A50-BCED-EFD355B12473}">
    <text>Carga: 1 materia, prefiere cálculo diferencial</text>
  </threadedComment>
  <threadedComment ref="B66" dT="2023-03-16T15:25:27.90" personId="{0847A110-ED84-4561-8C0D-7FFD1572BD95}" id="{21230CB9-36A9-4F75-8C13-C7811AFEBC3A}">
    <text>Carga: 2 materias, preferencias: cálculo integral, álgebra lineal, probabilidad y estadística</text>
  </threadedComment>
  <threadedComment ref="B67" dT="2023-03-16T15:25:27.90" personId="{0847A110-ED84-4561-8C0D-7FFD1572BD95}" id="{160652B2-B0A6-4CAF-9F9C-3F930531CB59}">
    <text>Carga: 2 materias, preferencias: cálculo integral, álgebra lineal, probabilidad y estadística</text>
  </threadedComment>
  <threadedComment ref="H68" dT="2023-06-13T20:16:01.40" personId="{8079AA11-23E2-46B7-BACF-4A32A5F4AD6A}" id="{C2553CE8-F7E2-49D6-922C-547F81412274}">
    <text xml:space="preserve">Folio de CAUSD 66285 </text>
  </threadedComment>
  <threadedComment ref="H70" dT="2023-06-13T20:39:48.65" personId="{8079AA11-23E2-46B7-BACF-4A32A5F4AD6A}" id="{DCC8D808-F62A-46DD-A814-F6465861647B}">
    <text>CAUSD, folio 62844</text>
  </threadedComment>
  <threadedComment ref="H71" dT="2023-06-13T20:40:12.66" personId="{8079AA11-23E2-46B7-BACF-4A32A5F4AD6A}" id="{67E4916D-4CA9-4964-9B2D-1231D5F4D870}">
    <text xml:space="preserve">CAUSD, folio CAUSD, folio 62844
</text>
  </threadedComment>
  <threadedComment ref="H85" dT="2023-07-14T18:00:14.36" personId="{8079AA11-23E2-46B7-BACF-4A32A5F4AD6A}" id="{D072C28E-8173-4817-8D99-5B41DEC166F2}">
    <text>Sale ICA</text>
  </threadedComment>
  <threadedComment ref="H101" dT="2023-08-16T16:08:30.27" personId="{8079AA11-23E2-46B7-BACF-4A32A5F4AD6A}" id="{D081E80F-2577-44ED-A1BC-1DBCEB2BB12F}">
    <text>Sale del aula A14</text>
  </threadedComment>
  <threadedComment ref="H102" dT="2023-08-16T16:08:49.16" personId="{8079AA11-23E2-46B7-BACF-4A32A5F4AD6A}" id="{9C49559A-47C3-4039-9493-20398FA208DB}">
    <text>Sale del aula A17</text>
  </threadedComment>
  <threadedComment ref="B109" dT="2023-04-04T18:44:59.55" personId="{8079AA11-23E2-46B7-BACF-4A32A5F4AD6A}" id="{95E86669-8ECB-4A2F-8DE0-C86E5B29D639}">
    <text>Nuevo Ingreso (documentos pendientes)</text>
  </threadedComment>
  <threadedComment ref="H111" dT="2023-06-07T18:45:41.87" personId="{8079AA11-23E2-46B7-BACF-4A32A5F4AD6A}" id="{2A578E25-7794-4D2B-A493-58CD25103875}">
    <text>Se solicito aula de posgrado por correo 07/06/2023</text>
  </threadedComment>
  <threadedComment ref="H115" dT="2023-07-14T18:18:45.23" personId="{8079AA11-23E2-46B7-BACF-4A32A5F4AD6A}" id="{665CCC58-FDFA-4143-A277-1FED40EC9629}">
    <text>Sale ICA</text>
  </threadedComment>
  <threadedComment ref="H116" dT="2023-07-14T18:19:18.22" personId="{8079AA11-23E2-46B7-BACF-4A32A5F4AD6A}" id="{03DD3A1E-A9FE-445D-BAF8-47661A44C900}">
    <text>Sale ICA</text>
  </threadedComment>
  <threadedComment ref="H126" dT="2023-04-10T20:19:26.26" personId="{8079AA11-23E2-46B7-BACF-4A32A5F4AD6A}" id="{95256B6B-9C6C-49AA-9591-A4B2B31F2C43}">
    <text>Compu-aula Programa Rhino</text>
  </threadedComment>
  <threadedComment ref="H126" dT="2023-06-12T20:12:21.68" personId="{8079AA11-23E2-46B7-BACF-4A32A5F4AD6A}" id="{03C98291-10A2-4798-A593-9E70E0D88015}" parentId="{95256B6B-9C6C-49AA-9591-A4B2B31F2C43}">
    <text>No tienen el programa</text>
  </threadedComment>
  <threadedComment ref="H126" dT="2023-06-13T20:38:57.20" personId="{8079AA11-23E2-46B7-BACF-4A32A5F4AD6A}" id="{1E6BC3B4-8C01-4E1C-B962-36E73A8F0915}" parentId="{95256B6B-9C6C-49AA-9591-A4B2B31F2C43}">
    <text>CAUSD folio 62844</text>
  </threadedComment>
  <threadedComment ref="H126" dT="2023-06-27T20:12:03.01" personId="{8079AA11-23E2-46B7-BACF-4A32A5F4AD6A}" id="{0F97983F-1691-4A0E-B766-82097FED6093}" parentId="{95256B6B-9C6C-49AA-9591-A4B2B31F2C43}">
    <text>¿Sale CC001?</text>
  </threadedComment>
  <threadedComment ref="B128" dT="2023-05-05T19:39:57.33" personId="{8079AA11-23E2-46B7-BACF-4A32A5F4AD6A}" id="{B8A5104D-11E9-4ED5-9D3E-4E84C6F398AE}">
    <text>El va ser Profr. Adjunto.</text>
  </threadedComment>
  <threadedComment ref="B129" dT="2023-05-05T19:39:57.33" personId="{8079AA11-23E2-46B7-BACF-4A32A5F4AD6A}" id="{504726AC-C67F-4FFA-911A-CF8BAAC407E5}">
    <text>El va ser Profr. Adjunto.</text>
  </threadedComment>
  <threadedComment ref="H135" dT="2023-08-10T20:26:51.93" personId="{8079AA11-23E2-46B7-BACF-4A32A5F4AD6A}" id="{EFF0F285-5B5D-4138-80F2-C05971FD6BCE}">
    <text>Sale C23</text>
  </threadedComment>
  <threadedComment ref="H139" dT="2023-08-01T18:32:32.22" personId="{8079AA11-23E2-46B7-BACF-4A32A5F4AD6A}" id="{D4E143D8-C0D8-496D-8D2D-A22ABD9EDA82}">
    <text>Correo 01/08/2023</text>
  </threadedComment>
  <threadedComment ref="H147" dT="2023-08-07T18:19:43.52" personId="{8079AA11-23E2-46B7-BACF-4A32A5F4AD6A}" id="{8B92EFE5-2CFC-4E0F-94D0-E383F4D8A220}">
    <text>Online</text>
  </threadedComment>
  <threadedComment ref="H154" dT="2023-06-13T20:31:22.84" personId="{8079AA11-23E2-46B7-BACF-4A32A5F4AD6A}" id="{78FFA84E-77DB-429A-8B22-445B0F5B1A97}">
    <text xml:space="preserve">CAUSD folio 66260 </text>
  </threadedComment>
  <threadedComment ref="H155" dT="2023-06-13T19:18:15.30" personId="{8079AA11-23E2-46B7-BACF-4A32A5F4AD6A}" id="{9B163855-8A5B-45C8-BEC8-767652520F7A}">
    <text>No hay aula</text>
  </threadedComment>
  <threadedComment ref="H155" dT="2023-06-13T20:31:41.38" personId="{8079AA11-23E2-46B7-BACF-4A32A5F4AD6A}" id="{160C4BD9-116A-4292-BEA4-3C2643EF7403}" parentId="{9B163855-8A5B-45C8-BEC8-767652520F7A}">
    <text xml:space="preserve">No hay compu-aula Folio 66260 </text>
  </threadedComment>
  <threadedComment ref="C156" dT="2022-08-24T23:21:00.58" personId="{E5CC3CD7-7907-46C7-AB9C-682D23A3D049}" id="{97EDB631-08EB-4CCC-BB1D-6843D2490925}">
    <text>Para ICA en la mañana</text>
  </threadedComment>
  <threadedComment ref="H162" dT="2023-08-14T16:58:56.88" personId="{8079AA11-23E2-46B7-BACF-4A32A5F4AD6A}" id="{D1AEE289-C3A0-4A9B-A9AF-113C8519C8E5}">
    <text>Sale C22</text>
  </threadedComment>
  <threadedComment ref="H162" dT="2023-08-16T18:15:08.80" personId="{8079AA11-23E2-46B7-BACF-4A32A5F4AD6A}" id="{49DB192C-F83E-42B2-82E3-742C508DE0CB}" parentId="{D1AEE289-C3A0-4A9B-A9AF-113C8519C8E5}">
    <text>Sale del C03</text>
  </threadedComment>
  <threadedComment ref="H163" dT="2023-08-16T18:15:30.65" personId="{8079AA11-23E2-46B7-BACF-4A32A5F4AD6A}" id="{0B3EC865-C087-4757-B558-ED9DCA3C6672}">
    <text>Sale del A25</text>
  </threadedComment>
  <threadedComment ref="H164" dT="2023-08-10T17:16:11.56" personId="{8079AA11-23E2-46B7-BACF-4A32A5F4AD6A}" id="{D33E8EB6-2294-4C0A-93D9-252AD89768B3}">
    <text>Sale A17</text>
  </threadedComment>
  <threadedComment ref="G181" dT="2023-08-07T16:08:52.63" personId="{0847A110-ED84-4561-8C0D-7FFD1572BD95}" id="{BD7B1752-1D63-498E-A036-1D2ABF85643D}">
    <text>SE LE PAGARÁN 2 HORAS FUERA DE CARGA.. SU CARGA QUEDA DE 6 HRS CLASE + 6 HRS DE PREPARACIÓN Y 2 HRS FUERA</text>
  </threadedComment>
  <threadedComment ref="H182" dT="2023-06-13T23:43:42.58" personId="{8079AA11-23E2-46B7-BACF-4A32A5F4AD6A}" id="{71554051-FE5E-4D9E-A6AD-062F0A725E5B}">
    <text xml:space="preserve">CAUSD, folio 66259
</text>
  </threadedComment>
  <threadedComment ref="H183" dT="2023-06-13T23:43:48.41" personId="{8079AA11-23E2-46B7-BACF-4A32A5F4AD6A}" id="{D8C49C29-C208-416A-A3BA-9B3F91ECD14B}">
    <text xml:space="preserve">CAUSD, folio 66259
</text>
  </threadedComment>
  <threadedComment ref="G216" dT="2023-08-07T16:11:23.92" personId="{0847A110-ED84-4561-8C0D-7FFD1572BD95}" id="{734A1C76-7917-4F18-BAC3-F270B07A1E72}">
    <text>DE ESTA CLASE SEACORDÓ DEJAR 2 HORAS EN CARGA + 2HRS DE PREPARACIÓN Y SE PAGA 1 HORA DE CLASE FUERA DE CARGA</text>
  </threadedComment>
  <threadedComment ref="G217" dT="2023-08-07T16:11:50.68" personId="{0847A110-ED84-4561-8C0D-7FFD1572BD95}" id="{C28F7E6A-60B5-4033-8856-66ADC5C1A9F0}">
    <text>DE ESTA CLASE SEACORDÓ DEJAR 2 HORAS EN CARGA + 2HRS DE PREPARACIÓN Y SE PAGA 1 HORA DE CLASE FUERA DE CARGA</text>
  </threadedComment>
  <threadedComment ref="H225" dT="2023-06-13T20:16:34.03" personId="{8079AA11-23E2-46B7-BACF-4A32A5F4AD6A}" id="{86579B50-B671-4272-B815-1C5A389A824C}">
    <text xml:space="preserve">Folio de CAUSD 66285 </text>
  </threadedComment>
  <threadedComment ref="O230" dT="2023-08-15T00:42:10.11" personId="{8079AA11-23E2-46B7-BACF-4A32A5F4AD6A}" id="{21477385-8B9C-4DC4-93B0-26B6BC3EF851}">
    <text>Folio 83403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3" dT="2022-10-14T15:47:48.67" personId="{8079AA11-23E2-46B7-BACF-4A32A5F4AD6A}" id="{C09362F9-5B13-4543-8867-B1E9B2127B62}">
    <text>Nueva contratación</text>
  </threadedComment>
  <threadedComment ref="F3" dT="2023-01-24T19:04:29.94" personId="{8079AA11-23E2-46B7-BACF-4A32A5F4AD6A}" id="{1A76843D-8B12-47BD-82E2-36FC5F2E1F3A}" parentId="{C09362F9-5B13-4543-8867-B1E9B2127B62}">
    <text>Queda como profr. Adjunto (falta titulo)</text>
  </threadedComment>
  <threadedComment ref="C9" dT="2022-05-02T23:00:56.37" personId="{8079AA11-23E2-46B7-BACF-4A32A5F4AD6A}" id="{9607CDC6-9D74-4BF5-8830-4F3AE7860573}">
    <text>Nuevo Ingreso</text>
  </threadedComment>
  <threadedComment ref="C9" dT="2022-08-05T16:43:26.08" personId="{8079AA11-23E2-46B7-BACF-4A32A5F4AD6A}" id="{E3BC0E7C-B2D9-44FA-B419-1F3CB6B4EEAD}" parentId="{9607CDC6-9D74-4BF5-8830-4F3AE7860573}">
    <text>Profesora Adjunta</text>
  </threadedComment>
  <threadedComment ref="F11" dT="2023-07-17T19:14:16.04" personId="{8079AA11-23E2-46B7-BACF-4A32A5F4AD6A}" id="{B788FF39-9C35-4E2C-BB1C-E9D5B0853696}">
    <text>Nuevo ingreso</text>
  </threadedComment>
  <threadedComment ref="C36" dT="2023-02-14T00:00:58.88" personId="{8079AA11-23E2-46B7-BACF-4A32A5F4AD6A}" id="{30DF4EE2-8A95-4A74-B3BE-BC836ABED789}">
    <text xml:space="preserve">Tal vez cambie a Especialidad su grado (necesitan comprobarlo) </text>
  </threadedComment>
  <threadedComment ref="AR42" dT="2022-08-01T18:29:52.32" personId="{8079AA11-23E2-46B7-BACF-4A32A5F4AD6A}" id="{91D630B5-C732-41FD-AFB6-CC793419D0EC}">
    <text>Consultado con Diego la capacidad</text>
  </threadedComment>
  <threadedComment ref="F46" dT="2023-07-17T17:07:24.27" personId="{8079AA11-23E2-46B7-BACF-4A32A5F4AD6A}" id="{DEC9BD30-2388-429A-857F-CCE76F1C8653}">
    <text>De otra sede (ingreso a Ags.)</text>
  </threadedComment>
  <threadedComment ref="F59" dT="2023-07-17T17:24:32.71" personId="{8079AA11-23E2-46B7-BACF-4A32A5F4AD6A}" id="{DCA6DC65-F95E-4D75-8B0C-AB884C01B154}">
    <text>Nuevo ingreso</text>
  </threadedComment>
  <threadedComment ref="F69" dT="2023-04-03T17:19:43.40" personId="{8079AA11-23E2-46B7-BACF-4A32A5F4AD6A}" id="{286D5578-82E5-4AD2-9121-2E7904B4D043}">
    <text>Nuevo ingreso</text>
  </threadedComment>
  <threadedComment ref="C71" dT="2023-03-15T15:52:53.92" personId="{8079AA11-23E2-46B7-BACF-4A32A5F4AD6A}" id="{3F8FFDB9-031E-4233-86DA-25E395A076C6}">
    <text xml:space="preserve">su contrato queda como profr. adjunto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7" dT="2023-03-02T19:11:22.53" personId="{8079AA11-23E2-46B7-BACF-4A32A5F4AD6A}" id="{788032CE-9C7F-4F64-9C86-22340CD3336A}">
    <text>Se suma 1 en el ciclo1229 para IM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I31" dT="2022-06-30T21:22:05.82" personId="{8079AA11-23E2-46B7-BACF-4A32A5F4AD6A}" id="{DFAB6337-DA00-4924-A41F-029349F1CF14}">
    <text>1228, esta materia es optiva, se toma la decisión de abrir otras.</text>
  </threadedComment>
  <threadedComment ref="C37" dT="2021-12-02T23:25:24.89" personId="{8079AA11-23E2-46B7-BACF-4A32A5F4AD6A}" id="{36F4509D-FAE5-4348-B79B-85BA59F0A54D}">
    <text>Eran de la academia EEC y pasan Civil (Isaí)</text>
  </threadedComment>
  <threadedComment ref="C37" dT="2021-12-02T23:26:01.23" personId="{8079AA11-23E2-46B7-BACF-4A32A5F4AD6A}" id="{B77BAC8E-C823-41E4-A8A6-73A5B2A05743}" parentId="{36F4509D-FAE5-4348-B79B-85BA59F0A54D}">
    <text>Aunque en Upsite aparecen para EEC</text>
  </threadedComment>
  <threadedComment ref="E48" dT="2022-05-11T16:36:20.55" personId="{8079AA11-23E2-46B7-BACF-4A32A5F4AD6A}" id="{754CCBD8-4D70-4336-A704-81DD02E5F74C}">
    <text>optativa</text>
  </threadedComment>
  <threadedComment ref="E48" dT="2022-05-11T16:36:57.26" personId="{8079AA11-23E2-46B7-BACF-4A32A5F4AD6A}" id="{FE2192A5-E9BB-439B-BC03-A74EB06176F7}" parentId="{754CCBD8-4D70-4336-A704-81DD02E5F74C}">
    <text>ciclo 1228, no llevarán la materia (7mo.)</text>
  </threadedComment>
  <threadedComment ref="I70" dT="2021-10-15T21:46:10.87" personId="{8079AA11-23E2-46B7-BACF-4A32A5F4AD6A}" id="{F93F9756-B0CC-4C45-A780-94334BFE4F75}">
    <text>Es materia de primer semestre y se darán en segundo semestre, ciclo 1222</text>
  </threadedComment>
  <threadedComment ref="E74" dT="2022-05-04T21:18:47.12" personId="{8079AA11-23E2-46B7-BACF-4A32A5F4AD6A}" id="{27F68019-6BAC-4F6C-8B6A-F57CA96CB5B7}">
    <text>No se lleva en este ciclo escolar 1228, pero efectivamente es de 7mo. semestre.</text>
  </threadedComment>
  <threadedComment ref="H75" dT="2021-07-21T15:10:40.41" personId="{D2D8617A-7471-4D00-8015-FCE83F00881A}" id="{CA7A506D-1CED-46B0-942B-0D28DB2534F8}">
    <text>Esta materia se debe ofertar en 3eroaunque en ruta aparece de 4to</text>
  </threadedComment>
  <threadedComment ref="I80" dT="2021-10-21T18:16:19.65" personId="{8079AA11-23E2-46B7-BACF-4A32A5F4AD6A}" id="{F2A8545F-5009-4755-890B-21EB754FF99E}">
    <text>Optativa</text>
  </threadedComment>
  <threadedComment ref="I80" dT="2022-05-09T17:13:52.31" personId="{8079AA11-23E2-46B7-BACF-4A32A5F4AD6A}" id="{E5A2A879-4275-4006-9EA9-D5F959EFFCED}" parentId="{F2A8545F-5009-4755-890B-21EB754FF99E}">
    <text>En este ciclo, civil decidio no llevar emprendedores.</text>
  </threadedComment>
  <threadedComment ref="I80" dT="2022-05-09T17:14:45.13" personId="{8079AA11-23E2-46B7-BACF-4A32A5F4AD6A}" id="{EA246CE0-97ED-4B89-9FC3-0DFE0EDDA75E}" parentId="{F2A8545F-5009-4755-890B-21EB754FF99E}">
    <text>7mo. semes (1228)</text>
  </threadedComment>
  <threadedComment ref="I84" dT="2021-10-22T15:46:44.05" personId="{8079AA11-23E2-46B7-BACF-4A32A5F4AD6A}" id="{A0EF9814-9550-4452-A919-3D2F3B9896A3}">
    <text>Materia de 9no. Semestre (optativa)</text>
  </threadedComment>
  <threadedComment ref="I88" dT="2021-10-21T16:27:42.75" personId="{8079AA11-23E2-46B7-BACF-4A32A5F4AD6A}" id="{AF5434D4-EAAB-48DC-979A-437A82FD15C6}">
    <text>Optativa</text>
  </threadedComment>
  <threadedComment ref="I88" dT="2021-10-21T22:40:40.79" personId="{8079AA11-23E2-46B7-BACF-4A32A5F4AD6A}" id="{7E312025-A736-4DDE-9D2B-D00AC48C462E}" parentId="{AF5434D4-EAAB-48DC-979A-437A82FD15C6}">
    <text>Es de 10mo. semestre y no se oferta</text>
  </threadedComment>
  <threadedComment ref="I99" dT="2023-04-13T18:27:48.75" personId="{8079AA11-23E2-46B7-BACF-4A32A5F4AD6A}" id="{2C176F6D-E4A7-46FF-8135-C39472FCD042}">
    <text>Por decisión de la academia en este ciclo 1238, la materia Ética Profesional, la tomarán en noveno.</text>
  </threadedComment>
  <threadedComment ref="C117" dT="2023-03-31T16:10:26.93" personId="{8079AA11-23E2-46B7-BACF-4A32A5F4AD6A}" id="{11E72D43-D7DF-44B8-B01C-80C1E4D6FEC8}">
    <text>En Upsite esta para el área ETF</text>
  </threadedComment>
  <threadedComment ref="I117" dT="2021-10-22T15:49:03.80" personId="{8079AA11-23E2-46B7-BACF-4A32A5F4AD6A}" id="{097C7817-C50B-4C22-8F5D-48B58C854027}">
    <text>Materia de 9no. Semestre (optativa)</text>
  </threadedComment>
  <threadedComment ref="C125" dT="2021-05-26T16:06:49.52" personId="{8079AA11-23E2-46B7-BACF-4A32A5F4AD6A}" id="{B08269CD-0407-46FD-9481-C6DE958E5BF8}">
    <text>En Upsite, dice que le pertenece a la academia DIOP?</text>
  </threadedComment>
  <threadedComment ref="I130" dT="2021-11-17T17:14:46.70" personId="{8079AA11-23E2-46B7-BACF-4A32A5F4AD6A}" id="{A73D0277-B97D-467E-BA4F-2F7FD88DB3C6}">
    <text>Optativa</text>
  </threadedComment>
  <threadedComment ref="I130" dT="2021-11-17T17:15:17.85" personId="{8079AA11-23E2-46B7-BACF-4A32A5F4AD6A}" id="{7962AB72-B6AF-43EE-9BA5-798B06AA17C3}" parentId="{A73D0277-B97D-467E-BA4F-2F7FD88DB3C6}">
    <text>No abrira</text>
  </threadedComment>
  <threadedComment ref="F157" dT="2021-04-22T14:45:19.29" personId="{D2D8617A-7471-4D00-8015-FCE83F00881A}" id="{2D4F2B91-3A3F-48AB-9C9C-3096C66663EA}">
    <text>Definitiva</text>
  </threadedComment>
  <threadedComment ref="C159" dT="2023-03-31T16:10:42.43" personId="{8079AA11-23E2-46B7-BACF-4A32A5F4AD6A}" id="{23358092-EA64-4EB2-AA9D-C62722FCC2E2}">
    <text>En Upsite, esta para el área ETF</text>
  </threadedComment>
  <threadedComment ref="D160" dT="2022-05-03T16:46:39.86" personId="{8079AA11-23E2-46B7-BACF-4A32A5F4AD6A}" id="{10972E3D-4AAA-4C42-9A76-971A58C27794}">
    <text>Para Industrial aparece en la academía de Administración en Upsite</text>
  </threadedComment>
  <threadedComment ref="D160" dT="2022-05-05T14:56:03.53" personId="{8079AA11-23E2-46B7-BACF-4A32A5F4AD6A}" id="{D3EEA212-569D-448F-B00B-E16B5C3F2F60}" parentId="{10972E3D-4AAA-4C42-9A76-971A58C27794}">
    <text>Para este ciclo 1228 se elimina la materia de Optimización y Control Energético</text>
  </threadedComment>
  <threadedComment ref="D160" dT="2023-05-02T18:37:13.00" personId="{0847A110-ED84-4561-8C0D-7FFD1572BD95}" id="{BA861251-13E2-4759-B5DD-4A128D95E5D3}" parentId="{10972E3D-4AAA-4C42-9A76-971A58C27794}">
    <text xml:space="preserve">Para el 1238 se elige la otra optativa
</text>
  </threadedComment>
  <threadedComment ref="H160" dT="2023-05-23T19:57:17.39" personId="{8079AA11-23E2-46B7-BACF-4A32A5F4AD6A}" id="{49310659-F2A5-41A3-B980-FA16E2303EBC}">
    <text>Es de 7mo. No se da en el ciclo 1238, porque se ofertará en verano (1234)</text>
  </threadedComment>
  <threadedComment ref="I164" dT="2021-02-15T19:31:14.63" personId="{D2D8617A-7471-4D00-8015-FCE83F00881A}" id="{059A2DB0-352F-457C-9096-E24556F3FA04}">
    <text>No estaba, lo puse</text>
  </threadedComment>
  <threadedComment ref="C165" dT="2022-01-18T23:32:11.90" personId="{8079AA11-23E2-46B7-BACF-4A32A5F4AD6A}" id="{837D64DB-57C6-4B53-8895-ADF6F4E1D755}">
    <text>Aparece en la academia de Civil pero Rocío Contrato</text>
  </threadedComment>
  <threadedComment ref="K180" dT="2021-02-09T00:41:47.90" personId="{D2D8617A-7471-4D00-8015-FCE83F00881A}" id="{4FC8D050-4347-438C-9953-C950FF760742}">
    <text>Revisar</text>
  </threadedComment>
  <threadedComment ref="K180" dT="2021-11-03T15:58:02.57" personId="{8079AA11-23E2-46B7-BACF-4A32A5F4AD6A}" id="{7A140928-3A9D-42DC-B095-1D0DEB2E6182}" parentId="{4FC8D050-4347-438C-9953-C950FF760742}">
    <text>Corrigí el No. de horas, según el plan de estudios es de 80 horas</text>
  </threadedComment>
  <threadedComment ref="I181" dT="2021-06-14T18:14:33.97" personId="{8079AA11-23E2-46B7-BACF-4A32A5F4AD6A}" id="{DAC1048F-1DB8-4C27-A047-C0BEDB01D257}">
    <text>Es de décimo y se va da en noveno para el ciclo 1218</text>
  </threadedComment>
  <threadedComment ref="F191" dT="2022-04-11T16:51:47.98" personId="{8079AA11-23E2-46B7-BACF-4A32A5F4AD6A}" id="{56E02B86-69CE-423D-8BC9-8BE8EA05DE03}">
    <text>Se abre para 5to. semestre ciclo 1228</text>
  </threadedComment>
  <threadedComment ref="C192" dT="2022-03-30T16:55:56.49" personId="{8079AA11-23E2-46B7-BACF-4A32A5F4AD6A}" id="{D5C81F4D-AF4F-428F-962E-3A937A07D994}">
    <text>La gestión, será IID para el ciclo 1228</text>
  </threadedComment>
  <threadedComment ref="I193" dT="2021-10-22T15:52:16.21" personId="{8079AA11-23E2-46B7-BACF-4A32A5F4AD6A}" id="{E20E2352-1657-48AA-936B-CB18EF092AD9}">
    <text>Materia de 9no. Semestre (optativa)</text>
  </threadedComment>
  <threadedComment ref="I198" dT="2021-10-22T15:50:48.92" personId="{8079AA11-23E2-46B7-BACF-4A32A5F4AD6A}" id="{8494A38A-50BA-493C-870A-20BC8D499862}">
    <text>Materia de 10mo. Semestre (optativa)</text>
  </threadedComment>
  <threadedComment ref="F203" dT="2021-01-12T05:24:56.35" personId="{8079AA11-23E2-46B7-BACF-4A32A5F4AD6A}" id="{65422061-DE33-4EB7-8D72-E9451EBA3CBF}">
    <text>Optativa</text>
  </threadedComment>
  <threadedComment ref="F204" dT="2021-07-20T16:14:12.52" personId="{8079AA11-23E2-46B7-BACF-4A32A5F4AD6A}" id="{FE25BC45-B4FE-4ABA-BE30-0279E3732559}">
    <text>Realmente es de 8vo. semestre pero en este ciclo 1218 se adelanta</text>
  </threadedComment>
  <threadedComment ref="B210" dT="2021-10-13T17:28:37.00" personId="{8079AA11-23E2-46B7-BACF-4A32A5F4AD6A}" id="{14B6EF98-DA6C-42D3-A64F-1CDF9FE958B4}">
    <text>Por ajustes de pandemia</text>
  </threadedComment>
  <threadedComment ref="I212" dT="2023-05-02T17:24:40.19" personId="{8079AA11-23E2-46B7-BACF-4A32A5F4AD6A}" id="{8AD28B5E-9B66-4271-B7C2-1C3CA805E975}">
    <text xml:space="preserve">Se abre para el ciclo 1238
</text>
  </threadedComment>
  <threadedComment ref="C225" dT="2021-12-02T23:25:32.10" personId="{8079AA11-23E2-46B7-BACF-4A32A5F4AD6A}" id="{25975C4D-B325-4AC1-9F92-427F3533199F}">
    <text>Eran de la academia EEC y pasan Civil (Isaí)</text>
  </threadedComment>
  <threadedComment ref="C225" dT="2021-12-02T23:26:42.27" personId="{8079AA11-23E2-46B7-BACF-4A32A5F4AD6A}" id="{34C680B3-EC59-4789-A743-ED61A8A68E6B}" parentId="{25975C4D-B325-4AC1-9F92-427F3533199F}">
    <text>Aunque en Upsite aparecerán en EEC</text>
  </threadedComment>
  <threadedComment ref="C227" dT="2023-03-31T15:41:43.75" personId="{8079AA11-23E2-46B7-BACF-4A32A5F4AD6A}" id="{0A534E91-2553-46E8-BB2F-B70E7F039784}">
    <text>En Upsite, es de cómputo</text>
  </threadedComment>
  <threadedComment ref="F227" dT="2022-03-22T15:38:06.76" personId="{8079AA11-23E2-46B7-BACF-4A32A5F4AD6A}" id="{DDEF3613-85A3-48CB-B897-9D90EDBF2923}">
    <text>se oferta ciclo 1228 5to. semestre</text>
  </threadedComment>
  <threadedComment ref="I228" dT="2023-05-30T18:53:08.69" personId="{8079AA11-23E2-46B7-BACF-4A32A5F4AD6A}" id="{21576DDF-101E-4266-AB99-20F60BC3B727}">
    <text>Es de 5to. Semestre y es optativa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08DD9F-6017-4B39-9672-35C5C3D650C8}">
  <we:reference id="wa104381504" version="1.0.0.0" store="es-ES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up-edu-mx.zoom.us/j/95865114127?pwd=dk1adVozQ0lxbXRnQUl0RTl5T2ZRdz09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huizar@up.edu.mx" TargetMode="External"/><Relationship Id="rId13" Type="http://schemas.openxmlformats.org/officeDocument/2006/relationships/vmlDrawing" Target="../drawings/vmlDrawing5.vml"/><Relationship Id="rId18" Type="http://schemas.openxmlformats.org/officeDocument/2006/relationships/comments" Target="../comments2.xml"/><Relationship Id="rId3" Type="http://schemas.openxmlformats.org/officeDocument/2006/relationships/hyperlink" Target="mailto:beiceman@gmail.com" TargetMode="External"/><Relationship Id="rId7" Type="http://schemas.openxmlformats.org/officeDocument/2006/relationships/hyperlink" Target="mailto:damurrillo@up.edu.mx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table" Target="../tables/table5.xml"/><Relationship Id="rId2" Type="http://schemas.openxmlformats.org/officeDocument/2006/relationships/hyperlink" Target="mailto:aggutierrez@up.edu.mx" TargetMode="External"/><Relationship Id="rId16" Type="http://schemas.openxmlformats.org/officeDocument/2006/relationships/table" Target="../tables/table4.xml"/><Relationship Id="rId1" Type="http://schemas.openxmlformats.org/officeDocument/2006/relationships/hyperlink" Target="mailto:aviquez@up.edu.mx" TargetMode="External"/><Relationship Id="rId6" Type="http://schemas.openxmlformats.org/officeDocument/2006/relationships/hyperlink" Target="mailto:amarquezm@up.edu.mx" TargetMode="External"/><Relationship Id="rId11" Type="http://schemas.openxmlformats.org/officeDocument/2006/relationships/hyperlink" Target="mailto:apedrozad@up.edu.mx" TargetMode="External"/><Relationship Id="rId5" Type="http://schemas.openxmlformats.org/officeDocument/2006/relationships/hyperlink" Target="mailto:grodriguez@up.edu.mx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jlopezm@up.edu.mx" TargetMode="External"/><Relationship Id="rId19" Type="http://schemas.microsoft.com/office/2017/10/relationships/threadedComment" Target="../threadedComments/threadedComment2.xml"/><Relationship Id="rId4" Type="http://schemas.openxmlformats.org/officeDocument/2006/relationships/hyperlink" Target="mailto:dlarrondom@up.edu.mx" TargetMode="External"/><Relationship Id="rId9" Type="http://schemas.openxmlformats.org/officeDocument/2006/relationships/hyperlink" Target="mailto:madiaz@up.edu.mx" TargetMode="External"/><Relationship Id="rId1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microsoft.com/office/2017/10/relationships/threadedComment" Target="../threadedComments/threadedComment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F372-3842-466D-9F75-64794A57C484}">
  <sheetPr codeName="Hoja9">
    <pageSetUpPr fitToPage="1"/>
  </sheetPr>
  <dimension ref="A2:Z941"/>
  <sheetViews>
    <sheetView topLeftCell="A21" zoomScaleNormal="100" workbookViewId="0">
      <selection activeCell="K25" sqref="K25:K28"/>
    </sheetView>
  </sheetViews>
  <sheetFormatPr baseColWidth="10" defaultColWidth="14.5" defaultRowHeight="14"/>
  <cols>
    <col min="1" max="1" width="4" style="1" customWidth="1"/>
    <col min="2" max="3" width="7.5" style="2" customWidth="1"/>
    <col min="4" max="4" width="28.5" style="1" customWidth="1"/>
    <col min="5" max="5" width="12.1640625" style="1" customWidth="1"/>
    <col min="6" max="6" width="30.6640625" style="1" customWidth="1"/>
    <col min="7" max="7" width="12.1640625" style="1" customWidth="1"/>
    <col min="8" max="8" width="28.5" style="1" customWidth="1"/>
    <col min="9" max="9" width="12.1640625" style="1" customWidth="1"/>
    <col min="10" max="10" width="31.5" style="1" customWidth="1"/>
    <col min="11" max="11" width="12.1640625" style="1" customWidth="1"/>
    <col min="12" max="12" width="28.5" style="1" customWidth="1"/>
    <col min="13" max="13" width="12.1640625" style="1" customWidth="1"/>
    <col min="14" max="14" width="28.5" style="1" customWidth="1"/>
    <col min="15" max="15" width="12.1640625" style="1" customWidth="1"/>
    <col min="16" max="16" width="13" style="1" bestFit="1" customWidth="1"/>
    <col min="17" max="17" width="24.5" style="1" customWidth="1"/>
    <col min="18" max="18" width="13" style="1" bestFit="1" customWidth="1"/>
    <col min="19" max="19" width="10.6640625" style="1" customWidth="1"/>
    <col min="20" max="20" width="12" style="1" customWidth="1"/>
    <col min="21" max="24" width="10.6640625" style="1" customWidth="1"/>
    <col min="25" max="16384" width="14.5" style="1"/>
  </cols>
  <sheetData>
    <row r="2" spans="1:26" ht="17">
      <c r="A2" s="27"/>
      <c r="B2" s="232" t="s">
        <v>0</v>
      </c>
      <c r="C2" s="233"/>
      <c r="D2" s="234" t="s">
        <v>1</v>
      </c>
      <c r="E2" s="235"/>
      <c r="F2" s="236"/>
      <c r="G2" s="27"/>
      <c r="I2" s="27"/>
      <c r="J2" s="27"/>
      <c r="K2" s="27"/>
      <c r="L2" s="27"/>
      <c r="M2" s="27"/>
      <c r="N2" s="27"/>
      <c r="O2" s="27"/>
      <c r="V2" s="27"/>
      <c r="W2" s="27"/>
      <c r="X2" s="27"/>
      <c r="Y2" s="27"/>
      <c r="Z2" s="27"/>
    </row>
    <row r="4" spans="1:26" ht="16">
      <c r="B4" s="237" t="s">
        <v>2</v>
      </c>
      <c r="C4" s="238"/>
      <c r="D4" s="203" t="s">
        <v>3</v>
      </c>
      <c r="E4" s="203" t="s">
        <v>4</v>
      </c>
      <c r="F4" s="205" t="s">
        <v>5</v>
      </c>
      <c r="G4" s="203" t="s">
        <v>4</v>
      </c>
      <c r="H4" s="205" t="s">
        <v>6</v>
      </c>
      <c r="I4" s="203" t="s">
        <v>4</v>
      </c>
      <c r="J4" s="205" t="s">
        <v>7</v>
      </c>
      <c r="K4" s="203" t="s">
        <v>4</v>
      </c>
      <c r="L4" s="205" t="s">
        <v>8</v>
      </c>
      <c r="M4" s="203" t="s">
        <v>4</v>
      </c>
      <c r="N4" s="205" t="s">
        <v>9</v>
      </c>
      <c r="O4" s="203" t="s">
        <v>4</v>
      </c>
      <c r="V4" s="28"/>
      <c r="W4" s="28"/>
      <c r="X4" s="28"/>
    </row>
    <row r="5" spans="1:26" ht="15">
      <c r="B5" s="206">
        <v>0.29166666666666669</v>
      </c>
      <c r="C5" s="207">
        <v>0.3125</v>
      </c>
      <c r="D5" s="29" t="str" cm="1">
        <f t="array" ref="D5">_xlfn.TEXTJOIN(CHAR(10),TRUE,IF(Aula=base_de_datos[Aula],IF("x"=base_de_datos[Lunes],IF(base_de_datos[Hora inicio]&lt;=$B5,IF(base_de_datos[Hora fin]&gt;=$C5,base_de_datos[Materia]&amp;" "&amp;base_de_datos[[Número de grupo ]],""),""),""),""),"")</f>
        <v/>
      </c>
      <c r="E5" s="29" t="str" cm="1">
        <f t="array" ref="E5">_xlfn.TEXTJOIN(CHAR(10),TRUE,IF(Aula=base_de_datos[Aula],IF("x"=base_de_datos[Lunes],IF(base_de_datos[Hora inicio]&lt;=$B5,IF(base_de_datos[Hora fin]&gt;=$C5,base_de_datos[No clase],""),""),""),""),"")</f>
        <v/>
      </c>
      <c r="F5" s="29" t="str" cm="1">
        <f t="array" ref="F5">_xlfn.TEXTJOIN(CHAR(10),TRUE,IF(Aula=base_de_datos[Aula],IF("x"=base_de_datos[Martes],IF(base_de_datos[Hora inicio]&lt;=$B5,IF(base_de_datos[Hora fin]&gt;=$C5,base_de_datos[Materia]&amp;" "&amp;base_de_datos[[Número de grupo ]],""),""),""),""),"")</f>
        <v/>
      </c>
      <c r="G5" s="29" t="str" cm="1">
        <f t="array" ref="G5">_xlfn.TEXTJOIN(CHAR(10),TRUE,IF(Aula=base_de_datos[Aula],IF("x"=base_de_datos[Martes],IF(base_de_datos[Hora inicio]&lt;=$B5,IF(base_de_datos[Hora fin]&gt;=$C5,base_de_datos[No clase],""),""),""),""),"")</f>
        <v/>
      </c>
      <c r="H5" s="29" t="str" cm="1">
        <f t="array" ref="H5">_xlfn.TEXTJOIN(CHAR(10),TRUE,IF(Aula=base_de_datos[Aula],IF("x"=base_de_datos[Miércoles],IF(base_de_datos[Hora inicio]&lt;=$B5,IF(base_de_datos[Hora fin]&gt;=$C5,base_de_datos[Materia]&amp;" "&amp;base_de_datos[[Número de grupo ]],""),""),""),""),"")</f>
        <v/>
      </c>
      <c r="I5" s="29" t="str" cm="1">
        <f t="array" ref="I5">_xlfn.TEXTJOIN(CHAR(10),TRUE,IF(Aula=base_de_datos[Aula],IF("x"=base_de_datos[Miércoles],IF(base_de_datos[Hora inicio]&lt;=$B5,IF(base_de_datos[Hora fin]&gt;=$C5,base_de_datos[No clase],""),""),""),""),"")</f>
        <v/>
      </c>
      <c r="J5" s="29" t="str" cm="1">
        <f t="array" ref="J5">_xlfn.TEXTJOIN(CHAR(10),TRUE,IF(Aula=base_de_datos[Aula],IF("x"=base_de_datos[Jueves],IF(base_de_datos[Hora inicio]&lt;=$B5,IF(base_de_datos[Hora fin]&gt;=$C5,base_de_datos[Materia]&amp;" "&amp;base_de_datos[[Número de grupo ]],""),""),""),""),"")</f>
        <v>Electricidad y magnetismo 2</v>
      </c>
      <c r="K5" s="29" t="str" cm="1">
        <f t="array" ref="K5">_xlfn.TEXTJOIN(CHAR(10),TRUE,IF(Aula=base_de_datos[Aula],IF("x"=base_de_datos[Jueves],IF(base_de_datos[Hora inicio]&lt;=$B5,IF(base_de_datos[Hora fin]&gt;=$C5,base_de_datos[No clase],""),""),""),""),"")</f>
        <v>5886</v>
      </c>
      <c r="L5" s="29" t="str" cm="1">
        <f t="array" ref="L5">_xlfn.TEXTJOIN(CHAR(10),TRUE,IF(Aula=base_de_datos[Aula],IF("x"=base_de_datos[Viernes],IF(base_de_datos[Hora inicio]&lt;=$B5,IF(base_de_datos[Hora fin]&gt;=$C5,base_de_datos[Materia]&amp;" "&amp;base_de_datos[[Número de grupo ]],""),""),""),""),"")</f>
        <v>Introducción a la ingeniería 1</v>
      </c>
      <c r="M5" s="29" t="str" cm="1">
        <f t="array" ref="M5">_xlfn.TEXTJOIN(CHAR(10),TRUE,IF(Aula=base_de_datos[Aula],IF("x"=base_de_datos[Viernes],IF(base_de_datos[Hora inicio]&lt;=$B5,IF(base_de_datos[Hora fin]&gt;=$C5,base_de_datos[No clase],""),""),""),""),"")</f>
        <v>5821</v>
      </c>
      <c r="N5" s="29" t="str" cm="1">
        <f t="array" ref="N5">_xlfn.TEXTJOIN(CHAR(10),TRUE,IF(Aula=base_de_datos[Aula],IF("x"=base_de_datos[Sábado],IF(base_de_datos[Hora inicio]&lt;=$B5,IF(base_de_datos[Hora fin]&gt;=$C5,base_de_datos[Materia]&amp;" "&amp;base_de_datos[[Número de grupo ]],""),""),""),""),"")</f>
        <v/>
      </c>
      <c r="O5" s="29" t="str" cm="1">
        <f t="array" ref="O5">_xlfn.TEXTJOIN(CHAR(10),TRUE,IF(Aula=base_de_datos[Aula],IF("x"=base_de_datos[Sábado],IF(base_de_datos[Hora inicio]&lt;=$B5,IF(base_de_datos[Hora fin]&gt;=$C5,base_de_datos[No clase],""),""),""),""),"")</f>
        <v/>
      </c>
      <c r="V5" s="28"/>
      <c r="W5" s="28"/>
      <c r="X5" s="28"/>
    </row>
    <row r="6" spans="1:26" ht="15">
      <c r="B6" s="206">
        <v>0.3125</v>
      </c>
      <c r="C6" s="206">
        <v>0.33333333333333298</v>
      </c>
      <c r="D6" s="29" t="str" cm="1">
        <f t="array" ref="D6">_xlfn.TEXTJOIN(CHAR(10),TRUE,IF(Aula=base_de_datos[Aula],IF("x"=base_de_datos[Lunes],IF(base_de_datos[Hora inicio]&lt;=$B6,IF(base_de_datos[Hora fin]&gt;=$C6,base_de_datos[Materia]&amp;" "&amp;base_de_datos[[Número de grupo ]],""),""),""),""),"")</f>
        <v/>
      </c>
      <c r="E6" s="29" t="str" cm="1">
        <f t="array" ref="E6">_xlfn.TEXTJOIN(CHAR(10),TRUE,IF(Aula=base_de_datos[Aula],IF("x"=base_de_datos[Lunes],IF(base_de_datos[Hora inicio]&lt;=$B6,IF(base_de_datos[Hora fin]&gt;=$C6,base_de_datos[No clase],""),""),""),""),"")</f>
        <v/>
      </c>
      <c r="F6" s="29" t="str" cm="1">
        <f t="array" ref="F6">_xlfn.TEXTJOIN(CHAR(10),TRUE,IF(Aula=base_de_datos[Aula],IF("x"=base_de_datos[Martes],IF(base_de_datos[Hora inicio]&lt;=$B6,IF(base_de_datos[Hora fin]&gt;=$C6,base_de_datos[Materia]&amp;" "&amp;base_de_datos[[Número de grupo ]],""),""),""),""),"")</f>
        <v/>
      </c>
      <c r="G6" s="29" t="str" cm="1">
        <f t="array" ref="G6">_xlfn.TEXTJOIN(CHAR(10),TRUE,IF(Aula=base_de_datos[Aula],IF("x"=base_de_datos[Martes],IF(base_de_datos[Hora inicio]&lt;=$B6,IF(base_de_datos[Hora fin]&gt;=$C6,base_de_datos[No clase],""),""),""),""),"")</f>
        <v/>
      </c>
      <c r="H6" s="29" t="str" cm="1">
        <f t="array" ref="H6">_xlfn.TEXTJOIN(CHAR(10),TRUE,IF(Aula=base_de_datos[Aula],IF("x"=base_de_datos[Miércoles],IF(base_de_datos[Hora inicio]&lt;=$B6,IF(base_de_datos[Hora fin]&gt;=$C6,base_de_datos[Materia]&amp;" "&amp;base_de_datos[[Número de grupo ]],""),""),""),""),"")</f>
        <v/>
      </c>
      <c r="I6" s="29" t="str" cm="1">
        <f t="array" ref="I6">_xlfn.TEXTJOIN(CHAR(10),TRUE,IF(Aula=base_de_datos[Aula],IF("x"=base_de_datos[Miércoles],IF(base_de_datos[Hora inicio]&lt;=$B6,IF(base_de_datos[Hora fin]&gt;=$C6,base_de_datos[No clase],""),""),""),""),"")</f>
        <v/>
      </c>
      <c r="J6" s="29" t="str" cm="1">
        <f t="array" ref="J6">_xlfn.TEXTJOIN(CHAR(10),TRUE,IF(Aula=base_de_datos[Aula],IF("x"=base_de_datos[Jueves],IF(base_de_datos[Hora inicio]&lt;=$B6,IF(base_de_datos[Hora fin]&gt;=$C6,base_de_datos[Materia]&amp;" "&amp;base_de_datos[[Número de grupo ]],""),""),""),""),"")</f>
        <v>Electricidad y magnetismo 2</v>
      </c>
      <c r="K6" s="29" t="str" cm="1">
        <f t="array" ref="K6">_xlfn.TEXTJOIN(CHAR(10),TRUE,IF(Aula=base_de_datos[Aula],IF("x"=base_de_datos[Jueves],IF(base_de_datos[Hora inicio]&lt;=$B6,IF(base_de_datos[Hora fin]&gt;=$C6,base_de_datos[No clase],""),""),""),""),"")</f>
        <v>5886</v>
      </c>
      <c r="L6" s="29" t="str" cm="1">
        <f t="array" ref="L6">_xlfn.TEXTJOIN(CHAR(10),TRUE,IF(Aula=base_de_datos[Aula],IF("x"=base_de_datos[Viernes],IF(base_de_datos[Hora inicio]&lt;=$B6,IF(base_de_datos[Hora fin]&gt;=$C6,base_de_datos[Materia]&amp;" "&amp;base_de_datos[[Número de grupo ]],""),""),""),""),"")</f>
        <v>Introducción a la ingeniería 1</v>
      </c>
      <c r="M6" s="29" t="str" cm="1">
        <f t="array" ref="M6">_xlfn.TEXTJOIN(CHAR(10),TRUE,IF(Aula=base_de_datos[Aula],IF("x"=base_de_datos[Viernes],IF(base_de_datos[Hora inicio]&lt;=$B6,IF(base_de_datos[Hora fin]&gt;=$C6,base_de_datos[No clase],""),""),""),""),"")</f>
        <v>5821</v>
      </c>
      <c r="N6" s="29" t="str" cm="1">
        <f t="array" ref="N6">_xlfn.TEXTJOIN(CHAR(10),TRUE,IF(Aula=base_de_datos[Aula],IF("x"=base_de_datos[Sábado],IF(base_de_datos[Hora inicio]&lt;=$B6,IF(base_de_datos[Hora fin]&gt;=$C6,base_de_datos[Materia]&amp;" "&amp;base_de_datos[[Número de grupo ]],""),""),""),""),"")</f>
        <v/>
      </c>
      <c r="O6" s="29" t="str" cm="1">
        <f t="array" ref="O6">_xlfn.TEXTJOIN(CHAR(10),TRUE,IF(Aula=base_de_datos[Aula],IF("x"=base_de_datos[Sábado],IF(base_de_datos[Hora inicio]&lt;=$B6,IF(base_de_datos[Hora fin]&gt;=$C6,base_de_datos[No clase],""),""),""),""),"")</f>
        <v/>
      </c>
      <c r="V6" s="28"/>
      <c r="W6" s="28"/>
      <c r="X6" s="28"/>
    </row>
    <row r="7" spans="1:26" ht="15">
      <c r="B7" s="206">
        <v>0.33333333333333298</v>
      </c>
      <c r="C7" s="206">
        <v>0.35416666666666602</v>
      </c>
      <c r="D7" s="29" t="str" cm="1">
        <f t="array" ref="D7">_xlfn.TEXTJOIN(CHAR(10),TRUE,IF(Aula=base_de_datos[Aula],IF("x"=base_de_datos[Lunes],IF(base_de_datos[Hora inicio]&lt;=$B7,IF(base_de_datos[Hora fin]&gt;=$C7,base_de_datos[Materia]&amp;" "&amp;base_de_datos[[Número de grupo ]],""),""),""),""),"")</f>
        <v/>
      </c>
      <c r="E7" s="29" t="str" cm="1">
        <f t="array" ref="E7">_xlfn.TEXTJOIN(CHAR(10),TRUE,IF(Aula=base_de_datos[Aula],IF("x"=base_de_datos[Lunes],IF(base_de_datos[Hora inicio]&lt;=$B7,IF(base_de_datos[Hora fin]&gt;=$C7,base_de_datos[No clase],""),""),""),""),"")</f>
        <v/>
      </c>
      <c r="F7" s="29" t="str" cm="1">
        <f t="array" ref="F7">_xlfn.TEXTJOIN(CHAR(10),TRUE,IF(Aula=base_de_datos[Aula],IF("x"=base_de_datos[Martes],IF(base_de_datos[Hora inicio]&lt;=$B7,IF(base_de_datos[Hora fin]&gt;=$C7,base_de_datos[Materia]&amp;" "&amp;base_de_datos[[Número de grupo ]],""),""),""),""),"")</f>
        <v/>
      </c>
      <c r="G7" s="29" t="str" cm="1">
        <f t="array" ref="G7">_xlfn.TEXTJOIN(CHAR(10),TRUE,IF(Aula=base_de_datos[Aula],IF("x"=base_de_datos[Martes],IF(base_de_datos[Hora inicio]&lt;=$B7,IF(base_de_datos[Hora fin]&gt;=$C7,base_de_datos[No clase],""),""),""),""),"")</f>
        <v/>
      </c>
      <c r="H7" s="29" t="str" cm="1">
        <f t="array" ref="H7">_xlfn.TEXTJOIN(CHAR(10),TRUE,IF(Aula=base_de_datos[Aula],IF("x"=base_de_datos[Miércoles],IF(base_de_datos[Hora inicio]&lt;=$B7,IF(base_de_datos[Hora fin]&gt;=$C7,base_de_datos[Materia]&amp;" "&amp;base_de_datos[[Número de grupo ]],""),""),""),""),"")</f>
        <v/>
      </c>
      <c r="I7" s="29" t="str" cm="1">
        <f t="array" ref="I7">_xlfn.TEXTJOIN(CHAR(10),TRUE,IF(Aula=base_de_datos[Aula],IF("x"=base_de_datos[Miércoles],IF(base_de_datos[Hora inicio]&lt;=$B7,IF(base_de_datos[Hora fin]&gt;=$C7,base_de_datos[No clase],""),""),""),""),"")</f>
        <v/>
      </c>
      <c r="J7" s="29" t="str" cm="1">
        <f t="array" ref="J7">_xlfn.TEXTJOIN(CHAR(10),TRUE,IF(Aula=base_de_datos[Aula],IF("x"=base_de_datos[Jueves],IF(base_de_datos[Hora inicio]&lt;=$B7,IF(base_de_datos[Hora fin]&gt;=$C7,base_de_datos[Materia]&amp;" "&amp;base_de_datos[[Número de grupo ]],""),""),""),""),"")</f>
        <v>Electricidad y magnetismo 2</v>
      </c>
      <c r="K7" s="29" t="str" cm="1">
        <f t="array" ref="K7">_xlfn.TEXTJOIN(CHAR(10),TRUE,IF(Aula=base_de_datos[Aula],IF("x"=base_de_datos[Jueves],IF(base_de_datos[Hora inicio]&lt;=$B7,IF(base_de_datos[Hora fin]&gt;=$C7,base_de_datos[No clase],""),""),""),""),"")</f>
        <v>5886</v>
      </c>
      <c r="L7" s="29" t="str" cm="1">
        <f t="array" ref="L7">_xlfn.TEXTJOIN(CHAR(10),TRUE,IF(Aula=base_de_datos[Aula],IF("x"=base_de_datos[Viernes],IF(base_de_datos[Hora inicio]&lt;=$B7,IF(base_de_datos[Hora fin]&gt;=$C7,base_de_datos[Materia]&amp;" "&amp;base_de_datos[[Número de grupo ]],""),""),""),""),"")</f>
        <v>Introducción a la ingeniería 1</v>
      </c>
      <c r="M7" s="29" t="str" cm="1">
        <f t="array" ref="M7">_xlfn.TEXTJOIN(CHAR(10),TRUE,IF(Aula=base_de_datos[Aula],IF("x"=base_de_datos[Viernes],IF(base_de_datos[Hora inicio]&lt;=$B7,IF(base_de_datos[Hora fin]&gt;=$C7,base_de_datos[No clase],""),""),""),""),"")</f>
        <v>5821</v>
      </c>
      <c r="N7" s="29" t="str" cm="1">
        <f t="array" ref="N7">_xlfn.TEXTJOIN(CHAR(10),TRUE,IF(Aula=base_de_datos[Aula],IF("x"=base_de_datos[Sábado],IF(base_de_datos[Hora inicio]&lt;=$B7,IF(base_de_datos[Hora fin]&gt;=$C7,base_de_datos[Materia]&amp;" "&amp;base_de_datos[[Número de grupo ]],""),""),""),""),"")</f>
        <v/>
      </c>
      <c r="O7" s="29" t="str" cm="1">
        <f t="array" ref="O7">_xlfn.TEXTJOIN(CHAR(10),TRUE,IF(Aula=base_de_datos[Aula],IF("x"=base_de_datos[Sábado],IF(base_de_datos[Hora inicio]&lt;=$B7,IF(base_de_datos[Hora fin]&gt;=$C7,base_de_datos[No clase],""),""),""),""),"")</f>
        <v/>
      </c>
      <c r="V7" s="28"/>
      <c r="W7" s="28"/>
      <c r="X7" s="28"/>
    </row>
    <row r="8" spans="1:26" ht="15">
      <c r="B8" s="206">
        <v>0.35416666666666702</v>
      </c>
      <c r="C8" s="206">
        <v>0.374999999999999</v>
      </c>
      <c r="D8" s="29" t="str" cm="1">
        <f t="array" ref="D8">_xlfn.TEXTJOIN(CHAR(10),TRUE,IF(Aula=base_de_datos[Aula],IF("x"=base_de_datos[Lunes],IF(base_de_datos[Hora inicio]&lt;=$B8,IF(base_de_datos[Hora fin]&gt;=$C8,base_de_datos[Materia]&amp;" "&amp;base_de_datos[[Número de grupo ]],""),""),""),""),"")</f>
        <v/>
      </c>
      <c r="E8" s="29" t="str" cm="1">
        <f t="array" ref="E8">_xlfn.TEXTJOIN(CHAR(10),TRUE,IF(Aula=base_de_datos[Aula],IF("x"=base_de_datos[Lunes],IF(base_de_datos[Hora inicio]&lt;=$B8,IF(base_de_datos[Hora fin]&gt;=$C8,base_de_datos[No clase],""),""),""),""),"")</f>
        <v/>
      </c>
      <c r="F8" s="29" t="str" cm="1">
        <f t="array" ref="F8">_xlfn.TEXTJOIN(CHAR(10),TRUE,IF(Aula=base_de_datos[Aula],IF("x"=base_de_datos[Martes],IF(base_de_datos[Hora inicio]&lt;=$B8,IF(base_de_datos[Hora fin]&gt;=$C8,base_de_datos[Materia]&amp;" "&amp;base_de_datos[[Número de grupo ]],""),""),""),""),"")</f>
        <v/>
      </c>
      <c r="G8" s="29" t="str" cm="1">
        <f t="array" ref="G8">_xlfn.TEXTJOIN(CHAR(10),TRUE,IF(Aula=base_de_datos[Aula],IF("x"=base_de_datos[Martes],IF(base_de_datos[Hora inicio]&lt;=$B8,IF(base_de_datos[Hora fin]&gt;=$C8,base_de_datos[No clase],""),""),""),""),"")</f>
        <v/>
      </c>
      <c r="H8" s="29" t="str" cm="1">
        <f t="array" ref="H8">_xlfn.TEXTJOIN(CHAR(10),TRUE,IF(Aula=base_de_datos[Aula],IF("x"=base_de_datos[Miércoles],IF(base_de_datos[Hora inicio]&lt;=$B8,IF(base_de_datos[Hora fin]&gt;=$C8,base_de_datos[Materia]&amp;" "&amp;base_de_datos[[Número de grupo ]],""),""),""),""),"")</f>
        <v/>
      </c>
      <c r="I8" s="29" t="str" cm="1">
        <f t="array" ref="I8">_xlfn.TEXTJOIN(CHAR(10),TRUE,IF(Aula=base_de_datos[Aula],IF("x"=base_de_datos[Miércoles],IF(base_de_datos[Hora inicio]&lt;=$B8,IF(base_de_datos[Hora fin]&gt;=$C8,base_de_datos[No clase],""),""),""),""),"")</f>
        <v/>
      </c>
      <c r="J8" s="29" t="str" cm="1">
        <f t="array" ref="J8">_xlfn.TEXTJOIN(CHAR(10),TRUE,IF(Aula=base_de_datos[Aula],IF("x"=base_de_datos[Jueves],IF(base_de_datos[Hora inicio]&lt;=$B8,IF(base_de_datos[Hora fin]&gt;=$C8,base_de_datos[Materia]&amp;" "&amp;base_de_datos[[Número de grupo ]],""),""),""),""),"")</f>
        <v>Electricidad y magnetismo 2</v>
      </c>
      <c r="K8" s="29" t="str" cm="1">
        <f t="array" ref="K8">_xlfn.TEXTJOIN(CHAR(10),TRUE,IF(Aula=base_de_datos[Aula],IF("x"=base_de_datos[Jueves],IF(base_de_datos[Hora inicio]&lt;=$B8,IF(base_de_datos[Hora fin]&gt;=$C8,base_de_datos[No clase],""),""),""),""),"")</f>
        <v>5886</v>
      </c>
      <c r="L8" s="29" t="str" cm="1">
        <f t="array" ref="L8">_xlfn.TEXTJOIN(CHAR(10),TRUE,IF(Aula=base_de_datos[Aula],IF("x"=base_de_datos[Viernes],IF(base_de_datos[Hora inicio]&lt;=$B8,IF(base_de_datos[Hora fin]&gt;=$C8,base_de_datos[Materia]&amp;" "&amp;base_de_datos[[Número de grupo ]],""),""),""),""),"")</f>
        <v>Introducción a la ingeniería 1</v>
      </c>
      <c r="M8" s="29" t="str" cm="1">
        <f t="array" ref="M8">_xlfn.TEXTJOIN(CHAR(10),TRUE,IF(Aula=base_de_datos[Aula],IF("x"=base_de_datos[Viernes],IF(base_de_datos[Hora inicio]&lt;=$B8,IF(base_de_datos[Hora fin]&gt;=$C8,base_de_datos[No clase],""),""),""),""),"")</f>
        <v>5821</v>
      </c>
      <c r="N8" s="29" t="str" cm="1">
        <f t="array" ref="N8">_xlfn.TEXTJOIN(CHAR(10),TRUE,IF(Aula=base_de_datos[Aula],IF("x"=base_de_datos[Sábado],IF(base_de_datos[Hora inicio]&lt;=$B8,IF(base_de_datos[Hora fin]&gt;=$C8,base_de_datos[Materia]&amp;" "&amp;base_de_datos[[Número de grupo ]],""),""),""),""),"")</f>
        <v/>
      </c>
      <c r="O8" s="29" t="str" cm="1">
        <f t="array" ref="O8">_xlfn.TEXTJOIN(CHAR(10),TRUE,IF(Aula=base_de_datos[Aula],IF("x"=base_de_datos[Sábado],IF(base_de_datos[Hora inicio]&lt;=$B8,IF(base_de_datos[Hora fin]&gt;=$C8,base_de_datos[No clase],""),""),""),""),"")</f>
        <v/>
      </c>
      <c r="V8" s="28"/>
      <c r="W8" s="28"/>
      <c r="X8" s="28"/>
    </row>
    <row r="9" spans="1:26" ht="75">
      <c r="B9" s="206">
        <v>0.375</v>
      </c>
      <c r="C9" s="206">
        <v>0.39583333333333198</v>
      </c>
      <c r="D9" s="29" t="str" cm="1">
        <f t="array" ref="D9">_xlfn.TEXTJOIN(CHAR(10),TRUE,IF(Aula=base_de_datos[Aula],IF("x"=base_de_datos[Lunes],IF(base_de_datos[Hora inicio]&lt;=$B9,IF(base_de_datos[Hora fin]&gt;=$C9,base_de_datos[Materia]&amp;" "&amp;base_de_datos[[Número de grupo ]],""),""),""),""),"")</f>
        <v/>
      </c>
      <c r="E9" s="29" t="str" cm="1">
        <f t="array" ref="E9">_xlfn.TEXTJOIN(CHAR(10),TRUE,IF(Aula=base_de_datos[Aula],IF("x"=base_de_datos[Lunes],IF(base_de_datos[Hora inicio]&lt;=$B9,IF(base_de_datos[Hora fin]&gt;=$C9,base_de_datos[No clase],""),""),""),""),"")</f>
        <v/>
      </c>
      <c r="F9" s="29" t="str" cm="1">
        <f t="array" ref="F9">_xlfn.TEXTJOIN(CHAR(10),TRUE,IF(Aula=base_de_datos[Aula],IF("x"=base_de_datos[Martes],IF(base_de_datos[Hora inicio]&lt;=$B9,IF(base_de_datos[Hora fin]&gt;=$C9,base_de_datos[Materia]&amp;" "&amp;base_de_datos[[Número de grupo ]],""),""),""),""),"")</f>
        <v/>
      </c>
      <c r="G9" s="29" t="str" cm="1">
        <f t="array" ref="G9">_xlfn.TEXTJOIN(CHAR(10),TRUE,IF(Aula=base_de_datos[Aula],IF("x"=base_de_datos[Martes],IF(base_de_datos[Hora inicio]&lt;=$B9,IF(base_de_datos[Hora fin]&gt;=$C9,base_de_datos[No clase],""),""),""),""),"")</f>
        <v/>
      </c>
      <c r="H9" s="29" t="str" cm="1">
        <f t="array" ref="H9">_xlfn.TEXTJOIN(CHAR(10),TRUE,IF(Aula=base_de_datos[Aula],IF("x"=base_de_datos[Miércoles],IF(base_de_datos[Hora inicio]&lt;=$B9,IF(base_de_datos[Hora fin]&gt;=$C9,base_de_datos[Materia]&amp;" "&amp;base_de_datos[[Número de grupo ]],""),""),""),""),"")</f>
        <v/>
      </c>
      <c r="I9" s="29" t="str" cm="1">
        <f t="array" ref="I9">_xlfn.TEXTJOIN(CHAR(10),TRUE,IF(Aula=base_de_datos[Aula],IF("x"=base_de_datos[Miércoles],IF(base_de_datos[Hora inicio]&lt;=$B9,IF(base_de_datos[Hora fin]&gt;=$C9,base_de_datos[No clase],""),""),""),""),"")</f>
        <v/>
      </c>
      <c r="J9" s="29" t="str" cm="1">
        <f t="array" ref="J9">_xlfn.TEXTJOIN(CHAR(10),TRUE,IF(Aula=base_de_datos[Aula],IF("x"=base_de_datos[Jueves],IF(base_de_datos[Hora inicio]&lt;=$B9,IF(base_de_datos[Hora fin]&gt;=$C9,base_de_datos[Materia]&amp;" "&amp;base_de_datos[[Número de grupo ]],""),""),""),""),"")</f>
        <v/>
      </c>
      <c r="K9" s="29" t="str" cm="1">
        <f t="array" ref="K9">_xlfn.TEXTJOIN(CHAR(10),TRUE,IF(Aula=base_de_datos[Aula],IF("x"=base_de_datos[Jueves],IF(base_de_datos[Hora inicio]&lt;=$B9,IF(base_de_datos[Hora fin]&gt;=$C9,base_de_datos[No clase],""),""),""),""),"")</f>
        <v/>
      </c>
      <c r="L9" s="29" t="str" cm="1">
        <f t="array" ref="L9">_xlfn.TEXTJOIN(CHAR(10),TRUE,IF(Aula=base_de_datos[Aula],IF("x"=base_de_datos[Viernes],IF(base_de_datos[Hora inicio]&lt;=$B9,IF(base_de_datos[Hora fin]&gt;=$C9,base_de_datos[Materia]&amp;" "&amp;base_de_datos[[Número de grupo ]],""),""),""),""),"")</f>
        <v>Electricidad y magnetismo 2</v>
      </c>
      <c r="M9" s="29" t="str" cm="1">
        <f t="array" ref="M9">_xlfn.TEXTJOIN(CHAR(10),TRUE,IF(Aula=base_de_datos[Aula],IF("x"=base_de_datos[Viernes],IF(base_de_datos[Hora inicio]&lt;=$B9,IF(base_de_datos[Hora fin]&gt;=$C9,base_de_datos[No clase],""),""),""),""),"")</f>
        <v>5886</v>
      </c>
      <c r="N9" s="29" t="str" cm="1">
        <f t="array" ref="N9">_xlfn.TEXTJOIN(CHAR(10),TRUE,IF(Aula=base_de_datos[Aula],IF("x"=base_de_datos[Sábado],IF(base_de_datos[Hora inicio]&lt;=$B9,IF(base_de_datos[Hora fin]&gt;=$C9,base_de_datos[Materia]&amp;" "&amp;base_de_datos[[Número de grupo ]],""),""),""),""),"")</f>
        <v xml:space="preserve"> </v>
      </c>
      <c r="O9" s="29" t="str" cm="1">
        <f t="array" ref="O9">_xlfn.TEXTJOIN(CHAR(10),TRUE,IF(Aula=base_de_datos[Aula],IF("x"=base_de_datos[Sábado],IF(base_de_datos[Hora inicio]&lt;=$B9,IF(base_de_datos[Hora fin]&gt;=$C9,base_de_datos[No clase],""),""),""),""),"")</f>
        <v>Integra UP (Agosto 19, 30 septiembre, 28 octubre, 11 noviembre)</v>
      </c>
      <c r="V9" s="28"/>
      <c r="W9" s="28"/>
      <c r="X9" s="28"/>
    </row>
    <row r="10" spans="1:26" ht="75">
      <c r="B10" s="206">
        <v>0.39583333333333398</v>
      </c>
      <c r="C10" s="206">
        <v>0.41666666666666502</v>
      </c>
      <c r="D10" s="29" t="str" cm="1">
        <f t="array" ref="D10">_xlfn.TEXTJOIN(CHAR(10),TRUE,IF(Aula=base_de_datos[Aula],IF("x"=base_de_datos[Lunes],IF(base_de_datos[Hora inicio]&lt;=$B10,IF(base_de_datos[Hora fin]&gt;=$C10,base_de_datos[Materia]&amp;" "&amp;base_de_datos[[Número de grupo ]],""),""),""),""),"")</f>
        <v>Tendencias estéticas del diseño 1</v>
      </c>
      <c r="E10" s="29" t="str" cm="1">
        <f t="array" ref="E10">_xlfn.TEXTJOIN(CHAR(10),TRUE,IF(Aula=base_de_datos[Aula],IF("x"=base_de_datos[Lunes],IF(base_de_datos[Hora inicio]&lt;=$B10,IF(base_de_datos[Hora fin]&gt;=$C10,base_de_datos[No clase],""),""),""),""),"")</f>
        <v>1638</v>
      </c>
      <c r="F10" s="29" t="str" cm="1">
        <f t="array" ref="F10">_xlfn.TEXTJOIN(CHAR(10),TRUE,IF(Aula=base_de_datos[Aula],IF("x"=base_de_datos[Martes],IF(base_de_datos[Hora inicio]&lt;=$B10,IF(base_de_datos[Hora fin]&gt;=$C10,base_de_datos[Materia]&amp;" "&amp;base_de_datos[[Número de grupo ]],""),""),""),""),"")</f>
        <v/>
      </c>
      <c r="G10" s="29" t="str" cm="1">
        <f t="array" ref="G10">_xlfn.TEXTJOIN(CHAR(10),TRUE,IF(Aula=base_de_datos[Aula],IF("x"=base_de_datos[Martes],IF(base_de_datos[Hora inicio]&lt;=$B10,IF(base_de_datos[Hora fin]&gt;=$C10,base_de_datos[No clase],""),""),""),""),"")</f>
        <v/>
      </c>
      <c r="H10" s="29" t="str" cm="1">
        <f t="array" ref="H10">_xlfn.TEXTJOIN(CHAR(10),TRUE,IF(Aula=base_de_datos[Aula],IF("x"=base_de_datos[Miércoles],IF(base_de_datos[Hora inicio]&lt;=$B10,IF(base_de_datos[Hora fin]&gt;=$C10,base_de_datos[Materia]&amp;" "&amp;base_de_datos[[Número de grupo ]],""),""),""),""),"")</f>
        <v/>
      </c>
      <c r="I10" s="29" t="str" cm="1">
        <f t="array" ref="I10">_xlfn.TEXTJOIN(CHAR(10),TRUE,IF(Aula=base_de_datos[Aula],IF("x"=base_de_datos[Miércoles],IF(base_de_datos[Hora inicio]&lt;=$B10,IF(base_de_datos[Hora fin]&gt;=$C10,base_de_datos[No clase],""),""),""),""),"")</f>
        <v/>
      </c>
      <c r="J10" s="29" t="str" cm="1">
        <f t="array" ref="J10">_xlfn.TEXTJOIN(CHAR(10),TRUE,IF(Aula=base_de_datos[Aula],IF("x"=base_de_datos[Jueves],IF(base_de_datos[Hora inicio]&lt;=$B10,IF(base_de_datos[Hora fin]&gt;=$C10,base_de_datos[Materia]&amp;" "&amp;base_de_datos[[Número de grupo ]],""),""),""),""),"")</f>
        <v/>
      </c>
      <c r="K10" s="29" t="str" cm="1">
        <f t="array" ref="K10">_xlfn.TEXTJOIN(CHAR(10),TRUE,IF(Aula=base_de_datos[Aula],IF("x"=base_de_datos[Jueves],IF(base_de_datos[Hora inicio]&lt;=$B10,IF(base_de_datos[Hora fin]&gt;=$C10,base_de_datos[No clase],""),""),""),""),"")</f>
        <v/>
      </c>
      <c r="L10" s="29" t="str" cm="1">
        <f t="array" ref="L10">_xlfn.TEXTJOIN(CHAR(10),TRUE,IF(Aula=base_de_datos[Aula],IF("x"=base_de_datos[Viernes],IF(base_de_datos[Hora inicio]&lt;=$B10,IF(base_de_datos[Hora fin]&gt;=$C10,base_de_datos[Materia]&amp;" "&amp;base_de_datos[[Número de grupo ]],""),""),""),""),"")</f>
        <v>Electricidad y magnetismo 2</v>
      </c>
      <c r="M10" s="29" t="str" cm="1">
        <f t="array" ref="M10">_xlfn.TEXTJOIN(CHAR(10),TRUE,IF(Aula=base_de_datos[Aula],IF("x"=base_de_datos[Viernes],IF(base_de_datos[Hora inicio]&lt;=$B10,IF(base_de_datos[Hora fin]&gt;=$C10,base_de_datos[No clase],""),""),""),""),"")</f>
        <v>5886</v>
      </c>
      <c r="N10" s="29" t="str" cm="1">
        <f t="array" ref="N10">_xlfn.TEXTJOIN(CHAR(10),TRUE,IF(Aula=base_de_datos[Aula],IF("x"=base_de_datos[Sábado],IF(base_de_datos[Hora inicio]&lt;=$B10,IF(base_de_datos[Hora fin]&gt;=$C10,base_de_datos[Materia]&amp;" "&amp;base_de_datos[[Número de grupo ]],""),""),""),""),"")</f>
        <v xml:space="preserve"> </v>
      </c>
      <c r="O10" s="29" t="str" cm="1">
        <f t="array" ref="O10">_xlfn.TEXTJOIN(CHAR(10),TRUE,IF(Aula=base_de_datos[Aula],IF("x"=base_de_datos[Sábado],IF(base_de_datos[Hora inicio]&lt;=$B10,IF(base_de_datos[Hora fin]&gt;=$C10,base_de_datos[No clase],""),""),""),""),"")</f>
        <v>Integra UP (Agosto 19, 30 septiembre, 28 octubre, 11 noviembre)</v>
      </c>
      <c r="V10" s="28"/>
      <c r="W10" s="28"/>
      <c r="X10" s="28"/>
    </row>
    <row r="11" spans="1:26" ht="75">
      <c r="B11" s="206">
        <v>0.41666666666666702</v>
      </c>
      <c r="C11" s="206">
        <v>0.437499999999998</v>
      </c>
      <c r="D11" s="29" t="str" cm="1">
        <f t="array" ref="D11">_xlfn.TEXTJOIN(CHAR(10),TRUE,IF(Aula=base_de_datos[Aula],IF("x"=base_de_datos[Lunes],IF(base_de_datos[Hora inicio]&lt;=$B11,IF(base_de_datos[Hora fin]&gt;=$C11,base_de_datos[Materia]&amp;" "&amp;base_de_datos[[Número de grupo ]],""),""),""),""),"")</f>
        <v>Tendencias estéticas del diseño 1</v>
      </c>
      <c r="E11" s="29" t="str" cm="1">
        <f t="array" ref="E11">_xlfn.TEXTJOIN(CHAR(10),TRUE,IF(Aula=base_de_datos[Aula],IF("x"=base_de_datos[Lunes],IF(base_de_datos[Hora inicio]&lt;=$B11,IF(base_de_datos[Hora fin]&gt;=$C11,base_de_datos[No clase],""),""),""),""),"")</f>
        <v>1638</v>
      </c>
      <c r="F11" s="29" t="str" cm="1">
        <f t="array" ref="F11">_xlfn.TEXTJOIN(CHAR(10),TRUE,IF(Aula=base_de_datos[Aula],IF("x"=base_de_datos[Martes],IF(base_de_datos[Hora inicio]&lt;=$B11,IF(base_de_datos[Hora fin]&gt;=$C11,base_de_datos[Materia]&amp;" "&amp;base_de_datos[[Número de grupo ]],""),""),""),""),"")</f>
        <v/>
      </c>
      <c r="G11" s="29" t="str" cm="1">
        <f t="array" ref="G11">_xlfn.TEXTJOIN(CHAR(10),TRUE,IF(Aula=base_de_datos[Aula],IF("x"=base_de_datos[Martes],IF(base_de_datos[Hora inicio]&lt;=$B11,IF(base_de_datos[Hora fin]&gt;=$C11,base_de_datos[No clase],""),""),""),""),"")</f>
        <v/>
      </c>
      <c r="H11" s="29" t="str" cm="1">
        <f t="array" ref="H11">_xlfn.TEXTJOIN(CHAR(10),TRUE,IF(Aula=base_de_datos[Aula],IF("x"=base_de_datos[Miércoles],IF(base_de_datos[Hora inicio]&lt;=$B11,IF(base_de_datos[Hora fin]&gt;=$C11,base_de_datos[Materia]&amp;" "&amp;base_de_datos[[Número de grupo ]],""),""),""),""),"")</f>
        <v/>
      </c>
      <c r="I11" s="29" t="str" cm="1">
        <f t="array" ref="I11">_xlfn.TEXTJOIN(CHAR(10),TRUE,IF(Aula=base_de_datos[Aula],IF("x"=base_de_datos[Miércoles],IF(base_de_datos[Hora inicio]&lt;=$B11,IF(base_de_datos[Hora fin]&gt;=$C11,base_de_datos[No clase],""),""),""),""),"")</f>
        <v/>
      </c>
      <c r="J11" s="29" t="str" cm="1">
        <f t="array" ref="J11">_xlfn.TEXTJOIN(CHAR(10),TRUE,IF(Aula=base_de_datos[Aula],IF("x"=base_de_datos[Jueves],IF(base_de_datos[Hora inicio]&lt;=$B11,IF(base_de_datos[Hora fin]&gt;=$C11,base_de_datos[Materia]&amp;" "&amp;base_de_datos[[Número de grupo ]],""),""),""),""),"")</f>
        <v/>
      </c>
      <c r="K11" s="29" t="str" cm="1">
        <f t="array" ref="K11">_xlfn.TEXTJOIN(CHAR(10),TRUE,IF(Aula=base_de_datos[Aula],IF("x"=base_de_datos[Jueves],IF(base_de_datos[Hora inicio]&lt;=$B11,IF(base_de_datos[Hora fin]&gt;=$C11,base_de_datos[No clase],""),""),""),""),"")</f>
        <v/>
      </c>
      <c r="L11" s="29" t="str" cm="1">
        <f t="array" ref="L11">_xlfn.TEXTJOIN(CHAR(10),TRUE,IF(Aula=base_de_datos[Aula],IF("x"=base_de_datos[Viernes],IF(base_de_datos[Hora inicio]&lt;=$B11,IF(base_de_datos[Hora fin]&gt;=$C11,base_de_datos[Materia]&amp;" "&amp;base_de_datos[[Número de grupo ]],""),""),""),""),"")</f>
        <v>Electricidad y magnetismo 2</v>
      </c>
      <c r="M11" s="29" t="str" cm="1">
        <f t="array" ref="M11">_xlfn.TEXTJOIN(CHAR(10),TRUE,IF(Aula=base_de_datos[Aula],IF("x"=base_de_datos[Viernes],IF(base_de_datos[Hora inicio]&lt;=$B11,IF(base_de_datos[Hora fin]&gt;=$C11,base_de_datos[No clase],""),""),""),""),"")</f>
        <v>5886</v>
      </c>
      <c r="N11" s="29" t="str" cm="1">
        <f t="array" ref="N11">_xlfn.TEXTJOIN(CHAR(10),TRUE,IF(Aula=base_de_datos[Aula],IF("x"=base_de_datos[Sábado],IF(base_de_datos[Hora inicio]&lt;=$B11,IF(base_de_datos[Hora fin]&gt;=$C11,base_de_datos[Materia]&amp;" "&amp;base_de_datos[[Número de grupo ]],""),""),""),""),"")</f>
        <v xml:space="preserve"> </v>
      </c>
      <c r="O11" s="29" t="str" cm="1">
        <f t="array" ref="O11">_xlfn.TEXTJOIN(CHAR(10),TRUE,IF(Aula=base_de_datos[Aula],IF("x"=base_de_datos[Sábado],IF(base_de_datos[Hora inicio]&lt;=$B11,IF(base_de_datos[Hora fin]&gt;=$C11,base_de_datos[No clase],""),""),""),""),"")</f>
        <v>Integra UP (Agosto 19, 30 septiembre, 28 octubre, 11 noviembre)</v>
      </c>
      <c r="V11" s="28"/>
      <c r="W11" s="28"/>
      <c r="X11" s="28"/>
    </row>
    <row r="12" spans="1:26" ht="75">
      <c r="B12" s="206">
        <v>0.4375</v>
      </c>
      <c r="C12" s="206">
        <v>0.45833333333333098</v>
      </c>
      <c r="D12" s="29" t="str" cm="1">
        <f t="array" ref="D12">_xlfn.TEXTJOIN(CHAR(10),TRUE,IF(Aula=base_de_datos[Aula],IF("x"=base_de_datos[Lunes],IF(base_de_datos[Hora inicio]&lt;=$B12,IF(base_de_datos[Hora fin]&gt;=$C12,base_de_datos[Materia]&amp;" "&amp;base_de_datos[[Número de grupo ]],""),""),""),""),"")</f>
        <v>Tendencias estéticas del diseño 1</v>
      </c>
      <c r="E12" s="29" t="str" cm="1">
        <f t="array" ref="E12">_xlfn.TEXTJOIN(CHAR(10),TRUE,IF(Aula=base_de_datos[Aula],IF("x"=base_de_datos[Lunes],IF(base_de_datos[Hora inicio]&lt;=$B12,IF(base_de_datos[Hora fin]&gt;=$C12,base_de_datos[No clase],""),""),""),""),"")</f>
        <v>1638</v>
      </c>
      <c r="F12" s="29" t="str" cm="1">
        <f t="array" ref="F12">_xlfn.TEXTJOIN(CHAR(10),TRUE,IF(Aula=base_de_datos[Aula],IF("x"=base_de_datos[Martes],IF(base_de_datos[Hora inicio]&lt;=$B12,IF(base_de_datos[Hora fin]&gt;=$C12,base_de_datos[Materia]&amp;" "&amp;base_de_datos[[Número de grupo ]],""),""),""),""),"")</f>
        <v/>
      </c>
      <c r="G12" s="29" t="str" cm="1">
        <f t="array" ref="G12">_xlfn.TEXTJOIN(CHAR(10),TRUE,IF(Aula=base_de_datos[Aula],IF("x"=base_de_datos[Martes],IF(base_de_datos[Hora inicio]&lt;=$B12,IF(base_de_datos[Hora fin]&gt;=$C12,base_de_datos[No clase],""),""),""),""),"")</f>
        <v/>
      </c>
      <c r="H12" s="29" t="str" cm="1">
        <f t="array" ref="H12">_xlfn.TEXTJOIN(CHAR(10),TRUE,IF(Aula=base_de_datos[Aula],IF("x"=base_de_datos[Miércoles],IF(base_de_datos[Hora inicio]&lt;=$B12,IF(base_de_datos[Hora fin]&gt;=$C12,base_de_datos[Materia]&amp;" "&amp;base_de_datos[[Número de grupo ]],""),""),""),""),"")</f>
        <v/>
      </c>
      <c r="I12" s="29" t="str" cm="1">
        <f t="array" ref="I12">_xlfn.TEXTJOIN(CHAR(10),TRUE,IF(Aula=base_de_datos[Aula],IF("x"=base_de_datos[Miércoles],IF(base_de_datos[Hora inicio]&lt;=$B12,IF(base_de_datos[Hora fin]&gt;=$C12,base_de_datos[No clase],""),""),""),""),"")</f>
        <v/>
      </c>
      <c r="J12" s="29" t="str" cm="1">
        <f t="array" ref="J12">_xlfn.TEXTJOIN(CHAR(10),TRUE,IF(Aula=base_de_datos[Aula],IF("x"=base_de_datos[Jueves],IF(base_de_datos[Hora inicio]&lt;=$B12,IF(base_de_datos[Hora fin]&gt;=$C12,base_de_datos[Materia]&amp;" "&amp;base_de_datos[[Número de grupo ]],""),""),""),""),"")</f>
        <v/>
      </c>
      <c r="K12" s="29" t="str" cm="1">
        <f t="array" ref="K12">_xlfn.TEXTJOIN(CHAR(10),TRUE,IF(Aula=base_de_datos[Aula],IF("x"=base_de_datos[Jueves],IF(base_de_datos[Hora inicio]&lt;=$B12,IF(base_de_datos[Hora fin]&gt;=$C12,base_de_datos[No clase],""),""),""),""),"")</f>
        <v/>
      </c>
      <c r="L12" s="29" t="str" cm="1">
        <f t="array" ref="L12">_xlfn.TEXTJOIN(CHAR(10),TRUE,IF(Aula=base_de_datos[Aula],IF("x"=base_de_datos[Viernes],IF(base_de_datos[Hora inicio]&lt;=$B12,IF(base_de_datos[Hora fin]&gt;=$C12,base_de_datos[Materia]&amp;" "&amp;base_de_datos[[Número de grupo ]],""),""),""),""),"")</f>
        <v>Electricidad y magnetismo 2</v>
      </c>
      <c r="M12" s="29" t="str" cm="1">
        <f t="array" ref="M12">_xlfn.TEXTJOIN(CHAR(10),TRUE,IF(Aula=base_de_datos[Aula],IF("x"=base_de_datos[Viernes],IF(base_de_datos[Hora inicio]&lt;=$B12,IF(base_de_datos[Hora fin]&gt;=$C12,base_de_datos[No clase],""),""),""),""),"")</f>
        <v>5886</v>
      </c>
      <c r="N12" s="29" t="str" cm="1">
        <f t="array" ref="N12">_xlfn.TEXTJOIN(CHAR(10),TRUE,IF(Aula=base_de_datos[Aula],IF("x"=base_de_datos[Sábado],IF(base_de_datos[Hora inicio]&lt;=$B12,IF(base_de_datos[Hora fin]&gt;=$C12,base_de_datos[Materia]&amp;" "&amp;base_de_datos[[Número de grupo ]],""),""),""),""),"")</f>
        <v xml:space="preserve"> </v>
      </c>
      <c r="O12" s="29" t="str" cm="1">
        <f t="array" ref="O12">_xlfn.TEXTJOIN(CHAR(10),TRUE,IF(Aula=base_de_datos[Aula],IF("x"=base_de_datos[Sábado],IF(base_de_datos[Hora inicio]&lt;=$B12,IF(base_de_datos[Hora fin]&gt;=$C12,base_de_datos[No clase],""),""),""),""),"")</f>
        <v>Integra UP (Agosto 19, 30 septiembre, 28 octubre, 11 noviembre)</v>
      </c>
      <c r="V12" s="28"/>
      <c r="W12" s="28"/>
      <c r="X12" s="28"/>
    </row>
    <row r="13" spans="1:26" ht="75">
      <c r="B13" s="206">
        <v>0.45833333333333398</v>
      </c>
      <c r="C13" s="206">
        <v>0.47916666666666402</v>
      </c>
      <c r="D13" s="29" t="str" cm="1">
        <f t="array" ref="D13">_xlfn.TEXTJOIN(CHAR(10),TRUE,IF(Aula=base_de_datos[Aula],IF("x"=base_de_datos[Lunes],IF(base_de_datos[Hora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_xlfn.TEXTJOIN(CHAR(10),TRUE,IF(Aula=base_de_datos[Aula],IF("x"=base_de_datos[Lunes],IF(base_de_datos[Hora inicio]&lt;=$B13,IF(base_de_datos[Hora fin]&gt;=$C13,base_de_datos[No clase],""),""),""),""),"")</f>
        <v/>
      </c>
      <c r="F13" s="29" t="str" cm="1">
        <f t="array" ref="F13">_xlfn.TEXTJOIN(CHAR(10),TRUE,IF(Aula=base_de_datos[Aula],IF("x"=base_de_datos[Martes],IF(base_de_datos[Hora inicio]&lt;=$B13,IF(base_de_datos[Hora fin]&gt;=$C13,base_de_datos[Materia]&amp;" "&amp;base_de_datos[[Número de grupo ]],""),""),""),""),"")</f>
        <v/>
      </c>
      <c r="G13" s="29" t="str" cm="1">
        <f t="array" ref="G13">_xlfn.TEXTJOIN(CHAR(10),TRUE,IF(Aula=base_de_datos[Aula],IF("x"=base_de_datos[Martes],IF(base_de_datos[Hora inicio]&lt;=$B13,IF(base_de_datos[Hora fin]&gt;=$C13,base_de_datos[No clase],""),""),""),""),"")</f>
        <v/>
      </c>
      <c r="H13" s="29" t="str" cm="1">
        <f t="array" ref="H13">_xlfn.TEXTJOIN(CHAR(10),TRUE,IF(Aula=base_de_datos[Aula],IF("x"=base_de_datos[Miércoles],IF(base_de_datos[Hora inicio]&lt;=$B13,IF(base_de_datos[Hora fin]&gt;=$C13,base_de_datos[Materia]&amp;" "&amp;base_de_datos[[Número de grupo ]],""),""),""),""),"")</f>
        <v/>
      </c>
      <c r="I13" s="29" t="str" cm="1">
        <f t="array" ref="I13">_xlfn.TEXTJOIN(CHAR(10),TRUE,IF(Aula=base_de_datos[Aula],IF("x"=base_de_datos[Miércoles],IF(base_de_datos[Hora inicio]&lt;=$B13,IF(base_de_datos[Hora fin]&gt;=$C13,base_de_datos[No clase],""),""),""),""),"")</f>
        <v/>
      </c>
      <c r="J13" s="29" t="str" cm="1">
        <f t="array" ref="J13">_xlfn.TEXTJOIN(CHAR(10),TRUE,IF(Aula=base_de_datos[Aula],IF("x"=base_de_datos[Jueves],IF(base_de_datos[Hora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_xlfn.TEXTJOIN(CHAR(10),TRUE,IF(Aula=base_de_datos[Aula],IF("x"=base_de_datos[Jueves],IF(base_de_datos[Hora inicio]&lt;=$B13,IF(base_de_datos[Hora fin]&gt;=$C13,base_de_datos[No clase],""),""),""),""),"")</f>
        <v/>
      </c>
      <c r="L13" s="29" t="str" cm="1">
        <f t="array" ref="L13">_xlfn.TEXTJOIN(CHAR(10),TRUE,IF(Aula=base_de_datos[Aula],IF("x"=base_de_datos[Viernes],IF(base_de_datos[Hora inicio]&lt;=$B13,IF(base_de_datos[Hora fin]&gt;=$C13,base_de_datos[Materia]&amp;" "&amp;base_de_datos[[Número de grupo ]],""),""),""),""),"")</f>
        <v/>
      </c>
      <c r="M13" s="29" t="str" cm="1">
        <f t="array" ref="M13">_xlfn.TEXTJOIN(CHAR(10),TRUE,IF(Aula=base_de_datos[Aula],IF("x"=base_de_datos[Viernes],IF(base_de_datos[Hora inicio]&lt;=$B13,IF(base_de_datos[Hora fin]&gt;=$C13,base_de_datos[No clase],""),""),""),""),"")</f>
        <v/>
      </c>
      <c r="N13" s="29" t="str" cm="1">
        <f t="array" ref="N13">_xlfn.TEXTJOIN(CHAR(10),TRUE,IF(Aula=base_de_datos[Aula],IF("x"=base_de_datos[Sábado],IF(base_de_datos[Hora inicio]&lt;=$B13,IF(base_de_datos[Hora fin]&gt;=$C13,base_de_datos[Materia]&amp;" "&amp;base_de_datos[[Número de grupo ]],""),""),""),""),"")</f>
        <v xml:space="preserve"> </v>
      </c>
      <c r="O13" s="29" t="str" cm="1">
        <f t="array" ref="O13">_xlfn.TEXTJOIN(CHAR(10),TRUE,IF(Aula=base_de_datos[Aula],IF("x"=base_de_datos[Sábado],IF(base_de_datos[Hora inicio]&lt;=$B13,IF(base_de_datos[Hora fin]&gt;=$C13,base_de_datos[No clase],""),""),""),""),"")</f>
        <v>Integra UP (Agosto 19, 30 septiembre, 28 octubre, 11 noviembre)</v>
      </c>
      <c r="V13" s="28"/>
      <c r="W13" s="28"/>
      <c r="X13" s="28"/>
    </row>
    <row r="14" spans="1:26" ht="75">
      <c r="B14" s="206">
        <v>0.47916666666666702</v>
      </c>
      <c r="C14" s="206">
        <v>0.499999999999997</v>
      </c>
      <c r="D14" s="29" t="str" cm="1">
        <f t="array" ref="D14">_xlfn.TEXTJOIN(CHAR(10),TRUE,IF(Aula=base_de_datos[Aula],IF("x"=base_de_datos[Lunes],IF(base_de_datos[Hora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_xlfn.TEXTJOIN(CHAR(10),TRUE,IF(Aula=base_de_datos[Aula],IF("x"=base_de_datos[Lunes],IF(base_de_datos[Hora inicio]&lt;=$B14,IF(base_de_datos[Hora fin]&gt;=$C14,base_de_datos[No clase],""),""),""),""),"")</f>
        <v/>
      </c>
      <c r="F14" s="29" t="str" cm="1">
        <f t="array" ref="F14">_xlfn.TEXTJOIN(CHAR(10),TRUE,IF(Aula=base_de_datos[Aula],IF("x"=base_de_datos[Martes],IF(base_de_datos[Hora inicio]&lt;=$B14,IF(base_de_datos[Hora fin]&gt;=$C14,base_de_datos[Materia]&amp;" "&amp;base_de_datos[[Número de grupo ]],""),""),""),""),"")</f>
        <v/>
      </c>
      <c r="G14" s="29" t="str" cm="1">
        <f t="array" ref="G14">_xlfn.TEXTJOIN(CHAR(10),TRUE,IF(Aula=base_de_datos[Aula],IF("x"=base_de_datos[Martes],IF(base_de_datos[Hora inicio]&lt;=$B14,IF(base_de_datos[Hora fin]&gt;=$C14,base_de_datos[No clase],""),""),""),""),"")</f>
        <v/>
      </c>
      <c r="H14" s="29" t="str" cm="1">
        <f t="array" ref="H14">_xlfn.TEXTJOIN(CHAR(10),TRUE,IF(Aula=base_de_datos[Aula],IF("x"=base_de_datos[Miércoles],IF(base_de_datos[Hora inicio]&lt;=$B14,IF(base_de_datos[Hora fin]&gt;=$C14,base_de_datos[Materia]&amp;" "&amp;base_de_datos[[Número de grupo ]],""),""),""),""),"")</f>
        <v/>
      </c>
      <c r="I14" s="29" t="str" cm="1">
        <f t="array" ref="I14">_xlfn.TEXTJOIN(CHAR(10),TRUE,IF(Aula=base_de_datos[Aula],IF("x"=base_de_datos[Miércoles],IF(base_de_datos[Hora inicio]&lt;=$B14,IF(base_de_datos[Hora fin]&gt;=$C14,base_de_datos[No clase],""),""),""),""),"")</f>
        <v/>
      </c>
      <c r="J14" s="29" t="str" cm="1">
        <f t="array" ref="J14">_xlfn.TEXTJOIN(CHAR(10),TRUE,IF(Aula=base_de_datos[Aula],IF("x"=base_de_datos[Jueves],IF(base_de_datos[Hora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_xlfn.TEXTJOIN(CHAR(10),TRUE,IF(Aula=base_de_datos[Aula],IF("x"=base_de_datos[Jueves],IF(base_de_datos[Hora inicio]&lt;=$B14,IF(base_de_datos[Hora fin]&gt;=$C14,base_de_datos[No clase],""),""),""),""),"")</f>
        <v/>
      </c>
      <c r="L14" s="29" t="str" cm="1">
        <f t="array" ref="L14">_xlfn.TEXTJOIN(CHAR(10),TRUE,IF(Aula=base_de_datos[Aula],IF("x"=base_de_datos[Viernes],IF(base_de_datos[Hora inicio]&lt;=$B14,IF(base_de_datos[Hora fin]&gt;=$C14,base_de_datos[Materia]&amp;" "&amp;base_de_datos[[Número de grupo ]],""),""),""),""),"")</f>
        <v/>
      </c>
      <c r="M14" s="29" t="str" cm="1">
        <f t="array" ref="M14">_xlfn.TEXTJOIN(CHAR(10),TRUE,IF(Aula=base_de_datos[Aula],IF("x"=base_de_datos[Viernes],IF(base_de_datos[Hora inicio]&lt;=$B14,IF(base_de_datos[Hora fin]&gt;=$C14,base_de_datos[No clase],""),""),""),""),"")</f>
        <v/>
      </c>
      <c r="N14" s="29" t="str" cm="1">
        <f t="array" ref="N14">_xlfn.TEXTJOIN(CHAR(10),TRUE,IF(Aula=base_de_datos[Aula],IF("x"=base_de_datos[Sábado],IF(base_de_datos[Hora inicio]&lt;=$B14,IF(base_de_datos[Hora fin]&gt;=$C14,base_de_datos[Materia]&amp;" "&amp;base_de_datos[[Número de grupo ]],""),""),""),""),"")</f>
        <v xml:space="preserve"> </v>
      </c>
      <c r="O14" s="29" t="str" cm="1">
        <f t="array" ref="O14">_xlfn.TEXTJOIN(CHAR(10),TRUE,IF(Aula=base_de_datos[Aula],IF("x"=base_de_datos[Sábado],IF(base_de_datos[Hora inicio]&lt;=$B14,IF(base_de_datos[Hora fin]&gt;=$C14,base_de_datos[No clase],""),""),""),""),"")</f>
        <v>Integra UP (Agosto 19, 30 septiembre, 28 octubre, 11 noviembre)</v>
      </c>
      <c r="V14" s="28"/>
      <c r="W14" s="28"/>
      <c r="X14" s="28"/>
    </row>
    <row r="15" spans="1:26" ht="75">
      <c r="B15" s="206">
        <v>0.5</v>
      </c>
      <c r="C15" s="206">
        <v>0.52083333333333004</v>
      </c>
      <c r="D15" s="29" t="str" cm="1">
        <f t="array" ref="D15">_xlfn.TEXTJOIN(CHAR(10),TRUE,IF(Aula=base_de_datos[Aula],IF("x"=base_de_datos[Lunes],IF(base_de_datos[Hora inicio]&lt;=$B15,IF(base_de_datos[Hora fin]&gt;=$C15,base_de_datos[Materia]&amp;" "&amp;base_de_datos[[Número de grupo ]],""),""),""),""),"")</f>
        <v/>
      </c>
      <c r="E15" s="29" t="str" cm="1">
        <f t="array" ref="E15">_xlfn.TEXTJOIN(CHAR(10),TRUE,IF(Aula=base_de_datos[Aula],IF("x"=base_de_datos[Lunes],IF(base_de_datos[Hora inicio]&lt;=$B15,IF(base_de_datos[Hora fin]&gt;=$C15,base_de_datos[No clase],""),""),""),""),"")</f>
        <v/>
      </c>
      <c r="F15" s="29" t="str" cm="1">
        <f t="array" ref="F15">_xlfn.TEXTJOIN(CHAR(10),TRUE,IF(Aula=base_de_datos[Aula],IF("x"=base_de_datos[Martes],IF(base_de_datos[Hora inicio]&lt;=$B15,IF(base_de_datos[Hora fin]&gt;=$C15,base_de_datos[Materia]&amp;" "&amp;base_de_datos[[Número de grupo ]],""),""),""),""),"")</f>
        <v>Taller de diseño para la producción 1</v>
      </c>
      <c r="G15" s="29" t="str" cm="1">
        <f t="array" ref="G15">_xlfn.TEXTJOIN(CHAR(10),TRUE,IF(Aula=base_de_datos[Aula],IF("x"=base_de_datos[Martes],IF(base_de_datos[Hora inicio]&lt;=$B15,IF(base_de_datos[Hora fin]&gt;=$C15,base_de_datos[No clase],""),""),""),""),"")</f>
        <v>1635</v>
      </c>
      <c r="H15" s="29" t="str" cm="1">
        <f t="array" ref="H15">_xlfn.TEXTJOIN(CHAR(10),TRUE,IF(Aula=base_de_datos[Aula],IF("x"=base_de_datos[Miércoles],IF(base_de_datos[Hora inicio]&lt;=$B15,IF(base_de_datos[Hora fin]&gt;=$C15,base_de_datos[Materia]&amp;" "&amp;base_de_datos[[Número de grupo ]],""),""),""),""),"")</f>
        <v/>
      </c>
      <c r="I15" s="29" t="str" cm="1">
        <f t="array" ref="I15">_xlfn.TEXTJOIN(CHAR(10),TRUE,IF(Aula=base_de_datos[Aula],IF("x"=base_de_datos[Miércoles],IF(base_de_datos[Hora inicio]&lt;=$B15,IF(base_de_datos[Hora fin]&gt;=$C15,base_de_datos[No clase],""),""),""),""),"")</f>
        <v/>
      </c>
      <c r="J15" s="29" t="str" cm="1">
        <f t="array" ref="J15">_xlfn.TEXTJOIN(CHAR(10),TRUE,IF(Aula=base_de_datos[Aula],IF("x"=base_de_datos[Jueves],IF(base_de_datos[Hora inicio]&lt;=$B15,IF(base_de_datos[Hora fin]&gt;=$C15,base_de_datos[Materia]&amp;" "&amp;base_de_datos[[Número de grupo ]],""),""),""),""),"")</f>
        <v>Taller de diseño para la producción 1</v>
      </c>
      <c r="K15" s="29" t="str" cm="1">
        <f t="array" ref="K15">_xlfn.TEXTJOIN(CHAR(10),TRUE,IF(Aula=base_de_datos[Aula],IF("x"=base_de_datos[Jueves],IF(base_de_datos[Hora inicio]&lt;=$B15,IF(base_de_datos[Hora fin]&gt;=$C15,base_de_datos[No clase],""),""),""),""),"")</f>
        <v>1635</v>
      </c>
      <c r="L15" s="29" t="str" cm="1">
        <f t="array" ref="L15">_xlfn.TEXTJOIN(CHAR(10),TRUE,IF(Aula=base_de_datos[Aula],IF("x"=base_de_datos[Viernes],IF(base_de_datos[Hora inicio]&lt;=$B15,IF(base_de_datos[Hora fin]&gt;=$C15,base_de_datos[Materia]&amp;" "&amp;base_de_datos[[Número de grupo ]],""),""),""),""),"")</f>
        <v>Tendencias estéticas del diseño 1</v>
      </c>
      <c r="M15" s="29" t="str" cm="1">
        <f t="array" ref="M15">_xlfn.TEXTJOIN(CHAR(10),TRUE,IF(Aula=base_de_datos[Aula],IF("x"=base_de_datos[Viernes],IF(base_de_datos[Hora inicio]&lt;=$B15,IF(base_de_datos[Hora fin]&gt;=$C15,base_de_datos[No clase],""),""),""),""),"")</f>
        <v>1638</v>
      </c>
      <c r="N15" s="29" t="str" cm="1">
        <f t="array" ref="N15">_xlfn.TEXTJOIN(CHAR(10),TRUE,IF(Aula=base_de_datos[Aula],IF("x"=base_de_datos[Sábado],IF(base_de_datos[Hora inicio]&lt;=$B15,IF(base_de_datos[Hora fin]&gt;=$C15,base_de_datos[Materia]&amp;" "&amp;base_de_datos[[Número de grupo ]],""),""),""),""),"")</f>
        <v xml:space="preserve"> </v>
      </c>
      <c r="O15" s="29" t="str" cm="1">
        <f t="array" ref="O15">_xlfn.TEXTJOIN(CHAR(10),TRUE,IF(Aula=base_de_datos[Aula],IF("x"=base_de_datos[Sábado],IF(base_de_datos[Hora inicio]&lt;=$B15,IF(base_de_datos[Hora fin]&gt;=$C15,base_de_datos[No clase],""),""),""),""),"")</f>
        <v>Integra UP (Agosto 19, 30 septiembre, 28 octubre, 11 noviembre)</v>
      </c>
      <c r="V15" s="28"/>
      <c r="W15" s="28"/>
      <c r="X15" s="28"/>
    </row>
    <row r="16" spans="1:26" ht="75">
      <c r="B16" s="206">
        <v>0.52083333333333304</v>
      </c>
      <c r="C16" s="206">
        <v>0.54166666666666297</v>
      </c>
      <c r="D16" s="29" t="str" cm="1">
        <f t="array" ref="D16">_xlfn.TEXTJOIN(CHAR(10),TRUE,IF(Aula=base_de_datos[Aula],IF("x"=base_de_datos[Lunes],IF(base_de_datos[Hora inicio]&lt;=$B16,IF(base_de_datos[Hora fin]&gt;=$C16,base_de_datos[Materia]&amp;" "&amp;base_de_datos[[Número de grupo ]],""),""),""),""),"")</f>
        <v/>
      </c>
      <c r="E16" s="29" t="str" cm="1">
        <f t="array" ref="E16">_xlfn.TEXTJOIN(CHAR(10),TRUE,IF(Aula=base_de_datos[Aula],IF("x"=base_de_datos[Lunes],IF(base_de_datos[Hora inicio]&lt;=$B16,IF(base_de_datos[Hora fin]&gt;=$C16,base_de_datos[No clase],""),""),""),""),"")</f>
        <v/>
      </c>
      <c r="F16" s="29" t="str" cm="1">
        <f t="array" ref="F16">_xlfn.TEXTJOIN(CHAR(10),TRUE,IF(Aula=base_de_datos[Aula],IF("x"=base_de_datos[Martes],IF(base_de_datos[Hora inicio]&lt;=$B16,IF(base_de_datos[Hora fin]&gt;=$C16,base_de_datos[Materia]&amp;" "&amp;base_de_datos[[Número de grupo ]],""),""),""),""),"")</f>
        <v>Taller de diseño para la producción 1</v>
      </c>
      <c r="G16" s="29" t="str" cm="1">
        <f t="array" ref="G16">_xlfn.TEXTJOIN(CHAR(10),TRUE,IF(Aula=base_de_datos[Aula],IF("x"=base_de_datos[Martes],IF(base_de_datos[Hora inicio]&lt;=$B16,IF(base_de_datos[Hora fin]&gt;=$C16,base_de_datos[No clase],""),""),""),""),"")</f>
        <v>1635</v>
      </c>
      <c r="H16" s="29" t="str" cm="1">
        <f t="array" ref="H16">_xlfn.TEXTJOIN(CHAR(10),TRUE,IF(Aula=base_de_datos[Aula],IF("x"=base_de_datos[Miércoles],IF(base_de_datos[Hora inicio]&lt;=$B16,IF(base_de_datos[Hora fin]&gt;=$C16,base_de_datos[Materia]&amp;" "&amp;base_de_datos[[Número de grupo ]],""),""),""),""),"")</f>
        <v/>
      </c>
      <c r="I16" s="29" t="str" cm="1">
        <f t="array" ref="I16">_xlfn.TEXTJOIN(CHAR(10),TRUE,IF(Aula=base_de_datos[Aula],IF("x"=base_de_datos[Miércoles],IF(base_de_datos[Hora inicio]&lt;=$B16,IF(base_de_datos[Hora fin]&gt;=$C16,base_de_datos[No clase],""),""),""),""),"")</f>
        <v/>
      </c>
      <c r="J16" s="29" t="str" cm="1">
        <f t="array" ref="J16">_xlfn.TEXTJOIN(CHAR(10),TRUE,IF(Aula=base_de_datos[Aula],IF("x"=base_de_datos[Jueves],IF(base_de_datos[Hora inicio]&lt;=$B16,IF(base_de_datos[Hora fin]&gt;=$C16,base_de_datos[Materia]&amp;" "&amp;base_de_datos[[Número de grupo ]],""),""),""),""),"")</f>
        <v>Taller de diseño para la producción 1</v>
      </c>
      <c r="K16" s="29" t="str" cm="1">
        <f t="array" ref="K16">_xlfn.TEXTJOIN(CHAR(10),TRUE,IF(Aula=base_de_datos[Aula],IF("x"=base_de_datos[Jueves],IF(base_de_datos[Hora inicio]&lt;=$B16,IF(base_de_datos[Hora fin]&gt;=$C16,base_de_datos[No clase],""),""),""),""),"")</f>
        <v>1635</v>
      </c>
      <c r="L16" s="29" t="str" cm="1">
        <f t="array" ref="L16">_xlfn.TEXTJOIN(CHAR(10),TRUE,IF(Aula=base_de_datos[Aula],IF("x"=base_de_datos[Viernes],IF(base_de_datos[Hora inicio]&lt;=$B16,IF(base_de_datos[Hora fin]&gt;=$C16,base_de_datos[Materia]&amp;" "&amp;base_de_datos[[Número de grupo ]],""),""),""),""),"")</f>
        <v>Tendencias estéticas del diseño 1</v>
      </c>
      <c r="M16" s="29" t="str" cm="1">
        <f t="array" ref="M16">_xlfn.TEXTJOIN(CHAR(10),TRUE,IF(Aula=base_de_datos[Aula],IF("x"=base_de_datos[Viernes],IF(base_de_datos[Hora inicio]&lt;=$B16,IF(base_de_datos[Hora fin]&gt;=$C16,base_de_datos[No clase],""),""),""),""),"")</f>
        <v>1638</v>
      </c>
      <c r="N16" s="29" t="str" cm="1">
        <f t="array" ref="N16">_xlfn.TEXTJOIN(CHAR(10),TRUE,IF(Aula=base_de_datos[Aula],IF("x"=base_de_datos[Sábado],IF(base_de_datos[Hora inicio]&lt;=$B16,IF(base_de_datos[Hora fin]&gt;=$C16,base_de_datos[Materia]&amp;" "&amp;base_de_datos[[Número de grupo ]],""),""),""),""),"")</f>
        <v xml:space="preserve"> </v>
      </c>
      <c r="O16" s="29" t="str" cm="1">
        <f t="array" ref="O16">_xlfn.TEXTJOIN(CHAR(10),TRUE,IF(Aula=base_de_datos[Aula],IF("x"=base_de_datos[Sábado],IF(base_de_datos[Hora inicio]&lt;=$B16,IF(base_de_datos[Hora fin]&gt;=$C16,base_de_datos[No clase],""),""),""),""),"")</f>
        <v>Integra UP (Agosto 19, 30 septiembre, 28 octubre, 11 noviembre)</v>
      </c>
      <c r="V16" s="28"/>
      <c r="W16" s="28"/>
      <c r="X16" s="28"/>
    </row>
    <row r="17" spans="2:24" ht="15">
      <c r="B17" s="206">
        <v>0.54166666666666696</v>
      </c>
      <c r="C17" s="206">
        <v>0.562499999999996</v>
      </c>
      <c r="D17" s="29" t="str" cm="1">
        <f t="array" ref="D17">_xlfn.TEXTJOIN(CHAR(10),TRUE,IF(Aula=base_de_datos[Aula],IF("x"=base_de_datos[Lunes],IF(base_de_datos[Hora inicio]&lt;=$B17,IF(base_de_datos[Hora fin]&gt;=$C17,base_de_datos[Materia]&amp;" "&amp;base_de_datos[[Número de grupo ]],""),""),""),""),"")</f>
        <v/>
      </c>
      <c r="E17" s="29" t="str" cm="1">
        <f t="array" ref="E17">_xlfn.TEXTJOIN(CHAR(10),TRUE,IF(Aula=base_de_datos[Aula],IF("x"=base_de_datos[Lunes],IF(base_de_datos[Hora inicio]&lt;=$B17,IF(base_de_datos[Hora fin]&gt;=$C17,base_de_datos[No clase],""),""),""),""),"")</f>
        <v/>
      </c>
      <c r="F17" s="29" t="str" cm="1">
        <f t="array" ref="F17">_xlfn.TEXTJOIN(CHAR(10),TRUE,IF(Aula=base_de_datos[Aula],IF("x"=base_de_datos[Martes],IF(base_de_datos[Hora inicio]&lt;=$B17,IF(base_de_datos[Hora fin]&gt;=$C17,base_de_datos[Materia]&amp;" "&amp;base_de_datos[[Número de grupo ]],""),""),""),""),"")</f>
        <v>Taller de diseño para la producción 1</v>
      </c>
      <c r="G17" s="29" t="str" cm="1">
        <f t="array" ref="G17">_xlfn.TEXTJOIN(CHAR(10),TRUE,IF(Aula=base_de_datos[Aula],IF("x"=base_de_datos[Martes],IF(base_de_datos[Hora inicio]&lt;=$B17,IF(base_de_datos[Hora fin]&gt;=$C17,base_de_datos[No clase],""),""),""),""),"")</f>
        <v>1635</v>
      </c>
      <c r="H17" s="29" t="str" cm="1">
        <f t="array" ref="H17">_xlfn.TEXTJOIN(CHAR(10),TRUE,IF(Aula=base_de_datos[Aula],IF("x"=base_de_datos[Miércoles],IF(base_de_datos[Hora inicio]&lt;=$B17,IF(base_de_datos[Hora fin]&gt;=$C17,base_de_datos[Materia]&amp;" "&amp;base_de_datos[[Número de grupo ]],""),""),""),""),"")</f>
        <v/>
      </c>
      <c r="I17" s="29" t="str" cm="1">
        <f t="array" ref="I17">_xlfn.TEXTJOIN(CHAR(10),TRUE,IF(Aula=base_de_datos[Aula],IF("x"=base_de_datos[Miércoles],IF(base_de_datos[Hora inicio]&lt;=$B17,IF(base_de_datos[Hora fin]&gt;=$C17,base_de_datos[No clase],""),""),""),""),"")</f>
        <v/>
      </c>
      <c r="J17" s="29" t="str" cm="1">
        <f t="array" ref="J17">_xlfn.TEXTJOIN(CHAR(10),TRUE,IF(Aula=base_de_datos[Aula],IF("x"=base_de_datos[Jueves],IF(base_de_datos[Hora inicio]&lt;=$B17,IF(base_de_datos[Hora fin]&gt;=$C17,base_de_datos[Materia]&amp;" "&amp;base_de_datos[[Número de grupo ]],""),""),""),""),"")</f>
        <v>Taller de diseño para la producción 1</v>
      </c>
      <c r="K17" s="29" t="str" cm="1">
        <f t="array" ref="K17">_xlfn.TEXTJOIN(CHAR(10),TRUE,IF(Aula=base_de_datos[Aula],IF("x"=base_de_datos[Jueves],IF(base_de_datos[Hora inicio]&lt;=$B17,IF(base_de_datos[Hora fin]&gt;=$C17,base_de_datos[No clase],""),""),""),""),"")</f>
        <v>1635</v>
      </c>
      <c r="L17" s="29" t="str" cm="1">
        <f t="array" ref="L17">_xlfn.TEXTJOIN(CHAR(10),TRUE,IF(Aula=base_de_datos[Aula],IF("x"=base_de_datos[Viernes],IF(base_de_datos[Hora inicio]&lt;=$B17,IF(base_de_datos[Hora fin]&gt;=$C17,base_de_datos[Materia]&amp;" "&amp;base_de_datos[[Número de grupo ]],""),""),""),""),"")</f>
        <v>Tendencias estéticas del diseño 1</v>
      </c>
      <c r="M17" s="29" t="str" cm="1">
        <f t="array" ref="M17">_xlfn.TEXTJOIN(CHAR(10),TRUE,IF(Aula=base_de_datos[Aula],IF("x"=base_de_datos[Viernes],IF(base_de_datos[Hora inicio]&lt;=$B17,IF(base_de_datos[Hora fin]&gt;=$C17,base_de_datos[No clase],""),""),""),""),"")</f>
        <v>1638</v>
      </c>
      <c r="N17" s="29" t="str" cm="1">
        <f t="array" ref="N17">_xlfn.TEXTJOIN(CHAR(10),TRUE,IF(Aula=base_de_datos[Aula],IF("x"=base_de_datos[Sábado],IF(base_de_datos[Hora inicio]&lt;=$B17,IF(base_de_datos[Hora fin]&gt;=$C17,base_de_datos[Materia]&amp;" "&amp;base_de_datos[[Número de grupo ]],""),""),""),""),"")</f>
        <v/>
      </c>
      <c r="O17" s="29" t="str" cm="1">
        <f t="array" ref="O17">_xlfn.TEXTJOIN(CHAR(10),TRUE,IF(Aula=base_de_datos[Aula],IF("x"=base_de_datos[Sábado],IF(base_de_datos[Hora inicio]&lt;=$B17,IF(base_de_datos[Hora fin]&gt;=$C17,base_de_datos[No clase],""),""),""),""),"")</f>
        <v/>
      </c>
      <c r="V17" s="28"/>
      <c r="W17" s="28"/>
      <c r="X17" s="28"/>
    </row>
    <row r="18" spans="2:24" ht="15">
      <c r="B18" s="206">
        <v>0.5625</v>
      </c>
      <c r="C18" s="206">
        <v>0.58333333333332904</v>
      </c>
      <c r="D18" s="29" t="str" cm="1">
        <f t="array" ref="D18">_xlfn.TEXTJOIN(CHAR(10),TRUE,IF(Aula=base_de_datos[Aula],IF("x"=base_de_datos[Lunes],IF(base_de_datos[Hora inicio]&lt;=$B18,IF(base_de_datos[Hora fin]&gt;=$C18,base_de_datos[Materia]&amp;" "&amp;base_de_datos[[Número de grupo ]],""),""),""),""),"")</f>
        <v/>
      </c>
      <c r="E18" s="29" t="str" cm="1">
        <f t="array" ref="E18">_xlfn.TEXTJOIN(CHAR(10),TRUE,IF(Aula=base_de_datos[Aula],IF("x"=base_de_datos[Lunes],IF(base_de_datos[Hora inicio]&lt;=$B18,IF(base_de_datos[Hora fin]&gt;=$C18,base_de_datos[No clase],""),""),""),""),"")</f>
        <v/>
      </c>
      <c r="F18" s="29" t="str" cm="1">
        <f t="array" ref="F18">_xlfn.TEXTJOIN(CHAR(10),TRUE,IF(Aula=base_de_datos[Aula],IF("x"=base_de_datos[Martes],IF(base_de_datos[Hora inicio]&lt;=$B18,IF(base_de_datos[Hora fin]&gt;=$C18,base_de_datos[Materia]&amp;" "&amp;base_de_datos[[Número de grupo ]],""),""),""),""),"")</f>
        <v>Taller de diseño para la producción 1</v>
      </c>
      <c r="G18" s="29" t="str" cm="1">
        <f t="array" ref="G18">_xlfn.TEXTJOIN(CHAR(10),TRUE,IF(Aula=base_de_datos[Aula],IF("x"=base_de_datos[Martes],IF(base_de_datos[Hora inicio]&lt;=$B18,IF(base_de_datos[Hora fin]&gt;=$C18,base_de_datos[No clase],""),""),""),""),"")</f>
        <v>1635</v>
      </c>
      <c r="H18" s="29" t="str" cm="1">
        <f t="array" ref="H18">_xlfn.TEXTJOIN(CHAR(10),TRUE,IF(Aula=base_de_datos[Aula],IF("x"=base_de_datos[Miércoles],IF(base_de_datos[Hora inicio]&lt;=$B18,IF(base_de_datos[Hora fin]&gt;=$C18,base_de_datos[Materia]&amp;" "&amp;base_de_datos[[Número de grupo ]],""),""),""),""),"")</f>
        <v/>
      </c>
      <c r="I18" s="29" t="str" cm="1">
        <f t="array" ref="I18">_xlfn.TEXTJOIN(CHAR(10),TRUE,IF(Aula=base_de_datos[Aula],IF("x"=base_de_datos[Miércoles],IF(base_de_datos[Hora inicio]&lt;=$B18,IF(base_de_datos[Hora fin]&gt;=$C18,base_de_datos[No clase],""),""),""),""),"")</f>
        <v/>
      </c>
      <c r="J18" s="29" t="str" cm="1">
        <f t="array" ref="J18">_xlfn.TEXTJOIN(CHAR(10),TRUE,IF(Aula=base_de_datos[Aula],IF("x"=base_de_datos[Jueves],IF(base_de_datos[Hora inicio]&lt;=$B18,IF(base_de_datos[Hora fin]&gt;=$C18,base_de_datos[Materia]&amp;" "&amp;base_de_datos[[Número de grupo ]],""),""),""),""),"")</f>
        <v>Taller de diseño para la producción 1</v>
      </c>
      <c r="K18" s="29" t="str" cm="1">
        <f t="array" ref="K18">_xlfn.TEXTJOIN(CHAR(10),TRUE,IF(Aula=base_de_datos[Aula],IF("x"=base_de_datos[Jueves],IF(base_de_datos[Hora inicio]&lt;=$B18,IF(base_de_datos[Hora fin]&gt;=$C18,base_de_datos[No clase],""),""),""),""),"")</f>
        <v>1635</v>
      </c>
      <c r="L18" s="29" t="str" cm="1">
        <f t="array" ref="L18">_xlfn.TEXTJOIN(CHAR(10),TRUE,IF(Aula=base_de_datos[Aula],IF("x"=base_de_datos[Viernes],IF(base_de_datos[Hora inicio]&lt;=$B18,IF(base_de_datos[Hora fin]&gt;=$C18,base_de_datos[Materia]&amp;" "&amp;base_de_datos[[Número de grupo ]],""),""),""),""),"")</f>
        <v/>
      </c>
      <c r="M18" s="29" t="str" cm="1">
        <f t="array" ref="M18">_xlfn.TEXTJOIN(CHAR(10),TRUE,IF(Aula=base_de_datos[Aula],IF("x"=base_de_datos[Viernes],IF(base_de_datos[Hora inicio]&lt;=$B18,IF(base_de_datos[Hora fin]&gt;=$C18,base_de_datos[No clase],""),""),""),""),"")</f>
        <v/>
      </c>
      <c r="N18" s="29" t="str" cm="1">
        <f t="array" ref="N18">_xlfn.TEXTJOIN(CHAR(10),TRUE,IF(Aula=base_de_datos[Aula],IF("x"=base_de_datos[Sábado],IF(base_de_datos[Hora inicio]&lt;=$B18,IF(base_de_datos[Hora fin]&gt;=$C18,base_de_datos[Materia]&amp;" "&amp;base_de_datos[[Número de grupo ]],""),""),""),""),"")</f>
        <v/>
      </c>
      <c r="O18" s="29" t="str" cm="1">
        <f t="array" ref="O18">_xlfn.TEXTJOIN(CHAR(10),TRUE,IF(Aula=base_de_datos[Aula],IF("x"=base_de_datos[Sábado],IF(base_de_datos[Hora inicio]&lt;=$B18,IF(base_de_datos[Hora fin]&gt;=$C18,base_de_datos[No clase],""),""),""),""),"")</f>
        <v/>
      </c>
    </row>
    <row r="19" spans="2:24" ht="15">
      <c r="B19" s="206">
        <v>0.58333333333333304</v>
      </c>
      <c r="C19" s="206">
        <v>0.60416666666666197</v>
      </c>
      <c r="D19" s="29" t="str" cm="1">
        <f t="array" ref="D19">_xlfn.TEXTJOIN(CHAR(10),TRUE,IF(Aula=base_de_datos[Aula],IF("x"=base_de_datos[Lunes],IF(base_de_datos[Hora inicio]&lt;=$B19,IF(base_de_datos[Hora fin]&gt;=$C19,base_de_datos[Materia]&amp;" "&amp;base_de_datos[[Número de grupo ]],""),""),""),""),"")</f>
        <v/>
      </c>
      <c r="E19" s="29" t="str" cm="1">
        <f t="array" ref="E19">_xlfn.TEXTJOIN(CHAR(10),TRUE,IF(Aula=base_de_datos[Aula],IF("x"=base_de_datos[Lunes],IF(base_de_datos[Hora inicio]&lt;=$B19,IF(base_de_datos[Hora fin]&gt;=$C19,base_de_datos[No clase],""),""),""),""),"")</f>
        <v/>
      </c>
      <c r="F19" s="29" t="str" cm="1">
        <f t="array" ref="F19">_xlfn.TEXTJOIN(CHAR(10),TRUE,IF(Aula=base_de_datos[Aula],IF("x"=base_de_datos[Martes],IF(base_de_datos[Hora inicio]&lt;=$B19,IF(base_de_datos[Hora fin]&gt;=$C19,base_de_datos[Materia]&amp;" "&amp;base_de_datos[[Número de grupo ]],""),""),""),""),"")</f>
        <v>Taller de diseño para la producción 1</v>
      </c>
      <c r="G19" s="29" t="str" cm="1">
        <f t="array" ref="G19">_xlfn.TEXTJOIN(CHAR(10),TRUE,IF(Aula=base_de_datos[Aula],IF("x"=base_de_datos[Martes],IF(base_de_datos[Hora inicio]&lt;=$B19,IF(base_de_datos[Hora fin]&gt;=$C19,base_de_datos[No clase],""),""),""),""),"")</f>
        <v>1635</v>
      </c>
      <c r="H19" s="29" t="str" cm="1">
        <f t="array" ref="H19">_xlfn.TEXTJOIN(CHAR(10),TRUE,IF(Aula=base_de_datos[Aula],IF("x"=base_de_datos[Miércoles],IF(base_de_datos[Hora inicio]&lt;=$B19,IF(base_de_datos[Hora fin]&gt;=$C19,base_de_datos[Materia]&amp;" "&amp;base_de_datos[[Número de grupo ]],""),""),""),""),"")</f>
        <v/>
      </c>
      <c r="I19" s="29" t="str" cm="1">
        <f t="array" ref="I19">_xlfn.TEXTJOIN(CHAR(10),TRUE,IF(Aula=base_de_datos[Aula],IF("x"=base_de_datos[Miércoles],IF(base_de_datos[Hora inicio]&lt;=$B19,IF(base_de_datos[Hora fin]&gt;=$C19,base_de_datos[No clase],""),""),""),""),"")</f>
        <v/>
      </c>
      <c r="J19" s="29" t="str" cm="1">
        <f t="array" ref="J19">_xlfn.TEXTJOIN(CHAR(10),TRUE,IF(Aula=base_de_datos[Aula],IF("x"=base_de_datos[Jueves],IF(base_de_datos[Hora inicio]&lt;=$B19,IF(base_de_datos[Hora fin]&gt;=$C19,base_de_datos[Materia]&amp;" "&amp;base_de_datos[[Número de grupo ]],""),""),""),""),"")</f>
        <v/>
      </c>
      <c r="K19" s="29" t="str" cm="1">
        <f t="array" ref="K19">_xlfn.TEXTJOIN(CHAR(10),TRUE,IF(Aula=base_de_datos[Aula],IF("x"=base_de_datos[Jueves],IF(base_de_datos[Hora inicio]&lt;=$B19,IF(base_de_datos[Hora fin]&gt;=$C19,base_de_datos[No clase],""),""),""),""),"")</f>
        <v/>
      </c>
      <c r="L19" s="29" t="str" cm="1">
        <f t="array" ref="L19">_xlfn.TEXTJOIN(CHAR(10),TRUE,IF(Aula=base_de_datos[Aula],IF("x"=base_de_datos[Viernes],IF(base_de_datos[Hora inicio]&lt;=$B19,IF(base_de_datos[Hora fin]&gt;=$C19,base_de_datos[Materia]&amp;" "&amp;base_de_datos[[Número de grupo ]],""),""),""),""),"")</f>
        <v/>
      </c>
      <c r="M19" s="29" t="str" cm="1">
        <f t="array" ref="M19">_xlfn.TEXTJOIN(CHAR(10),TRUE,IF(Aula=base_de_datos[Aula],IF("x"=base_de_datos[Viernes],IF(base_de_datos[Hora inicio]&lt;=$B19,IF(base_de_datos[Hora fin]&gt;=$C19,base_de_datos[No clase],""),""),""),""),"")</f>
        <v/>
      </c>
      <c r="N19" s="29" t="str" cm="1">
        <f t="array" ref="N19">_xlfn.TEXTJOIN(CHAR(10),TRUE,IF(Aula=base_de_datos[Aula],IF("x"=base_de_datos[Sábado],IF(base_de_datos[Hora inicio]&lt;=$B19,IF(base_de_datos[Hora fin]&gt;=$C19,base_de_datos[Materia]&amp;" "&amp;base_de_datos[[Número de grupo ]],""),""),""),""),"")</f>
        <v/>
      </c>
      <c r="O19" s="29" t="str" cm="1">
        <f t="array" ref="O19">_xlfn.TEXTJOIN(CHAR(10),TRUE,IF(Aula=base_de_datos[Aula],IF("x"=base_de_datos[Sábado],IF(base_de_datos[Hora inicio]&lt;=$B19,IF(base_de_datos[Hora fin]&gt;=$C19,base_de_datos[No clase],""),""),""),""),"")</f>
        <v/>
      </c>
    </row>
    <row r="20" spans="2:24" ht="15">
      <c r="B20" s="206">
        <v>0.60416666666666696</v>
      </c>
      <c r="C20" s="206">
        <v>0.624999999999995</v>
      </c>
      <c r="D20" s="29" t="str" cm="1">
        <f t="array" ref="D20">_xlfn.TEXTJOIN(CHAR(10),TRUE,IF(Aula=base_de_datos[Aula],IF("x"=base_de_datos[Lunes],IF(base_de_datos[Hora inicio]&lt;=$B20,IF(base_de_datos[Hora fin]&gt;=$C20,base_de_datos[Materia]&amp;" "&amp;base_de_datos[[Número de grupo ]],""),""),""),""),"")</f>
        <v/>
      </c>
      <c r="E20" s="29" t="str" cm="1">
        <f t="array" ref="E20">_xlfn.TEXTJOIN(CHAR(10),TRUE,IF(Aula=base_de_datos[Aula],IF("x"=base_de_datos[Lunes],IF(base_de_datos[Hora inicio]&lt;=$B20,IF(base_de_datos[Hora fin]&gt;=$C20,base_de_datos[No clase],""),""),""),""),"")</f>
        <v/>
      </c>
      <c r="F20" s="29" t="str" cm="1">
        <f t="array" ref="F20">_xlfn.TEXTJOIN(CHAR(10),TRUE,IF(Aula=base_de_datos[Aula],IF("x"=base_de_datos[Martes],IF(base_de_datos[Hora inicio]&lt;=$B20,IF(base_de_datos[Hora fin]&gt;=$C20,base_de_datos[Materia]&amp;" "&amp;base_de_datos[[Número de grupo ]],""),""),""),""),"")</f>
        <v>Taller de diseño para la producción 1</v>
      </c>
      <c r="G20" s="29" t="str" cm="1">
        <f t="array" ref="G20">_xlfn.TEXTJOIN(CHAR(10),TRUE,IF(Aula=base_de_datos[Aula],IF("x"=base_de_datos[Martes],IF(base_de_datos[Hora inicio]&lt;=$B20,IF(base_de_datos[Hora fin]&gt;=$C20,base_de_datos[No clase],""),""),""),""),"")</f>
        <v>1635</v>
      </c>
      <c r="H20" s="29" t="str" cm="1">
        <f t="array" ref="H20">_xlfn.TEXTJOIN(CHAR(10),TRUE,IF(Aula=base_de_datos[Aula],IF("x"=base_de_datos[Miércoles],IF(base_de_datos[Hora inicio]&lt;=$B20,IF(base_de_datos[Hora fin]&gt;=$C20,base_de_datos[Materia]&amp;" "&amp;base_de_datos[[Número de grupo ]],""),""),""),""),"")</f>
        <v/>
      </c>
      <c r="I20" s="29" t="str" cm="1">
        <f t="array" ref="I20">_xlfn.TEXTJOIN(CHAR(10),TRUE,IF(Aula=base_de_datos[Aula],IF("x"=base_de_datos[Miércoles],IF(base_de_datos[Hora inicio]&lt;=$B20,IF(base_de_datos[Hora fin]&gt;=$C20,base_de_datos[No clase],""),""),""),""),"")</f>
        <v/>
      </c>
      <c r="J20" s="29" t="str" cm="1">
        <f t="array" ref="J20">_xlfn.TEXTJOIN(CHAR(10),TRUE,IF(Aula=base_de_datos[Aula],IF("x"=base_de_datos[Jueves],IF(base_de_datos[Hora inicio]&lt;=$B20,IF(base_de_datos[Hora fin]&gt;=$C20,base_de_datos[Materia]&amp;" "&amp;base_de_datos[[Número de grupo ]],""),""),""),""),"")</f>
        <v/>
      </c>
      <c r="K20" s="29" t="str" cm="1">
        <f t="array" ref="K20">_xlfn.TEXTJOIN(CHAR(10),TRUE,IF(Aula=base_de_datos[Aula],IF("x"=base_de_datos[Jueves],IF(base_de_datos[Hora inicio]&lt;=$B20,IF(base_de_datos[Hora fin]&gt;=$C20,base_de_datos[No clase],""),""),""),""),"")</f>
        <v/>
      </c>
      <c r="L20" s="29" t="str" cm="1">
        <f t="array" ref="L20">_xlfn.TEXTJOIN(CHAR(10),TRUE,IF(Aula=base_de_datos[Aula],IF("x"=base_de_datos[Viernes],IF(base_de_datos[Hora inicio]&lt;=$B20,IF(base_de_datos[Hora fin]&gt;=$C20,base_de_datos[Materia]&amp;" "&amp;base_de_datos[[Número de grupo ]],""),""),""),""),"")</f>
        <v/>
      </c>
      <c r="M20" s="29" t="str" cm="1">
        <f t="array" ref="M20">_xlfn.TEXTJOIN(CHAR(10),TRUE,IF(Aula=base_de_datos[Aula],IF("x"=base_de_datos[Viernes],IF(base_de_datos[Hora inicio]&lt;=$B20,IF(base_de_datos[Hora fin]&gt;=$C20,base_de_datos[No clase],""),""),""),""),"")</f>
        <v/>
      </c>
      <c r="N20" s="29" t="str" cm="1">
        <f t="array" ref="N20">_xlfn.TEXTJOIN(CHAR(10),TRUE,IF(Aula=base_de_datos[Aula],IF("x"=base_de_datos[Sábado],IF(base_de_datos[Hora inicio]&lt;=$B20,IF(base_de_datos[Hora fin]&gt;=$C20,base_de_datos[Materia]&amp;" "&amp;base_de_datos[[Número de grupo ]],""),""),""),""),"")</f>
        <v/>
      </c>
      <c r="O20" s="29" t="str" cm="1">
        <f t="array" ref="O20">_xlfn.TEXTJOIN(CHAR(10),TRUE,IF(Aula=base_de_datos[Aula],IF("x"=base_de_datos[Sábado],IF(base_de_datos[Hora inicio]&lt;=$B20,IF(base_de_datos[Hora fin]&gt;=$C20,base_de_datos[No clase],""),""),""),""),"")</f>
        <v/>
      </c>
    </row>
    <row r="21" spans="2:24" ht="15">
      <c r="B21" s="206">
        <v>0.625</v>
      </c>
      <c r="C21" s="206">
        <v>0.64583333333332804</v>
      </c>
      <c r="D21" s="29" t="str" cm="1">
        <f t="array" ref="D21">_xlfn.TEXTJOIN(CHAR(10),TRUE,IF(Aula=base_de_datos[Aula],IF("x"=base_de_datos[Lunes],IF(base_de_datos[Hora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_xlfn.TEXTJOIN(CHAR(10),TRUE,IF(Aula=base_de_datos[Aula],IF("x"=base_de_datos[Lunes],IF(base_de_datos[Hora inicio]&lt;=$B21,IF(base_de_datos[Hora fin]&gt;=$C21,base_de_datos[No clase],""),""),""),""),"")</f>
        <v/>
      </c>
      <c r="F21" s="29" t="str" cm="1">
        <f t="array" ref="F21">_xlfn.TEXTJOIN(CHAR(10),TRUE,IF(Aula=base_de_datos[Aula],IF("x"=base_de_datos[Martes],IF(base_de_datos[Hora inicio]&lt;=$B21,IF(base_de_datos[Hora fin]&gt;=$C21,base_de_datos[Materia]&amp;" "&amp;base_de_datos[[Número de grupo ]],""),""),""),""),"")</f>
        <v>Energía nuclear 1</v>
      </c>
      <c r="G21" s="29" t="str" cm="1">
        <f t="array" ref="G21">_xlfn.TEXTJOIN(CHAR(10),TRUE,IF(Aula=base_de_datos[Aula],IF("x"=base_de_datos[Martes],IF(base_de_datos[Hora inicio]&lt;=$B21,IF(base_de_datos[Hora fin]&gt;=$C21,base_de_datos[No clase],""),""),""),""),"")</f>
        <v>1584</v>
      </c>
      <c r="H21" s="29" t="str" cm="1">
        <f t="array" ref="H21">_xlfn.TEXTJOIN(CHAR(10),TRUE,IF(Aula=base_de_datos[Aula],IF("x"=base_de_datos[Miércoles],IF(base_de_datos[Hora inicio]&lt;=$B21,IF(base_de_datos[Hora fin]&gt;=$C21,base_de_datos[Materia]&amp;" "&amp;base_de_datos[[Número de grupo ]],""),""),""),""),"")</f>
        <v/>
      </c>
      <c r="I21" s="29" t="str" cm="1">
        <f t="array" ref="I21">_xlfn.TEXTJOIN(CHAR(10),TRUE,IF(Aula=base_de_datos[Aula],IF("x"=base_de_datos[Miércoles],IF(base_de_datos[Hora inicio]&lt;=$B21,IF(base_de_datos[Hora fin]&gt;=$C21,base_de_datos[No clase],""),""),""),""),"")</f>
        <v/>
      </c>
      <c r="J21" s="29" t="str" cm="1">
        <f t="array" ref="J21">_xlfn.TEXTJOIN(CHAR(10),TRUE,IF(Aula=base_de_datos[Aula],IF("x"=base_de_datos[Jueves],IF(base_de_datos[Hora inicio]&lt;=$B21,IF(base_de_datos[Hora fin]&gt;=$C21,base_de_datos[Materia]&amp;" "&amp;base_de_datos[[Número de grupo ]],""),""),""),""),"")</f>
        <v>Energía nuclear 1</v>
      </c>
      <c r="K21" s="29" t="str" cm="1">
        <f t="array" ref="K21">_xlfn.TEXTJOIN(CHAR(10),TRUE,IF(Aula=base_de_datos[Aula],IF("x"=base_de_datos[Jueves],IF(base_de_datos[Hora inicio]&lt;=$B21,IF(base_de_datos[Hora fin]&gt;=$C21,base_de_datos[No clase],""),""),""),""),"")</f>
        <v>1584</v>
      </c>
      <c r="L21" s="29" t="str" cm="1">
        <f t="array" ref="L21">_xlfn.TEXTJOIN(CHAR(10),TRUE,IF(Aula=base_de_datos[Aula],IF("x"=base_de_datos[Viernes],IF(base_de_datos[Hora inicio]&lt;=$B21,IF(base_de_datos[Hora fin]&gt;=$C21,base_de_datos[Materia]&amp;" "&amp;base_de_datos[[Número de grupo ]],""),""),""),""),"")</f>
        <v/>
      </c>
      <c r="M21" s="29" t="str" cm="1">
        <f t="array" ref="M21">_xlfn.TEXTJOIN(CHAR(10),TRUE,IF(Aula=base_de_datos[Aula],IF("x"=base_de_datos[Viernes],IF(base_de_datos[Hora inicio]&lt;=$B21,IF(base_de_datos[Hora fin]&gt;=$C21,base_de_datos[No clase],""),""),""),""),"")</f>
        <v/>
      </c>
      <c r="N21" s="29" t="str" cm="1">
        <f t="array" ref="N21">_xlfn.TEXTJOIN(CHAR(10),TRUE,IF(Aula=base_de_datos[Aula],IF("x"=base_de_datos[Sábado],IF(base_de_datos[Hora inicio]&lt;=$B21,IF(base_de_datos[Hora fin]&gt;=$C21,base_de_datos[Materia]&amp;" "&amp;base_de_datos[[Número de grupo ]],""),""),""),""),"")</f>
        <v/>
      </c>
      <c r="O21" s="29" t="str" cm="1">
        <f t="array" ref="O21">_xlfn.TEXTJOIN(CHAR(10),TRUE,IF(Aula=base_de_datos[Aula],IF("x"=base_de_datos[Sábado],IF(base_de_datos[Hora inicio]&lt;=$B21,IF(base_de_datos[Hora fin]&gt;=$C21,base_de_datos[No clase],""),""),""),""),"")</f>
        <v/>
      </c>
    </row>
    <row r="22" spans="2:24" ht="15">
      <c r="B22" s="206">
        <v>0.64583333333333304</v>
      </c>
      <c r="C22" s="206">
        <v>0.66666666666666097</v>
      </c>
      <c r="D22" s="29" t="str" cm="1">
        <f t="array" ref="D22">_xlfn.TEXTJOIN(CHAR(10),TRUE,IF(Aula=base_de_datos[Aula],IF("x"=base_de_datos[Lunes],IF(base_de_datos[Hora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_xlfn.TEXTJOIN(CHAR(10),TRUE,IF(Aula=base_de_datos[Aula],IF("x"=base_de_datos[Lunes],IF(base_de_datos[Hora inicio]&lt;=$B22,IF(base_de_datos[Hora fin]&gt;=$C22,base_de_datos[No clase],""),""),""),""),"")</f>
        <v/>
      </c>
      <c r="F22" s="29" t="str" cm="1">
        <f t="array" ref="F22">_xlfn.TEXTJOIN(CHAR(10),TRUE,IF(Aula=base_de_datos[Aula],IF("x"=base_de_datos[Martes],IF(base_de_datos[Hora inicio]&lt;=$B22,IF(base_de_datos[Hora fin]&gt;=$C22,base_de_datos[Materia]&amp;" "&amp;base_de_datos[[Número de grupo ]],""),""),""),""),"")</f>
        <v>Energía nuclear 1</v>
      </c>
      <c r="G22" s="29" t="str" cm="1">
        <f t="array" ref="G22">_xlfn.TEXTJOIN(CHAR(10),TRUE,IF(Aula=base_de_datos[Aula],IF("x"=base_de_datos[Martes],IF(base_de_datos[Hora inicio]&lt;=$B22,IF(base_de_datos[Hora fin]&gt;=$C22,base_de_datos[No clase],""),""),""),""),"")</f>
        <v>1584</v>
      </c>
      <c r="H22" s="29" t="str" cm="1">
        <f t="array" ref="H22">_xlfn.TEXTJOIN(CHAR(10),TRUE,IF(Aula=base_de_datos[Aula],IF("x"=base_de_datos[Miércoles],IF(base_de_datos[Hora inicio]&lt;=$B22,IF(base_de_datos[Hora fin]&gt;=$C22,base_de_datos[Materia]&amp;" "&amp;base_de_datos[[Número de grupo ]],""),""),""),""),"")</f>
        <v/>
      </c>
      <c r="I22" s="29" t="str" cm="1">
        <f t="array" ref="I22">_xlfn.TEXTJOIN(CHAR(10),TRUE,IF(Aula=base_de_datos[Aula],IF("x"=base_de_datos[Miércoles],IF(base_de_datos[Hora inicio]&lt;=$B22,IF(base_de_datos[Hora fin]&gt;=$C22,base_de_datos[No clase],""),""),""),""),"")</f>
        <v/>
      </c>
      <c r="J22" s="29" t="str" cm="1">
        <f t="array" ref="J22">_xlfn.TEXTJOIN(CHAR(10),TRUE,IF(Aula=base_de_datos[Aula],IF("x"=base_de_datos[Jueves],IF(base_de_datos[Hora inicio]&lt;=$B22,IF(base_de_datos[Hora fin]&gt;=$C22,base_de_datos[Materia]&amp;" "&amp;base_de_datos[[Número de grupo ]],""),""),""),""),"")</f>
        <v>Energía nuclear 1</v>
      </c>
      <c r="K22" s="29" t="str" cm="1">
        <f t="array" ref="K22">_xlfn.TEXTJOIN(CHAR(10),TRUE,IF(Aula=base_de_datos[Aula],IF("x"=base_de_datos[Jueves],IF(base_de_datos[Hora inicio]&lt;=$B22,IF(base_de_datos[Hora fin]&gt;=$C22,base_de_datos[No clase],""),""),""),""),"")</f>
        <v>1584</v>
      </c>
      <c r="L22" s="29" t="str" cm="1">
        <f t="array" ref="L22">_xlfn.TEXTJOIN(CHAR(10),TRUE,IF(Aula=base_de_datos[Aula],IF("x"=base_de_datos[Viernes],IF(base_de_datos[Hora inicio]&lt;=$B22,IF(base_de_datos[Hora fin]&gt;=$C22,base_de_datos[Materia]&amp;" "&amp;base_de_datos[[Número de grupo ]],""),""),""),""),"")</f>
        <v/>
      </c>
      <c r="M22" s="29" t="str" cm="1">
        <f t="array" ref="M22">_xlfn.TEXTJOIN(CHAR(10),TRUE,IF(Aula=base_de_datos[Aula],IF("x"=base_de_datos[Viernes],IF(base_de_datos[Hora inicio]&lt;=$B22,IF(base_de_datos[Hora fin]&gt;=$C22,base_de_datos[No clase],""),""),""),""),"")</f>
        <v/>
      </c>
      <c r="N22" s="29" t="str" cm="1">
        <f t="array" ref="N22">_xlfn.TEXTJOIN(CHAR(10),TRUE,IF(Aula=base_de_datos[Aula],IF("x"=base_de_datos[Sábado],IF(base_de_datos[Hora inicio]&lt;=$B22,IF(base_de_datos[Hora fin]&gt;=$C22,base_de_datos[Materia]&amp;" "&amp;base_de_datos[[Número de grupo ]],""),""),""),""),"")</f>
        <v/>
      </c>
      <c r="O22" s="29" t="str" cm="1">
        <f t="array" ref="O22">_xlfn.TEXTJOIN(CHAR(10),TRUE,IF(Aula=base_de_datos[Aula],IF("x"=base_de_datos[Sábado],IF(base_de_datos[Hora inicio]&lt;=$B22,IF(base_de_datos[Hora fin]&gt;=$C22,base_de_datos[No clase],""),""),""),""),"")</f>
        <v/>
      </c>
    </row>
    <row r="23" spans="2:24" ht="15">
      <c r="B23" s="206">
        <v>0.66666666666666696</v>
      </c>
      <c r="C23" s="206">
        <v>0.687499999999994</v>
      </c>
      <c r="D23" s="29" t="str" cm="1">
        <f t="array" ref="D23">_xlfn.TEXTJOIN(CHAR(10),TRUE,IF(Aula=base_de_datos[Aula],IF("x"=base_de_datos[Lunes],IF(base_de_datos[Hora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_xlfn.TEXTJOIN(CHAR(10),TRUE,IF(Aula=base_de_datos[Aula],IF("x"=base_de_datos[Lunes],IF(base_de_datos[Hora inicio]&lt;=$B23,IF(base_de_datos[Hora fin]&gt;=$C23,base_de_datos[No clase],""),""),""),""),"")</f>
        <v/>
      </c>
      <c r="F23" s="29" t="str" cm="1">
        <f t="array" ref="F23">_xlfn.TEXTJOIN(CHAR(10),TRUE,IF(Aula=base_de_datos[Aula],IF("x"=base_de_datos[Martes],IF(base_de_datos[Hora inicio]&lt;=$B23,IF(base_de_datos[Hora fin]&gt;=$C23,base_de_datos[Materia]&amp;" "&amp;base_de_datos[[Número de grupo ]],""),""),""),""),"")</f>
        <v>Energía nuclear 1</v>
      </c>
      <c r="G23" s="29" t="str" cm="1">
        <f t="array" ref="G23">_xlfn.TEXTJOIN(CHAR(10),TRUE,IF(Aula=base_de_datos[Aula],IF("x"=base_de_datos[Martes],IF(base_de_datos[Hora inicio]&lt;=$B23,IF(base_de_datos[Hora fin]&gt;=$C23,base_de_datos[No clase],""),""),""),""),"")</f>
        <v>1584</v>
      </c>
      <c r="H23" s="29" t="str" cm="1">
        <f t="array" ref="H23">_xlfn.TEXTJOIN(CHAR(10),TRUE,IF(Aula=base_de_datos[Aula],IF("x"=base_de_datos[Miércoles],IF(base_de_datos[Hora inicio]&lt;=$B23,IF(base_de_datos[Hora fin]&gt;=$C23,base_de_datos[Materia]&amp;" "&amp;base_de_datos[[Número de grupo ]],""),""),""),""),"")</f>
        <v/>
      </c>
      <c r="I23" s="29" t="str" cm="1">
        <f t="array" ref="I23">_xlfn.TEXTJOIN(CHAR(10),TRUE,IF(Aula=base_de_datos[Aula],IF("x"=base_de_datos[Miércoles],IF(base_de_datos[Hora inicio]&lt;=$B23,IF(base_de_datos[Hora fin]&gt;=$C23,base_de_datos[No clase],""),""),""),""),"")</f>
        <v/>
      </c>
      <c r="J23" s="29" t="str" cm="1">
        <f t="array" ref="J23">_xlfn.TEXTJOIN(CHAR(10),TRUE,IF(Aula=base_de_datos[Aula],IF("x"=base_de_datos[Jueves],IF(base_de_datos[Hora inicio]&lt;=$B23,IF(base_de_datos[Hora fin]&gt;=$C23,base_de_datos[Materia]&amp;" "&amp;base_de_datos[[Número de grupo ]],""),""),""),""),"")</f>
        <v>Energía nuclear 1</v>
      </c>
      <c r="K23" s="29" t="str" cm="1">
        <f t="array" ref="K23">_xlfn.TEXTJOIN(CHAR(10),TRUE,IF(Aula=base_de_datos[Aula],IF("x"=base_de_datos[Jueves],IF(base_de_datos[Hora inicio]&lt;=$B23,IF(base_de_datos[Hora fin]&gt;=$C23,base_de_datos[No clase],""),""),""),""),"")</f>
        <v>1584</v>
      </c>
      <c r="L23" s="29" t="str" cm="1">
        <f t="array" ref="L23">_xlfn.TEXTJOIN(CHAR(10),TRUE,IF(Aula=base_de_datos[Aula],IF("x"=base_de_datos[Viernes],IF(base_de_datos[Hora inicio]&lt;=$B23,IF(base_de_datos[Hora fin]&gt;=$C23,base_de_datos[Materia]&amp;" "&amp;base_de_datos[[Número de grupo ]],""),""),""),""),"")</f>
        <v/>
      </c>
      <c r="M23" s="29" t="str" cm="1">
        <f t="array" ref="M23">_xlfn.TEXTJOIN(CHAR(10),TRUE,IF(Aula=base_de_datos[Aula],IF("x"=base_de_datos[Viernes],IF(base_de_datos[Hora inicio]&lt;=$B23,IF(base_de_datos[Hora fin]&gt;=$C23,base_de_datos[No clase],""),""),""),""),"")</f>
        <v/>
      </c>
      <c r="N23" s="29" t="str" cm="1">
        <f t="array" ref="N23">_xlfn.TEXTJOIN(CHAR(10),TRUE,IF(Aula=base_de_datos[Aula],IF("x"=base_de_datos[Sábado],IF(base_de_datos[Hora inicio]&lt;=$B23,IF(base_de_datos[Hora fin]&gt;=$C23,base_de_datos[Materia]&amp;" "&amp;base_de_datos[[Número de grupo ]],""),""),""),""),"")</f>
        <v/>
      </c>
      <c r="O23" s="29" t="str" cm="1">
        <f t="array" ref="O23">_xlfn.TEXTJOIN(CHAR(10),TRUE,IF(Aula=base_de_datos[Aula],IF("x"=base_de_datos[Sábado],IF(base_de_datos[Hora inicio]&lt;=$B23,IF(base_de_datos[Hora fin]&gt;=$C23,base_de_datos[No clase],""),""),""),""),"")</f>
        <v/>
      </c>
    </row>
    <row r="24" spans="2:24" ht="15">
      <c r="B24" s="206">
        <v>0.6875</v>
      </c>
      <c r="C24" s="206">
        <v>0.70833333333332704</v>
      </c>
      <c r="D24" s="29" t="str" cm="1">
        <f t="array" ref="D24">_xlfn.TEXTJOIN(CHAR(10),TRUE,IF(Aula=base_de_datos[Aula],IF("x"=base_de_datos[Lunes],IF(base_de_datos[Hora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_xlfn.TEXTJOIN(CHAR(10),TRUE,IF(Aula=base_de_datos[Aula],IF("x"=base_de_datos[Lunes],IF(base_de_datos[Hora inicio]&lt;=$B24,IF(base_de_datos[Hora fin]&gt;=$C24,base_de_datos[No clase],""),""),""),""),"")</f>
        <v/>
      </c>
      <c r="F24" s="29" t="str" cm="1">
        <f t="array" ref="F24">_xlfn.TEXTJOIN(CHAR(10),TRUE,IF(Aula=base_de_datos[Aula],IF("x"=base_de_datos[Martes],IF(base_de_datos[Hora inicio]&lt;=$B24,IF(base_de_datos[Hora fin]&gt;=$C24,base_de_datos[Materia]&amp;" "&amp;base_de_datos[[Número de grupo ]],""),""),""),""),"")</f>
        <v>Energía nuclear 1</v>
      </c>
      <c r="G24" s="29" t="str" cm="1">
        <f t="array" ref="G24">_xlfn.TEXTJOIN(CHAR(10),TRUE,IF(Aula=base_de_datos[Aula],IF("x"=base_de_datos[Martes],IF(base_de_datos[Hora inicio]&lt;=$B24,IF(base_de_datos[Hora fin]&gt;=$C24,base_de_datos[No clase],""),""),""),""),"")</f>
        <v>1584</v>
      </c>
      <c r="H24" s="29" t="str" cm="1">
        <f t="array" ref="H24">_xlfn.TEXTJOIN(CHAR(10),TRUE,IF(Aula=base_de_datos[Aula],IF("x"=base_de_datos[Miércoles],IF(base_de_datos[Hora inicio]&lt;=$B24,IF(base_de_datos[Hora fin]&gt;=$C24,base_de_datos[Materia]&amp;" "&amp;base_de_datos[[Número de grupo ]],""),""),""),""),"")</f>
        <v/>
      </c>
      <c r="I24" s="29" t="str" cm="1">
        <f t="array" ref="I24">_xlfn.TEXTJOIN(CHAR(10),TRUE,IF(Aula=base_de_datos[Aula],IF("x"=base_de_datos[Miércoles],IF(base_de_datos[Hora inicio]&lt;=$B24,IF(base_de_datos[Hora fin]&gt;=$C24,base_de_datos[No clase],""),""),""),""),"")</f>
        <v/>
      </c>
      <c r="J24" s="29" t="str" cm="1">
        <f t="array" ref="J24">_xlfn.TEXTJOIN(CHAR(10),TRUE,IF(Aula=base_de_datos[Aula],IF("x"=base_de_datos[Jueves],IF(base_de_datos[Hora inicio]&lt;=$B24,IF(base_de_datos[Hora fin]&gt;=$C24,base_de_datos[Materia]&amp;" "&amp;base_de_datos[[Número de grupo ]],""),""),""),""),"")</f>
        <v>Energía nuclear 1</v>
      </c>
      <c r="K24" s="29" t="str" cm="1">
        <f t="array" ref="K24">_xlfn.TEXTJOIN(CHAR(10),TRUE,IF(Aula=base_de_datos[Aula],IF("x"=base_de_datos[Jueves],IF(base_de_datos[Hora inicio]&lt;=$B24,IF(base_de_datos[Hora fin]&gt;=$C24,base_de_datos[No clase],""),""),""),""),"")</f>
        <v>1584</v>
      </c>
      <c r="L24" s="29" t="str" cm="1">
        <f t="array" ref="L24">_xlfn.TEXTJOIN(CHAR(10),TRUE,IF(Aula=base_de_datos[Aula],IF("x"=base_de_datos[Viernes],IF(base_de_datos[Hora inicio]&lt;=$B24,IF(base_de_datos[Hora fin]&gt;=$C24,base_de_datos[Materia]&amp;" "&amp;base_de_datos[[Número de grupo ]],""),""),""),""),"")</f>
        <v/>
      </c>
      <c r="M24" s="29" t="str" cm="1">
        <f t="array" ref="M24">_xlfn.TEXTJOIN(CHAR(10),TRUE,IF(Aula=base_de_datos[Aula],IF("x"=base_de_datos[Viernes],IF(base_de_datos[Hora inicio]&lt;=$B24,IF(base_de_datos[Hora fin]&gt;=$C24,base_de_datos[No clase],""),""),""),""),"")</f>
        <v/>
      </c>
      <c r="N24" s="29" t="str" cm="1">
        <f t="array" ref="N24">_xlfn.TEXTJOIN(CHAR(10),TRUE,IF(Aula=base_de_datos[Aula],IF("x"=base_de_datos[Sábado],IF(base_de_datos[Hora inicio]&lt;=$B24,IF(base_de_datos[Hora fin]&gt;=$C24,base_de_datos[Materia]&amp;" "&amp;base_de_datos[[Número de grupo ]],""),""),""),""),"")</f>
        <v/>
      </c>
      <c r="O24" s="29" t="str" cm="1">
        <f t="array" ref="O24">_xlfn.TEXTJOIN(CHAR(10),TRUE,IF(Aula=base_de_datos[Aula],IF("x"=base_de_datos[Sábado],IF(base_de_datos[Hora inicio]&lt;=$B24,IF(base_de_datos[Hora fin]&gt;=$C24,base_de_datos[No clase],""),""),""),""),"")</f>
        <v/>
      </c>
    </row>
    <row r="25" spans="2:24" ht="60">
      <c r="B25" s="206">
        <v>0.70833333333333304</v>
      </c>
      <c r="C25" s="206">
        <v>0.72916666666665997</v>
      </c>
      <c r="D25" s="29" t="str" cm="1">
        <f t="array" ref="D25">_xlfn.TEXTJOIN(CHAR(10),TRUE,IF(Aula=base_de_datos[Aula],IF("x"=base_de_datos[Lunes],IF(base_de_datos[Hora inicio]&lt;=$B25,IF(base_de_datos[Hora fin]&gt;=$C25,base_de_datos[Materia]&amp;" "&amp;base_de_datos[[Número de grupo ]],""),""),""),""),"")</f>
        <v>Sistemas energéticos I 1</v>
      </c>
      <c r="E25" s="29" t="str" cm="1">
        <f t="array" ref="E25">_xlfn.TEXTJOIN(CHAR(10),TRUE,IF(Aula=base_de_datos[Aula],IF("x"=base_de_datos[Lunes],IF(base_de_datos[Hora inicio]&lt;=$B25,IF(base_de_datos[Hora fin]&gt;=$C25,base_de_datos[No clase],""),""),""),""),"")</f>
        <v>5576/77</v>
      </c>
      <c r="F25" s="29" t="str" cm="1">
        <f t="array" ref="F25">_xlfn.TEXTJOIN(CHAR(10),TRUE,IF(Aula=base_de_datos[Aula],IF("x"=base_de_datos[Martes],IF(base_de_datos[Hora inicio]&lt;=$B25,IF(base_de_datos[Hora fin]&gt;=$C25,base_de_datos[Materia]&amp;" "&amp;base_de_datos[[Número de grupo ]],""),""),""),""),"")</f>
        <v/>
      </c>
      <c r="G25" s="29" t="str" cm="1">
        <f t="array" ref="G25">_xlfn.TEXTJOIN(CHAR(10),TRUE,IF(Aula=base_de_datos[Aula],IF("x"=base_de_datos[Martes],IF(base_de_datos[Hora inicio]&lt;=$B25,IF(base_de_datos[Hora fin]&gt;=$C25,base_de_datos[No clase],""),""),""),""),"")</f>
        <v/>
      </c>
      <c r="H25" s="29" t="str" cm="1">
        <f t="array" ref="H25">_xlfn.TEXTJOIN(CHAR(10),TRUE,IF(Aula=base_de_datos[Aula],IF("x"=base_de_datos[Miércoles],IF(base_de_datos[Hora inicio]&lt;=$B25,IF(base_de_datos[Hora fin]&gt;=$C25,base_de_datos[Materia]&amp;" "&amp;base_de_datos[[Número de grupo ]],""),""),""),""),"")</f>
        <v>Sistemas energéticos I 1</v>
      </c>
      <c r="I25" s="29" t="str" cm="1">
        <f t="array" ref="I25">_xlfn.TEXTJOIN(CHAR(10),TRUE,IF(Aula=base_de_datos[Aula],IF("x"=base_de_datos[Miércoles],IF(base_de_datos[Hora inicio]&lt;=$B25,IF(base_de_datos[Hora fin]&gt;=$C25,base_de_datos[No clase],""),""),""),""),"")</f>
        <v>5576/77</v>
      </c>
      <c r="J25" s="29" t="str" cm="1">
        <f t="array" ref="J25">_xlfn.TEXTJOIN(CHAR(10),TRUE,IF(Aula=base_de_datos[Aula],IF("x"=base_de_datos[Jueves],IF(base_de_datos[Hora inicio]&lt;=$B25,IF(base_de_datos[Hora fin]&gt;=$C25,base_de_datos[Materia]&amp;" "&amp;base_de_datos[[Número de grupo ]],""),""),""),""),"")</f>
        <v xml:space="preserve"> </v>
      </c>
      <c r="K25" s="29" t="str" cm="1">
        <f t="array" ref="K25">_xlfn.TEXTJOIN(CHAR(10),TRUE,IF(Aula=base_de_datos[Aula],IF("x"=base_de_datos[Jueves],IF(base_de_datos[Hora inicio]&lt;=$B25,IF(base_de_datos[Hora fin]&gt;=$C25,base_de_datos[No clase],""),""),""),""),"")</f>
        <v>Apartado para el área de Pedagogía (7 al 23 de Nov.)</v>
      </c>
      <c r="L25" s="29" t="str" cm="1">
        <f t="array" ref="L25">_xlfn.TEXTJOIN(CHAR(10),TRUE,IF(Aula=base_de_datos[Aula],IF("x"=base_de_datos[Viernes],IF(base_de_datos[Hora inicio]&lt;=$B25,IF(base_de_datos[Hora fin]&gt;=$C25,base_de_datos[Materia]&amp;" "&amp;base_de_datos[[Número de grupo ]],""),""),""),""),"")</f>
        <v/>
      </c>
      <c r="M25" s="29" t="str" cm="1">
        <f t="array" ref="M25">_xlfn.TEXTJOIN(CHAR(10),TRUE,IF(Aula=base_de_datos[Aula],IF("x"=base_de_datos[Viernes],IF(base_de_datos[Hora inicio]&lt;=$B25,IF(base_de_datos[Hora fin]&gt;=$C25,base_de_datos[No clase],""),""),""),""),"")</f>
        <v/>
      </c>
      <c r="N25" s="29" t="str" cm="1">
        <f t="array" ref="N25">_xlfn.TEXTJOIN(CHAR(10),TRUE,IF(Aula=base_de_datos[Aula],IF("x"=base_de_datos[Sábado],IF(base_de_datos[Hora inicio]&lt;=$B25,IF(base_de_datos[Hora fin]&gt;=$C25,base_de_datos[Materia]&amp;" "&amp;base_de_datos[[Número de grupo ]],""),""),""),""),"")</f>
        <v/>
      </c>
      <c r="O25" s="29" t="str" cm="1">
        <f t="array" ref="O25">_xlfn.TEXTJOIN(CHAR(10),TRUE,IF(Aula=base_de_datos[Aula],IF("x"=base_de_datos[Sábado],IF(base_de_datos[Hora inicio]&lt;=$B25,IF(base_de_datos[Hora fin]&gt;=$C25,base_de_datos[No clase],""),""),""),""),"")</f>
        <v/>
      </c>
    </row>
    <row r="26" spans="2:24" ht="60">
      <c r="B26" s="206">
        <v>0.72916666666666696</v>
      </c>
      <c r="C26" s="206">
        <v>0.74999999999999301</v>
      </c>
      <c r="D26" s="29" t="str" cm="1">
        <f t="array" ref="D26">_xlfn.TEXTJOIN(CHAR(10),TRUE,IF(Aula=base_de_datos[Aula],IF("x"=base_de_datos[Lunes],IF(base_de_datos[Hora inicio]&lt;=$B26,IF(base_de_datos[Hora fin]&gt;=$C26,base_de_datos[Materia]&amp;" "&amp;base_de_datos[[Número de grupo ]],""),""),""),""),"")</f>
        <v>Sistemas energéticos I 1</v>
      </c>
      <c r="E26" s="29" t="str" cm="1">
        <f t="array" ref="E26">_xlfn.TEXTJOIN(CHAR(10),TRUE,IF(Aula=base_de_datos[Aula],IF("x"=base_de_datos[Lunes],IF(base_de_datos[Hora inicio]&lt;=$B26,IF(base_de_datos[Hora fin]&gt;=$C26,base_de_datos[No clase],""),""),""),""),"")</f>
        <v>5576/77</v>
      </c>
      <c r="F26" s="29" t="str" cm="1">
        <f t="array" ref="F26">_xlfn.TEXTJOIN(CHAR(10),TRUE,IF(Aula=base_de_datos[Aula],IF("x"=base_de_datos[Martes],IF(base_de_datos[Hora inicio]&lt;=$B26,IF(base_de_datos[Hora fin]&gt;=$C26,base_de_datos[Materia]&amp;" "&amp;base_de_datos[[Número de grupo ]],""),""),""),""),"")</f>
        <v/>
      </c>
      <c r="G26" s="29" t="str" cm="1">
        <f t="array" ref="G26">_xlfn.TEXTJOIN(CHAR(10),TRUE,IF(Aula=base_de_datos[Aula],IF("x"=base_de_datos[Martes],IF(base_de_datos[Hora inicio]&lt;=$B26,IF(base_de_datos[Hora fin]&gt;=$C26,base_de_datos[No clase],""),""),""),""),"")</f>
        <v/>
      </c>
      <c r="H26" s="29" t="str" cm="1">
        <f t="array" ref="H26">_xlfn.TEXTJOIN(CHAR(10),TRUE,IF(Aula=base_de_datos[Aula],IF("x"=base_de_datos[Miércoles],IF(base_de_datos[Hora inicio]&lt;=$B26,IF(base_de_datos[Hora fin]&gt;=$C26,base_de_datos[Materia]&amp;" "&amp;base_de_datos[[Número de grupo ]],""),""),""),""),"")</f>
        <v>Sistemas energéticos I 1</v>
      </c>
      <c r="I26" s="29" t="str" cm="1">
        <f t="array" ref="I26">_xlfn.TEXTJOIN(CHAR(10),TRUE,IF(Aula=base_de_datos[Aula],IF("x"=base_de_datos[Miércoles],IF(base_de_datos[Hora inicio]&lt;=$B26,IF(base_de_datos[Hora fin]&gt;=$C26,base_de_datos[No clase],""),""),""),""),"")</f>
        <v>5576/77</v>
      </c>
      <c r="J26" s="29" t="str" cm="1">
        <f t="array" ref="J26">_xlfn.TEXTJOIN(CHAR(10),TRUE,IF(Aula=base_de_datos[Aula],IF("x"=base_de_datos[Jueves],IF(base_de_datos[Hora inicio]&lt;=$B26,IF(base_de_datos[Hora fin]&gt;=$C26,base_de_datos[Materia]&amp;" "&amp;base_de_datos[[Número de grupo ]],""),""),""),""),"")</f>
        <v xml:space="preserve"> </v>
      </c>
      <c r="K26" s="29" t="str" cm="1">
        <f t="array" ref="K26">_xlfn.TEXTJOIN(CHAR(10),TRUE,IF(Aula=base_de_datos[Aula],IF("x"=base_de_datos[Jueves],IF(base_de_datos[Hora inicio]&lt;=$B26,IF(base_de_datos[Hora fin]&gt;=$C26,base_de_datos[No clase],""),""),""),""),"")</f>
        <v>Apartado para el área de Pedagogía (7 al 23 de Nov.)</v>
      </c>
      <c r="L26" s="29" t="str" cm="1">
        <f t="array" ref="L26">_xlfn.TEXTJOIN(CHAR(10),TRUE,IF(Aula=base_de_datos[Aula],IF("x"=base_de_datos[Viernes],IF(base_de_datos[Hora inicio]&lt;=$B26,IF(base_de_datos[Hora fin]&gt;=$C26,base_de_datos[Materia]&amp;" "&amp;base_de_datos[[Número de grupo ]],""),""),""),""),"")</f>
        <v/>
      </c>
      <c r="M26" s="29" t="str" cm="1">
        <f t="array" ref="M26">_xlfn.TEXTJOIN(CHAR(10),TRUE,IF(Aula=base_de_datos[Aula],IF("x"=base_de_datos[Viernes],IF(base_de_datos[Hora inicio]&lt;=$B26,IF(base_de_datos[Hora fin]&gt;=$C26,base_de_datos[No clase],""),""),""),""),"")</f>
        <v/>
      </c>
      <c r="N26" s="29" t="str" cm="1">
        <f t="array" ref="N26">_xlfn.TEXTJOIN(CHAR(10),TRUE,IF(Aula=base_de_datos[Aula],IF("x"=base_de_datos[Sábado],IF(base_de_datos[Hora inicio]&lt;=$B26,IF(base_de_datos[Hora fin]&gt;=$C26,base_de_datos[Materia]&amp;" "&amp;base_de_datos[[Número de grupo ]],""),""),""),""),"")</f>
        <v/>
      </c>
      <c r="O26" s="29" t="str" cm="1">
        <f t="array" ref="O26">_xlfn.TEXTJOIN(CHAR(10),TRUE,IF(Aula=base_de_datos[Aula],IF("x"=base_de_datos[Sábado],IF(base_de_datos[Hora inicio]&lt;=$B26,IF(base_de_datos[Hora fin]&gt;=$C26,base_de_datos[No clase],""),""),""),""),"")</f>
        <v/>
      </c>
    </row>
    <row r="27" spans="2:24" ht="60">
      <c r="B27" s="206">
        <v>0.75</v>
      </c>
      <c r="C27" s="206">
        <v>0.77083333333332604</v>
      </c>
      <c r="D27" s="29" t="str" cm="1">
        <f t="array" ref="D27">_xlfn.TEXTJOIN(CHAR(10),TRUE,IF(Aula=base_de_datos[Aula],IF("x"=base_de_datos[Lunes],IF(base_de_datos[Hora inicio]&lt;=$B27,IF(base_de_datos[Hora fin]&gt;=$C27,base_de_datos[Materia]&amp;" "&amp;base_de_datos[[Número de grupo ]],""),""),""),""),"")</f>
        <v>Sistemas energéticos I 1</v>
      </c>
      <c r="E27" s="29" t="str" cm="1">
        <f t="array" ref="E27">_xlfn.TEXTJOIN(CHAR(10),TRUE,IF(Aula=base_de_datos[Aula],IF("x"=base_de_datos[Lunes],IF(base_de_datos[Hora inicio]&lt;=$B27,IF(base_de_datos[Hora fin]&gt;=$C27,base_de_datos[No clase],""),""),""),""),"")</f>
        <v>5576/77</v>
      </c>
      <c r="F27" s="29" t="str" cm="1">
        <f t="array" ref="F27">_xlfn.TEXTJOIN(CHAR(10),TRUE,IF(Aula=base_de_datos[Aula],IF("x"=base_de_datos[Martes],IF(base_de_datos[Hora inicio]&lt;=$B27,IF(base_de_datos[Hora fin]&gt;=$C27,base_de_datos[Materia]&amp;" "&amp;base_de_datos[[Número de grupo ]],""),""),""),""),"")</f>
        <v/>
      </c>
      <c r="G27" s="29" t="str" cm="1">
        <f t="array" ref="G27">_xlfn.TEXTJOIN(CHAR(10),TRUE,IF(Aula=base_de_datos[Aula],IF("x"=base_de_datos[Martes],IF(base_de_datos[Hora inicio]&lt;=$B27,IF(base_de_datos[Hora fin]&gt;=$C27,base_de_datos[No clase],""),""),""),""),"")</f>
        <v/>
      </c>
      <c r="H27" s="29" t="str" cm="1">
        <f t="array" ref="H27">_xlfn.TEXTJOIN(CHAR(10),TRUE,IF(Aula=base_de_datos[Aula],IF("x"=base_de_datos[Miércoles],IF(base_de_datos[Hora inicio]&lt;=$B27,IF(base_de_datos[Hora fin]&gt;=$C27,base_de_datos[Materia]&amp;" "&amp;base_de_datos[[Número de grupo ]],""),""),""),""),"")</f>
        <v>Sistemas energéticos I 1</v>
      </c>
      <c r="I27" s="29" t="str" cm="1">
        <f t="array" ref="I27">_xlfn.TEXTJOIN(CHAR(10),TRUE,IF(Aula=base_de_datos[Aula],IF("x"=base_de_datos[Miércoles],IF(base_de_datos[Hora inicio]&lt;=$B27,IF(base_de_datos[Hora fin]&gt;=$C27,base_de_datos[No clase],""),""),""),""),"")</f>
        <v>5576/77</v>
      </c>
      <c r="J27" s="29" t="str" cm="1">
        <f t="array" ref="J27">_xlfn.TEXTJOIN(CHAR(10),TRUE,IF(Aula=base_de_datos[Aula],IF("x"=base_de_datos[Jueves],IF(base_de_datos[Hora inicio]&lt;=$B27,IF(base_de_datos[Hora fin]&gt;=$C27,base_de_datos[Materia]&amp;" "&amp;base_de_datos[[Número de grupo ]],""),""),""),""),"")</f>
        <v xml:space="preserve"> </v>
      </c>
      <c r="K27" s="29" t="str" cm="1">
        <f t="array" ref="K27">_xlfn.TEXTJOIN(CHAR(10),TRUE,IF(Aula=base_de_datos[Aula],IF("x"=base_de_datos[Jueves],IF(base_de_datos[Hora inicio]&lt;=$B27,IF(base_de_datos[Hora fin]&gt;=$C27,base_de_datos[No clase],""),""),""),""),"")</f>
        <v>Apartado para el área de Pedagogía (7 al 23 de Nov.)</v>
      </c>
      <c r="L27" s="29" t="str" cm="1">
        <f t="array" ref="L27">_xlfn.TEXTJOIN(CHAR(10),TRUE,IF(Aula=base_de_datos[Aula],IF("x"=base_de_datos[Viernes],IF(base_de_datos[Hora inicio]&lt;=$B27,IF(base_de_datos[Hora fin]&gt;=$C27,base_de_datos[Materia]&amp;" "&amp;base_de_datos[[Número de grupo ]],""),""),""),""),"")</f>
        <v/>
      </c>
      <c r="M27" s="29" t="str" cm="1">
        <f t="array" ref="M27">_xlfn.TEXTJOIN(CHAR(10),TRUE,IF(Aula=base_de_datos[Aula],IF("x"=base_de_datos[Viernes],IF(base_de_datos[Hora inicio]&lt;=$B27,IF(base_de_datos[Hora fin]&gt;=$C27,base_de_datos[No clase],""),""),""),""),"")</f>
        <v/>
      </c>
      <c r="N27" s="29" t="str" cm="1">
        <f t="array" ref="N27">_xlfn.TEXTJOIN(CHAR(10),TRUE,IF(Aula=base_de_datos[Aula],IF("x"=base_de_datos[Sábado],IF(base_de_datos[Hora inicio]&lt;=$B27,IF(base_de_datos[Hora fin]&gt;=$C27,base_de_datos[Materia]&amp;" "&amp;base_de_datos[[Número de grupo ]],""),""),""),""),"")</f>
        <v/>
      </c>
      <c r="O27" s="29" t="str" cm="1">
        <f t="array" ref="O27">_xlfn.TEXTJOIN(CHAR(10),TRUE,IF(Aula=base_de_datos[Aula],IF("x"=base_de_datos[Sábado],IF(base_de_datos[Hora inicio]&lt;=$B27,IF(base_de_datos[Hora fin]&gt;=$C27,base_de_datos[No clase],""),""),""),""),"")</f>
        <v/>
      </c>
    </row>
    <row r="28" spans="2:24" ht="60">
      <c r="B28" s="206">
        <v>0.77083333333333304</v>
      </c>
      <c r="C28" s="206">
        <v>0.79166666666665897</v>
      </c>
      <c r="D28" s="29" t="str" cm="1">
        <f t="array" ref="D28">_xlfn.TEXTJOIN(CHAR(10),TRUE,IF(Aula=base_de_datos[Aula],IF("x"=base_de_datos[Lunes],IF(base_de_datos[Hora inicio]&lt;=$B28,IF(base_de_datos[Hora fin]&gt;=$C28,base_de_datos[Materia]&amp;" "&amp;base_de_datos[[Número de grupo ]],""),""),""),""),"")</f>
        <v>Sistemas energéticos I 1</v>
      </c>
      <c r="E28" s="29" t="str" cm="1">
        <f t="array" ref="E28">_xlfn.TEXTJOIN(CHAR(10),TRUE,IF(Aula=base_de_datos[Aula],IF("x"=base_de_datos[Lunes],IF(base_de_datos[Hora inicio]&lt;=$B28,IF(base_de_datos[Hora fin]&gt;=$C28,base_de_datos[No clase],""),""),""),""),"")</f>
        <v>5576/77</v>
      </c>
      <c r="F28" s="29" t="str" cm="1">
        <f t="array" ref="F28">_xlfn.TEXTJOIN(CHAR(10),TRUE,IF(Aula=base_de_datos[Aula],IF("x"=base_de_datos[Martes],IF(base_de_datos[Hora inicio]&lt;=$B28,IF(base_de_datos[Hora fin]&gt;=$C28,base_de_datos[Materia]&amp;" "&amp;base_de_datos[[Número de grupo ]],""),""),""),""),"")</f>
        <v/>
      </c>
      <c r="G28" s="29" t="str" cm="1">
        <f t="array" ref="G28">_xlfn.TEXTJOIN(CHAR(10),TRUE,IF(Aula=base_de_datos[Aula],IF("x"=base_de_datos[Martes],IF(base_de_datos[Hora inicio]&lt;=$B28,IF(base_de_datos[Hora fin]&gt;=$C28,base_de_datos[No clase],""),""),""),""),"")</f>
        <v/>
      </c>
      <c r="H28" s="29" t="str" cm="1">
        <f t="array" ref="H28">_xlfn.TEXTJOIN(CHAR(10),TRUE,IF(Aula=base_de_datos[Aula],IF("x"=base_de_datos[Miércoles],IF(base_de_datos[Hora inicio]&lt;=$B28,IF(base_de_datos[Hora fin]&gt;=$C28,base_de_datos[Materia]&amp;" "&amp;base_de_datos[[Número de grupo ]],""),""),""),""),"")</f>
        <v>Sistemas energéticos I 1</v>
      </c>
      <c r="I28" s="29" t="str" cm="1">
        <f t="array" ref="I28">_xlfn.TEXTJOIN(CHAR(10),TRUE,IF(Aula=base_de_datos[Aula],IF("x"=base_de_datos[Miércoles],IF(base_de_datos[Hora inicio]&lt;=$B28,IF(base_de_datos[Hora fin]&gt;=$C28,base_de_datos[No clase],""),""),""),""),"")</f>
        <v>5576/77</v>
      </c>
      <c r="J28" s="29" t="str" cm="1">
        <f t="array" ref="J28">_xlfn.TEXTJOIN(CHAR(10),TRUE,IF(Aula=base_de_datos[Aula],IF("x"=base_de_datos[Jueves],IF(base_de_datos[Hora inicio]&lt;=$B28,IF(base_de_datos[Hora fin]&gt;=$C28,base_de_datos[Materia]&amp;" "&amp;base_de_datos[[Número de grupo ]],""),""),""),""),"")</f>
        <v xml:space="preserve"> </v>
      </c>
      <c r="K28" s="29" t="str" cm="1">
        <f t="array" ref="K28">_xlfn.TEXTJOIN(CHAR(10),TRUE,IF(Aula=base_de_datos[Aula],IF("x"=base_de_datos[Jueves],IF(base_de_datos[Hora inicio]&lt;=$B28,IF(base_de_datos[Hora fin]&gt;=$C28,base_de_datos[No clase],""),""),""),""),"")</f>
        <v>Apartado para el área de Pedagogía (7 al 23 de Nov.)</v>
      </c>
      <c r="L28" s="29" t="str" cm="1">
        <f t="array" ref="L28">_xlfn.TEXTJOIN(CHAR(10),TRUE,IF(Aula=base_de_datos[Aula],IF("x"=base_de_datos[Viernes],IF(base_de_datos[Hora inicio]&lt;=$B28,IF(base_de_datos[Hora fin]&gt;=$C28,base_de_datos[Materia]&amp;" "&amp;base_de_datos[[Número de grupo ]],""),""),""),""),"")</f>
        <v/>
      </c>
      <c r="M28" s="29" t="str" cm="1">
        <f t="array" ref="M28">_xlfn.TEXTJOIN(CHAR(10),TRUE,IF(Aula=base_de_datos[Aula],IF("x"=base_de_datos[Viernes],IF(base_de_datos[Hora inicio]&lt;=$B28,IF(base_de_datos[Hora fin]&gt;=$C28,base_de_datos[No clase],""),""),""),""),"")</f>
        <v/>
      </c>
      <c r="N28" s="29" t="str" cm="1">
        <f t="array" ref="N28">_xlfn.TEXTJOIN(CHAR(10),TRUE,IF(Aula=base_de_datos[Aula],IF("x"=base_de_datos[Sábado],IF(base_de_datos[Hora inicio]&lt;=$B28,IF(base_de_datos[Hora fin]&gt;=$C28,base_de_datos[Materia]&amp;" "&amp;base_de_datos[[Número de grupo ]],""),""),""),""),"")</f>
        <v/>
      </c>
      <c r="O28" s="29" t="str" cm="1">
        <f t="array" ref="O28">_xlfn.TEXTJOIN(CHAR(10),TRUE,IF(Aula=base_de_datos[Aula],IF("x"=base_de_datos[Sábado],IF(base_de_datos[Hora inicio]&lt;=$B28,IF(base_de_datos[Hora fin]&gt;=$C28,base_de_datos[No clase],""),""),""),""),"")</f>
        <v/>
      </c>
    </row>
    <row r="29" spans="2:24" ht="15">
      <c r="B29" s="206">
        <v>0.79166666666666696</v>
      </c>
      <c r="C29" s="206">
        <v>0.81249999999999201</v>
      </c>
      <c r="D29" s="29" t="str" cm="1">
        <f t="array" ref="D29">_xlfn.TEXTJOIN(CHAR(10),TRUE,IF(Aula=base_de_datos[Aula],IF("x"=base_de_datos[Lunes],IF(base_de_datos[Hora inicio]&lt;=$B29,IF(base_de_datos[Hora fin]&gt;=$C29,base_de_datos[Materia]&amp;" "&amp;base_de_datos[[Número de grupo ]],""),""),""),""),"")</f>
        <v>Biosustentabilidad 1</v>
      </c>
      <c r="E29" s="29" t="str" cm="1">
        <f t="array" ref="E29">_xlfn.TEXTJOIN(CHAR(10),TRUE,IF(Aula=base_de_datos[Aula],IF("x"=base_de_datos[Lunes],IF(base_de_datos[Hora inicio]&lt;=$B29,IF(base_de_datos[Hora fin]&gt;=$C29,base_de_datos[No clase],""),""),""),""),"")</f>
        <v>5574/75</v>
      </c>
      <c r="F29" s="29" t="str" cm="1">
        <f t="array" ref="F29">_xlfn.TEXTJOIN(CHAR(10),TRUE,IF(Aula=base_de_datos[Aula],IF("x"=base_de_datos[Martes],IF(base_de_datos[Hora inicio]&lt;=$B29,IF(base_de_datos[Hora fin]&gt;=$C29,base_de_datos[Materia]&amp;" "&amp;base_de_datos[[Número de grupo ]],""),""),""),""),"")</f>
        <v/>
      </c>
      <c r="G29" s="29" t="str" cm="1">
        <f t="array" ref="G29">_xlfn.TEXTJOIN(CHAR(10),TRUE,IF(Aula=base_de_datos[Aula],IF("x"=base_de_datos[Martes],IF(base_de_datos[Hora inicio]&lt;=$B29,IF(base_de_datos[Hora fin]&gt;=$C29,base_de_datos[No clase],""),""),""),""),"")</f>
        <v/>
      </c>
      <c r="H29" s="29" t="str" cm="1">
        <f t="array" ref="H29">_xlfn.TEXTJOIN(CHAR(10),TRUE,IF(Aula=base_de_datos[Aula],IF("x"=base_de_datos[Miércoles],IF(base_de_datos[Hora inicio]&lt;=$B29,IF(base_de_datos[Hora fin]&gt;=$C29,base_de_datos[Materia]&amp;" "&amp;base_de_datos[[Número de grupo ]],""),""),""),""),"")</f>
        <v/>
      </c>
      <c r="I29" s="29" t="str" cm="1">
        <f t="array" ref="I29">_xlfn.TEXTJOIN(CHAR(10),TRUE,IF(Aula=base_de_datos[Aula],IF("x"=base_de_datos[Miércoles],IF(base_de_datos[Hora inicio]&lt;=$B29,IF(base_de_datos[Hora fin]&gt;=$C29,base_de_datos[No clase],""),""),""),""),"")</f>
        <v/>
      </c>
      <c r="J29" s="29" t="str" cm="1">
        <f t="array" ref="J29">_xlfn.TEXTJOIN(CHAR(10),TRUE,IF(Aula=base_de_datos[Aula],IF("x"=base_de_datos[Jueves],IF(base_de_datos[Hora inicio]&lt;=$B29,IF(base_de_datos[Hora fin]&gt;=$C29,base_de_datos[Materia]&amp;" "&amp;base_de_datos[[Número de grupo ]],""),""),""),""),"")</f>
        <v>Biosustentabilidad 1</v>
      </c>
      <c r="K29" s="29" t="str" cm="1">
        <f t="array" ref="K29">_xlfn.TEXTJOIN(CHAR(10),TRUE,IF(Aula=base_de_datos[Aula],IF("x"=base_de_datos[Jueves],IF(base_de_datos[Hora inicio]&lt;=$B29,IF(base_de_datos[Hora fin]&gt;=$C29,base_de_datos[No clase],""),""),""),""),"")</f>
        <v>5574/75</v>
      </c>
      <c r="L29" s="29" t="str" cm="1">
        <f t="array" ref="L29">_xlfn.TEXTJOIN(CHAR(10),TRUE,IF(Aula=base_de_datos[Aula],IF("x"=base_de_datos[Viernes],IF(base_de_datos[Hora inicio]&lt;=$B29,IF(base_de_datos[Hora fin]&gt;=$C29,base_de_datos[Materia]&amp;" "&amp;base_de_datos[[Número de grupo ]],""),""),""),""),"")</f>
        <v/>
      </c>
      <c r="M29" s="29" t="str" cm="1">
        <f t="array" ref="M29">_xlfn.TEXTJOIN(CHAR(10),TRUE,IF(Aula=base_de_datos[Aula],IF("x"=base_de_datos[Viernes],IF(base_de_datos[Hora inicio]&lt;=$B29,IF(base_de_datos[Hora fin]&gt;=$C29,base_de_datos[No clase],""),""),""),""),"")</f>
        <v/>
      </c>
      <c r="N29" s="29" t="str" cm="1">
        <f t="array" ref="N29">_xlfn.TEXTJOIN(CHAR(10),TRUE,IF(Aula=base_de_datos[Aula],IF("x"=base_de_datos[Sábado],IF(base_de_datos[Hora inicio]&lt;=$B29,IF(base_de_datos[Hora fin]&gt;=$C29,base_de_datos[Materia]&amp;" "&amp;base_de_datos[[Número de grupo ]],""),""),""),""),"")</f>
        <v/>
      </c>
      <c r="O29" s="29" t="str" cm="1">
        <f t="array" ref="O29">_xlfn.TEXTJOIN(CHAR(10),TRUE,IF(Aula=base_de_datos[Aula],IF("x"=base_de_datos[Sábado],IF(base_de_datos[Hora inicio]&lt;=$B29,IF(base_de_datos[Hora fin]&gt;=$C29,base_de_datos[No clase],""),""),""),""),"")</f>
        <v/>
      </c>
    </row>
    <row r="30" spans="2:24" ht="15">
      <c r="B30" s="206">
        <v>0.8125</v>
      </c>
      <c r="C30" s="206">
        <v>0.83333333333332504</v>
      </c>
      <c r="D30" s="29" t="str" cm="1">
        <f t="array" ref="D30">_xlfn.TEXTJOIN(CHAR(10),TRUE,IF(Aula=base_de_datos[Aula],IF("x"=base_de_datos[Lunes],IF(base_de_datos[Hora inicio]&lt;=$B30,IF(base_de_datos[Hora fin]&gt;=$C30,base_de_datos[Materia]&amp;" "&amp;base_de_datos[[Número de grupo ]],""),""),""),""),"")</f>
        <v>Biosustentabilidad 1</v>
      </c>
      <c r="E30" s="29" t="str" cm="1">
        <f t="array" ref="E30">_xlfn.TEXTJOIN(CHAR(10),TRUE,IF(Aula=base_de_datos[Aula],IF("x"=base_de_datos[Lunes],IF(base_de_datos[Hora inicio]&lt;=$B30,IF(base_de_datos[Hora fin]&gt;=$C30,base_de_datos[No clase],""),""),""),""),"")</f>
        <v>5574/75</v>
      </c>
      <c r="F30" s="29" t="str" cm="1">
        <f t="array" ref="F30">_xlfn.TEXTJOIN(CHAR(10),TRUE,IF(Aula=base_de_datos[Aula],IF("x"=base_de_datos[Martes],IF(base_de_datos[Hora inicio]&lt;=$B30,IF(base_de_datos[Hora fin]&gt;=$C30,base_de_datos[Materia]&amp;" "&amp;base_de_datos[[Número de grupo ]],""),""),""),""),"")</f>
        <v/>
      </c>
      <c r="G30" s="29" t="str" cm="1">
        <f t="array" ref="G30">_xlfn.TEXTJOIN(CHAR(10),TRUE,IF(Aula=base_de_datos[Aula],IF("x"=base_de_datos[Martes],IF(base_de_datos[Hora inicio]&lt;=$B30,IF(base_de_datos[Hora fin]&gt;=$C30,base_de_datos[No clase],""),""),""),""),"")</f>
        <v/>
      </c>
      <c r="H30" s="29" t="str" cm="1">
        <f t="array" ref="H30">_xlfn.TEXTJOIN(CHAR(10),TRUE,IF(Aula=base_de_datos[Aula],IF("x"=base_de_datos[Miércoles],IF(base_de_datos[Hora inicio]&lt;=$B30,IF(base_de_datos[Hora fin]&gt;=$C30,base_de_datos[Materia]&amp;" "&amp;base_de_datos[[Número de grupo ]],""),""),""),""),"")</f>
        <v xml:space="preserve">Energía eólica </v>
      </c>
      <c r="I30" s="29" t="str" cm="1">
        <f t="array" ref="I30">_xlfn.TEXTJOIN(CHAR(10),TRUE,IF(Aula=base_de_datos[Aula],IF("x"=base_de_datos[Miércoles],IF(base_de_datos[Hora inicio]&lt;=$B30,IF(base_de_datos[Hora fin]&gt;=$C30,base_de_datos[No clase],""),""),""),""),"")</f>
        <v>1833</v>
      </c>
      <c r="J30" s="29" t="str" cm="1">
        <f t="array" ref="J30">_xlfn.TEXTJOIN(CHAR(10),TRUE,IF(Aula=base_de_datos[Aula],IF("x"=base_de_datos[Jueves],IF(base_de_datos[Hora inicio]&lt;=$B30,IF(base_de_datos[Hora fin]&gt;=$C30,base_de_datos[Materia]&amp;" "&amp;base_de_datos[[Número de grupo ]],""),""),""),""),"")</f>
        <v>Biosustentabilidad 1</v>
      </c>
      <c r="K30" s="29" t="str" cm="1">
        <f t="array" ref="K30">_xlfn.TEXTJOIN(CHAR(10),TRUE,IF(Aula=base_de_datos[Aula],IF("x"=base_de_datos[Jueves],IF(base_de_datos[Hora inicio]&lt;=$B30,IF(base_de_datos[Hora fin]&gt;=$C30,base_de_datos[No clase],""),""),""),""),"")</f>
        <v>5574/75</v>
      </c>
      <c r="L30" s="29" t="str" cm="1">
        <f t="array" ref="L30">_xlfn.TEXTJOIN(CHAR(10),TRUE,IF(Aula=base_de_datos[Aula],IF("x"=base_de_datos[Viernes],IF(base_de_datos[Hora inicio]&lt;=$B30,IF(base_de_datos[Hora fin]&gt;=$C30,base_de_datos[Materia]&amp;" "&amp;base_de_datos[[Número de grupo ]],""),""),""),""),"")</f>
        <v/>
      </c>
      <c r="M30" s="29" t="str" cm="1">
        <f t="array" ref="M30">_xlfn.TEXTJOIN(CHAR(10),TRUE,IF(Aula=base_de_datos[Aula],IF("x"=base_de_datos[Viernes],IF(base_de_datos[Hora inicio]&lt;=$B30,IF(base_de_datos[Hora fin]&gt;=$C30,base_de_datos[No clase],""),""),""),""),"")</f>
        <v/>
      </c>
      <c r="N30" s="29" t="str" cm="1">
        <f t="array" ref="N30">_xlfn.TEXTJOIN(CHAR(10),TRUE,IF(Aula=base_de_datos[Aula],IF("x"=base_de_datos[Sábado],IF(base_de_datos[Hora inicio]&lt;=$B30,IF(base_de_datos[Hora fin]&gt;=$C30,base_de_datos[Materia]&amp;" "&amp;base_de_datos[[Número de grupo ]],""),""),""),""),"")</f>
        <v/>
      </c>
      <c r="O30" s="29" t="str" cm="1">
        <f t="array" ref="O30">_xlfn.TEXTJOIN(CHAR(10),TRUE,IF(Aula=base_de_datos[Aula],IF("x"=base_de_datos[Sábado],IF(base_de_datos[Hora inicio]&lt;=$B30,IF(base_de_datos[Hora fin]&gt;=$C30,base_de_datos[No clase],""),""),""),""),"")</f>
        <v/>
      </c>
    </row>
    <row r="31" spans="2:24" ht="45">
      <c r="B31" s="206">
        <v>0.83333333333333304</v>
      </c>
      <c r="C31" s="206">
        <v>0.85416666666665797</v>
      </c>
      <c r="D31" s="29" t="str" cm="1">
        <f t="array" ref="D31">_xlfn.TEXTJOIN(CHAR(10),TRUE,IF(Aula=base_de_datos[Aula],IF("x"=base_de_datos[Lunes],IF(base_de_datos[Hora inicio]&lt;=$B31,IF(base_de_datos[Hora fin]&gt;=$C31,base_de_datos[Materia]&amp;" "&amp;base_de_datos[[Número de grupo ]],""),""),""),""),"")</f>
        <v>Biosustentabilidad 1</v>
      </c>
      <c r="E31" s="29" t="str" cm="1">
        <f t="array" ref="E31">_xlfn.TEXTJOIN(CHAR(10),TRUE,IF(Aula=base_de_datos[Aula],IF("x"=base_de_datos[Lunes],IF(base_de_datos[Hora inicio]&lt;=$B31,IF(base_de_datos[Hora fin]&gt;=$C31,base_de_datos[No clase],""),""),""),""),"")</f>
        <v>5574/75</v>
      </c>
      <c r="F31" s="29" t="str" cm="1">
        <f t="array" ref="F31">_xlfn.TEXTJOIN(CHAR(10),TRUE,IF(Aula=base_de_datos[Aula],IF("x"=base_de_datos[Martes],IF(base_de_datos[Hora inicio]&lt;=$B31,IF(base_de_datos[Hora fin]&gt;=$C31,base_de_datos[Materia]&amp;" "&amp;base_de_datos[[Número de grupo ]],""),""),""),""),"")</f>
        <v/>
      </c>
      <c r="G31" s="29" t="str" cm="1">
        <f t="array" ref="G31">_xlfn.TEXTJOIN(CHAR(10),TRUE,IF(Aula=base_de_datos[Aula],IF("x"=base_de_datos[Martes],IF(base_de_datos[Hora inicio]&lt;=$B31,IF(base_de_datos[Hora fin]&gt;=$C31,base_de_datos[No clase],""),""),""),""),"")</f>
        <v/>
      </c>
      <c r="H31" s="29" t="str" cm="1">
        <f t="array" ref="H31">_xlfn.TEXTJOIN(CHAR(10),TRUE,IF(Aula=base_de_datos[Aula],IF("x"=base_de_datos[Miércoles],IF(base_de_datos[Hora inicio]&lt;=$B31,IF(base_de_datos[Hora fin]&gt;=$C31,base_de_datos[Materia]&amp;" "&amp;base_de_datos[[Número de grupo ]],""),""),""),""),"")</f>
        <v xml:space="preserve">Energía eólica </v>
      </c>
      <c r="I31" s="29" t="str" cm="1">
        <f t="array" ref="I31">_xlfn.TEXTJOIN(CHAR(10),TRUE,IF(Aula=base_de_datos[Aula],IF("x"=base_de_datos[Miércoles],IF(base_de_datos[Hora inicio]&lt;=$B31,IF(base_de_datos[Hora fin]&gt;=$C31,base_de_datos[No clase],""),""),""),""),"")</f>
        <v>1833</v>
      </c>
      <c r="J31" s="29" t="str" cm="1">
        <f t="array" ref="J31">_xlfn.TEXTJOIN(CHAR(10),TRUE,IF(Aula=base_de_datos[Aula],IF("x"=base_de_datos[Jueves],IF(base_de_datos[Hora inicio]&lt;=$B31,IF(base_de_datos[Hora fin]&gt;=$C31,base_de_datos[Materia]&amp;" "&amp;base_de_datos[[Número de grupo ]],""),""),""),""),"")</f>
        <v>Biosustentabilidad 1</v>
      </c>
      <c r="K31" s="29" t="str" cm="1">
        <f t="array" ref="K31">_xlfn.TEXTJOIN(CHAR(10),TRUE,IF(Aula=base_de_datos[Aula],IF("x"=base_de_datos[Jueves],IF(base_de_datos[Hora inicio]&lt;=$B31,IF(base_de_datos[Hora fin]&gt;=$C31,base_de_datos[No clase],""),""),""),""),"")</f>
        <v>5574/75</v>
      </c>
      <c r="L31" s="29" t="str" cm="1">
        <f t="array" ref="L31">_xlfn.TEXTJOIN(CHAR(10),TRUE,IF(Aula=base_de_datos[Aula],IF("x"=base_de_datos[Viernes],IF(base_de_datos[Hora inicio]&lt;=$B31,IF(base_de_datos[Hora fin]&gt;=$C31,base_de_datos[Materia]&amp;" "&amp;base_de_datos[[Número de grupo ]],""),""),""),""),"")</f>
        <v>Electricidad y magnetismo 1</v>
      </c>
      <c r="M31" s="29" t="str" cm="1">
        <f t="array" ref="M31">_xlfn.TEXTJOIN(CHAR(10),TRUE,IF(Aula=base_de_datos[Aula],IF("x"=base_de_datos[Viernes],IF(base_de_datos[Hora inicio]&lt;=$B31,IF(base_de_datos[Hora fin]&gt;=$C31,base_de_datos[No clase],""),""),""),""),"")</f>
        <v>5826 (5IID), 8699/5893, 8021/5883</v>
      </c>
      <c r="N31" s="29" t="str" cm="1">
        <f t="array" ref="N31">_xlfn.TEXTJOIN(CHAR(10),TRUE,IF(Aula=base_de_datos[Aula],IF("x"=base_de_datos[Sábado],IF(base_de_datos[Hora inicio]&lt;=$B31,IF(base_de_datos[Hora fin]&gt;=$C31,base_de_datos[Materia]&amp;" "&amp;base_de_datos[[Número de grupo ]],""),""),""),""),"")</f>
        <v/>
      </c>
      <c r="O31" s="29" t="str" cm="1">
        <f t="array" ref="O31">_xlfn.TEXTJOIN(CHAR(10),TRUE,IF(Aula=base_de_datos[Aula],IF("x"=base_de_datos[Sábado],IF(base_de_datos[Hora inicio]&lt;=$B31,IF(base_de_datos[Hora fin]&gt;=$C31,base_de_datos[No clase],""),""),""),""),"")</f>
        <v/>
      </c>
    </row>
    <row r="32" spans="2:24" ht="45">
      <c r="B32" s="206">
        <v>0.85416666666666696</v>
      </c>
      <c r="C32" s="206">
        <v>0.87499999999999001</v>
      </c>
      <c r="D32" s="29" t="str" cm="1">
        <f t="array" ref="D32">_xlfn.TEXTJOIN(CHAR(10),TRUE,IF(Aula=base_de_datos[Aula],IF("x"=base_de_datos[Lunes],IF(base_de_datos[Hora inicio]&lt;=$B32,IF(base_de_datos[Hora fin]&gt;=$C32,base_de_datos[Materia]&amp;" "&amp;base_de_datos[[Número de grupo ]],""),""),""),""),"")</f>
        <v>Biosustentabilidad 1</v>
      </c>
      <c r="E32" s="29" t="str" cm="1">
        <f t="array" ref="E32">_xlfn.TEXTJOIN(CHAR(10),TRUE,IF(Aula=base_de_datos[Aula],IF("x"=base_de_datos[Lunes],IF(base_de_datos[Hora inicio]&lt;=$B32,IF(base_de_datos[Hora fin]&gt;=$C32,base_de_datos[No clase],""),""),""),""),"")</f>
        <v>5574/75</v>
      </c>
      <c r="F32" s="29" t="str" cm="1">
        <f t="array" ref="F32">_xlfn.TEXTJOIN(CHAR(10),TRUE,IF(Aula=base_de_datos[Aula],IF("x"=base_de_datos[Martes],IF(base_de_datos[Hora inicio]&lt;=$B32,IF(base_de_datos[Hora fin]&gt;=$C32,base_de_datos[Materia]&amp;" "&amp;base_de_datos[[Número de grupo ]],""),""),""),""),"")</f>
        <v/>
      </c>
      <c r="G32" s="29" t="str" cm="1">
        <f t="array" ref="G32">_xlfn.TEXTJOIN(CHAR(10),TRUE,IF(Aula=base_de_datos[Aula],IF("x"=base_de_datos[Martes],IF(base_de_datos[Hora inicio]&lt;=$B32,IF(base_de_datos[Hora fin]&gt;=$C32,base_de_datos[No clase],""),""),""),""),"")</f>
        <v/>
      </c>
      <c r="H32" s="29" t="str" cm="1">
        <f t="array" ref="H32">_xlfn.TEXTJOIN(CHAR(10),TRUE,IF(Aula=base_de_datos[Aula],IF("x"=base_de_datos[Miércoles],IF(base_de_datos[Hora inicio]&lt;=$B32,IF(base_de_datos[Hora fin]&gt;=$C32,base_de_datos[Materia]&amp;" "&amp;base_de_datos[[Número de grupo ]],""),""),""),""),"")</f>
        <v xml:space="preserve">Energía eólica </v>
      </c>
      <c r="I32" s="29" t="str" cm="1">
        <f t="array" ref="I32">_xlfn.TEXTJOIN(CHAR(10),TRUE,IF(Aula=base_de_datos[Aula],IF("x"=base_de_datos[Miércoles],IF(base_de_datos[Hora inicio]&lt;=$B32,IF(base_de_datos[Hora fin]&gt;=$C32,base_de_datos[No clase],""),""),""),""),"")</f>
        <v>1833</v>
      </c>
      <c r="J32" s="29" t="str" cm="1">
        <f t="array" ref="J32">_xlfn.TEXTJOIN(CHAR(10),TRUE,IF(Aula=base_de_datos[Aula],IF("x"=base_de_datos[Jueves],IF(base_de_datos[Hora inicio]&lt;=$B32,IF(base_de_datos[Hora fin]&gt;=$C32,base_de_datos[Materia]&amp;" "&amp;base_de_datos[[Número de grupo ]],""),""),""),""),"")</f>
        <v>Biosustentabilidad 1</v>
      </c>
      <c r="K32" s="29" t="str" cm="1">
        <f t="array" ref="K32">_xlfn.TEXTJOIN(CHAR(10),TRUE,IF(Aula=base_de_datos[Aula],IF("x"=base_de_datos[Jueves],IF(base_de_datos[Hora inicio]&lt;=$B32,IF(base_de_datos[Hora fin]&gt;=$C32,base_de_datos[No clase],""),""),""),""),"")</f>
        <v>5574/75</v>
      </c>
      <c r="L32" s="29" t="str" cm="1">
        <f t="array" ref="L32">_xlfn.TEXTJOIN(CHAR(10),TRUE,IF(Aula=base_de_datos[Aula],IF("x"=base_de_datos[Viernes],IF(base_de_datos[Hora inicio]&lt;=$B32,IF(base_de_datos[Hora fin]&gt;=$C32,base_de_datos[Materia]&amp;" "&amp;base_de_datos[[Número de grupo ]],""),""),""),""),"")</f>
        <v>Electricidad y magnetismo 1</v>
      </c>
      <c r="M32" s="29" t="str" cm="1">
        <f t="array" ref="M32">_xlfn.TEXTJOIN(CHAR(10),TRUE,IF(Aula=base_de_datos[Aula],IF("x"=base_de_datos[Viernes],IF(base_de_datos[Hora inicio]&lt;=$B32,IF(base_de_datos[Hora fin]&gt;=$C32,base_de_datos[No clase],""),""),""),""),"")</f>
        <v>5826 (5IID), 8699/5893, 8021/5883</v>
      </c>
      <c r="N32" s="29" t="str" cm="1">
        <f t="array" ref="N32">_xlfn.TEXTJOIN(CHAR(10),TRUE,IF(Aula=base_de_datos[Aula],IF("x"=base_de_datos[Sábado],IF(base_de_datos[Hora inicio]&lt;=$B32,IF(base_de_datos[Hora fin]&gt;=$C32,base_de_datos[Materia]&amp;" "&amp;base_de_datos[[Número de grupo ]],""),""),""),""),"")</f>
        <v/>
      </c>
      <c r="O32" s="29" t="str" cm="1">
        <f t="array" ref="O32">_xlfn.TEXTJOIN(CHAR(10),TRUE,IF(Aula=base_de_datos[Aula],IF("x"=base_de_datos[Sábado],IF(base_de_datos[Hora inicio]&lt;=$B32,IF(base_de_datos[Hora fin]&gt;=$C32,base_de_datos[No clase],""),""),""),""),"")</f>
        <v/>
      </c>
    </row>
    <row r="33" spans="2:24" ht="45">
      <c r="B33" s="206">
        <v>0.875</v>
      </c>
      <c r="C33" s="206">
        <v>0.89583333333332305</v>
      </c>
      <c r="D33" s="29" t="str" cm="1">
        <f t="array" ref="D33">_xlfn.TEXTJOIN(CHAR(10),TRUE,IF(Aula=base_de_datos[Aula],IF("x"=base_de_datos[Lunes],IF(base_de_datos[Hora inicio]&lt;=$B33,IF(base_de_datos[Hora fin]&gt;=$C33,base_de_datos[Materia]&amp;" "&amp;base_de_datos[[Número de grupo ]],""),""),""),""),"")</f>
        <v/>
      </c>
      <c r="E33" s="29" t="str" cm="1">
        <f t="array" ref="E33">_xlfn.TEXTJOIN(CHAR(10),TRUE,IF(Aula=base_de_datos[Aula],IF("x"=base_de_datos[Lunes],IF(base_de_datos[Hora inicio]&lt;=$B33,IF(base_de_datos[Hora fin]&gt;=$C33,base_de_datos[No clase],""),""),""),""),"")</f>
        <v/>
      </c>
      <c r="F33" s="29" t="str" cm="1">
        <f t="array" ref="F33">_xlfn.TEXTJOIN(CHAR(10),TRUE,IF(Aula=base_de_datos[Aula],IF("x"=base_de_datos[Martes],IF(base_de_datos[Hora inicio]&lt;=$B33,IF(base_de_datos[Hora fin]&gt;=$C33,base_de_datos[Materia]&amp;" "&amp;base_de_datos[[Número de grupo ]],""),""),""),""),"")</f>
        <v/>
      </c>
      <c r="G33" s="29" t="str" cm="1">
        <f t="array" ref="G33">_xlfn.TEXTJOIN(CHAR(10),TRUE,IF(Aula=base_de_datos[Aula],IF("x"=base_de_datos[Martes],IF(base_de_datos[Hora inicio]&lt;=$B33,IF(base_de_datos[Hora fin]&gt;=$C33,base_de_datos[No clase],""),""),""),""),"")</f>
        <v/>
      </c>
      <c r="H33" s="29" t="str" cm="1">
        <f t="array" ref="H33">_xlfn.TEXTJOIN(CHAR(10),TRUE,IF(Aula=base_de_datos[Aula],IF("x"=base_de_datos[Miércoles],IF(base_de_datos[Hora inicio]&lt;=$B33,IF(base_de_datos[Hora fin]&gt;=$C33,base_de_datos[Materia]&amp;" "&amp;base_de_datos[[Número de grupo ]],""),""),""),""),"")</f>
        <v xml:space="preserve">Energía eólica </v>
      </c>
      <c r="I33" s="29" t="str" cm="1">
        <f t="array" ref="I33">_xlfn.TEXTJOIN(CHAR(10),TRUE,IF(Aula=base_de_datos[Aula],IF("x"=base_de_datos[Miércoles],IF(base_de_datos[Hora inicio]&lt;=$B33,IF(base_de_datos[Hora fin]&gt;=$C33,base_de_datos[No clase],""),""),""),""),"")</f>
        <v>1833</v>
      </c>
      <c r="J33" s="29" t="str" cm="1">
        <f t="array" ref="J33">_xlfn.TEXTJOIN(CHAR(10),TRUE,IF(Aula=base_de_datos[Aula],IF("x"=base_de_datos[Jueves],IF(base_de_datos[Hora inicio]&lt;=$B33,IF(base_de_datos[Hora fin]&gt;=$C33,base_de_datos[Materia]&amp;" "&amp;base_de_datos[[Número de grupo ]],""),""),""),""),"")</f>
        <v/>
      </c>
      <c r="K33" s="29" t="str" cm="1">
        <f t="array" ref="K33">_xlfn.TEXTJOIN(CHAR(10),TRUE,IF(Aula=base_de_datos[Aula],IF("x"=base_de_datos[Jueves],IF(base_de_datos[Hora inicio]&lt;=$B33,IF(base_de_datos[Hora fin]&gt;=$C33,base_de_datos[No clase],""),""),""),""),"")</f>
        <v/>
      </c>
      <c r="L33" s="29" t="str" cm="1">
        <f t="array" ref="L33">_xlfn.TEXTJOIN(CHAR(10),TRUE,IF(Aula=base_de_datos[Aula],IF("x"=base_de_datos[Viernes],IF(base_de_datos[Hora inicio]&lt;=$B33,IF(base_de_datos[Hora fin]&gt;=$C33,base_de_datos[Materia]&amp;" "&amp;base_de_datos[[Número de grupo ]],""),""),""),""),"")</f>
        <v>Electricidad y magnetismo 1</v>
      </c>
      <c r="M33" s="29" t="str" cm="1">
        <f t="array" ref="M33">_xlfn.TEXTJOIN(CHAR(10),TRUE,IF(Aula=base_de_datos[Aula],IF("x"=base_de_datos[Viernes],IF(base_de_datos[Hora inicio]&lt;=$B33,IF(base_de_datos[Hora fin]&gt;=$C33,base_de_datos[No clase],""),""),""),""),"")</f>
        <v>5826 (5IID), 8699/5893, 8021/5883</v>
      </c>
      <c r="N33" s="29" t="str" cm="1">
        <f t="array" ref="N33">_xlfn.TEXTJOIN(CHAR(10),TRUE,IF(Aula=base_de_datos[Aula],IF("x"=base_de_datos[Sábado],IF(base_de_datos[Hora inicio]&lt;=$B33,IF(base_de_datos[Hora fin]&gt;=$C33,base_de_datos[Materia]&amp;" "&amp;base_de_datos[[Número de grupo ]],""),""),""),""),"")</f>
        <v/>
      </c>
      <c r="O33" s="29" t="str" cm="1">
        <f t="array" ref="O33">_xlfn.TEXTJOIN(CHAR(10),TRUE,IF(Aula=base_de_datos[Aula],IF("x"=base_de_datos[Sábado],IF(base_de_datos[Hora inicio]&lt;=$B33,IF(base_de_datos[Hora fin]&gt;=$C33,base_de_datos[No clase],""),""),""),""),"")</f>
        <v/>
      </c>
    </row>
    <row r="34" spans="2:24" ht="45">
      <c r="B34" s="206">
        <v>0.89583333333333304</v>
      </c>
      <c r="C34" s="206">
        <v>0.91666666666665697</v>
      </c>
      <c r="D34" s="29" t="str" cm="1">
        <f t="array" ref="D34">_xlfn.TEXTJOIN(CHAR(10),TRUE,IF(Aula=base_de_datos[Aula],IF("x"=base_de_datos[Lunes],IF(base_de_datos[Hora inicio]&lt;=$B34,IF(base_de_datos[Hora fin]&gt;=$C34,base_de_datos[Materia]&amp;" "&amp;base_de_datos[[Número de grupo ]],""),""),""),""),"")</f>
        <v/>
      </c>
      <c r="E34" s="29" t="str" cm="1">
        <f t="array" ref="E34">_xlfn.TEXTJOIN(CHAR(10),TRUE,IF(Aula=base_de_datos[Aula],IF("x"=base_de_datos[Lunes],IF(base_de_datos[Hora inicio]&lt;=$B34,IF(base_de_datos[Hora fin]&gt;=$C34,base_de_datos[No clase],""),""),""),""),"")</f>
        <v/>
      </c>
      <c r="F34" s="29" t="str" cm="1">
        <f t="array" ref="F34">_xlfn.TEXTJOIN(CHAR(10),TRUE,IF(Aula=base_de_datos[Aula],IF("x"=base_de_datos[Martes],IF(base_de_datos[Hora inicio]&lt;=$B34,IF(base_de_datos[Hora fin]&gt;=$C34,base_de_datos[Materia]&amp;" "&amp;base_de_datos[[Número de grupo ]],""),""),""),""),"")</f>
        <v/>
      </c>
      <c r="G34" s="29" t="str" cm="1">
        <f t="array" ref="G34">_xlfn.TEXTJOIN(CHAR(10),TRUE,IF(Aula=base_de_datos[Aula],IF("x"=base_de_datos[Martes],IF(base_de_datos[Hora inicio]&lt;=$B34,IF(base_de_datos[Hora fin]&gt;=$C34,base_de_datos[No clase],""),""),""),""),"")</f>
        <v/>
      </c>
      <c r="H34" s="29" t="str" cm="1">
        <f t="array" ref="H34">_xlfn.TEXTJOIN(CHAR(10),TRUE,IF(Aula=base_de_datos[Aula],IF("x"=base_de_datos[Miércoles],IF(base_de_datos[Hora inicio]&lt;=$B34,IF(base_de_datos[Hora fin]&gt;=$C34,base_de_datos[Materia]&amp;" "&amp;base_de_datos[[Número de grupo ]],""),""),""),""),"")</f>
        <v/>
      </c>
      <c r="I34" s="29" t="str" cm="1">
        <f t="array" ref="I34">_xlfn.TEXTJOIN(CHAR(10),TRUE,IF(Aula=base_de_datos[Aula],IF("x"=base_de_datos[Miércoles],IF(base_de_datos[Hora inicio]&lt;=$B34,IF(base_de_datos[Hora fin]&gt;=$C34,base_de_datos[No clase],""),""),""),""),"")</f>
        <v/>
      </c>
      <c r="J34" s="29" t="str" cm="1">
        <f t="array" ref="J34">_xlfn.TEXTJOIN(CHAR(10),TRUE,IF(Aula=base_de_datos[Aula],IF("x"=base_de_datos[Jueves],IF(base_de_datos[Hora inicio]&lt;=$B34,IF(base_de_datos[Hora fin]&gt;=$C34,base_de_datos[Materia]&amp;" "&amp;base_de_datos[[Número de grupo ]],""),""),""),""),"")</f>
        <v/>
      </c>
      <c r="K34" s="29" t="str" cm="1">
        <f t="array" ref="K34">_xlfn.TEXTJOIN(CHAR(10),TRUE,IF(Aula=base_de_datos[Aula],IF("x"=base_de_datos[Jueves],IF(base_de_datos[Hora inicio]&lt;=$B34,IF(base_de_datos[Hora fin]&gt;=$C34,base_de_datos[No clase],""),""),""),""),"")</f>
        <v/>
      </c>
      <c r="L34" s="29" t="str" cm="1">
        <f t="array" ref="L34">_xlfn.TEXTJOIN(CHAR(10),TRUE,IF(Aula=base_de_datos[Aula],IF("x"=base_de_datos[Viernes],IF(base_de_datos[Hora inicio]&lt;=$B34,IF(base_de_datos[Hora fin]&gt;=$C34,base_de_datos[Materia]&amp;" "&amp;base_de_datos[[Número de grupo ]],""),""),""),""),"")</f>
        <v>Electricidad y magnetismo 1</v>
      </c>
      <c r="M34" s="29" t="str" cm="1">
        <f t="array" ref="M34">_xlfn.TEXTJOIN(CHAR(10),TRUE,IF(Aula=base_de_datos[Aula],IF("x"=base_de_datos[Viernes],IF(base_de_datos[Hora inicio]&lt;=$B34,IF(base_de_datos[Hora fin]&gt;=$C34,base_de_datos[No clase],""),""),""),""),"")</f>
        <v>5826 (5IID), 8699/5893, 8021/5883</v>
      </c>
      <c r="N34" s="29" t="str" cm="1">
        <f t="array" ref="N34">_xlfn.TEXTJOIN(CHAR(10),TRUE,IF(Aula=base_de_datos[Aula],IF("x"=base_de_datos[Sábado],IF(base_de_datos[Hora inicio]&lt;=$B34,IF(base_de_datos[Hora fin]&gt;=$C34,base_de_datos[Materia]&amp;" "&amp;base_de_datos[[Número de grupo ]],""),""),""),""),"")</f>
        <v/>
      </c>
      <c r="O34" s="29" t="str" cm="1">
        <f t="array" ref="O34">_xlfn.TEXTJOIN(CHAR(10),TRUE,IF(Aula=base_de_datos[Aula],IF("x"=base_de_datos[Sábado],IF(base_de_datos[Hora inicio]&lt;=$B34,IF(base_de_datos[Hora fin]&gt;=$C34,base_de_datos[No clase],""),""),""),""),"")</f>
        <v/>
      </c>
      <c r="V34" s="28"/>
      <c r="W34" s="28"/>
      <c r="X34" s="28"/>
    </row>
    <row r="35" spans="2:24">
      <c r="C35" s="3"/>
      <c r="D35" s="28"/>
      <c r="E35" s="28"/>
      <c r="F35" s="28"/>
      <c r="G35" s="28"/>
      <c r="H35" s="31"/>
      <c r="I35" s="28"/>
      <c r="J35" s="28"/>
      <c r="K35" s="28"/>
      <c r="L35" s="28"/>
      <c r="M35" s="28"/>
      <c r="N35" s="28"/>
      <c r="O35" s="28"/>
      <c r="V35" s="28"/>
      <c r="W35" s="28"/>
      <c r="X35" s="28"/>
    </row>
    <row r="36" spans="2:24">
      <c r="C36" s="3"/>
      <c r="D36" s="28"/>
      <c r="E36" s="28"/>
      <c r="F36" s="28"/>
      <c r="G36" s="28"/>
      <c r="H36" s="31"/>
      <c r="I36" s="28"/>
      <c r="J36" s="28"/>
      <c r="K36" s="28"/>
      <c r="L36" s="28"/>
      <c r="M36" s="28"/>
      <c r="N36" s="28"/>
      <c r="O36" s="28"/>
      <c r="V36" s="28"/>
      <c r="W36" s="28"/>
      <c r="X36" s="28"/>
    </row>
    <row r="37" spans="2:24">
      <c r="C37" s="3"/>
      <c r="D37" s="28"/>
      <c r="E37" s="28"/>
      <c r="F37" s="28"/>
      <c r="G37" s="28"/>
      <c r="H37" s="31"/>
      <c r="I37" s="28"/>
      <c r="J37" s="28"/>
      <c r="K37" s="28"/>
      <c r="L37" s="28"/>
      <c r="M37" s="28"/>
      <c r="N37" s="28"/>
      <c r="O37" s="28"/>
      <c r="V37" s="28"/>
      <c r="W37" s="28"/>
      <c r="X37" s="28"/>
    </row>
    <row r="38" spans="2:24">
      <c r="C38" s="3"/>
      <c r="D38" s="28"/>
      <c r="E38" s="28"/>
      <c r="F38" s="28"/>
      <c r="G38" s="28"/>
      <c r="H38" s="31"/>
      <c r="I38" s="28"/>
      <c r="J38" s="28"/>
      <c r="K38" s="28"/>
      <c r="L38" s="28"/>
      <c r="M38" s="28"/>
      <c r="N38" s="28"/>
      <c r="O38" s="28"/>
      <c r="V38" s="28"/>
      <c r="W38" s="28"/>
      <c r="X38" s="28"/>
    </row>
    <row r="39" spans="2:24">
      <c r="C39" s="3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V39" s="28"/>
      <c r="W39" s="28"/>
      <c r="X39" s="28"/>
    </row>
    <row r="40" spans="2:24">
      <c r="C40" s="3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V40" s="28"/>
      <c r="W40" s="28"/>
      <c r="X40" s="28"/>
    </row>
    <row r="41" spans="2:24">
      <c r="C41" s="3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V41" s="28"/>
      <c r="W41" s="28"/>
      <c r="X41" s="28"/>
    </row>
    <row r="42" spans="2:24">
      <c r="C42" s="3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V42" s="28"/>
      <c r="W42" s="28"/>
      <c r="X42" s="28"/>
    </row>
    <row r="43" spans="2:24">
      <c r="C43" s="3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V43" s="28"/>
      <c r="W43" s="28"/>
      <c r="X43" s="28"/>
    </row>
    <row r="44" spans="2:24">
      <c r="C44" s="3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V44" s="28"/>
      <c r="W44" s="28"/>
      <c r="X44" s="28"/>
    </row>
    <row r="45" spans="2:24">
      <c r="C45" s="3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V45" s="28"/>
      <c r="W45" s="28"/>
      <c r="X45" s="28"/>
    </row>
    <row r="46" spans="2:24">
      <c r="C46" s="3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V46" s="28"/>
      <c r="W46" s="28"/>
      <c r="X46" s="28"/>
    </row>
    <row r="47" spans="2:24">
      <c r="C47" s="3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V47" s="28"/>
      <c r="W47" s="28"/>
      <c r="X47" s="28"/>
    </row>
    <row r="48" spans="2:24">
      <c r="C48" s="3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V48" s="28"/>
      <c r="W48" s="28"/>
      <c r="X48" s="28"/>
    </row>
    <row r="49" spans="3:24">
      <c r="C49" s="3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V49" s="28"/>
      <c r="W49" s="28"/>
      <c r="X49" s="28"/>
    </row>
    <row r="50" spans="3:24">
      <c r="C50" s="3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V50" s="28"/>
      <c r="W50" s="28"/>
      <c r="X50" s="28"/>
    </row>
    <row r="51" spans="3:24">
      <c r="C51" s="3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V51" s="28"/>
      <c r="W51" s="28"/>
      <c r="X51" s="28"/>
    </row>
    <row r="52" spans="3:24">
      <c r="C52" s="3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V52" s="28"/>
      <c r="W52" s="28"/>
      <c r="X52" s="28"/>
    </row>
    <row r="53" spans="3:24">
      <c r="C53" s="3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V53" s="28"/>
      <c r="W53" s="28"/>
      <c r="X53" s="28"/>
    </row>
    <row r="54" spans="3:24">
      <c r="C54" s="3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V54" s="28"/>
      <c r="W54" s="28"/>
      <c r="X54" s="28"/>
    </row>
    <row r="55" spans="3:24">
      <c r="C55" s="3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V55" s="28"/>
      <c r="W55" s="28"/>
      <c r="X55" s="28"/>
    </row>
    <row r="56" spans="3:24">
      <c r="C56" s="3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V56" s="28"/>
      <c r="W56" s="28"/>
      <c r="X56" s="28"/>
    </row>
    <row r="57" spans="3:24">
      <c r="C57" s="3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V57" s="28"/>
      <c r="W57" s="28"/>
      <c r="X57" s="28"/>
    </row>
    <row r="58" spans="3:24">
      <c r="C58" s="3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V58" s="28"/>
      <c r="W58" s="28"/>
      <c r="X58" s="28"/>
    </row>
    <row r="59" spans="3:24">
      <c r="C59" s="3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V59" s="28"/>
      <c r="W59" s="28"/>
      <c r="X59" s="28"/>
    </row>
    <row r="60" spans="3:24">
      <c r="C60" s="3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V60" s="28"/>
      <c r="W60" s="28"/>
      <c r="X60" s="28"/>
    </row>
    <row r="61" spans="3:24">
      <c r="C61" s="3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V61" s="28"/>
      <c r="W61" s="28"/>
      <c r="X61" s="28"/>
    </row>
    <row r="62" spans="3:24">
      <c r="C62" s="3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V62" s="28"/>
      <c r="W62" s="28"/>
      <c r="X62" s="28"/>
    </row>
    <row r="63" spans="3:24">
      <c r="C63" s="3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V63" s="28"/>
      <c r="W63" s="28"/>
      <c r="X63" s="28"/>
    </row>
    <row r="64" spans="3:24">
      <c r="C64" s="3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V64" s="28"/>
      <c r="W64" s="28"/>
      <c r="X64" s="28"/>
    </row>
    <row r="65" spans="3:24">
      <c r="C65" s="3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V65" s="28"/>
      <c r="W65" s="28"/>
      <c r="X65" s="28"/>
    </row>
    <row r="66" spans="3:24">
      <c r="C66" s="3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V66" s="28"/>
      <c r="W66" s="28"/>
      <c r="X66" s="28"/>
    </row>
    <row r="67" spans="3:24">
      <c r="C67" s="3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V67" s="28"/>
      <c r="W67" s="28"/>
      <c r="X67" s="28"/>
    </row>
    <row r="68" spans="3:24">
      <c r="C68" s="3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V68" s="28"/>
      <c r="W68" s="28"/>
      <c r="X68" s="28"/>
    </row>
    <row r="69" spans="3:24">
      <c r="C69" s="3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V69" s="28"/>
      <c r="W69" s="28"/>
      <c r="X69" s="28"/>
    </row>
    <row r="70" spans="3:24">
      <c r="C70" s="3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V70" s="28"/>
      <c r="W70" s="28"/>
      <c r="X70" s="28"/>
    </row>
    <row r="71" spans="3:24">
      <c r="C71" s="3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V71" s="28"/>
      <c r="W71" s="28"/>
      <c r="X71" s="28"/>
    </row>
    <row r="72" spans="3:24">
      <c r="C72" s="3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V72" s="28"/>
      <c r="W72" s="28"/>
      <c r="X72" s="28"/>
    </row>
    <row r="73" spans="3:24">
      <c r="C73" s="3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V73" s="28"/>
      <c r="W73" s="28"/>
      <c r="X73" s="28"/>
    </row>
    <row r="74" spans="3:24">
      <c r="C74" s="3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V74" s="28"/>
      <c r="W74" s="28"/>
      <c r="X74" s="28"/>
    </row>
    <row r="75" spans="3:24">
      <c r="C75" s="3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V75" s="28"/>
      <c r="W75" s="28"/>
      <c r="X75" s="28"/>
    </row>
    <row r="76" spans="3:24">
      <c r="C76" s="3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V76" s="28"/>
      <c r="W76" s="28"/>
      <c r="X76" s="28"/>
    </row>
    <row r="77" spans="3:24">
      <c r="C77" s="3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V77" s="28"/>
      <c r="W77" s="28"/>
      <c r="X77" s="28"/>
    </row>
    <row r="78" spans="3:24">
      <c r="C78" s="3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V78" s="28"/>
      <c r="W78" s="28"/>
      <c r="X78" s="28"/>
    </row>
    <row r="79" spans="3:24">
      <c r="C79" s="3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V79" s="28"/>
      <c r="W79" s="28"/>
      <c r="X79" s="28"/>
    </row>
    <row r="80" spans="3:24">
      <c r="C80" s="3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V80" s="28"/>
      <c r="W80" s="28"/>
      <c r="X80" s="28"/>
    </row>
    <row r="81" spans="3:24">
      <c r="C81" s="3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V81" s="28"/>
      <c r="W81" s="28"/>
      <c r="X81" s="28"/>
    </row>
    <row r="82" spans="3:24">
      <c r="C82" s="3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V82" s="28"/>
      <c r="W82" s="28"/>
      <c r="X82" s="28"/>
    </row>
    <row r="83" spans="3:24">
      <c r="C83" s="3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V83" s="28"/>
      <c r="W83" s="28"/>
      <c r="X83" s="28"/>
    </row>
    <row r="84" spans="3:24">
      <c r="C84" s="3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V84" s="28"/>
      <c r="W84" s="28"/>
      <c r="X84" s="28"/>
    </row>
    <row r="85" spans="3:24">
      <c r="C85" s="3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V85" s="28"/>
      <c r="W85" s="28"/>
      <c r="X85" s="28"/>
    </row>
    <row r="86" spans="3:24">
      <c r="C86" s="3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V86" s="28"/>
      <c r="W86" s="28"/>
      <c r="X86" s="28"/>
    </row>
    <row r="87" spans="3:24">
      <c r="C87" s="3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V87" s="28"/>
      <c r="W87" s="28"/>
      <c r="X87" s="28"/>
    </row>
    <row r="88" spans="3:24">
      <c r="C88" s="3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V88" s="28"/>
      <c r="W88" s="28"/>
      <c r="X88" s="28"/>
    </row>
    <row r="89" spans="3:24">
      <c r="C89" s="3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V89" s="28"/>
      <c r="W89" s="28"/>
      <c r="X89" s="28"/>
    </row>
    <row r="90" spans="3:24">
      <c r="C90" s="3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V90" s="28"/>
      <c r="W90" s="28"/>
      <c r="X90" s="28"/>
    </row>
    <row r="91" spans="3:24">
      <c r="C91" s="3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V91" s="28"/>
      <c r="W91" s="28"/>
      <c r="X91" s="28"/>
    </row>
    <row r="92" spans="3:24">
      <c r="C92" s="3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V92" s="28"/>
      <c r="W92" s="28"/>
      <c r="X92" s="28"/>
    </row>
    <row r="93" spans="3:24">
      <c r="C93" s="3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V93" s="28"/>
      <c r="W93" s="28"/>
      <c r="X93" s="28"/>
    </row>
    <row r="94" spans="3:24">
      <c r="C94" s="3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V94" s="28"/>
      <c r="W94" s="28"/>
      <c r="X94" s="28"/>
    </row>
    <row r="95" spans="3:24">
      <c r="C95" s="3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V95" s="28"/>
      <c r="W95" s="28"/>
      <c r="X95" s="28"/>
    </row>
    <row r="96" spans="3:24">
      <c r="C96" s="3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V96" s="28"/>
      <c r="W96" s="28"/>
      <c r="X96" s="28"/>
    </row>
    <row r="97" spans="3:24">
      <c r="C97" s="3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V97" s="28"/>
      <c r="W97" s="28"/>
      <c r="X97" s="28"/>
    </row>
    <row r="98" spans="3:24">
      <c r="C98" s="3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V98" s="28"/>
      <c r="W98" s="28"/>
      <c r="X98" s="28"/>
    </row>
    <row r="99" spans="3:24">
      <c r="C99" s="3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V99" s="28"/>
      <c r="W99" s="28"/>
      <c r="X99" s="28"/>
    </row>
    <row r="100" spans="3:24">
      <c r="C100" s="3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V100" s="28"/>
      <c r="W100" s="28"/>
      <c r="X100" s="28"/>
    </row>
    <row r="101" spans="3:24">
      <c r="C101" s="3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V101" s="28"/>
      <c r="W101" s="28"/>
      <c r="X101" s="28"/>
    </row>
    <row r="102" spans="3:24">
      <c r="C102" s="3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V102" s="28"/>
      <c r="W102" s="28"/>
      <c r="X102" s="28"/>
    </row>
    <row r="103" spans="3:24">
      <c r="C103" s="3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V103" s="28"/>
      <c r="W103" s="28"/>
      <c r="X103" s="28"/>
    </row>
    <row r="104" spans="3:24">
      <c r="C104" s="3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V104" s="28"/>
      <c r="W104" s="28"/>
      <c r="X104" s="28"/>
    </row>
    <row r="105" spans="3:24">
      <c r="C105" s="3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V105" s="28"/>
      <c r="W105" s="28"/>
      <c r="X105" s="28"/>
    </row>
    <row r="106" spans="3:24">
      <c r="C106" s="3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V106" s="28"/>
      <c r="W106" s="28"/>
      <c r="X106" s="28"/>
    </row>
    <row r="107" spans="3:24">
      <c r="C107" s="3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V107" s="28"/>
      <c r="W107" s="28"/>
      <c r="X107" s="28"/>
    </row>
    <row r="108" spans="3:24">
      <c r="C108" s="3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V108" s="28"/>
      <c r="W108" s="28"/>
      <c r="X108" s="28"/>
    </row>
    <row r="109" spans="3:24">
      <c r="C109" s="3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V109" s="28"/>
      <c r="W109" s="28"/>
      <c r="X109" s="28"/>
    </row>
    <row r="110" spans="3:24">
      <c r="C110" s="3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V110" s="28"/>
      <c r="W110" s="28"/>
      <c r="X110" s="28"/>
    </row>
    <row r="111" spans="3:24">
      <c r="C111" s="3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V111" s="28"/>
      <c r="W111" s="28"/>
      <c r="X111" s="28"/>
    </row>
    <row r="112" spans="3:24">
      <c r="C112" s="3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V112" s="28"/>
      <c r="W112" s="28"/>
      <c r="X112" s="28"/>
    </row>
    <row r="113" spans="3:24">
      <c r="C113" s="3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V113" s="28"/>
      <c r="W113" s="28"/>
      <c r="X113" s="28"/>
    </row>
    <row r="114" spans="3:24">
      <c r="C114" s="3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V114" s="28"/>
      <c r="W114" s="28"/>
      <c r="X114" s="28"/>
    </row>
    <row r="115" spans="3:24">
      <c r="C115" s="3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V115" s="28"/>
      <c r="W115" s="28"/>
      <c r="X115" s="28"/>
    </row>
    <row r="116" spans="3:24">
      <c r="C116" s="3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V116" s="28"/>
      <c r="W116" s="28"/>
      <c r="X116" s="28"/>
    </row>
    <row r="117" spans="3:24">
      <c r="C117" s="3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V117" s="28"/>
      <c r="W117" s="28"/>
      <c r="X117" s="28"/>
    </row>
    <row r="118" spans="3:24">
      <c r="C118" s="3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V118" s="28"/>
      <c r="W118" s="28"/>
      <c r="X118" s="28"/>
    </row>
    <row r="119" spans="3:24">
      <c r="C119" s="3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V119" s="28"/>
      <c r="W119" s="28"/>
      <c r="X119" s="28"/>
    </row>
    <row r="120" spans="3:24">
      <c r="C120" s="3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V120" s="28"/>
      <c r="W120" s="28"/>
      <c r="X120" s="28"/>
    </row>
    <row r="121" spans="3:24">
      <c r="C121" s="3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V121" s="28"/>
      <c r="W121" s="28"/>
      <c r="X121" s="28"/>
    </row>
    <row r="122" spans="3:24">
      <c r="C122" s="3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V122" s="28"/>
      <c r="W122" s="28"/>
      <c r="X122" s="28"/>
    </row>
    <row r="123" spans="3:24">
      <c r="C123" s="3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V123" s="28"/>
      <c r="W123" s="28"/>
      <c r="X123" s="28"/>
    </row>
    <row r="124" spans="3:24">
      <c r="C124" s="3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V124" s="28"/>
      <c r="W124" s="28"/>
      <c r="X124" s="28"/>
    </row>
    <row r="125" spans="3:24">
      <c r="C125" s="3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V125" s="28"/>
      <c r="W125" s="28"/>
      <c r="X125" s="28"/>
    </row>
    <row r="126" spans="3:24">
      <c r="C126" s="3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V126" s="28"/>
      <c r="W126" s="28"/>
      <c r="X126" s="28"/>
    </row>
    <row r="127" spans="3:24">
      <c r="C127" s="3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V127" s="28"/>
      <c r="W127" s="28"/>
      <c r="X127" s="28"/>
    </row>
    <row r="128" spans="3:24">
      <c r="C128" s="3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V128" s="28"/>
      <c r="W128" s="28"/>
      <c r="X128" s="28"/>
    </row>
    <row r="129" spans="3:24">
      <c r="C129" s="3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V129" s="28"/>
      <c r="W129" s="28"/>
      <c r="X129" s="28"/>
    </row>
    <row r="130" spans="3:24">
      <c r="C130" s="3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V130" s="28"/>
      <c r="W130" s="28"/>
      <c r="X130" s="28"/>
    </row>
    <row r="131" spans="3:24">
      <c r="C131" s="3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V131" s="28"/>
      <c r="W131" s="28"/>
      <c r="X131" s="28"/>
    </row>
    <row r="132" spans="3:24">
      <c r="C132" s="3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V132" s="28"/>
      <c r="W132" s="28"/>
      <c r="X132" s="28"/>
    </row>
    <row r="133" spans="3:24">
      <c r="C133" s="3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V133" s="28"/>
      <c r="W133" s="28"/>
      <c r="X133" s="28"/>
    </row>
    <row r="134" spans="3:24">
      <c r="C134" s="3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V134" s="28"/>
      <c r="W134" s="28"/>
      <c r="X134" s="28"/>
    </row>
    <row r="135" spans="3:24">
      <c r="C135" s="3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V135" s="28"/>
      <c r="W135" s="28"/>
      <c r="X135" s="28"/>
    </row>
    <row r="136" spans="3:24">
      <c r="C136" s="3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V136" s="28"/>
      <c r="W136" s="28"/>
      <c r="X136" s="28"/>
    </row>
    <row r="137" spans="3:24">
      <c r="C137" s="3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V137" s="28"/>
      <c r="W137" s="28"/>
      <c r="X137" s="28"/>
    </row>
    <row r="138" spans="3:24">
      <c r="C138" s="3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V138" s="28"/>
      <c r="W138" s="28"/>
      <c r="X138" s="28"/>
    </row>
    <row r="139" spans="3:24">
      <c r="C139" s="3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V139" s="28"/>
      <c r="W139" s="28"/>
      <c r="X139" s="28"/>
    </row>
    <row r="140" spans="3:24">
      <c r="C140" s="3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V140" s="28"/>
      <c r="W140" s="28"/>
      <c r="X140" s="28"/>
    </row>
    <row r="141" spans="3:24">
      <c r="C141" s="3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V141" s="28"/>
      <c r="W141" s="28"/>
      <c r="X141" s="28"/>
    </row>
    <row r="142" spans="3:24">
      <c r="C142" s="3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V142" s="28"/>
      <c r="W142" s="28"/>
      <c r="X142" s="28"/>
    </row>
    <row r="143" spans="3:24">
      <c r="C143" s="3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V143" s="28"/>
      <c r="W143" s="28"/>
      <c r="X143" s="28"/>
    </row>
    <row r="144" spans="3:24">
      <c r="C144" s="3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V144" s="28"/>
      <c r="W144" s="28"/>
      <c r="X144" s="28"/>
    </row>
    <row r="145" spans="3:24">
      <c r="C145" s="3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V145" s="28"/>
      <c r="W145" s="28"/>
      <c r="X145" s="28"/>
    </row>
    <row r="146" spans="3:24">
      <c r="C146" s="3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V146" s="28"/>
      <c r="W146" s="28"/>
      <c r="X146" s="28"/>
    </row>
    <row r="147" spans="3:24">
      <c r="C147" s="3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V147" s="28"/>
      <c r="W147" s="28"/>
      <c r="X147" s="28"/>
    </row>
    <row r="148" spans="3:24">
      <c r="C148" s="3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V148" s="28"/>
      <c r="W148" s="28"/>
      <c r="X148" s="28"/>
    </row>
    <row r="149" spans="3:24">
      <c r="C149" s="3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V149" s="28"/>
      <c r="W149" s="28"/>
      <c r="X149" s="28"/>
    </row>
    <row r="150" spans="3:24">
      <c r="C150" s="3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V150" s="28"/>
      <c r="W150" s="28"/>
      <c r="X150" s="28"/>
    </row>
    <row r="151" spans="3:24">
      <c r="C151" s="3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V151" s="28"/>
      <c r="W151" s="28"/>
      <c r="X151" s="28"/>
    </row>
    <row r="152" spans="3:24">
      <c r="C152" s="3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V152" s="28"/>
      <c r="W152" s="28"/>
      <c r="X152" s="28"/>
    </row>
    <row r="153" spans="3:24">
      <c r="C153" s="3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V153" s="28"/>
      <c r="W153" s="28"/>
      <c r="X153" s="28"/>
    </row>
    <row r="154" spans="3:24">
      <c r="C154" s="3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V154" s="28"/>
      <c r="W154" s="28"/>
      <c r="X154" s="28"/>
    </row>
    <row r="155" spans="3:24">
      <c r="C155" s="3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V155" s="28"/>
      <c r="W155" s="28"/>
      <c r="X155" s="28"/>
    </row>
    <row r="156" spans="3:24">
      <c r="C156" s="3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V156" s="28"/>
      <c r="W156" s="28"/>
      <c r="X156" s="28"/>
    </row>
    <row r="157" spans="3:24">
      <c r="C157" s="3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V157" s="28"/>
      <c r="W157" s="28"/>
      <c r="X157" s="28"/>
    </row>
    <row r="158" spans="3:24">
      <c r="C158" s="3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V158" s="28"/>
      <c r="W158" s="28"/>
      <c r="X158" s="28"/>
    </row>
    <row r="159" spans="3:24">
      <c r="C159" s="3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V159" s="28"/>
      <c r="W159" s="28"/>
      <c r="X159" s="28"/>
    </row>
    <row r="160" spans="3:24">
      <c r="C160" s="3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V160" s="28"/>
      <c r="W160" s="28"/>
      <c r="X160" s="28"/>
    </row>
    <row r="161" spans="3:24">
      <c r="C161" s="3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V161" s="28"/>
      <c r="W161" s="28"/>
      <c r="X161" s="28"/>
    </row>
    <row r="162" spans="3:24">
      <c r="C162" s="3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V162" s="28"/>
      <c r="W162" s="28"/>
      <c r="X162" s="28"/>
    </row>
    <row r="163" spans="3:24">
      <c r="C163" s="3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V163" s="28"/>
      <c r="W163" s="28"/>
      <c r="X163" s="28"/>
    </row>
    <row r="164" spans="3:24">
      <c r="C164" s="3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V164" s="28"/>
      <c r="W164" s="28"/>
      <c r="X164" s="28"/>
    </row>
    <row r="165" spans="3:24">
      <c r="C165" s="3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V165" s="28"/>
      <c r="W165" s="28"/>
      <c r="X165" s="28"/>
    </row>
    <row r="166" spans="3:24">
      <c r="C166" s="3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V166" s="28"/>
      <c r="W166" s="28"/>
      <c r="X166" s="28"/>
    </row>
    <row r="167" spans="3:24">
      <c r="C167" s="3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V167" s="28"/>
      <c r="W167" s="28"/>
      <c r="X167" s="28"/>
    </row>
    <row r="168" spans="3:24">
      <c r="C168" s="3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V168" s="28"/>
      <c r="W168" s="28"/>
      <c r="X168" s="28"/>
    </row>
    <row r="169" spans="3:24">
      <c r="C169" s="3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V169" s="28"/>
      <c r="W169" s="28"/>
      <c r="X169" s="28"/>
    </row>
    <row r="170" spans="3:24">
      <c r="C170" s="3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V170" s="28"/>
      <c r="W170" s="28"/>
      <c r="X170" s="28"/>
    </row>
    <row r="171" spans="3:24">
      <c r="C171" s="3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V171" s="28"/>
      <c r="W171" s="28"/>
      <c r="X171" s="28"/>
    </row>
    <row r="172" spans="3:24">
      <c r="C172" s="3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V172" s="28"/>
      <c r="W172" s="28"/>
      <c r="X172" s="28"/>
    </row>
    <row r="173" spans="3:24">
      <c r="C173" s="3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V173" s="28"/>
      <c r="W173" s="28"/>
      <c r="X173" s="28"/>
    </row>
    <row r="174" spans="3:24">
      <c r="C174" s="3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V174" s="28"/>
      <c r="W174" s="28"/>
      <c r="X174" s="28"/>
    </row>
    <row r="175" spans="3:24">
      <c r="C175" s="3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V175" s="28"/>
      <c r="W175" s="28"/>
      <c r="X175" s="28"/>
    </row>
    <row r="176" spans="3:24">
      <c r="C176" s="3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V176" s="28"/>
      <c r="W176" s="28"/>
      <c r="X176" s="28"/>
    </row>
    <row r="177" spans="3:24">
      <c r="C177" s="3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V177" s="28"/>
      <c r="W177" s="28"/>
      <c r="X177" s="28"/>
    </row>
    <row r="178" spans="3:24">
      <c r="C178" s="3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V178" s="28"/>
      <c r="W178" s="28"/>
      <c r="X178" s="28"/>
    </row>
    <row r="179" spans="3:24">
      <c r="C179" s="3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V179" s="28"/>
      <c r="W179" s="28"/>
      <c r="X179" s="28"/>
    </row>
    <row r="180" spans="3:24">
      <c r="C180" s="3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V180" s="28"/>
      <c r="W180" s="28"/>
      <c r="X180" s="28"/>
    </row>
    <row r="181" spans="3:24">
      <c r="C181" s="3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V181" s="28"/>
      <c r="W181" s="28"/>
      <c r="X181" s="28"/>
    </row>
    <row r="182" spans="3:24">
      <c r="C182" s="3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V182" s="28"/>
      <c r="W182" s="28"/>
      <c r="X182" s="28"/>
    </row>
    <row r="183" spans="3:24">
      <c r="C183" s="3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V183" s="28"/>
      <c r="W183" s="28"/>
      <c r="X183" s="28"/>
    </row>
    <row r="184" spans="3:24">
      <c r="C184" s="3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V184" s="28"/>
      <c r="W184" s="28"/>
      <c r="X184" s="28"/>
    </row>
    <row r="185" spans="3:24">
      <c r="C185" s="3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V185" s="28"/>
      <c r="W185" s="28"/>
      <c r="X185" s="28"/>
    </row>
    <row r="186" spans="3:24">
      <c r="C186" s="3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V186" s="28"/>
      <c r="W186" s="28"/>
      <c r="X186" s="28"/>
    </row>
    <row r="187" spans="3:24">
      <c r="C187" s="3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V187" s="28"/>
      <c r="W187" s="28"/>
      <c r="X187" s="28"/>
    </row>
    <row r="188" spans="3:24">
      <c r="C188" s="3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V188" s="28"/>
      <c r="W188" s="28"/>
      <c r="X188" s="28"/>
    </row>
    <row r="189" spans="3:24">
      <c r="C189" s="3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V189" s="28"/>
      <c r="W189" s="28"/>
      <c r="X189" s="28"/>
    </row>
    <row r="190" spans="3:24">
      <c r="C190" s="3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V190" s="28"/>
      <c r="W190" s="28"/>
      <c r="X190" s="28"/>
    </row>
    <row r="191" spans="3:24">
      <c r="C191" s="3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V191" s="28"/>
      <c r="W191" s="28"/>
      <c r="X191" s="28"/>
    </row>
    <row r="192" spans="3:24">
      <c r="C192" s="3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V192" s="28"/>
      <c r="W192" s="28"/>
      <c r="X192" s="28"/>
    </row>
    <row r="193" spans="3:24">
      <c r="C193" s="3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V193" s="28"/>
      <c r="W193" s="28"/>
      <c r="X193" s="28"/>
    </row>
    <row r="194" spans="3:24">
      <c r="C194" s="3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V194" s="28"/>
      <c r="W194" s="28"/>
      <c r="X194" s="28"/>
    </row>
    <row r="195" spans="3:24">
      <c r="C195" s="3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V195" s="28"/>
      <c r="W195" s="28"/>
      <c r="X195" s="28"/>
    </row>
    <row r="196" spans="3:24">
      <c r="C196" s="3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V196" s="28"/>
      <c r="W196" s="28"/>
      <c r="X196" s="28"/>
    </row>
    <row r="197" spans="3:24">
      <c r="C197" s="3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V197" s="28"/>
      <c r="W197" s="28"/>
      <c r="X197" s="28"/>
    </row>
    <row r="198" spans="3:24">
      <c r="C198" s="3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V198" s="28"/>
      <c r="W198" s="28"/>
      <c r="X198" s="28"/>
    </row>
    <row r="199" spans="3:24">
      <c r="C199" s="3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V199" s="28"/>
      <c r="W199" s="28"/>
      <c r="X199" s="28"/>
    </row>
    <row r="200" spans="3:24">
      <c r="C200" s="3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V200" s="28"/>
      <c r="W200" s="28"/>
      <c r="X200" s="28"/>
    </row>
    <row r="201" spans="3:24">
      <c r="C201" s="3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V201" s="28"/>
      <c r="W201" s="28"/>
      <c r="X201" s="28"/>
    </row>
    <row r="202" spans="3:24">
      <c r="C202" s="3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V202" s="28"/>
      <c r="W202" s="28"/>
      <c r="X202" s="28"/>
    </row>
    <row r="203" spans="3:24">
      <c r="C203" s="3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V203" s="28"/>
      <c r="W203" s="28"/>
      <c r="X203" s="28"/>
    </row>
    <row r="204" spans="3:24">
      <c r="C204" s="3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V204" s="28"/>
      <c r="W204" s="28"/>
      <c r="X204" s="28"/>
    </row>
    <row r="205" spans="3:24">
      <c r="C205" s="3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V205" s="28"/>
      <c r="W205" s="28"/>
      <c r="X205" s="28"/>
    </row>
    <row r="206" spans="3:24">
      <c r="C206" s="3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V206" s="28"/>
      <c r="W206" s="28"/>
      <c r="X206" s="28"/>
    </row>
    <row r="207" spans="3:24">
      <c r="C207" s="3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V207" s="28"/>
      <c r="W207" s="28"/>
      <c r="X207" s="28"/>
    </row>
    <row r="208" spans="3:24">
      <c r="C208" s="3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V208" s="28"/>
      <c r="W208" s="28"/>
      <c r="X208" s="28"/>
    </row>
    <row r="209" spans="3:24">
      <c r="C209" s="3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V209" s="28"/>
      <c r="W209" s="28"/>
      <c r="X209" s="28"/>
    </row>
    <row r="210" spans="3:24">
      <c r="C210" s="3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V210" s="28"/>
      <c r="W210" s="28"/>
      <c r="X210" s="28"/>
    </row>
    <row r="211" spans="3:24">
      <c r="C211" s="3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V211" s="28"/>
      <c r="W211" s="28"/>
      <c r="X211" s="28"/>
    </row>
    <row r="212" spans="3:24">
      <c r="C212" s="3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V212" s="28"/>
      <c r="W212" s="28"/>
      <c r="X212" s="28"/>
    </row>
    <row r="213" spans="3:24">
      <c r="C213" s="3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V213" s="28"/>
      <c r="W213" s="28"/>
      <c r="X213" s="28"/>
    </row>
    <row r="214" spans="3:24">
      <c r="C214" s="3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V214" s="28"/>
      <c r="W214" s="28"/>
      <c r="X214" s="28"/>
    </row>
    <row r="215" spans="3:24">
      <c r="C215" s="3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V215" s="28"/>
      <c r="W215" s="28"/>
      <c r="X215" s="28"/>
    </row>
    <row r="216" spans="3:24">
      <c r="C216" s="3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V216" s="28"/>
      <c r="W216" s="28"/>
      <c r="X216" s="28"/>
    </row>
    <row r="217" spans="3:24">
      <c r="C217" s="3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V217" s="28"/>
      <c r="W217" s="28"/>
      <c r="X217" s="28"/>
    </row>
    <row r="218" spans="3:24">
      <c r="C218" s="3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V218" s="28"/>
      <c r="W218" s="28"/>
      <c r="X218" s="28"/>
    </row>
    <row r="219" spans="3:24">
      <c r="C219" s="3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V219" s="28"/>
      <c r="W219" s="28"/>
      <c r="X219" s="28"/>
    </row>
    <row r="220" spans="3:24">
      <c r="C220" s="3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V220" s="28"/>
      <c r="W220" s="28"/>
      <c r="X220" s="28"/>
    </row>
    <row r="221" spans="3:24">
      <c r="C221" s="3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V221" s="28"/>
      <c r="W221" s="28"/>
      <c r="X221" s="28"/>
    </row>
    <row r="222" spans="3:24">
      <c r="C222" s="3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V222" s="28"/>
      <c r="W222" s="28"/>
      <c r="X222" s="28"/>
    </row>
    <row r="223" spans="3:24">
      <c r="C223" s="3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V223" s="28"/>
      <c r="W223" s="28"/>
      <c r="X223" s="28"/>
    </row>
    <row r="224" spans="3:24">
      <c r="C224" s="3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V224" s="28"/>
      <c r="W224" s="28"/>
      <c r="X224" s="28"/>
    </row>
    <row r="225" spans="3:24">
      <c r="C225" s="3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V225" s="28"/>
      <c r="W225" s="28"/>
      <c r="X225" s="28"/>
    </row>
    <row r="226" spans="3:24">
      <c r="C226" s="3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V226" s="28"/>
      <c r="W226" s="28"/>
      <c r="X226" s="28"/>
    </row>
    <row r="227" spans="3:24">
      <c r="C227" s="3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V227" s="28"/>
      <c r="W227" s="28"/>
      <c r="X227" s="28"/>
    </row>
    <row r="228" spans="3:24">
      <c r="C228" s="3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V228" s="28"/>
      <c r="W228" s="28"/>
      <c r="X228" s="28"/>
    </row>
    <row r="229" spans="3:24">
      <c r="C229" s="3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V229" s="28"/>
      <c r="W229" s="28"/>
      <c r="X229" s="28"/>
    </row>
    <row r="230" spans="3:24">
      <c r="C230" s="3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V230" s="28"/>
      <c r="W230" s="28"/>
      <c r="X230" s="28"/>
    </row>
    <row r="231" spans="3:24">
      <c r="C231" s="3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V231" s="28"/>
      <c r="W231" s="28"/>
      <c r="X231" s="28"/>
    </row>
    <row r="232" spans="3:24">
      <c r="C232" s="3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V232" s="28"/>
      <c r="W232" s="28"/>
      <c r="X232" s="28"/>
    </row>
    <row r="233" spans="3:24">
      <c r="C233" s="3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V233" s="28"/>
      <c r="W233" s="28"/>
      <c r="X233" s="28"/>
    </row>
    <row r="234" spans="3:24">
      <c r="C234" s="3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V234" s="28"/>
      <c r="W234" s="28"/>
      <c r="X234" s="28"/>
    </row>
    <row r="235" spans="3:24">
      <c r="C235" s="3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V235" s="28"/>
      <c r="W235" s="28"/>
      <c r="X235" s="28"/>
    </row>
    <row r="236" spans="3:24">
      <c r="C236" s="3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V236" s="28"/>
      <c r="W236" s="28"/>
      <c r="X236" s="28"/>
    </row>
    <row r="237" spans="3:24">
      <c r="C237" s="3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V237" s="28"/>
      <c r="W237" s="28"/>
      <c r="X237" s="28"/>
    </row>
    <row r="238" spans="3:24">
      <c r="C238" s="3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V238" s="28"/>
      <c r="W238" s="28"/>
      <c r="X238" s="28"/>
    </row>
    <row r="239" spans="3:24">
      <c r="C239" s="3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V239" s="28"/>
      <c r="W239" s="28"/>
      <c r="X239" s="28"/>
    </row>
    <row r="240" spans="3:24">
      <c r="C240" s="3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V240" s="28"/>
      <c r="W240" s="28"/>
      <c r="X240" s="28"/>
    </row>
    <row r="241" spans="3:24">
      <c r="C241" s="3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V241" s="28"/>
      <c r="W241" s="28"/>
      <c r="X241" s="28"/>
    </row>
    <row r="242" spans="3:24">
      <c r="C242" s="3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V242" s="28"/>
      <c r="W242" s="28"/>
      <c r="X242" s="28"/>
    </row>
    <row r="243" spans="3:24">
      <c r="C243" s="3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V243" s="28"/>
      <c r="W243" s="28"/>
      <c r="X243" s="28"/>
    </row>
    <row r="244" spans="3:24">
      <c r="C244" s="3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V244" s="28"/>
      <c r="W244" s="28"/>
      <c r="X244" s="28"/>
    </row>
    <row r="245" spans="3:24">
      <c r="C245" s="3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V245" s="28"/>
      <c r="W245" s="28"/>
      <c r="X245" s="28"/>
    </row>
    <row r="246" spans="3:24">
      <c r="C246" s="3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V246" s="28"/>
      <c r="W246" s="28"/>
      <c r="X246" s="28"/>
    </row>
    <row r="247" spans="3:24">
      <c r="C247" s="3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V247" s="28"/>
      <c r="W247" s="28"/>
      <c r="X247" s="28"/>
    </row>
    <row r="248" spans="3:24">
      <c r="C248" s="3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V248" s="28"/>
      <c r="W248" s="28"/>
      <c r="X248" s="28"/>
    </row>
    <row r="249" spans="3:24">
      <c r="C249" s="3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V249" s="28"/>
      <c r="W249" s="28"/>
      <c r="X249" s="28"/>
    </row>
    <row r="250" spans="3:24">
      <c r="C250" s="3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V250" s="28"/>
      <c r="W250" s="28"/>
      <c r="X250" s="28"/>
    </row>
    <row r="251" spans="3:24">
      <c r="C251" s="3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V251" s="28"/>
      <c r="W251" s="28"/>
      <c r="X251" s="28"/>
    </row>
    <row r="252" spans="3:24">
      <c r="C252" s="3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V252" s="28"/>
      <c r="W252" s="28"/>
      <c r="X252" s="28"/>
    </row>
    <row r="253" spans="3:24">
      <c r="C253" s="3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V253" s="28"/>
      <c r="W253" s="28"/>
      <c r="X253" s="28"/>
    </row>
    <row r="254" spans="3:24">
      <c r="C254" s="3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V254" s="28"/>
      <c r="W254" s="28"/>
      <c r="X254" s="28"/>
    </row>
    <row r="255" spans="3:24">
      <c r="C255" s="3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V255" s="28"/>
      <c r="W255" s="28"/>
      <c r="X255" s="28"/>
    </row>
    <row r="256" spans="3:24">
      <c r="C256" s="3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V256" s="28"/>
      <c r="W256" s="28"/>
      <c r="X256" s="28"/>
    </row>
    <row r="257" spans="3:24">
      <c r="C257" s="3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V257" s="28"/>
      <c r="W257" s="28"/>
      <c r="X257" s="28"/>
    </row>
    <row r="258" spans="3:24">
      <c r="C258" s="3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V258" s="28"/>
      <c r="W258" s="28"/>
      <c r="X258" s="28"/>
    </row>
    <row r="259" spans="3:24">
      <c r="C259" s="3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V259" s="28"/>
      <c r="W259" s="28"/>
      <c r="X259" s="28"/>
    </row>
    <row r="260" spans="3:24">
      <c r="C260" s="3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V260" s="28"/>
      <c r="W260" s="28"/>
      <c r="X260" s="28"/>
    </row>
    <row r="261" spans="3:24">
      <c r="C261" s="3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V261" s="28"/>
      <c r="W261" s="28"/>
      <c r="X261" s="28"/>
    </row>
    <row r="262" spans="3:24">
      <c r="C262" s="3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V262" s="28"/>
      <c r="W262" s="28"/>
      <c r="X262" s="28"/>
    </row>
    <row r="263" spans="3:24">
      <c r="C263" s="3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V263" s="28"/>
      <c r="W263" s="28"/>
      <c r="X263" s="28"/>
    </row>
    <row r="264" spans="3:24">
      <c r="C264" s="3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V264" s="28"/>
      <c r="W264" s="28"/>
      <c r="X264" s="28"/>
    </row>
    <row r="265" spans="3:24">
      <c r="C265" s="3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V265" s="28"/>
      <c r="W265" s="28"/>
      <c r="X265" s="28"/>
    </row>
    <row r="266" spans="3:24">
      <c r="C266" s="3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V266" s="28"/>
      <c r="W266" s="28"/>
      <c r="X266" s="28"/>
    </row>
    <row r="267" spans="3:24">
      <c r="C267" s="3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V267" s="28"/>
      <c r="W267" s="28"/>
      <c r="X267" s="28"/>
    </row>
    <row r="268" spans="3:24">
      <c r="C268" s="3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V268" s="28"/>
      <c r="W268" s="28"/>
      <c r="X268" s="28"/>
    </row>
    <row r="269" spans="3:24">
      <c r="C269" s="3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V269" s="28"/>
      <c r="W269" s="28"/>
      <c r="X269" s="28"/>
    </row>
    <row r="270" spans="3:24">
      <c r="C270" s="3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V270" s="28"/>
      <c r="W270" s="28"/>
      <c r="X270" s="28"/>
    </row>
    <row r="271" spans="3:24">
      <c r="C271" s="3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V271" s="28"/>
      <c r="W271" s="28"/>
      <c r="X271" s="28"/>
    </row>
    <row r="272" spans="3:24">
      <c r="C272" s="3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V272" s="28"/>
      <c r="W272" s="28"/>
      <c r="X272" s="28"/>
    </row>
    <row r="273" spans="3:24">
      <c r="C273" s="3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V273" s="28"/>
      <c r="W273" s="28"/>
      <c r="X273" s="28"/>
    </row>
    <row r="274" spans="3:24">
      <c r="C274" s="3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V274" s="28"/>
      <c r="W274" s="28"/>
      <c r="X274" s="28"/>
    </row>
    <row r="275" spans="3:24">
      <c r="C275" s="3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V275" s="28"/>
      <c r="W275" s="28"/>
      <c r="X275" s="28"/>
    </row>
    <row r="276" spans="3:24">
      <c r="C276" s="3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V276" s="28"/>
      <c r="W276" s="28"/>
      <c r="X276" s="28"/>
    </row>
    <row r="277" spans="3:24">
      <c r="C277" s="3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V277" s="28"/>
      <c r="W277" s="28"/>
      <c r="X277" s="28"/>
    </row>
    <row r="278" spans="3:24">
      <c r="C278" s="3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V278" s="28"/>
      <c r="W278" s="28"/>
      <c r="X278" s="28"/>
    </row>
    <row r="279" spans="3:24">
      <c r="C279" s="3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V279" s="28"/>
      <c r="W279" s="28"/>
      <c r="X279" s="28"/>
    </row>
    <row r="280" spans="3:24">
      <c r="C280" s="3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V280" s="28"/>
      <c r="W280" s="28"/>
      <c r="X280" s="28"/>
    </row>
    <row r="281" spans="3:24">
      <c r="C281" s="3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V281" s="28"/>
      <c r="W281" s="28"/>
      <c r="X281" s="28"/>
    </row>
    <row r="282" spans="3:24">
      <c r="C282" s="3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V282" s="28"/>
      <c r="W282" s="28"/>
      <c r="X282" s="28"/>
    </row>
    <row r="283" spans="3:24">
      <c r="C283" s="3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V283" s="28"/>
      <c r="W283" s="28"/>
      <c r="X283" s="28"/>
    </row>
    <row r="284" spans="3:24">
      <c r="C284" s="3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V284" s="28"/>
      <c r="W284" s="28"/>
      <c r="X284" s="28"/>
    </row>
    <row r="285" spans="3:24">
      <c r="C285" s="3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V285" s="28"/>
      <c r="W285" s="28"/>
      <c r="X285" s="28"/>
    </row>
    <row r="286" spans="3:24">
      <c r="C286" s="3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V286" s="28"/>
      <c r="W286" s="28"/>
      <c r="X286" s="28"/>
    </row>
    <row r="287" spans="3:24">
      <c r="C287" s="3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V287" s="28"/>
      <c r="W287" s="28"/>
      <c r="X287" s="28"/>
    </row>
    <row r="288" spans="3:24">
      <c r="C288" s="3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V288" s="28"/>
      <c r="W288" s="28"/>
      <c r="X288" s="28"/>
    </row>
    <row r="289" spans="3:24">
      <c r="C289" s="3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V289" s="28"/>
      <c r="W289" s="28"/>
      <c r="X289" s="28"/>
    </row>
    <row r="290" spans="3:24">
      <c r="C290" s="3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V290" s="28"/>
      <c r="W290" s="28"/>
      <c r="X290" s="28"/>
    </row>
    <row r="291" spans="3:24">
      <c r="C291" s="3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V291" s="28"/>
      <c r="W291" s="28"/>
      <c r="X291" s="28"/>
    </row>
    <row r="292" spans="3:24">
      <c r="C292" s="3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V292" s="28"/>
      <c r="W292" s="28"/>
      <c r="X292" s="28"/>
    </row>
    <row r="293" spans="3:24">
      <c r="C293" s="3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V293" s="28"/>
      <c r="W293" s="28"/>
      <c r="X293" s="28"/>
    </row>
    <row r="294" spans="3:24">
      <c r="C294" s="3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V294" s="28"/>
      <c r="W294" s="28"/>
      <c r="X294" s="28"/>
    </row>
    <row r="295" spans="3:24">
      <c r="C295" s="3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V295" s="28"/>
      <c r="W295" s="28"/>
      <c r="X295" s="28"/>
    </row>
    <row r="296" spans="3:24">
      <c r="C296" s="3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V296" s="28"/>
      <c r="W296" s="28"/>
      <c r="X296" s="28"/>
    </row>
    <row r="297" spans="3:24">
      <c r="C297" s="3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V297" s="28"/>
      <c r="W297" s="28"/>
      <c r="X297" s="28"/>
    </row>
    <row r="298" spans="3:24">
      <c r="C298" s="3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V298" s="28"/>
      <c r="W298" s="28"/>
      <c r="X298" s="28"/>
    </row>
    <row r="299" spans="3:24">
      <c r="C299" s="3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V299" s="28"/>
      <c r="W299" s="28"/>
      <c r="X299" s="28"/>
    </row>
    <row r="300" spans="3:24">
      <c r="C300" s="3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V300" s="28"/>
      <c r="W300" s="28"/>
      <c r="X300" s="28"/>
    </row>
    <row r="301" spans="3:24">
      <c r="C301" s="3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V301" s="28"/>
      <c r="W301" s="28"/>
      <c r="X301" s="28"/>
    </row>
    <row r="302" spans="3:24">
      <c r="C302" s="3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V302" s="28"/>
      <c r="W302" s="28"/>
      <c r="X302" s="28"/>
    </row>
    <row r="303" spans="3:24">
      <c r="C303" s="3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V303" s="28"/>
      <c r="W303" s="28"/>
      <c r="X303" s="28"/>
    </row>
    <row r="304" spans="3:24">
      <c r="C304" s="3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V304" s="28"/>
      <c r="W304" s="28"/>
      <c r="X304" s="28"/>
    </row>
    <row r="305" spans="3:24">
      <c r="C305" s="3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V305" s="28"/>
      <c r="W305" s="28"/>
      <c r="X305" s="28"/>
    </row>
    <row r="306" spans="3:24">
      <c r="C306" s="3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V306" s="28"/>
      <c r="W306" s="28"/>
      <c r="X306" s="28"/>
    </row>
    <row r="307" spans="3:24">
      <c r="C307" s="3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V307" s="28"/>
      <c r="W307" s="28"/>
      <c r="X307" s="28"/>
    </row>
    <row r="308" spans="3:24">
      <c r="C308" s="3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V308" s="28"/>
      <c r="W308" s="28"/>
      <c r="X308" s="28"/>
    </row>
    <row r="309" spans="3:24">
      <c r="C309" s="3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V309" s="28"/>
      <c r="W309" s="28"/>
      <c r="X309" s="28"/>
    </row>
    <row r="310" spans="3:24">
      <c r="C310" s="3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V310" s="28"/>
      <c r="W310" s="28"/>
      <c r="X310" s="28"/>
    </row>
    <row r="311" spans="3:24">
      <c r="C311" s="3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V311" s="28"/>
      <c r="W311" s="28"/>
      <c r="X311" s="28"/>
    </row>
    <row r="312" spans="3:24">
      <c r="C312" s="3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V312" s="28"/>
      <c r="W312" s="28"/>
      <c r="X312" s="28"/>
    </row>
    <row r="313" spans="3:24">
      <c r="C313" s="3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V313" s="28"/>
      <c r="W313" s="28"/>
      <c r="X313" s="28"/>
    </row>
    <row r="314" spans="3:24">
      <c r="C314" s="3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V314" s="28"/>
      <c r="W314" s="28"/>
      <c r="X314" s="28"/>
    </row>
    <row r="315" spans="3:24">
      <c r="C315" s="3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V315" s="28"/>
      <c r="W315" s="28"/>
      <c r="X315" s="28"/>
    </row>
    <row r="316" spans="3:24">
      <c r="C316" s="3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V316" s="28"/>
      <c r="W316" s="28"/>
      <c r="X316" s="28"/>
    </row>
    <row r="317" spans="3:24">
      <c r="C317" s="3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V317" s="28"/>
      <c r="W317" s="28"/>
      <c r="X317" s="28"/>
    </row>
    <row r="318" spans="3:24">
      <c r="C318" s="3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V318" s="28"/>
      <c r="W318" s="28"/>
      <c r="X318" s="28"/>
    </row>
    <row r="319" spans="3:24">
      <c r="C319" s="3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V319" s="28"/>
      <c r="W319" s="28"/>
      <c r="X319" s="28"/>
    </row>
    <row r="320" spans="3:24">
      <c r="C320" s="3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V320" s="28"/>
      <c r="W320" s="28"/>
      <c r="X320" s="28"/>
    </row>
    <row r="321" spans="3:24">
      <c r="C321" s="3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V321" s="28"/>
      <c r="W321" s="28"/>
      <c r="X321" s="28"/>
    </row>
    <row r="322" spans="3:24">
      <c r="C322" s="3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V322" s="28"/>
      <c r="W322" s="28"/>
      <c r="X322" s="28"/>
    </row>
    <row r="323" spans="3:24">
      <c r="C323" s="3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V323" s="28"/>
      <c r="W323" s="28"/>
      <c r="X323" s="28"/>
    </row>
    <row r="324" spans="3:24">
      <c r="C324" s="3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V324" s="28"/>
      <c r="W324" s="28"/>
      <c r="X324" s="28"/>
    </row>
    <row r="325" spans="3:24">
      <c r="C325" s="3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V325" s="28"/>
      <c r="W325" s="28"/>
      <c r="X325" s="28"/>
    </row>
    <row r="326" spans="3:24">
      <c r="C326" s="3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V326" s="28"/>
      <c r="W326" s="28"/>
      <c r="X326" s="28"/>
    </row>
    <row r="327" spans="3:24">
      <c r="C327" s="3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V327" s="28"/>
      <c r="W327" s="28"/>
      <c r="X327" s="28"/>
    </row>
    <row r="328" spans="3:24">
      <c r="C328" s="3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V328" s="28"/>
      <c r="W328" s="28"/>
      <c r="X328" s="28"/>
    </row>
    <row r="329" spans="3:24">
      <c r="C329" s="3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V329" s="28"/>
      <c r="W329" s="28"/>
      <c r="X329" s="28"/>
    </row>
    <row r="330" spans="3:24">
      <c r="C330" s="3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V330" s="28"/>
      <c r="W330" s="28"/>
      <c r="X330" s="28"/>
    </row>
    <row r="331" spans="3:24">
      <c r="C331" s="3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V331" s="28"/>
      <c r="W331" s="28"/>
      <c r="X331" s="28"/>
    </row>
    <row r="332" spans="3:24">
      <c r="C332" s="3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V332" s="28"/>
      <c r="W332" s="28"/>
      <c r="X332" s="28"/>
    </row>
    <row r="333" spans="3:24">
      <c r="C333" s="3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V333" s="28"/>
      <c r="W333" s="28"/>
      <c r="X333" s="28"/>
    </row>
    <row r="334" spans="3:24">
      <c r="C334" s="3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V334" s="28"/>
      <c r="W334" s="28"/>
      <c r="X334" s="28"/>
    </row>
    <row r="335" spans="3:24">
      <c r="C335" s="3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V335" s="28"/>
      <c r="W335" s="28"/>
      <c r="X335" s="28"/>
    </row>
    <row r="336" spans="3:24">
      <c r="C336" s="3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V336" s="28"/>
      <c r="W336" s="28"/>
      <c r="X336" s="28"/>
    </row>
    <row r="337" spans="3:24">
      <c r="C337" s="3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V337" s="28"/>
      <c r="W337" s="28"/>
      <c r="X337" s="28"/>
    </row>
    <row r="338" spans="3:24">
      <c r="C338" s="3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V338" s="28"/>
      <c r="W338" s="28"/>
      <c r="X338" s="28"/>
    </row>
    <row r="339" spans="3:24">
      <c r="C339" s="3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V339" s="28"/>
      <c r="W339" s="28"/>
      <c r="X339" s="28"/>
    </row>
    <row r="340" spans="3:24">
      <c r="C340" s="3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V340" s="28"/>
      <c r="W340" s="28"/>
      <c r="X340" s="28"/>
    </row>
    <row r="341" spans="3:24">
      <c r="C341" s="3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V341" s="28"/>
      <c r="W341" s="28"/>
      <c r="X341" s="28"/>
    </row>
    <row r="342" spans="3:24">
      <c r="C342" s="3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V342" s="28"/>
      <c r="W342" s="28"/>
      <c r="X342" s="28"/>
    </row>
    <row r="343" spans="3:24">
      <c r="C343" s="3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V343" s="28"/>
      <c r="W343" s="28"/>
      <c r="X343" s="28"/>
    </row>
    <row r="344" spans="3:24">
      <c r="C344" s="3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V344" s="28"/>
      <c r="W344" s="28"/>
      <c r="X344" s="28"/>
    </row>
    <row r="345" spans="3:24">
      <c r="C345" s="3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V345" s="28"/>
      <c r="W345" s="28"/>
      <c r="X345" s="28"/>
    </row>
    <row r="346" spans="3:24">
      <c r="C346" s="3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V346" s="28"/>
      <c r="W346" s="28"/>
      <c r="X346" s="28"/>
    </row>
    <row r="347" spans="3:24">
      <c r="C347" s="3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V347" s="28"/>
      <c r="W347" s="28"/>
      <c r="X347" s="28"/>
    </row>
    <row r="348" spans="3:24">
      <c r="C348" s="3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V348" s="28"/>
      <c r="W348" s="28"/>
      <c r="X348" s="28"/>
    </row>
    <row r="349" spans="3:24">
      <c r="C349" s="3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V349" s="28"/>
      <c r="W349" s="28"/>
      <c r="X349" s="28"/>
    </row>
    <row r="350" spans="3:24">
      <c r="C350" s="3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V350" s="28"/>
      <c r="W350" s="28"/>
      <c r="X350" s="28"/>
    </row>
    <row r="351" spans="3:24">
      <c r="C351" s="3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V351" s="28"/>
      <c r="W351" s="28"/>
      <c r="X351" s="28"/>
    </row>
    <row r="352" spans="3:24">
      <c r="C352" s="3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V352" s="28"/>
      <c r="W352" s="28"/>
      <c r="X352" s="28"/>
    </row>
    <row r="353" spans="3:24">
      <c r="C353" s="3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V353" s="28"/>
      <c r="W353" s="28"/>
      <c r="X353" s="28"/>
    </row>
    <row r="354" spans="3:24">
      <c r="C354" s="3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V354" s="28"/>
      <c r="W354" s="28"/>
      <c r="X354" s="28"/>
    </row>
    <row r="355" spans="3:24">
      <c r="C355" s="3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V355" s="28"/>
      <c r="W355" s="28"/>
      <c r="X355" s="28"/>
    </row>
    <row r="356" spans="3:24">
      <c r="C356" s="3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V356" s="28"/>
      <c r="W356" s="28"/>
      <c r="X356" s="28"/>
    </row>
    <row r="357" spans="3:24">
      <c r="C357" s="3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V357" s="28"/>
      <c r="W357" s="28"/>
      <c r="X357" s="28"/>
    </row>
    <row r="358" spans="3:24">
      <c r="C358" s="3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V358" s="28"/>
      <c r="W358" s="28"/>
      <c r="X358" s="28"/>
    </row>
    <row r="359" spans="3:24">
      <c r="C359" s="3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V359" s="28"/>
      <c r="W359" s="28"/>
      <c r="X359" s="28"/>
    </row>
    <row r="360" spans="3:24">
      <c r="C360" s="3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V360" s="28"/>
      <c r="W360" s="28"/>
      <c r="X360" s="28"/>
    </row>
    <row r="361" spans="3:24">
      <c r="C361" s="3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V361" s="28"/>
      <c r="W361" s="28"/>
      <c r="X361" s="28"/>
    </row>
    <row r="362" spans="3:24">
      <c r="C362" s="3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V362" s="28"/>
      <c r="W362" s="28"/>
      <c r="X362" s="28"/>
    </row>
    <row r="363" spans="3:24">
      <c r="C363" s="3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V363" s="28"/>
      <c r="W363" s="28"/>
      <c r="X363" s="28"/>
    </row>
    <row r="364" spans="3:24">
      <c r="C364" s="3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V364" s="28"/>
      <c r="W364" s="28"/>
      <c r="X364" s="28"/>
    </row>
    <row r="365" spans="3:24">
      <c r="C365" s="3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V365" s="28"/>
      <c r="W365" s="28"/>
      <c r="X365" s="28"/>
    </row>
    <row r="366" spans="3:24">
      <c r="C366" s="3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V366" s="28"/>
      <c r="W366" s="28"/>
      <c r="X366" s="28"/>
    </row>
    <row r="367" spans="3:24">
      <c r="C367" s="3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V367" s="28"/>
      <c r="W367" s="28"/>
      <c r="X367" s="28"/>
    </row>
    <row r="368" spans="3:24">
      <c r="C368" s="3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V368" s="28"/>
      <c r="W368" s="28"/>
      <c r="X368" s="28"/>
    </row>
    <row r="369" spans="3:24">
      <c r="C369" s="3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V369" s="28"/>
      <c r="W369" s="28"/>
      <c r="X369" s="28"/>
    </row>
    <row r="370" spans="3:24">
      <c r="C370" s="3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V370" s="28"/>
      <c r="W370" s="28"/>
      <c r="X370" s="28"/>
    </row>
    <row r="371" spans="3:24">
      <c r="C371" s="3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V371" s="28"/>
      <c r="W371" s="28"/>
      <c r="X371" s="28"/>
    </row>
    <row r="372" spans="3:24">
      <c r="C372" s="3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V372" s="28"/>
      <c r="W372" s="28"/>
      <c r="X372" s="28"/>
    </row>
    <row r="373" spans="3:24">
      <c r="C373" s="3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V373" s="28"/>
      <c r="W373" s="28"/>
      <c r="X373" s="28"/>
    </row>
    <row r="374" spans="3:24">
      <c r="C374" s="3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V374" s="28"/>
      <c r="W374" s="28"/>
      <c r="X374" s="28"/>
    </row>
    <row r="375" spans="3:24">
      <c r="C375" s="3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V375" s="28"/>
      <c r="W375" s="28"/>
      <c r="X375" s="28"/>
    </row>
    <row r="376" spans="3:24">
      <c r="C376" s="3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V376" s="28"/>
      <c r="W376" s="28"/>
      <c r="X376" s="28"/>
    </row>
    <row r="377" spans="3:24">
      <c r="C377" s="3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V377" s="28"/>
      <c r="W377" s="28"/>
      <c r="X377" s="28"/>
    </row>
    <row r="378" spans="3:24">
      <c r="C378" s="3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V378" s="28"/>
      <c r="W378" s="28"/>
      <c r="X378" s="28"/>
    </row>
    <row r="379" spans="3:24">
      <c r="C379" s="3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V379" s="28"/>
      <c r="W379" s="28"/>
      <c r="X379" s="28"/>
    </row>
    <row r="380" spans="3:24">
      <c r="C380" s="3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V380" s="28"/>
      <c r="W380" s="28"/>
      <c r="X380" s="28"/>
    </row>
    <row r="381" spans="3:24">
      <c r="C381" s="3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V381" s="28"/>
      <c r="W381" s="28"/>
      <c r="X381" s="28"/>
    </row>
    <row r="382" spans="3:24">
      <c r="C382" s="3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V382" s="28"/>
      <c r="W382" s="28"/>
      <c r="X382" s="28"/>
    </row>
    <row r="383" spans="3:24">
      <c r="C383" s="3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V383" s="28"/>
      <c r="W383" s="28"/>
      <c r="X383" s="28"/>
    </row>
    <row r="384" spans="3:24">
      <c r="C384" s="3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V384" s="28"/>
      <c r="W384" s="28"/>
      <c r="X384" s="28"/>
    </row>
    <row r="385" spans="3:24">
      <c r="C385" s="3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V385" s="28"/>
      <c r="W385" s="28"/>
      <c r="X385" s="28"/>
    </row>
    <row r="386" spans="3:24">
      <c r="C386" s="3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V386" s="28"/>
      <c r="W386" s="28"/>
      <c r="X386" s="28"/>
    </row>
    <row r="387" spans="3:24">
      <c r="C387" s="3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V387" s="28"/>
      <c r="W387" s="28"/>
      <c r="X387" s="28"/>
    </row>
    <row r="388" spans="3:24">
      <c r="C388" s="3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V388" s="28"/>
      <c r="W388" s="28"/>
      <c r="X388" s="28"/>
    </row>
    <row r="389" spans="3:24">
      <c r="C389" s="3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V389" s="28"/>
      <c r="W389" s="28"/>
      <c r="X389" s="28"/>
    </row>
    <row r="390" spans="3:24">
      <c r="C390" s="3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V390" s="28"/>
      <c r="W390" s="28"/>
      <c r="X390" s="28"/>
    </row>
    <row r="391" spans="3:24">
      <c r="C391" s="3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V391" s="28"/>
      <c r="W391" s="28"/>
      <c r="X391" s="28"/>
    </row>
    <row r="392" spans="3:24">
      <c r="C392" s="3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V392" s="28"/>
      <c r="W392" s="28"/>
      <c r="X392" s="28"/>
    </row>
    <row r="393" spans="3:24">
      <c r="C393" s="3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V393" s="28"/>
      <c r="W393" s="28"/>
      <c r="X393" s="28"/>
    </row>
    <row r="394" spans="3:24">
      <c r="C394" s="3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V394" s="28"/>
      <c r="W394" s="28"/>
      <c r="X394" s="28"/>
    </row>
    <row r="395" spans="3:24">
      <c r="C395" s="3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V395" s="28"/>
      <c r="W395" s="28"/>
      <c r="X395" s="28"/>
    </row>
    <row r="396" spans="3:24">
      <c r="C396" s="3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V396" s="28"/>
      <c r="W396" s="28"/>
      <c r="X396" s="28"/>
    </row>
    <row r="397" spans="3:24">
      <c r="C397" s="3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V397" s="28"/>
      <c r="W397" s="28"/>
      <c r="X397" s="28"/>
    </row>
    <row r="398" spans="3:24">
      <c r="C398" s="3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V398" s="28"/>
      <c r="W398" s="28"/>
      <c r="X398" s="28"/>
    </row>
    <row r="399" spans="3:24">
      <c r="C399" s="3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V399" s="28"/>
      <c r="W399" s="28"/>
      <c r="X399" s="28"/>
    </row>
    <row r="400" spans="3:24">
      <c r="C400" s="3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V400" s="28"/>
      <c r="W400" s="28"/>
      <c r="X400" s="28"/>
    </row>
    <row r="401" spans="3:24">
      <c r="C401" s="3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V401" s="28"/>
      <c r="W401" s="28"/>
      <c r="X401" s="28"/>
    </row>
    <row r="402" spans="3:24">
      <c r="C402" s="3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V402" s="28"/>
      <c r="W402" s="28"/>
      <c r="X402" s="28"/>
    </row>
    <row r="403" spans="3:24">
      <c r="C403" s="3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V403" s="28"/>
      <c r="W403" s="28"/>
      <c r="X403" s="28"/>
    </row>
    <row r="404" spans="3:24">
      <c r="C404" s="3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V404" s="28"/>
      <c r="W404" s="28"/>
      <c r="X404" s="28"/>
    </row>
    <row r="405" spans="3:24">
      <c r="C405" s="3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V405" s="28"/>
      <c r="W405" s="28"/>
      <c r="X405" s="28"/>
    </row>
    <row r="406" spans="3:24">
      <c r="C406" s="3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V406" s="28"/>
      <c r="W406" s="28"/>
      <c r="X406" s="28"/>
    </row>
    <row r="407" spans="3:24">
      <c r="C407" s="3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V407" s="28"/>
      <c r="W407" s="28"/>
      <c r="X407" s="28"/>
    </row>
    <row r="408" spans="3:24">
      <c r="C408" s="3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V408" s="28"/>
      <c r="W408" s="28"/>
      <c r="X408" s="28"/>
    </row>
    <row r="409" spans="3:24">
      <c r="C409" s="3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V409" s="28"/>
      <c r="W409" s="28"/>
      <c r="X409" s="28"/>
    </row>
    <row r="410" spans="3:24">
      <c r="C410" s="3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V410" s="28"/>
      <c r="W410" s="28"/>
      <c r="X410" s="28"/>
    </row>
    <row r="411" spans="3:24">
      <c r="C411" s="3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V411" s="28"/>
      <c r="W411" s="28"/>
      <c r="X411" s="28"/>
    </row>
    <row r="412" spans="3:24">
      <c r="C412" s="3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V412" s="28"/>
      <c r="W412" s="28"/>
      <c r="X412" s="28"/>
    </row>
    <row r="413" spans="3:24">
      <c r="C413" s="3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V413" s="28"/>
      <c r="W413" s="28"/>
      <c r="X413" s="28"/>
    </row>
    <row r="414" spans="3:24">
      <c r="C414" s="3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V414" s="28"/>
      <c r="W414" s="28"/>
      <c r="X414" s="28"/>
    </row>
    <row r="415" spans="3:24">
      <c r="C415" s="3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V415" s="28"/>
      <c r="W415" s="28"/>
      <c r="X415" s="28"/>
    </row>
    <row r="416" spans="3:24">
      <c r="C416" s="3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V416" s="28"/>
      <c r="W416" s="28"/>
      <c r="X416" s="28"/>
    </row>
    <row r="417" spans="3:24">
      <c r="C417" s="3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V417" s="28"/>
      <c r="W417" s="28"/>
      <c r="X417" s="28"/>
    </row>
    <row r="418" spans="3:24">
      <c r="C418" s="3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V418" s="28"/>
      <c r="W418" s="28"/>
      <c r="X418" s="28"/>
    </row>
    <row r="419" spans="3:24">
      <c r="C419" s="3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V419" s="28"/>
      <c r="W419" s="28"/>
      <c r="X419" s="28"/>
    </row>
    <row r="420" spans="3:24">
      <c r="C420" s="3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V420" s="28"/>
      <c r="W420" s="28"/>
      <c r="X420" s="28"/>
    </row>
    <row r="421" spans="3:24">
      <c r="C421" s="3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V421" s="28"/>
      <c r="W421" s="28"/>
      <c r="X421" s="28"/>
    </row>
    <row r="422" spans="3:24">
      <c r="C422" s="3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V422" s="28"/>
      <c r="W422" s="28"/>
      <c r="X422" s="28"/>
    </row>
    <row r="423" spans="3:24">
      <c r="C423" s="3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V423" s="28"/>
      <c r="W423" s="28"/>
      <c r="X423" s="28"/>
    </row>
    <row r="424" spans="3:24">
      <c r="C424" s="3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V424" s="28"/>
      <c r="W424" s="28"/>
      <c r="X424" s="28"/>
    </row>
    <row r="425" spans="3:24">
      <c r="C425" s="3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V425" s="28"/>
      <c r="W425" s="28"/>
      <c r="X425" s="28"/>
    </row>
    <row r="426" spans="3:24">
      <c r="C426" s="3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V426" s="28"/>
      <c r="W426" s="28"/>
      <c r="X426" s="28"/>
    </row>
    <row r="427" spans="3:24">
      <c r="C427" s="3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V427" s="28"/>
      <c r="W427" s="28"/>
      <c r="X427" s="28"/>
    </row>
    <row r="428" spans="3:24">
      <c r="C428" s="3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V428" s="28"/>
      <c r="W428" s="28"/>
      <c r="X428" s="28"/>
    </row>
    <row r="429" spans="3:24">
      <c r="C429" s="3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V429" s="28"/>
      <c r="W429" s="28"/>
      <c r="X429" s="28"/>
    </row>
    <row r="430" spans="3:24">
      <c r="C430" s="3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V430" s="28"/>
      <c r="W430" s="28"/>
      <c r="X430" s="28"/>
    </row>
    <row r="431" spans="3:24">
      <c r="C431" s="3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V431" s="28"/>
      <c r="W431" s="28"/>
      <c r="X431" s="28"/>
    </row>
    <row r="432" spans="3:24">
      <c r="C432" s="3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V432" s="28"/>
      <c r="W432" s="28"/>
      <c r="X432" s="28"/>
    </row>
    <row r="433" spans="3:24">
      <c r="C433" s="3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V433" s="28"/>
      <c r="W433" s="28"/>
      <c r="X433" s="28"/>
    </row>
    <row r="434" spans="3:24">
      <c r="C434" s="3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V434" s="28"/>
      <c r="W434" s="28"/>
      <c r="X434" s="28"/>
    </row>
    <row r="435" spans="3:24">
      <c r="C435" s="3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V435" s="28"/>
      <c r="W435" s="28"/>
      <c r="X435" s="28"/>
    </row>
    <row r="436" spans="3:24">
      <c r="C436" s="3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V436" s="28"/>
      <c r="W436" s="28"/>
      <c r="X436" s="28"/>
    </row>
    <row r="437" spans="3:24">
      <c r="C437" s="3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V437" s="28"/>
      <c r="W437" s="28"/>
      <c r="X437" s="28"/>
    </row>
    <row r="438" spans="3:24">
      <c r="C438" s="3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V438" s="28"/>
      <c r="W438" s="28"/>
      <c r="X438" s="28"/>
    </row>
    <row r="439" spans="3:24">
      <c r="C439" s="3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V439" s="28"/>
      <c r="W439" s="28"/>
      <c r="X439" s="28"/>
    </row>
    <row r="440" spans="3:24">
      <c r="C440" s="3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V440" s="28"/>
      <c r="W440" s="28"/>
      <c r="X440" s="28"/>
    </row>
    <row r="441" spans="3:24">
      <c r="C441" s="3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V441" s="28"/>
      <c r="W441" s="28"/>
      <c r="X441" s="28"/>
    </row>
    <row r="442" spans="3:24">
      <c r="C442" s="3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V442" s="28"/>
      <c r="W442" s="28"/>
      <c r="X442" s="28"/>
    </row>
    <row r="443" spans="3:24">
      <c r="C443" s="3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V443" s="28"/>
      <c r="W443" s="28"/>
      <c r="X443" s="28"/>
    </row>
    <row r="444" spans="3:24">
      <c r="C444" s="3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V444" s="28"/>
      <c r="W444" s="28"/>
      <c r="X444" s="28"/>
    </row>
    <row r="445" spans="3:24">
      <c r="C445" s="3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V445" s="28"/>
      <c r="W445" s="28"/>
      <c r="X445" s="28"/>
    </row>
    <row r="446" spans="3:24">
      <c r="C446" s="3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V446" s="28"/>
      <c r="W446" s="28"/>
      <c r="X446" s="28"/>
    </row>
    <row r="447" spans="3:24">
      <c r="C447" s="3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V447" s="28"/>
      <c r="W447" s="28"/>
      <c r="X447" s="28"/>
    </row>
    <row r="448" spans="3:24">
      <c r="C448" s="3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V448" s="28"/>
      <c r="W448" s="28"/>
      <c r="X448" s="28"/>
    </row>
    <row r="449" spans="3:24">
      <c r="C449" s="3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V449" s="28"/>
      <c r="W449" s="28"/>
      <c r="X449" s="28"/>
    </row>
    <row r="450" spans="3:24">
      <c r="C450" s="3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V450" s="28"/>
      <c r="W450" s="28"/>
      <c r="X450" s="28"/>
    </row>
    <row r="451" spans="3:24">
      <c r="C451" s="3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V451" s="28"/>
      <c r="W451" s="28"/>
      <c r="X451" s="28"/>
    </row>
    <row r="452" spans="3:24">
      <c r="C452" s="3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V452" s="28"/>
      <c r="W452" s="28"/>
      <c r="X452" s="28"/>
    </row>
    <row r="453" spans="3:24">
      <c r="C453" s="3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V453" s="28"/>
      <c r="W453" s="28"/>
      <c r="X453" s="28"/>
    </row>
    <row r="454" spans="3:24">
      <c r="C454" s="3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V454" s="28"/>
      <c r="W454" s="28"/>
      <c r="X454" s="28"/>
    </row>
    <row r="455" spans="3:24">
      <c r="C455" s="3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V455" s="28"/>
      <c r="W455" s="28"/>
      <c r="X455" s="28"/>
    </row>
    <row r="456" spans="3:24">
      <c r="C456" s="3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V456" s="28"/>
      <c r="W456" s="28"/>
      <c r="X456" s="28"/>
    </row>
    <row r="457" spans="3:24">
      <c r="C457" s="3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V457" s="28"/>
      <c r="W457" s="28"/>
      <c r="X457" s="28"/>
    </row>
    <row r="458" spans="3:24">
      <c r="C458" s="3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V458" s="28"/>
      <c r="W458" s="28"/>
      <c r="X458" s="28"/>
    </row>
    <row r="459" spans="3:24">
      <c r="C459" s="3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V459" s="28"/>
      <c r="W459" s="28"/>
      <c r="X459" s="28"/>
    </row>
    <row r="460" spans="3:24">
      <c r="C460" s="3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V460" s="28"/>
      <c r="W460" s="28"/>
      <c r="X460" s="28"/>
    </row>
    <row r="461" spans="3:24">
      <c r="C461" s="3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V461" s="28"/>
      <c r="W461" s="28"/>
      <c r="X461" s="28"/>
    </row>
    <row r="462" spans="3:24">
      <c r="C462" s="3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V462" s="28"/>
      <c r="W462" s="28"/>
      <c r="X462" s="28"/>
    </row>
    <row r="463" spans="3:24">
      <c r="C463" s="3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V463" s="28"/>
      <c r="W463" s="28"/>
      <c r="X463" s="28"/>
    </row>
    <row r="464" spans="3:24">
      <c r="C464" s="3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V464" s="28"/>
      <c r="W464" s="28"/>
      <c r="X464" s="28"/>
    </row>
    <row r="465" spans="3:24">
      <c r="C465" s="3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V465" s="28"/>
      <c r="W465" s="28"/>
      <c r="X465" s="28"/>
    </row>
    <row r="466" spans="3:24">
      <c r="C466" s="3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V466" s="28"/>
      <c r="W466" s="28"/>
      <c r="X466" s="28"/>
    </row>
    <row r="467" spans="3:24">
      <c r="C467" s="3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V467" s="28"/>
      <c r="W467" s="28"/>
      <c r="X467" s="28"/>
    </row>
    <row r="468" spans="3:24">
      <c r="C468" s="3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V468" s="28"/>
      <c r="W468" s="28"/>
      <c r="X468" s="28"/>
    </row>
    <row r="469" spans="3:24">
      <c r="C469" s="3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V469" s="28"/>
      <c r="W469" s="28"/>
      <c r="X469" s="28"/>
    </row>
    <row r="470" spans="3:24">
      <c r="C470" s="3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V470" s="28"/>
      <c r="W470" s="28"/>
      <c r="X470" s="28"/>
    </row>
    <row r="471" spans="3:24">
      <c r="C471" s="3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V471" s="28"/>
      <c r="W471" s="28"/>
      <c r="X471" s="28"/>
    </row>
    <row r="472" spans="3:24">
      <c r="C472" s="3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V472" s="28"/>
      <c r="W472" s="28"/>
      <c r="X472" s="28"/>
    </row>
    <row r="473" spans="3:24">
      <c r="C473" s="3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V473" s="28"/>
      <c r="W473" s="28"/>
      <c r="X473" s="28"/>
    </row>
    <row r="474" spans="3:24">
      <c r="C474" s="3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V474" s="28"/>
      <c r="W474" s="28"/>
      <c r="X474" s="28"/>
    </row>
    <row r="475" spans="3:24">
      <c r="C475" s="3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V475" s="28"/>
      <c r="W475" s="28"/>
      <c r="X475" s="28"/>
    </row>
    <row r="476" spans="3:24">
      <c r="C476" s="3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V476" s="28"/>
      <c r="W476" s="28"/>
      <c r="X476" s="28"/>
    </row>
    <row r="477" spans="3:24">
      <c r="C477" s="3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V477" s="28"/>
      <c r="W477" s="28"/>
      <c r="X477" s="28"/>
    </row>
    <row r="478" spans="3:24">
      <c r="C478" s="3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V478" s="28"/>
      <c r="W478" s="28"/>
      <c r="X478" s="28"/>
    </row>
    <row r="479" spans="3:24">
      <c r="C479" s="3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V479" s="28"/>
      <c r="W479" s="28"/>
      <c r="X479" s="28"/>
    </row>
    <row r="480" spans="3:24">
      <c r="C480" s="3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V480" s="28"/>
      <c r="W480" s="28"/>
      <c r="X480" s="28"/>
    </row>
    <row r="481" spans="3:24">
      <c r="C481" s="3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V481" s="28"/>
      <c r="W481" s="28"/>
      <c r="X481" s="28"/>
    </row>
    <row r="482" spans="3:24">
      <c r="C482" s="3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V482" s="28"/>
      <c r="W482" s="28"/>
      <c r="X482" s="28"/>
    </row>
    <row r="483" spans="3:24">
      <c r="C483" s="3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V483" s="28"/>
      <c r="W483" s="28"/>
      <c r="X483" s="28"/>
    </row>
    <row r="484" spans="3:24">
      <c r="C484" s="3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V484" s="28"/>
      <c r="W484" s="28"/>
      <c r="X484" s="28"/>
    </row>
    <row r="485" spans="3:24">
      <c r="C485" s="3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V485" s="28"/>
      <c r="W485" s="28"/>
      <c r="X485" s="28"/>
    </row>
    <row r="486" spans="3:24">
      <c r="C486" s="3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V486" s="28"/>
      <c r="W486" s="28"/>
      <c r="X486" s="28"/>
    </row>
    <row r="487" spans="3:24">
      <c r="C487" s="3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V487" s="28"/>
      <c r="W487" s="28"/>
      <c r="X487" s="28"/>
    </row>
    <row r="488" spans="3:24">
      <c r="C488" s="3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V488" s="28"/>
      <c r="W488" s="28"/>
      <c r="X488" s="28"/>
    </row>
    <row r="489" spans="3:24">
      <c r="C489" s="3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V489" s="28"/>
      <c r="W489" s="28"/>
      <c r="X489" s="28"/>
    </row>
    <row r="490" spans="3:24">
      <c r="C490" s="3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V490" s="28"/>
      <c r="W490" s="28"/>
      <c r="X490" s="28"/>
    </row>
    <row r="491" spans="3:24">
      <c r="C491" s="3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V491" s="28"/>
      <c r="W491" s="28"/>
      <c r="X491" s="28"/>
    </row>
    <row r="492" spans="3:24">
      <c r="C492" s="3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V492" s="28"/>
      <c r="W492" s="28"/>
      <c r="X492" s="28"/>
    </row>
    <row r="493" spans="3:24">
      <c r="C493" s="3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V493" s="28"/>
      <c r="W493" s="28"/>
      <c r="X493" s="28"/>
    </row>
    <row r="494" spans="3:24">
      <c r="C494" s="3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V494" s="28"/>
      <c r="W494" s="28"/>
      <c r="X494" s="28"/>
    </row>
    <row r="495" spans="3:24">
      <c r="C495" s="3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V495" s="28"/>
      <c r="W495" s="28"/>
      <c r="X495" s="28"/>
    </row>
    <row r="496" spans="3:24">
      <c r="C496" s="3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V496" s="28"/>
      <c r="W496" s="28"/>
      <c r="X496" s="28"/>
    </row>
    <row r="497" spans="3:24">
      <c r="C497" s="3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V497" s="28"/>
      <c r="W497" s="28"/>
      <c r="X497" s="28"/>
    </row>
    <row r="498" spans="3:24">
      <c r="C498" s="3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V498" s="28"/>
      <c r="W498" s="28"/>
      <c r="X498" s="28"/>
    </row>
    <row r="499" spans="3:24">
      <c r="C499" s="3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V499" s="28"/>
      <c r="W499" s="28"/>
      <c r="X499" s="28"/>
    </row>
    <row r="500" spans="3:24">
      <c r="C500" s="3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V500" s="28"/>
      <c r="W500" s="28"/>
      <c r="X500" s="28"/>
    </row>
    <row r="501" spans="3:24">
      <c r="C501" s="3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V501" s="28"/>
      <c r="W501" s="28"/>
      <c r="X501" s="28"/>
    </row>
    <row r="502" spans="3:24">
      <c r="C502" s="3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V502" s="28"/>
      <c r="W502" s="28"/>
      <c r="X502" s="28"/>
    </row>
    <row r="503" spans="3:24">
      <c r="C503" s="3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V503" s="28"/>
      <c r="W503" s="28"/>
      <c r="X503" s="28"/>
    </row>
    <row r="504" spans="3:24">
      <c r="C504" s="3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V504" s="28"/>
      <c r="W504" s="28"/>
      <c r="X504" s="28"/>
    </row>
    <row r="505" spans="3:24">
      <c r="C505" s="3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V505" s="28"/>
      <c r="W505" s="28"/>
      <c r="X505" s="28"/>
    </row>
    <row r="506" spans="3:24">
      <c r="C506" s="3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V506" s="28"/>
      <c r="W506" s="28"/>
      <c r="X506" s="28"/>
    </row>
    <row r="507" spans="3:24">
      <c r="C507" s="3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V507" s="28"/>
      <c r="W507" s="28"/>
      <c r="X507" s="28"/>
    </row>
    <row r="508" spans="3:24">
      <c r="C508" s="3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V508" s="28"/>
      <c r="W508" s="28"/>
      <c r="X508" s="28"/>
    </row>
    <row r="509" spans="3:24">
      <c r="C509" s="3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V509" s="28"/>
      <c r="W509" s="28"/>
      <c r="X509" s="28"/>
    </row>
    <row r="510" spans="3:24">
      <c r="C510" s="3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V510" s="28"/>
      <c r="W510" s="28"/>
      <c r="X510" s="28"/>
    </row>
    <row r="511" spans="3:24">
      <c r="C511" s="3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V511" s="28"/>
      <c r="W511" s="28"/>
      <c r="X511" s="28"/>
    </row>
    <row r="512" spans="3:24">
      <c r="C512" s="3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V512" s="28"/>
      <c r="W512" s="28"/>
      <c r="X512" s="28"/>
    </row>
    <row r="513" spans="3:24">
      <c r="C513" s="3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V513" s="28"/>
      <c r="W513" s="28"/>
      <c r="X513" s="28"/>
    </row>
    <row r="514" spans="3:24">
      <c r="C514" s="3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V514" s="28"/>
      <c r="W514" s="28"/>
      <c r="X514" s="28"/>
    </row>
    <row r="515" spans="3:24">
      <c r="C515" s="3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V515" s="28"/>
      <c r="W515" s="28"/>
      <c r="X515" s="28"/>
    </row>
    <row r="516" spans="3:24">
      <c r="C516" s="3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V516" s="28"/>
      <c r="W516" s="28"/>
      <c r="X516" s="28"/>
    </row>
    <row r="517" spans="3:24">
      <c r="C517" s="3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V517" s="28"/>
      <c r="W517" s="28"/>
      <c r="X517" s="28"/>
    </row>
    <row r="518" spans="3:24">
      <c r="C518" s="3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V518" s="28"/>
      <c r="W518" s="28"/>
      <c r="X518" s="28"/>
    </row>
    <row r="519" spans="3:24">
      <c r="C519" s="3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V519" s="28"/>
      <c r="W519" s="28"/>
      <c r="X519" s="28"/>
    </row>
    <row r="520" spans="3:24">
      <c r="C520" s="3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V520" s="28"/>
      <c r="W520" s="28"/>
      <c r="X520" s="28"/>
    </row>
    <row r="521" spans="3:24">
      <c r="C521" s="3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V521" s="28"/>
      <c r="W521" s="28"/>
      <c r="X521" s="28"/>
    </row>
    <row r="522" spans="3:24">
      <c r="C522" s="3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V522" s="28"/>
      <c r="W522" s="28"/>
      <c r="X522" s="28"/>
    </row>
    <row r="523" spans="3:24">
      <c r="C523" s="3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V523" s="28"/>
      <c r="W523" s="28"/>
      <c r="X523" s="28"/>
    </row>
    <row r="524" spans="3:24">
      <c r="C524" s="3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V524" s="28"/>
      <c r="W524" s="28"/>
      <c r="X524" s="28"/>
    </row>
    <row r="525" spans="3:24">
      <c r="C525" s="3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V525" s="28"/>
      <c r="W525" s="28"/>
      <c r="X525" s="28"/>
    </row>
    <row r="526" spans="3:24">
      <c r="C526" s="3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V526" s="28"/>
      <c r="W526" s="28"/>
      <c r="X526" s="28"/>
    </row>
    <row r="527" spans="3:24">
      <c r="C527" s="3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V527" s="28"/>
      <c r="W527" s="28"/>
      <c r="X527" s="28"/>
    </row>
    <row r="528" spans="3:24">
      <c r="C528" s="3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V528" s="28"/>
      <c r="W528" s="28"/>
      <c r="X528" s="28"/>
    </row>
    <row r="529" spans="3:24">
      <c r="C529" s="3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V529" s="28"/>
      <c r="W529" s="28"/>
      <c r="X529" s="28"/>
    </row>
    <row r="530" spans="3:24">
      <c r="C530" s="3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V530" s="28"/>
      <c r="W530" s="28"/>
      <c r="X530" s="28"/>
    </row>
    <row r="531" spans="3:24">
      <c r="C531" s="3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V531" s="28"/>
      <c r="W531" s="28"/>
      <c r="X531" s="28"/>
    </row>
    <row r="532" spans="3:24">
      <c r="C532" s="3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V532" s="28"/>
      <c r="W532" s="28"/>
      <c r="X532" s="28"/>
    </row>
    <row r="533" spans="3:24">
      <c r="C533" s="3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V533" s="28"/>
      <c r="W533" s="28"/>
      <c r="X533" s="28"/>
    </row>
    <row r="534" spans="3:24">
      <c r="C534" s="3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V534" s="28"/>
      <c r="W534" s="28"/>
      <c r="X534" s="28"/>
    </row>
    <row r="535" spans="3:24">
      <c r="C535" s="3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V535" s="28"/>
      <c r="W535" s="28"/>
      <c r="X535" s="28"/>
    </row>
    <row r="536" spans="3:24">
      <c r="C536" s="3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V536" s="28"/>
      <c r="W536" s="28"/>
      <c r="X536" s="28"/>
    </row>
    <row r="537" spans="3:24">
      <c r="C537" s="3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V537" s="28"/>
      <c r="W537" s="28"/>
      <c r="X537" s="28"/>
    </row>
    <row r="538" spans="3:24">
      <c r="C538" s="3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V538" s="28"/>
      <c r="W538" s="28"/>
      <c r="X538" s="28"/>
    </row>
    <row r="539" spans="3:24">
      <c r="C539" s="3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V539" s="28"/>
      <c r="W539" s="28"/>
      <c r="X539" s="28"/>
    </row>
    <row r="540" spans="3:24">
      <c r="C540" s="3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V540" s="28"/>
      <c r="W540" s="28"/>
      <c r="X540" s="28"/>
    </row>
    <row r="541" spans="3:24">
      <c r="C541" s="3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V541" s="28"/>
      <c r="W541" s="28"/>
      <c r="X541" s="28"/>
    </row>
    <row r="542" spans="3:24">
      <c r="C542" s="3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V542" s="28"/>
      <c r="W542" s="28"/>
      <c r="X542" s="28"/>
    </row>
    <row r="543" spans="3:24">
      <c r="C543" s="3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V543" s="28"/>
      <c r="W543" s="28"/>
      <c r="X543" s="28"/>
    </row>
    <row r="544" spans="3:24">
      <c r="C544" s="3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V544" s="28"/>
      <c r="W544" s="28"/>
      <c r="X544" s="28"/>
    </row>
    <row r="545" spans="3:24">
      <c r="C545" s="3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V545" s="28"/>
      <c r="W545" s="28"/>
      <c r="X545" s="28"/>
    </row>
    <row r="546" spans="3:24">
      <c r="C546" s="3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V546" s="28"/>
      <c r="W546" s="28"/>
      <c r="X546" s="28"/>
    </row>
    <row r="547" spans="3:24">
      <c r="C547" s="3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V547" s="28"/>
      <c r="W547" s="28"/>
      <c r="X547" s="28"/>
    </row>
    <row r="548" spans="3:24">
      <c r="C548" s="3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V548" s="28"/>
      <c r="W548" s="28"/>
      <c r="X548" s="28"/>
    </row>
    <row r="549" spans="3:24">
      <c r="C549" s="3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V549" s="28"/>
      <c r="W549" s="28"/>
      <c r="X549" s="28"/>
    </row>
    <row r="550" spans="3:24">
      <c r="C550" s="3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V550" s="28"/>
      <c r="W550" s="28"/>
      <c r="X550" s="28"/>
    </row>
    <row r="551" spans="3:24">
      <c r="C551" s="3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V551" s="28"/>
      <c r="W551" s="28"/>
      <c r="X551" s="28"/>
    </row>
    <row r="552" spans="3:24">
      <c r="C552" s="3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V552" s="28"/>
      <c r="W552" s="28"/>
      <c r="X552" s="28"/>
    </row>
    <row r="553" spans="3:24">
      <c r="C553" s="3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V553" s="28"/>
      <c r="W553" s="28"/>
      <c r="X553" s="28"/>
    </row>
    <row r="554" spans="3:24">
      <c r="C554" s="3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V554" s="28"/>
      <c r="W554" s="28"/>
      <c r="X554" s="28"/>
    </row>
    <row r="555" spans="3:24">
      <c r="C555" s="3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V555" s="28"/>
      <c r="W555" s="28"/>
      <c r="X555" s="28"/>
    </row>
    <row r="556" spans="3:24">
      <c r="C556" s="3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V556" s="28"/>
      <c r="W556" s="28"/>
      <c r="X556" s="28"/>
    </row>
    <row r="557" spans="3:24">
      <c r="C557" s="3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V557" s="28"/>
      <c r="W557" s="28"/>
      <c r="X557" s="28"/>
    </row>
    <row r="558" spans="3:24">
      <c r="C558" s="3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V558" s="28"/>
      <c r="W558" s="28"/>
      <c r="X558" s="28"/>
    </row>
    <row r="559" spans="3:24">
      <c r="C559" s="3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V559" s="28"/>
      <c r="W559" s="28"/>
      <c r="X559" s="28"/>
    </row>
    <row r="560" spans="3:24">
      <c r="C560" s="3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V560" s="28"/>
      <c r="W560" s="28"/>
      <c r="X560" s="28"/>
    </row>
    <row r="561" spans="3:24">
      <c r="C561" s="3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V561" s="28"/>
      <c r="W561" s="28"/>
      <c r="X561" s="28"/>
    </row>
    <row r="562" spans="3:24">
      <c r="C562" s="3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V562" s="28"/>
      <c r="W562" s="28"/>
      <c r="X562" s="28"/>
    </row>
    <row r="563" spans="3:24">
      <c r="C563" s="3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V563" s="28"/>
      <c r="W563" s="28"/>
      <c r="X563" s="28"/>
    </row>
    <row r="564" spans="3:24">
      <c r="C564" s="3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V564" s="28"/>
      <c r="W564" s="28"/>
      <c r="X564" s="28"/>
    </row>
    <row r="565" spans="3:24">
      <c r="C565" s="3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V565" s="28"/>
      <c r="W565" s="28"/>
      <c r="X565" s="28"/>
    </row>
    <row r="566" spans="3:24">
      <c r="C566" s="3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V566" s="28"/>
      <c r="W566" s="28"/>
      <c r="X566" s="28"/>
    </row>
    <row r="567" spans="3:24">
      <c r="C567" s="3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V567" s="28"/>
      <c r="W567" s="28"/>
      <c r="X567" s="28"/>
    </row>
    <row r="568" spans="3:24">
      <c r="C568" s="3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V568" s="28"/>
      <c r="W568" s="28"/>
      <c r="X568" s="28"/>
    </row>
    <row r="569" spans="3:24">
      <c r="C569" s="3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V569" s="28"/>
      <c r="W569" s="28"/>
      <c r="X569" s="28"/>
    </row>
    <row r="570" spans="3:24">
      <c r="C570" s="3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V570" s="28"/>
      <c r="W570" s="28"/>
      <c r="X570" s="28"/>
    </row>
    <row r="571" spans="3:24">
      <c r="C571" s="3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V571" s="28"/>
      <c r="W571" s="28"/>
      <c r="X571" s="28"/>
    </row>
    <row r="572" spans="3:24">
      <c r="C572" s="3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V572" s="28"/>
      <c r="W572" s="28"/>
      <c r="X572" s="28"/>
    </row>
    <row r="573" spans="3:24">
      <c r="C573" s="3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V573" s="28"/>
      <c r="W573" s="28"/>
      <c r="X573" s="28"/>
    </row>
    <row r="574" spans="3:24">
      <c r="C574" s="3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V574" s="28"/>
      <c r="W574" s="28"/>
      <c r="X574" s="28"/>
    </row>
    <row r="575" spans="3:24">
      <c r="C575" s="3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V575" s="28"/>
      <c r="W575" s="28"/>
      <c r="X575" s="28"/>
    </row>
    <row r="576" spans="3:24">
      <c r="C576" s="3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V576" s="28"/>
      <c r="W576" s="28"/>
      <c r="X576" s="28"/>
    </row>
    <row r="577" spans="3:24">
      <c r="C577" s="3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V577" s="28"/>
      <c r="W577" s="28"/>
      <c r="X577" s="28"/>
    </row>
    <row r="578" spans="3:24">
      <c r="C578" s="3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V578" s="28"/>
      <c r="W578" s="28"/>
      <c r="X578" s="28"/>
    </row>
    <row r="579" spans="3:24">
      <c r="C579" s="3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V579" s="28"/>
      <c r="W579" s="28"/>
      <c r="X579" s="28"/>
    </row>
    <row r="580" spans="3:24">
      <c r="C580" s="3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V580" s="28"/>
      <c r="W580" s="28"/>
      <c r="X580" s="28"/>
    </row>
    <row r="581" spans="3:24">
      <c r="C581" s="3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V581" s="28"/>
      <c r="W581" s="28"/>
      <c r="X581" s="28"/>
    </row>
    <row r="582" spans="3:24">
      <c r="C582" s="3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V582" s="28"/>
      <c r="W582" s="28"/>
      <c r="X582" s="28"/>
    </row>
    <row r="583" spans="3:24">
      <c r="C583" s="3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V583" s="28"/>
      <c r="W583" s="28"/>
      <c r="X583" s="28"/>
    </row>
    <row r="584" spans="3:24">
      <c r="C584" s="3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V584" s="28"/>
      <c r="W584" s="28"/>
      <c r="X584" s="28"/>
    </row>
    <row r="585" spans="3:24">
      <c r="C585" s="3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V585" s="28"/>
      <c r="W585" s="28"/>
      <c r="X585" s="28"/>
    </row>
    <row r="586" spans="3:24">
      <c r="C586" s="3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V586" s="28"/>
      <c r="W586" s="28"/>
      <c r="X586" s="28"/>
    </row>
    <row r="587" spans="3:24">
      <c r="C587" s="3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V587" s="28"/>
      <c r="W587" s="28"/>
      <c r="X587" s="28"/>
    </row>
    <row r="588" spans="3:24">
      <c r="C588" s="3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V588" s="28"/>
      <c r="W588" s="28"/>
      <c r="X588" s="28"/>
    </row>
    <row r="589" spans="3:24">
      <c r="C589" s="3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V589" s="28"/>
      <c r="W589" s="28"/>
      <c r="X589" s="28"/>
    </row>
    <row r="590" spans="3:24">
      <c r="C590" s="3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V590" s="28"/>
      <c r="W590" s="28"/>
      <c r="X590" s="28"/>
    </row>
    <row r="591" spans="3:24">
      <c r="C591" s="3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V591" s="28"/>
      <c r="W591" s="28"/>
      <c r="X591" s="28"/>
    </row>
    <row r="592" spans="3:24">
      <c r="C592" s="3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V592" s="28"/>
      <c r="W592" s="28"/>
      <c r="X592" s="28"/>
    </row>
    <row r="593" spans="3:24">
      <c r="C593" s="3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V593" s="28"/>
      <c r="W593" s="28"/>
      <c r="X593" s="28"/>
    </row>
    <row r="594" spans="3:24">
      <c r="C594" s="3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V594" s="28"/>
      <c r="W594" s="28"/>
      <c r="X594" s="28"/>
    </row>
    <row r="595" spans="3:24">
      <c r="C595" s="3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V595" s="28"/>
      <c r="W595" s="28"/>
      <c r="X595" s="28"/>
    </row>
    <row r="596" spans="3:24">
      <c r="C596" s="3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V596" s="28"/>
      <c r="W596" s="28"/>
      <c r="X596" s="28"/>
    </row>
    <row r="597" spans="3:24">
      <c r="C597" s="3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V597" s="28"/>
      <c r="W597" s="28"/>
      <c r="X597" s="28"/>
    </row>
    <row r="598" spans="3:24">
      <c r="C598" s="3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V598" s="28"/>
      <c r="W598" s="28"/>
      <c r="X598" s="28"/>
    </row>
    <row r="599" spans="3:24">
      <c r="C599" s="3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V599" s="28"/>
      <c r="W599" s="28"/>
      <c r="X599" s="28"/>
    </row>
    <row r="600" spans="3:24">
      <c r="C600" s="3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V600" s="28"/>
      <c r="W600" s="28"/>
      <c r="X600" s="28"/>
    </row>
    <row r="601" spans="3:24">
      <c r="C601" s="3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V601" s="28"/>
      <c r="W601" s="28"/>
      <c r="X601" s="28"/>
    </row>
    <row r="602" spans="3:24">
      <c r="C602" s="3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V602" s="28"/>
      <c r="W602" s="28"/>
      <c r="X602" s="28"/>
    </row>
    <row r="603" spans="3:24">
      <c r="C603" s="3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V603" s="28"/>
      <c r="W603" s="28"/>
      <c r="X603" s="28"/>
    </row>
    <row r="604" spans="3:24">
      <c r="C604" s="3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V604" s="28"/>
      <c r="W604" s="28"/>
      <c r="X604" s="28"/>
    </row>
    <row r="605" spans="3:24">
      <c r="C605" s="3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V605" s="28"/>
      <c r="W605" s="28"/>
      <c r="X605" s="28"/>
    </row>
    <row r="606" spans="3:24">
      <c r="C606" s="3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V606" s="28"/>
      <c r="W606" s="28"/>
      <c r="X606" s="28"/>
    </row>
    <row r="607" spans="3:24">
      <c r="C607" s="3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V607" s="28"/>
      <c r="W607" s="28"/>
      <c r="X607" s="28"/>
    </row>
    <row r="608" spans="3:24">
      <c r="C608" s="3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V608" s="28"/>
      <c r="W608" s="28"/>
      <c r="X608" s="28"/>
    </row>
    <row r="609" spans="3:24">
      <c r="C609" s="3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V609" s="28"/>
      <c r="W609" s="28"/>
      <c r="X609" s="28"/>
    </row>
    <row r="610" spans="3:24">
      <c r="C610" s="3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V610" s="28"/>
      <c r="W610" s="28"/>
      <c r="X610" s="28"/>
    </row>
    <row r="611" spans="3:24">
      <c r="C611" s="3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V611" s="28"/>
      <c r="W611" s="28"/>
      <c r="X611" s="28"/>
    </row>
    <row r="612" spans="3:24">
      <c r="C612" s="3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V612" s="28"/>
      <c r="W612" s="28"/>
      <c r="X612" s="28"/>
    </row>
    <row r="613" spans="3:24">
      <c r="C613" s="3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V613" s="28"/>
      <c r="W613" s="28"/>
      <c r="X613" s="28"/>
    </row>
    <row r="614" spans="3:24">
      <c r="C614" s="3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V614" s="28"/>
      <c r="W614" s="28"/>
      <c r="X614" s="28"/>
    </row>
    <row r="615" spans="3:24">
      <c r="C615" s="3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V615" s="28"/>
      <c r="W615" s="28"/>
      <c r="X615" s="28"/>
    </row>
    <row r="616" spans="3:24">
      <c r="C616" s="3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V616" s="28"/>
      <c r="W616" s="28"/>
      <c r="X616" s="28"/>
    </row>
    <row r="617" spans="3:24">
      <c r="C617" s="3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V617" s="28"/>
      <c r="W617" s="28"/>
      <c r="X617" s="28"/>
    </row>
    <row r="618" spans="3:24">
      <c r="C618" s="3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V618" s="28"/>
      <c r="W618" s="28"/>
      <c r="X618" s="28"/>
    </row>
    <row r="619" spans="3:24">
      <c r="C619" s="3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V619" s="28"/>
      <c r="W619" s="28"/>
      <c r="X619" s="28"/>
    </row>
    <row r="620" spans="3:24">
      <c r="C620" s="3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V620" s="28"/>
      <c r="W620" s="28"/>
      <c r="X620" s="28"/>
    </row>
    <row r="621" spans="3:24">
      <c r="C621" s="3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V621" s="28"/>
      <c r="W621" s="28"/>
      <c r="X621" s="28"/>
    </row>
    <row r="622" spans="3:24">
      <c r="C622" s="3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V622" s="28"/>
      <c r="W622" s="28"/>
      <c r="X622" s="28"/>
    </row>
    <row r="623" spans="3:24">
      <c r="C623" s="3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V623" s="28"/>
      <c r="W623" s="28"/>
      <c r="X623" s="28"/>
    </row>
    <row r="624" spans="3:24">
      <c r="C624" s="3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V624" s="28"/>
      <c r="W624" s="28"/>
      <c r="X624" s="28"/>
    </row>
    <row r="625" spans="3:24">
      <c r="C625" s="3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V625" s="28"/>
      <c r="W625" s="28"/>
      <c r="X625" s="28"/>
    </row>
    <row r="626" spans="3:24">
      <c r="C626" s="3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V626" s="28"/>
      <c r="W626" s="28"/>
      <c r="X626" s="28"/>
    </row>
    <row r="627" spans="3:24">
      <c r="C627" s="3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V627" s="28"/>
      <c r="W627" s="28"/>
      <c r="X627" s="28"/>
    </row>
    <row r="628" spans="3:24">
      <c r="C628" s="3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V628" s="28"/>
      <c r="W628" s="28"/>
      <c r="X628" s="28"/>
    </row>
    <row r="629" spans="3:24">
      <c r="C629" s="3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V629" s="28"/>
      <c r="W629" s="28"/>
      <c r="X629" s="28"/>
    </row>
    <row r="630" spans="3:24">
      <c r="C630" s="3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V630" s="28"/>
      <c r="W630" s="28"/>
      <c r="X630" s="28"/>
    </row>
    <row r="631" spans="3:24">
      <c r="C631" s="3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V631" s="28"/>
      <c r="W631" s="28"/>
      <c r="X631" s="28"/>
    </row>
    <row r="632" spans="3:24">
      <c r="C632" s="3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V632" s="28"/>
      <c r="W632" s="28"/>
      <c r="X632" s="28"/>
    </row>
    <row r="633" spans="3:24">
      <c r="C633" s="3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V633" s="28"/>
      <c r="W633" s="28"/>
      <c r="X633" s="28"/>
    </row>
    <row r="634" spans="3:24">
      <c r="C634" s="3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V634" s="28"/>
      <c r="W634" s="28"/>
      <c r="X634" s="28"/>
    </row>
    <row r="635" spans="3:24">
      <c r="C635" s="3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V635" s="28"/>
      <c r="W635" s="28"/>
      <c r="X635" s="28"/>
    </row>
    <row r="636" spans="3:24">
      <c r="C636" s="3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V636" s="28"/>
      <c r="W636" s="28"/>
      <c r="X636" s="28"/>
    </row>
    <row r="637" spans="3:24">
      <c r="C637" s="3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V637" s="28"/>
      <c r="W637" s="28"/>
      <c r="X637" s="28"/>
    </row>
    <row r="638" spans="3:24">
      <c r="C638" s="3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V638" s="28"/>
      <c r="W638" s="28"/>
      <c r="X638" s="28"/>
    </row>
    <row r="639" spans="3:24">
      <c r="C639" s="3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V639" s="28"/>
      <c r="W639" s="28"/>
      <c r="X639" s="28"/>
    </row>
    <row r="640" spans="3:24">
      <c r="C640" s="3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V640" s="28"/>
      <c r="W640" s="28"/>
      <c r="X640" s="28"/>
    </row>
    <row r="641" spans="3:24">
      <c r="C641" s="3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V641" s="28"/>
      <c r="W641" s="28"/>
      <c r="X641" s="28"/>
    </row>
    <row r="642" spans="3:24">
      <c r="C642" s="3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V642" s="28"/>
      <c r="W642" s="28"/>
      <c r="X642" s="28"/>
    </row>
    <row r="643" spans="3:24">
      <c r="C643" s="3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V643" s="28"/>
      <c r="W643" s="28"/>
      <c r="X643" s="28"/>
    </row>
    <row r="644" spans="3:24">
      <c r="C644" s="3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V644" s="28"/>
      <c r="W644" s="28"/>
      <c r="X644" s="28"/>
    </row>
    <row r="645" spans="3:24">
      <c r="C645" s="3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V645" s="28"/>
      <c r="W645" s="28"/>
      <c r="X645" s="28"/>
    </row>
    <row r="646" spans="3:24">
      <c r="C646" s="3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V646" s="28"/>
      <c r="W646" s="28"/>
      <c r="X646" s="28"/>
    </row>
    <row r="647" spans="3:24">
      <c r="C647" s="3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V647" s="28"/>
      <c r="W647" s="28"/>
      <c r="X647" s="28"/>
    </row>
    <row r="648" spans="3:24">
      <c r="C648" s="3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V648" s="28"/>
      <c r="W648" s="28"/>
      <c r="X648" s="28"/>
    </row>
    <row r="649" spans="3:24">
      <c r="C649" s="3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V649" s="28"/>
      <c r="W649" s="28"/>
      <c r="X649" s="28"/>
    </row>
    <row r="650" spans="3:24">
      <c r="C650" s="3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V650" s="28"/>
      <c r="W650" s="28"/>
      <c r="X650" s="28"/>
    </row>
    <row r="651" spans="3:24">
      <c r="C651" s="3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V651" s="28"/>
      <c r="W651" s="28"/>
      <c r="X651" s="28"/>
    </row>
    <row r="652" spans="3:24">
      <c r="C652" s="3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V652" s="28"/>
      <c r="W652" s="28"/>
      <c r="X652" s="28"/>
    </row>
    <row r="653" spans="3:24">
      <c r="C653" s="3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V653" s="28"/>
      <c r="W653" s="28"/>
      <c r="X653" s="28"/>
    </row>
    <row r="654" spans="3:24">
      <c r="C654" s="3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V654" s="28"/>
      <c r="W654" s="28"/>
      <c r="X654" s="28"/>
    </row>
    <row r="655" spans="3:24">
      <c r="C655" s="3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V655" s="28"/>
      <c r="W655" s="28"/>
      <c r="X655" s="28"/>
    </row>
    <row r="656" spans="3:24">
      <c r="C656" s="3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V656" s="28"/>
      <c r="W656" s="28"/>
      <c r="X656" s="28"/>
    </row>
    <row r="657" spans="3:24">
      <c r="C657" s="3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V657" s="28"/>
      <c r="W657" s="28"/>
      <c r="X657" s="28"/>
    </row>
    <row r="658" spans="3:24">
      <c r="C658" s="3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V658" s="28"/>
      <c r="W658" s="28"/>
      <c r="X658" s="28"/>
    </row>
    <row r="659" spans="3:24">
      <c r="C659" s="3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V659" s="28"/>
      <c r="W659" s="28"/>
      <c r="X659" s="28"/>
    </row>
    <row r="660" spans="3:24">
      <c r="C660" s="3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V660" s="28"/>
      <c r="W660" s="28"/>
      <c r="X660" s="28"/>
    </row>
    <row r="661" spans="3:24">
      <c r="C661" s="3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V661" s="28"/>
      <c r="W661" s="28"/>
      <c r="X661" s="28"/>
    </row>
    <row r="662" spans="3:24">
      <c r="C662" s="3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V662" s="28"/>
      <c r="W662" s="28"/>
      <c r="X662" s="28"/>
    </row>
    <row r="663" spans="3:24">
      <c r="C663" s="3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V663" s="28"/>
      <c r="W663" s="28"/>
      <c r="X663" s="28"/>
    </row>
    <row r="664" spans="3:24">
      <c r="C664" s="3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V664" s="28"/>
      <c r="W664" s="28"/>
      <c r="X664" s="28"/>
    </row>
    <row r="665" spans="3:24">
      <c r="C665" s="3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V665" s="28"/>
      <c r="W665" s="28"/>
      <c r="X665" s="28"/>
    </row>
    <row r="666" spans="3:24">
      <c r="C666" s="3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V666" s="28"/>
      <c r="W666" s="28"/>
      <c r="X666" s="28"/>
    </row>
    <row r="667" spans="3:24">
      <c r="C667" s="3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V667" s="28"/>
      <c r="W667" s="28"/>
      <c r="X667" s="28"/>
    </row>
    <row r="668" spans="3:24">
      <c r="C668" s="3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V668" s="28"/>
      <c r="W668" s="28"/>
      <c r="X668" s="28"/>
    </row>
    <row r="669" spans="3:24">
      <c r="C669" s="3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V669" s="28"/>
      <c r="W669" s="28"/>
      <c r="X669" s="28"/>
    </row>
    <row r="670" spans="3:24">
      <c r="C670" s="3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V670" s="28"/>
      <c r="W670" s="28"/>
      <c r="X670" s="28"/>
    </row>
    <row r="671" spans="3:24">
      <c r="C671" s="3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V671" s="28"/>
      <c r="W671" s="28"/>
      <c r="X671" s="28"/>
    </row>
    <row r="672" spans="3:24">
      <c r="C672" s="3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V672" s="28"/>
      <c r="W672" s="28"/>
      <c r="X672" s="28"/>
    </row>
    <row r="673" spans="3:24">
      <c r="C673" s="3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V673" s="28"/>
      <c r="W673" s="28"/>
      <c r="X673" s="28"/>
    </row>
    <row r="674" spans="3:24">
      <c r="C674" s="3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V674" s="28"/>
      <c r="W674" s="28"/>
      <c r="X674" s="28"/>
    </row>
    <row r="675" spans="3:24">
      <c r="C675" s="3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V675" s="28"/>
      <c r="W675" s="28"/>
      <c r="X675" s="28"/>
    </row>
    <row r="676" spans="3:24">
      <c r="C676" s="3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V676" s="28"/>
      <c r="W676" s="28"/>
      <c r="X676" s="28"/>
    </row>
    <row r="677" spans="3:24">
      <c r="C677" s="3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V677" s="28"/>
      <c r="W677" s="28"/>
      <c r="X677" s="28"/>
    </row>
    <row r="678" spans="3:24">
      <c r="C678" s="3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V678" s="28"/>
      <c r="W678" s="28"/>
      <c r="X678" s="28"/>
    </row>
    <row r="679" spans="3:24">
      <c r="C679" s="3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V679" s="28"/>
      <c r="W679" s="28"/>
      <c r="X679" s="28"/>
    </row>
    <row r="680" spans="3:24">
      <c r="C680" s="3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V680" s="28"/>
      <c r="W680" s="28"/>
      <c r="X680" s="28"/>
    </row>
    <row r="681" spans="3:24">
      <c r="C681" s="3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V681" s="28"/>
      <c r="W681" s="28"/>
      <c r="X681" s="28"/>
    </row>
    <row r="682" spans="3:24">
      <c r="C682" s="3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V682" s="28"/>
      <c r="W682" s="28"/>
      <c r="X682" s="28"/>
    </row>
    <row r="683" spans="3:24">
      <c r="C683" s="3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V683" s="28"/>
      <c r="W683" s="28"/>
      <c r="X683" s="28"/>
    </row>
    <row r="684" spans="3:24">
      <c r="C684" s="3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V684" s="28"/>
      <c r="W684" s="28"/>
      <c r="X684" s="28"/>
    </row>
    <row r="685" spans="3:24">
      <c r="C685" s="3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V685" s="28"/>
      <c r="W685" s="28"/>
      <c r="X685" s="28"/>
    </row>
    <row r="686" spans="3:24">
      <c r="C686" s="3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V686" s="28"/>
      <c r="W686" s="28"/>
      <c r="X686" s="28"/>
    </row>
    <row r="687" spans="3:24">
      <c r="C687" s="3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V687" s="28"/>
      <c r="W687" s="28"/>
      <c r="X687" s="28"/>
    </row>
    <row r="688" spans="3:24">
      <c r="C688" s="3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V688" s="28"/>
      <c r="W688" s="28"/>
      <c r="X688" s="28"/>
    </row>
    <row r="689" spans="3:24">
      <c r="C689" s="3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V689" s="28"/>
      <c r="W689" s="28"/>
      <c r="X689" s="28"/>
    </row>
    <row r="690" spans="3:24">
      <c r="C690" s="3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V690" s="28"/>
      <c r="W690" s="28"/>
      <c r="X690" s="28"/>
    </row>
    <row r="691" spans="3:24">
      <c r="C691" s="3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V691" s="28"/>
      <c r="W691" s="28"/>
      <c r="X691" s="28"/>
    </row>
    <row r="692" spans="3:24">
      <c r="C692" s="3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V692" s="28"/>
      <c r="W692" s="28"/>
      <c r="X692" s="28"/>
    </row>
    <row r="693" spans="3:24">
      <c r="C693" s="3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V693" s="28"/>
      <c r="W693" s="28"/>
      <c r="X693" s="28"/>
    </row>
    <row r="694" spans="3:24">
      <c r="C694" s="3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V694" s="28"/>
      <c r="W694" s="28"/>
      <c r="X694" s="28"/>
    </row>
    <row r="695" spans="3:24">
      <c r="C695" s="3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V695" s="28"/>
      <c r="W695" s="28"/>
      <c r="X695" s="28"/>
    </row>
    <row r="696" spans="3:24">
      <c r="C696" s="3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V696" s="28"/>
      <c r="W696" s="28"/>
      <c r="X696" s="28"/>
    </row>
    <row r="697" spans="3:24">
      <c r="C697" s="3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V697" s="28"/>
      <c r="W697" s="28"/>
      <c r="X697" s="28"/>
    </row>
    <row r="698" spans="3:24">
      <c r="C698" s="3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V698" s="28"/>
      <c r="W698" s="28"/>
      <c r="X698" s="28"/>
    </row>
    <row r="699" spans="3:24">
      <c r="C699" s="3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V699" s="28"/>
      <c r="W699" s="28"/>
      <c r="X699" s="28"/>
    </row>
    <row r="700" spans="3:24">
      <c r="C700" s="3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V700" s="28"/>
      <c r="W700" s="28"/>
      <c r="X700" s="28"/>
    </row>
    <row r="701" spans="3:24">
      <c r="C701" s="3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V701" s="28"/>
      <c r="W701" s="28"/>
      <c r="X701" s="28"/>
    </row>
    <row r="702" spans="3:24">
      <c r="C702" s="3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V702" s="28"/>
      <c r="W702" s="28"/>
      <c r="X702" s="28"/>
    </row>
    <row r="703" spans="3:24">
      <c r="C703" s="3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V703" s="28"/>
      <c r="W703" s="28"/>
      <c r="X703" s="28"/>
    </row>
    <row r="704" spans="3:24">
      <c r="C704" s="3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V704" s="28"/>
      <c r="W704" s="28"/>
      <c r="X704" s="28"/>
    </row>
    <row r="705" spans="3:24">
      <c r="C705" s="3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V705" s="28"/>
      <c r="W705" s="28"/>
      <c r="X705" s="28"/>
    </row>
    <row r="706" spans="3:24">
      <c r="C706" s="3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V706" s="28"/>
      <c r="W706" s="28"/>
      <c r="X706" s="28"/>
    </row>
    <row r="707" spans="3:24">
      <c r="C707" s="3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V707" s="28"/>
      <c r="W707" s="28"/>
      <c r="X707" s="28"/>
    </row>
    <row r="708" spans="3:24">
      <c r="C708" s="3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V708" s="28"/>
      <c r="W708" s="28"/>
      <c r="X708" s="28"/>
    </row>
    <row r="709" spans="3:24">
      <c r="C709" s="3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V709" s="28"/>
      <c r="W709" s="28"/>
      <c r="X709" s="28"/>
    </row>
    <row r="710" spans="3:24">
      <c r="C710" s="3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V710" s="28"/>
      <c r="W710" s="28"/>
      <c r="X710" s="28"/>
    </row>
    <row r="711" spans="3:24">
      <c r="C711" s="3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V711" s="28"/>
      <c r="W711" s="28"/>
      <c r="X711" s="28"/>
    </row>
    <row r="712" spans="3:24">
      <c r="C712" s="3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V712" s="28"/>
      <c r="W712" s="28"/>
      <c r="X712" s="28"/>
    </row>
    <row r="713" spans="3:24">
      <c r="C713" s="3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V713" s="28"/>
      <c r="W713" s="28"/>
      <c r="X713" s="28"/>
    </row>
    <row r="714" spans="3:24">
      <c r="C714" s="3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V714" s="28"/>
      <c r="W714" s="28"/>
      <c r="X714" s="28"/>
    </row>
    <row r="715" spans="3:24">
      <c r="C715" s="3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V715" s="28"/>
      <c r="W715" s="28"/>
      <c r="X715" s="28"/>
    </row>
    <row r="716" spans="3:24">
      <c r="C716" s="3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V716" s="28"/>
      <c r="W716" s="28"/>
      <c r="X716" s="28"/>
    </row>
    <row r="717" spans="3:24">
      <c r="C717" s="3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V717" s="28"/>
      <c r="W717" s="28"/>
      <c r="X717" s="28"/>
    </row>
    <row r="718" spans="3:24">
      <c r="C718" s="3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V718" s="28"/>
      <c r="W718" s="28"/>
      <c r="X718" s="28"/>
    </row>
    <row r="719" spans="3:24">
      <c r="C719" s="3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V719" s="28"/>
      <c r="W719" s="28"/>
      <c r="X719" s="28"/>
    </row>
    <row r="720" spans="3:24">
      <c r="C720" s="3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V720" s="28"/>
      <c r="W720" s="28"/>
      <c r="X720" s="28"/>
    </row>
    <row r="721" spans="3:24">
      <c r="C721" s="3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V721" s="28"/>
      <c r="W721" s="28"/>
      <c r="X721" s="28"/>
    </row>
    <row r="722" spans="3:24">
      <c r="C722" s="3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V722" s="28"/>
      <c r="W722" s="28"/>
      <c r="X722" s="28"/>
    </row>
    <row r="723" spans="3:24">
      <c r="C723" s="3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V723" s="28"/>
      <c r="W723" s="28"/>
      <c r="X723" s="28"/>
    </row>
    <row r="724" spans="3:24">
      <c r="C724" s="3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V724" s="28"/>
      <c r="W724" s="28"/>
      <c r="X724" s="28"/>
    </row>
    <row r="725" spans="3:24">
      <c r="C725" s="3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V725" s="28"/>
      <c r="W725" s="28"/>
      <c r="X725" s="28"/>
    </row>
    <row r="726" spans="3:24">
      <c r="C726" s="3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V726" s="28"/>
      <c r="W726" s="28"/>
      <c r="X726" s="28"/>
    </row>
    <row r="727" spans="3:24">
      <c r="C727" s="3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V727" s="28"/>
      <c r="W727" s="28"/>
      <c r="X727" s="28"/>
    </row>
    <row r="728" spans="3:24">
      <c r="C728" s="3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V728" s="28"/>
      <c r="W728" s="28"/>
      <c r="X728" s="28"/>
    </row>
    <row r="729" spans="3:24">
      <c r="C729" s="3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V729" s="28"/>
      <c r="W729" s="28"/>
      <c r="X729" s="28"/>
    </row>
    <row r="730" spans="3:24">
      <c r="C730" s="3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V730" s="28"/>
      <c r="W730" s="28"/>
      <c r="X730" s="28"/>
    </row>
    <row r="731" spans="3:24">
      <c r="C731" s="3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V731" s="28"/>
      <c r="W731" s="28"/>
      <c r="X731" s="28"/>
    </row>
    <row r="732" spans="3:24">
      <c r="C732" s="3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V732" s="28"/>
      <c r="W732" s="28"/>
      <c r="X732" s="28"/>
    </row>
    <row r="733" spans="3:24">
      <c r="C733" s="3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V733" s="28"/>
      <c r="W733" s="28"/>
      <c r="X733" s="28"/>
    </row>
    <row r="734" spans="3:24">
      <c r="C734" s="3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V734" s="28"/>
      <c r="W734" s="28"/>
      <c r="X734" s="28"/>
    </row>
    <row r="735" spans="3:24">
      <c r="C735" s="3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V735" s="28"/>
      <c r="W735" s="28"/>
      <c r="X735" s="28"/>
    </row>
    <row r="736" spans="3:24">
      <c r="C736" s="3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V736" s="28"/>
      <c r="W736" s="28"/>
      <c r="X736" s="28"/>
    </row>
    <row r="737" spans="3:24">
      <c r="C737" s="3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V737" s="28"/>
      <c r="W737" s="28"/>
      <c r="X737" s="28"/>
    </row>
    <row r="738" spans="3:24">
      <c r="C738" s="3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V738" s="28"/>
      <c r="W738" s="28"/>
      <c r="X738" s="28"/>
    </row>
    <row r="739" spans="3:24">
      <c r="C739" s="3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V739" s="28"/>
      <c r="W739" s="28"/>
      <c r="X739" s="28"/>
    </row>
    <row r="740" spans="3:24">
      <c r="C740" s="3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V740" s="28"/>
      <c r="W740" s="28"/>
      <c r="X740" s="28"/>
    </row>
    <row r="741" spans="3:24">
      <c r="C741" s="3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V741" s="28"/>
      <c r="W741" s="28"/>
      <c r="X741" s="28"/>
    </row>
    <row r="742" spans="3:24">
      <c r="C742" s="3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V742" s="28"/>
      <c r="W742" s="28"/>
      <c r="X742" s="28"/>
    </row>
    <row r="743" spans="3:24">
      <c r="C743" s="3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V743" s="28"/>
      <c r="W743" s="28"/>
      <c r="X743" s="28"/>
    </row>
    <row r="744" spans="3:24">
      <c r="C744" s="3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V744" s="28"/>
      <c r="W744" s="28"/>
      <c r="X744" s="28"/>
    </row>
    <row r="745" spans="3:24">
      <c r="C745" s="3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V745" s="28"/>
      <c r="W745" s="28"/>
      <c r="X745" s="28"/>
    </row>
    <row r="746" spans="3:24">
      <c r="C746" s="3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V746" s="28"/>
      <c r="W746" s="28"/>
      <c r="X746" s="28"/>
    </row>
    <row r="747" spans="3:24">
      <c r="C747" s="3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V747" s="28"/>
      <c r="W747" s="28"/>
      <c r="X747" s="28"/>
    </row>
    <row r="748" spans="3:24">
      <c r="C748" s="3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V748" s="28"/>
      <c r="W748" s="28"/>
      <c r="X748" s="28"/>
    </row>
    <row r="749" spans="3:24">
      <c r="C749" s="3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V749" s="28"/>
      <c r="W749" s="28"/>
      <c r="X749" s="28"/>
    </row>
    <row r="750" spans="3:24">
      <c r="C750" s="3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V750" s="28"/>
      <c r="W750" s="28"/>
      <c r="X750" s="28"/>
    </row>
    <row r="751" spans="3:24">
      <c r="C751" s="3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V751" s="28"/>
      <c r="W751" s="28"/>
      <c r="X751" s="28"/>
    </row>
    <row r="752" spans="3:24">
      <c r="C752" s="3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V752" s="28"/>
      <c r="W752" s="28"/>
      <c r="X752" s="28"/>
    </row>
    <row r="753" spans="3:24">
      <c r="C753" s="3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V753" s="28"/>
      <c r="W753" s="28"/>
      <c r="X753" s="28"/>
    </row>
    <row r="754" spans="3:24">
      <c r="C754" s="3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V754" s="28"/>
      <c r="W754" s="28"/>
      <c r="X754" s="28"/>
    </row>
    <row r="755" spans="3:24">
      <c r="C755" s="3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V755" s="28"/>
      <c r="W755" s="28"/>
      <c r="X755" s="28"/>
    </row>
    <row r="756" spans="3:24">
      <c r="C756" s="3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V756" s="28"/>
      <c r="W756" s="28"/>
      <c r="X756" s="28"/>
    </row>
    <row r="757" spans="3:24">
      <c r="C757" s="3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V757" s="28"/>
      <c r="W757" s="28"/>
      <c r="X757" s="28"/>
    </row>
    <row r="758" spans="3:24">
      <c r="C758" s="3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V758" s="28"/>
      <c r="W758" s="28"/>
      <c r="X758" s="28"/>
    </row>
    <row r="759" spans="3:24">
      <c r="C759" s="3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V759" s="28"/>
      <c r="W759" s="28"/>
      <c r="X759" s="28"/>
    </row>
    <row r="760" spans="3:24">
      <c r="C760" s="3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V760" s="28"/>
      <c r="W760" s="28"/>
      <c r="X760" s="28"/>
    </row>
    <row r="761" spans="3:24">
      <c r="C761" s="3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V761" s="28"/>
      <c r="W761" s="28"/>
      <c r="X761" s="28"/>
    </row>
    <row r="762" spans="3:24">
      <c r="C762" s="3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V762" s="28"/>
      <c r="W762" s="28"/>
      <c r="X762" s="28"/>
    </row>
    <row r="763" spans="3:24">
      <c r="C763" s="3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V763" s="28"/>
      <c r="W763" s="28"/>
      <c r="X763" s="28"/>
    </row>
    <row r="764" spans="3:24">
      <c r="C764" s="3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V764" s="28"/>
      <c r="W764" s="28"/>
      <c r="X764" s="28"/>
    </row>
    <row r="765" spans="3:24">
      <c r="C765" s="3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V765" s="28"/>
      <c r="W765" s="28"/>
      <c r="X765" s="28"/>
    </row>
    <row r="766" spans="3:24">
      <c r="C766" s="3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V766" s="28"/>
      <c r="W766" s="28"/>
      <c r="X766" s="28"/>
    </row>
    <row r="767" spans="3:24">
      <c r="C767" s="3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V767" s="28"/>
      <c r="W767" s="28"/>
      <c r="X767" s="28"/>
    </row>
    <row r="768" spans="3:24">
      <c r="C768" s="3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V768" s="28"/>
      <c r="W768" s="28"/>
      <c r="X768" s="28"/>
    </row>
    <row r="769" spans="3:24">
      <c r="C769" s="3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V769" s="28"/>
      <c r="W769" s="28"/>
      <c r="X769" s="28"/>
    </row>
    <row r="770" spans="3:24">
      <c r="C770" s="3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V770" s="28"/>
      <c r="W770" s="28"/>
      <c r="X770" s="28"/>
    </row>
    <row r="771" spans="3:24">
      <c r="C771" s="3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V771" s="28"/>
      <c r="W771" s="28"/>
      <c r="X771" s="28"/>
    </row>
    <row r="772" spans="3:24">
      <c r="C772" s="3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V772" s="28"/>
      <c r="W772" s="28"/>
      <c r="X772" s="28"/>
    </row>
    <row r="773" spans="3:24">
      <c r="C773" s="3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V773" s="28"/>
      <c r="W773" s="28"/>
      <c r="X773" s="28"/>
    </row>
    <row r="774" spans="3:24">
      <c r="C774" s="3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V774" s="28"/>
      <c r="W774" s="28"/>
      <c r="X774" s="28"/>
    </row>
    <row r="775" spans="3:24">
      <c r="C775" s="3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V775" s="28"/>
      <c r="W775" s="28"/>
      <c r="X775" s="28"/>
    </row>
    <row r="776" spans="3:24">
      <c r="C776" s="3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V776" s="28"/>
      <c r="W776" s="28"/>
      <c r="X776" s="28"/>
    </row>
    <row r="777" spans="3:24">
      <c r="C777" s="3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V777" s="28"/>
      <c r="W777" s="28"/>
      <c r="X777" s="28"/>
    </row>
    <row r="778" spans="3:24">
      <c r="C778" s="3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V778" s="28"/>
      <c r="W778" s="28"/>
      <c r="X778" s="28"/>
    </row>
    <row r="779" spans="3:24">
      <c r="C779" s="3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V779" s="28"/>
      <c r="W779" s="28"/>
      <c r="X779" s="28"/>
    </row>
    <row r="780" spans="3:24">
      <c r="C780" s="3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V780" s="28"/>
      <c r="W780" s="28"/>
      <c r="X780" s="28"/>
    </row>
    <row r="781" spans="3:24">
      <c r="C781" s="3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V781" s="28"/>
      <c r="W781" s="28"/>
      <c r="X781" s="28"/>
    </row>
    <row r="782" spans="3:24">
      <c r="C782" s="3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V782" s="28"/>
      <c r="W782" s="28"/>
      <c r="X782" s="28"/>
    </row>
    <row r="783" spans="3:24">
      <c r="C783" s="3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V783" s="28"/>
      <c r="W783" s="28"/>
      <c r="X783" s="28"/>
    </row>
    <row r="784" spans="3:24">
      <c r="C784" s="3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V784" s="28"/>
      <c r="W784" s="28"/>
      <c r="X784" s="28"/>
    </row>
    <row r="785" spans="3:24">
      <c r="C785" s="3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V785" s="28"/>
      <c r="W785" s="28"/>
      <c r="X785" s="28"/>
    </row>
    <row r="786" spans="3:24">
      <c r="C786" s="3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V786" s="28"/>
      <c r="W786" s="28"/>
      <c r="X786" s="28"/>
    </row>
    <row r="787" spans="3:24">
      <c r="C787" s="3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V787" s="28"/>
      <c r="W787" s="28"/>
      <c r="X787" s="28"/>
    </row>
    <row r="788" spans="3:24">
      <c r="C788" s="3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V788" s="28"/>
      <c r="W788" s="28"/>
      <c r="X788" s="28"/>
    </row>
    <row r="789" spans="3:24">
      <c r="C789" s="3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V789" s="28"/>
      <c r="W789" s="28"/>
      <c r="X789" s="28"/>
    </row>
    <row r="790" spans="3:24">
      <c r="C790" s="3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V790" s="28"/>
      <c r="W790" s="28"/>
      <c r="X790" s="28"/>
    </row>
    <row r="791" spans="3:24">
      <c r="C791" s="3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V791" s="28"/>
      <c r="W791" s="28"/>
      <c r="X791" s="28"/>
    </row>
    <row r="792" spans="3:24">
      <c r="C792" s="3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V792" s="28"/>
      <c r="W792" s="28"/>
      <c r="X792" s="28"/>
    </row>
    <row r="793" spans="3:24">
      <c r="C793" s="3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V793" s="28"/>
      <c r="W793" s="28"/>
      <c r="X793" s="28"/>
    </row>
    <row r="794" spans="3:24">
      <c r="C794" s="3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V794" s="28"/>
      <c r="W794" s="28"/>
      <c r="X794" s="28"/>
    </row>
    <row r="795" spans="3:24">
      <c r="C795" s="3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V795" s="28"/>
      <c r="W795" s="28"/>
      <c r="X795" s="28"/>
    </row>
    <row r="796" spans="3:24">
      <c r="C796" s="3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V796" s="28"/>
      <c r="W796" s="28"/>
      <c r="X796" s="28"/>
    </row>
    <row r="797" spans="3:24">
      <c r="C797" s="3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V797" s="28"/>
      <c r="W797" s="28"/>
      <c r="X797" s="28"/>
    </row>
    <row r="798" spans="3:24">
      <c r="C798" s="3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V798" s="28"/>
      <c r="W798" s="28"/>
      <c r="X798" s="28"/>
    </row>
    <row r="799" spans="3:24">
      <c r="C799" s="3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V799" s="28"/>
      <c r="W799" s="28"/>
      <c r="X799" s="28"/>
    </row>
    <row r="800" spans="3:24">
      <c r="C800" s="3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V800" s="28"/>
      <c r="W800" s="28"/>
      <c r="X800" s="28"/>
    </row>
    <row r="801" spans="3:24">
      <c r="C801" s="3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V801" s="28"/>
      <c r="W801" s="28"/>
      <c r="X801" s="28"/>
    </row>
    <row r="802" spans="3:24">
      <c r="C802" s="3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V802" s="28"/>
      <c r="W802" s="28"/>
      <c r="X802" s="28"/>
    </row>
    <row r="803" spans="3:24">
      <c r="C803" s="3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V803" s="28"/>
      <c r="W803" s="28"/>
      <c r="X803" s="28"/>
    </row>
    <row r="804" spans="3:24">
      <c r="C804" s="3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V804" s="28"/>
      <c r="W804" s="28"/>
      <c r="X804" s="28"/>
    </row>
    <row r="805" spans="3:24">
      <c r="C805" s="3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V805" s="28"/>
      <c r="W805" s="28"/>
      <c r="X805" s="28"/>
    </row>
    <row r="806" spans="3:24">
      <c r="C806" s="3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V806" s="28"/>
      <c r="W806" s="28"/>
      <c r="X806" s="28"/>
    </row>
    <row r="807" spans="3:24">
      <c r="C807" s="3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V807" s="28"/>
      <c r="W807" s="28"/>
      <c r="X807" s="28"/>
    </row>
    <row r="808" spans="3:24">
      <c r="C808" s="3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V808" s="28"/>
      <c r="W808" s="28"/>
      <c r="X808" s="28"/>
    </row>
    <row r="809" spans="3:24">
      <c r="C809" s="3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V809" s="28"/>
      <c r="W809" s="28"/>
      <c r="X809" s="28"/>
    </row>
    <row r="810" spans="3:24">
      <c r="C810" s="3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V810" s="28"/>
      <c r="W810" s="28"/>
      <c r="X810" s="28"/>
    </row>
    <row r="811" spans="3:24">
      <c r="C811" s="3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V811" s="28"/>
      <c r="W811" s="28"/>
      <c r="X811" s="28"/>
    </row>
    <row r="812" spans="3:24">
      <c r="C812" s="3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V812" s="28"/>
      <c r="W812" s="28"/>
      <c r="X812" s="28"/>
    </row>
    <row r="813" spans="3:24">
      <c r="C813" s="3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V813" s="28"/>
      <c r="W813" s="28"/>
      <c r="X813" s="28"/>
    </row>
    <row r="814" spans="3:24">
      <c r="C814" s="3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V814" s="28"/>
      <c r="W814" s="28"/>
      <c r="X814" s="28"/>
    </row>
    <row r="815" spans="3:24">
      <c r="C815" s="3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V815" s="28"/>
      <c r="W815" s="28"/>
      <c r="X815" s="28"/>
    </row>
    <row r="816" spans="3:24">
      <c r="C816" s="3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V816" s="28"/>
      <c r="W816" s="28"/>
      <c r="X816" s="28"/>
    </row>
    <row r="817" spans="3:24">
      <c r="C817" s="3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V817" s="28"/>
      <c r="W817" s="28"/>
      <c r="X817" s="28"/>
    </row>
    <row r="818" spans="3:24">
      <c r="C818" s="3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V818" s="28"/>
      <c r="W818" s="28"/>
      <c r="X818" s="28"/>
    </row>
    <row r="819" spans="3:24">
      <c r="C819" s="3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V819" s="28"/>
      <c r="W819" s="28"/>
      <c r="X819" s="28"/>
    </row>
    <row r="820" spans="3:24">
      <c r="C820" s="3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V820" s="28"/>
      <c r="W820" s="28"/>
      <c r="X820" s="28"/>
    </row>
    <row r="821" spans="3:24">
      <c r="C821" s="3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V821" s="28"/>
      <c r="W821" s="28"/>
      <c r="X821" s="28"/>
    </row>
    <row r="822" spans="3:24">
      <c r="C822" s="3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V822" s="28"/>
      <c r="W822" s="28"/>
      <c r="X822" s="28"/>
    </row>
    <row r="823" spans="3:24">
      <c r="C823" s="3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V823" s="28"/>
      <c r="W823" s="28"/>
      <c r="X823" s="28"/>
    </row>
    <row r="824" spans="3:24">
      <c r="C824" s="3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V824" s="28"/>
      <c r="W824" s="28"/>
      <c r="X824" s="28"/>
    </row>
    <row r="825" spans="3:24">
      <c r="C825" s="3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V825" s="28"/>
      <c r="W825" s="28"/>
      <c r="X825" s="28"/>
    </row>
    <row r="826" spans="3:24">
      <c r="C826" s="3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V826" s="28"/>
      <c r="W826" s="28"/>
      <c r="X826" s="28"/>
    </row>
    <row r="827" spans="3:24">
      <c r="C827" s="3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V827" s="28"/>
      <c r="W827" s="28"/>
      <c r="X827" s="28"/>
    </row>
    <row r="828" spans="3:24">
      <c r="C828" s="3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V828" s="28"/>
      <c r="W828" s="28"/>
      <c r="X828" s="28"/>
    </row>
    <row r="829" spans="3:24">
      <c r="C829" s="3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V829" s="28"/>
      <c r="W829" s="28"/>
      <c r="X829" s="28"/>
    </row>
    <row r="830" spans="3:24">
      <c r="C830" s="3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V830" s="28"/>
      <c r="W830" s="28"/>
      <c r="X830" s="28"/>
    </row>
    <row r="831" spans="3:24">
      <c r="C831" s="3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V831" s="28"/>
      <c r="W831" s="28"/>
      <c r="X831" s="28"/>
    </row>
    <row r="832" spans="3:24">
      <c r="C832" s="3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V832" s="28"/>
      <c r="W832" s="28"/>
      <c r="X832" s="28"/>
    </row>
    <row r="833" spans="3:24">
      <c r="C833" s="3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V833" s="28"/>
      <c r="W833" s="28"/>
      <c r="X833" s="28"/>
    </row>
    <row r="834" spans="3:24">
      <c r="C834" s="3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V834" s="28"/>
      <c r="W834" s="28"/>
      <c r="X834" s="28"/>
    </row>
    <row r="835" spans="3:24">
      <c r="C835" s="3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V835" s="28"/>
      <c r="W835" s="28"/>
      <c r="X835" s="28"/>
    </row>
    <row r="836" spans="3:24">
      <c r="C836" s="3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V836" s="28"/>
      <c r="W836" s="28"/>
      <c r="X836" s="28"/>
    </row>
    <row r="837" spans="3:24">
      <c r="C837" s="3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V837" s="28"/>
      <c r="W837" s="28"/>
      <c r="X837" s="28"/>
    </row>
    <row r="838" spans="3:24">
      <c r="C838" s="3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V838" s="28"/>
      <c r="W838" s="28"/>
      <c r="X838" s="28"/>
    </row>
    <row r="839" spans="3:24">
      <c r="C839" s="3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V839" s="28"/>
      <c r="W839" s="28"/>
      <c r="X839" s="28"/>
    </row>
    <row r="840" spans="3:24">
      <c r="C840" s="3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V840" s="28"/>
      <c r="W840" s="28"/>
      <c r="X840" s="28"/>
    </row>
    <row r="841" spans="3:24">
      <c r="C841" s="3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V841" s="28"/>
      <c r="W841" s="28"/>
      <c r="X841" s="28"/>
    </row>
    <row r="842" spans="3:24">
      <c r="C842" s="3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V842" s="28"/>
      <c r="W842" s="28"/>
      <c r="X842" s="28"/>
    </row>
    <row r="843" spans="3:24">
      <c r="C843" s="3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V843" s="28"/>
      <c r="W843" s="28"/>
      <c r="X843" s="28"/>
    </row>
    <row r="844" spans="3:24">
      <c r="C844" s="3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V844" s="28"/>
      <c r="W844" s="28"/>
      <c r="X844" s="28"/>
    </row>
    <row r="845" spans="3:24">
      <c r="C845" s="3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V845" s="28"/>
      <c r="W845" s="28"/>
      <c r="X845" s="28"/>
    </row>
    <row r="846" spans="3:24">
      <c r="C846" s="3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V846" s="28"/>
      <c r="W846" s="28"/>
      <c r="X846" s="28"/>
    </row>
    <row r="847" spans="3:24">
      <c r="C847" s="3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V847" s="28"/>
      <c r="W847" s="28"/>
      <c r="X847" s="28"/>
    </row>
    <row r="848" spans="3:24">
      <c r="C848" s="3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V848" s="28"/>
      <c r="W848" s="28"/>
      <c r="X848" s="28"/>
    </row>
    <row r="849" spans="3:24">
      <c r="C849" s="3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V849" s="28"/>
      <c r="W849" s="28"/>
      <c r="X849" s="28"/>
    </row>
    <row r="850" spans="3:24">
      <c r="C850" s="3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V850" s="28"/>
      <c r="W850" s="28"/>
      <c r="X850" s="28"/>
    </row>
    <row r="851" spans="3:24">
      <c r="C851" s="3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V851" s="28"/>
      <c r="W851" s="28"/>
      <c r="X851" s="28"/>
    </row>
    <row r="852" spans="3:24">
      <c r="C852" s="3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V852" s="28"/>
      <c r="W852" s="28"/>
      <c r="X852" s="28"/>
    </row>
    <row r="853" spans="3:24">
      <c r="C853" s="3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V853" s="28"/>
      <c r="W853" s="28"/>
      <c r="X853" s="28"/>
    </row>
    <row r="854" spans="3:24">
      <c r="C854" s="3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V854" s="28"/>
      <c r="W854" s="28"/>
      <c r="X854" s="28"/>
    </row>
    <row r="855" spans="3:24">
      <c r="C855" s="3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V855" s="28"/>
      <c r="W855" s="28"/>
      <c r="X855" s="28"/>
    </row>
    <row r="856" spans="3:24">
      <c r="C856" s="3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V856" s="28"/>
      <c r="W856" s="28"/>
      <c r="X856" s="28"/>
    </row>
    <row r="857" spans="3:24">
      <c r="C857" s="3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V857" s="28"/>
      <c r="W857" s="28"/>
      <c r="X857" s="28"/>
    </row>
    <row r="858" spans="3:24">
      <c r="C858" s="3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V858" s="28"/>
      <c r="W858" s="28"/>
      <c r="X858" s="28"/>
    </row>
    <row r="859" spans="3:24">
      <c r="C859" s="3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V859" s="28"/>
      <c r="W859" s="28"/>
      <c r="X859" s="28"/>
    </row>
    <row r="860" spans="3:24">
      <c r="C860" s="3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V860" s="28"/>
      <c r="W860" s="28"/>
      <c r="X860" s="28"/>
    </row>
    <row r="861" spans="3:24">
      <c r="C861" s="3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V861" s="28"/>
      <c r="W861" s="28"/>
      <c r="X861" s="28"/>
    </row>
    <row r="862" spans="3:24">
      <c r="C862" s="3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V862" s="28"/>
      <c r="W862" s="28"/>
      <c r="X862" s="28"/>
    </row>
    <row r="863" spans="3:24">
      <c r="C863" s="3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V863" s="28"/>
      <c r="W863" s="28"/>
      <c r="X863" s="28"/>
    </row>
    <row r="864" spans="3:24">
      <c r="C864" s="3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V864" s="28"/>
      <c r="W864" s="28"/>
      <c r="X864" s="28"/>
    </row>
    <row r="865" spans="3:24">
      <c r="C865" s="3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V865" s="28"/>
      <c r="W865" s="28"/>
      <c r="X865" s="28"/>
    </row>
    <row r="866" spans="3:24">
      <c r="C866" s="3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V866" s="28"/>
      <c r="W866" s="28"/>
      <c r="X866" s="28"/>
    </row>
    <row r="867" spans="3:24">
      <c r="C867" s="3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V867" s="28"/>
      <c r="W867" s="28"/>
      <c r="X867" s="28"/>
    </row>
    <row r="868" spans="3:24">
      <c r="C868" s="3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V868" s="28"/>
      <c r="W868" s="28"/>
      <c r="X868" s="28"/>
    </row>
    <row r="869" spans="3:24">
      <c r="C869" s="3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V869" s="28"/>
      <c r="W869" s="28"/>
      <c r="X869" s="28"/>
    </row>
    <row r="870" spans="3:24">
      <c r="C870" s="3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V870" s="28"/>
      <c r="W870" s="28"/>
      <c r="X870" s="28"/>
    </row>
    <row r="871" spans="3:24">
      <c r="C871" s="3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V871" s="28"/>
      <c r="W871" s="28"/>
      <c r="X871" s="28"/>
    </row>
    <row r="872" spans="3:24">
      <c r="C872" s="3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V872" s="28"/>
      <c r="W872" s="28"/>
      <c r="X872" s="28"/>
    </row>
    <row r="873" spans="3:24">
      <c r="C873" s="3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V873" s="28"/>
      <c r="W873" s="28"/>
      <c r="X873" s="28"/>
    </row>
    <row r="874" spans="3:24">
      <c r="C874" s="3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V874" s="28"/>
      <c r="W874" s="28"/>
      <c r="X874" s="28"/>
    </row>
    <row r="875" spans="3:24">
      <c r="C875" s="3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V875" s="28"/>
      <c r="W875" s="28"/>
      <c r="X875" s="28"/>
    </row>
    <row r="876" spans="3:24">
      <c r="C876" s="3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V876" s="28"/>
      <c r="W876" s="28"/>
      <c r="X876" s="28"/>
    </row>
    <row r="877" spans="3:24">
      <c r="C877" s="3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V877" s="28"/>
      <c r="W877" s="28"/>
      <c r="X877" s="28"/>
    </row>
    <row r="878" spans="3:24">
      <c r="C878" s="3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V878" s="28"/>
      <c r="W878" s="28"/>
      <c r="X878" s="28"/>
    </row>
    <row r="879" spans="3:24">
      <c r="C879" s="3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V879" s="28"/>
      <c r="W879" s="28"/>
      <c r="X879" s="28"/>
    </row>
    <row r="880" spans="3:24">
      <c r="C880" s="3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V880" s="28"/>
      <c r="W880" s="28"/>
      <c r="X880" s="28"/>
    </row>
    <row r="881" spans="3:24">
      <c r="C881" s="3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V881" s="28"/>
      <c r="W881" s="28"/>
      <c r="X881" s="28"/>
    </row>
    <row r="882" spans="3:24">
      <c r="C882" s="3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V882" s="28"/>
      <c r="W882" s="28"/>
      <c r="X882" s="28"/>
    </row>
    <row r="883" spans="3:24">
      <c r="C883" s="3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V883" s="28"/>
      <c r="W883" s="28"/>
      <c r="X883" s="28"/>
    </row>
    <row r="884" spans="3:24">
      <c r="C884" s="3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V884" s="28"/>
      <c r="W884" s="28"/>
      <c r="X884" s="28"/>
    </row>
    <row r="885" spans="3:24">
      <c r="C885" s="3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V885" s="28"/>
      <c r="W885" s="28"/>
      <c r="X885" s="28"/>
    </row>
    <row r="886" spans="3:24">
      <c r="C886" s="3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V886" s="28"/>
      <c r="W886" s="28"/>
      <c r="X886" s="28"/>
    </row>
    <row r="887" spans="3:24">
      <c r="C887" s="3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V887" s="28"/>
      <c r="W887" s="28"/>
      <c r="X887" s="28"/>
    </row>
    <row r="888" spans="3:24">
      <c r="C888" s="3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V888" s="28"/>
      <c r="W888" s="28"/>
      <c r="X888" s="28"/>
    </row>
    <row r="889" spans="3:24">
      <c r="C889" s="3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V889" s="28"/>
      <c r="W889" s="28"/>
      <c r="X889" s="28"/>
    </row>
    <row r="890" spans="3:24">
      <c r="C890" s="3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V890" s="28"/>
      <c r="W890" s="28"/>
      <c r="X890" s="28"/>
    </row>
    <row r="891" spans="3:24">
      <c r="C891" s="3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V891" s="28"/>
      <c r="W891" s="28"/>
      <c r="X891" s="28"/>
    </row>
    <row r="892" spans="3:24">
      <c r="C892" s="3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V892" s="28"/>
      <c r="W892" s="28"/>
      <c r="X892" s="28"/>
    </row>
    <row r="893" spans="3:24">
      <c r="C893" s="3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V893" s="28"/>
      <c r="W893" s="28"/>
      <c r="X893" s="28"/>
    </row>
    <row r="894" spans="3:24">
      <c r="C894" s="3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V894" s="28"/>
      <c r="W894" s="28"/>
      <c r="X894" s="28"/>
    </row>
    <row r="895" spans="3:24">
      <c r="C895" s="3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V895" s="28"/>
      <c r="W895" s="28"/>
      <c r="X895" s="28"/>
    </row>
    <row r="896" spans="3:24">
      <c r="C896" s="3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V896" s="28"/>
      <c r="W896" s="28"/>
      <c r="X896" s="28"/>
    </row>
    <row r="897" spans="3:24">
      <c r="C897" s="3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V897" s="28"/>
      <c r="W897" s="28"/>
      <c r="X897" s="28"/>
    </row>
    <row r="898" spans="3:24">
      <c r="C898" s="3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V898" s="28"/>
      <c r="W898" s="28"/>
      <c r="X898" s="28"/>
    </row>
    <row r="899" spans="3:24">
      <c r="C899" s="3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V899" s="28"/>
      <c r="W899" s="28"/>
      <c r="X899" s="28"/>
    </row>
    <row r="900" spans="3:24">
      <c r="C900" s="3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V900" s="28"/>
      <c r="W900" s="28"/>
      <c r="X900" s="28"/>
    </row>
    <row r="901" spans="3:24">
      <c r="C901" s="3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V901" s="28"/>
      <c r="W901" s="28"/>
      <c r="X901" s="28"/>
    </row>
    <row r="902" spans="3:24">
      <c r="C902" s="3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V902" s="28"/>
      <c r="W902" s="28"/>
      <c r="X902" s="28"/>
    </row>
    <row r="903" spans="3:24">
      <c r="C903" s="3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V903" s="28"/>
      <c r="W903" s="28"/>
      <c r="X903" s="28"/>
    </row>
    <row r="904" spans="3:24">
      <c r="C904" s="3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V904" s="28"/>
      <c r="W904" s="28"/>
      <c r="X904" s="28"/>
    </row>
    <row r="905" spans="3:24">
      <c r="C905" s="3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V905" s="28"/>
      <c r="W905" s="28"/>
      <c r="X905" s="28"/>
    </row>
    <row r="906" spans="3:24">
      <c r="C906" s="3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V906" s="28"/>
      <c r="W906" s="28"/>
      <c r="X906" s="28"/>
    </row>
    <row r="907" spans="3:24">
      <c r="C907" s="3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V907" s="28"/>
      <c r="W907" s="28"/>
      <c r="X907" s="28"/>
    </row>
    <row r="908" spans="3:24">
      <c r="C908" s="3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V908" s="28"/>
      <c r="W908" s="28"/>
      <c r="X908" s="28"/>
    </row>
    <row r="909" spans="3:24">
      <c r="C909" s="3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V909" s="28"/>
      <c r="W909" s="28"/>
      <c r="X909" s="28"/>
    </row>
    <row r="910" spans="3:24">
      <c r="C910" s="3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V910" s="28"/>
      <c r="W910" s="28"/>
      <c r="X910" s="28"/>
    </row>
    <row r="911" spans="3:24">
      <c r="C911" s="3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V911" s="28"/>
      <c r="W911" s="28"/>
      <c r="X911" s="28"/>
    </row>
    <row r="912" spans="3:24">
      <c r="C912" s="3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V912" s="28"/>
      <c r="W912" s="28"/>
      <c r="X912" s="28"/>
    </row>
    <row r="913" spans="3:24">
      <c r="C913" s="3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V913" s="28"/>
      <c r="W913" s="28"/>
      <c r="X913" s="28"/>
    </row>
    <row r="914" spans="3:24">
      <c r="C914" s="3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V914" s="28"/>
      <c r="W914" s="28"/>
      <c r="X914" s="28"/>
    </row>
    <row r="915" spans="3:24">
      <c r="C915" s="3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V915" s="28"/>
      <c r="W915" s="28"/>
      <c r="X915" s="28"/>
    </row>
    <row r="916" spans="3:24"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V916" s="28"/>
      <c r="W916" s="28"/>
      <c r="X916" s="28"/>
    </row>
    <row r="917" spans="3:24"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V917" s="28"/>
      <c r="W917" s="28"/>
      <c r="X917" s="28"/>
    </row>
    <row r="918" spans="3:24"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V918" s="28"/>
      <c r="W918" s="28"/>
      <c r="X918" s="28"/>
    </row>
    <row r="919" spans="3:24"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V919" s="28"/>
      <c r="W919" s="28"/>
      <c r="X919" s="28"/>
    </row>
    <row r="920" spans="3:24"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V920" s="28"/>
      <c r="W920" s="28"/>
      <c r="X920" s="28"/>
    </row>
    <row r="921" spans="3:24"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V921" s="28"/>
      <c r="W921" s="28"/>
      <c r="X921" s="28"/>
    </row>
    <row r="922" spans="3:24"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V922" s="28"/>
      <c r="W922" s="28"/>
      <c r="X922" s="28"/>
    </row>
    <row r="923" spans="3:24"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V923" s="28"/>
      <c r="W923" s="28"/>
      <c r="X923" s="28"/>
    </row>
    <row r="924" spans="3:24"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V924" s="28"/>
      <c r="W924" s="28"/>
      <c r="X924" s="28"/>
    </row>
    <row r="925" spans="3:24"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V925" s="28"/>
      <c r="W925" s="28"/>
      <c r="X925" s="28"/>
    </row>
    <row r="926" spans="3:24"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V926" s="28"/>
      <c r="W926" s="28"/>
      <c r="X926" s="28"/>
    </row>
    <row r="927" spans="3:24"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V927" s="28"/>
      <c r="W927" s="28"/>
      <c r="X927" s="28"/>
    </row>
    <row r="928" spans="3:24"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V928" s="28"/>
      <c r="W928" s="28"/>
      <c r="X928" s="28"/>
    </row>
    <row r="929" spans="4:24"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V929" s="28"/>
      <c r="W929" s="28"/>
      <c r="X929" s="28"/>
    </row>
    <row r="930" spans="4:24"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V930" s="28"/>
      <c r="W930" s="28"/>
      <c r="X930" s="28"/>
    </row>
    <row r="931" spans="4:24"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V931" s="28"/>
      <c r="W931" s="28"/>
      <c r="X931" s="28"/>
    </row>
    <row r="932" spans="4:24"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V932" s="28"/>
      <c r="W932" s="28"/>
      <c r="X932" s="28"/>
    </row>
    <row r="933" spans="4:24"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V933" s="28"/>
      <c r="W933" s="28"/>
      <c r="X933" s="28"/>
    </row>
    <row r="934" spans="4:24"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V934" s="28"/>
      <c r="W934" s="28"/>
      <c r="X934" s="28"/>
    </row>
    <row r="935" spans="4:24"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V935" s="28"/>
      <c r="W935" s="28"/>
      <c r="X935" s="28"/>
    </row>
    <row r="936" spans="4:24"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V936" s="28"/>
      <c r="W936" s="28"/>
      <c r="X936" s="28"/>
    </row>
    <row r="937" spans="4:24"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V937" s="28"/>
      <c r="W937" s="28"/>
      <c r="X937" s="28"/>
    </row>
    <row r="938" spans="4:24"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V938" s="28"/>
      <c r="W938" s="28"/>
      <c r="X938" s="28"/>
    </row>
    <row r="939" spans="4:24"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V939" s="28"/>
      <c r="W939" s="28"/>
      <c r="X939" s="28"/>
    </row>
    <row r="940" spans="4:24"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V940" s="28"/>
      <c r="W940" s="28"/>
      <c r="X940" s="28"/>
    </row>
    <row r="941" spans="4:24"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V941" s="28"/>
      <c r="W941" s="28"/>
      <c r="X941" s="28"/>
    </row>
  </sheetData>
  <mergeCells count="3">
    <mergeCell ref="B2:C2"/>
    <mergeCell ref="D2:F2"/>
    <mergeCell ref="B4:C4"/>
  </mergeCells>
  <dataValidations count="1">
    <dataValidation type="list" allowBlank="1" showInputMessage="1" showErrorMessage="1" sqref="D2:F2" xr:uid="{DF8DF846-9821-4BAE-8840-C25336754AE0}">
      <formula1>Aulas</formula1>
    </dataValidation>
  </dataValidations>
  <pageMargins left="0.70866141732283472" right="0.70866141732283472" top="0.74803149606299213" bottom="0.74803149606299213" header="0" footer="0"/>
  <pageSetup scale="3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Filas_profesor">
                <anchor moveWithCells="1" sizeWithCells="1">
                  <from>
                    <xdr:col>6</xdr:col>
                    <xdr:colOff>0</xdr:colOff>
                    <xdr:row>0</xdr:row>
                    <xdr:rowOff>152400</xdr:rowOff>
                  </from>
                  <to>
                    <xdr:col>7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2:AF941"/>
  <sheetViews>
    <sheetView zoomScale="85" zoomScaleNormal="85" workbookViewId="0">
      <selection activeCell="D2" sqref="D2:G2"/>
    </sheetView>
  </sheetViews>
  <sheetFormatPr baseColWidth="10" defaultColWidth="14.5" defaultRowHeight="14"/>
  <cols>
    <col min="1" max="1" width="4" style="1" customWidth="1"/>
    <col min="2" max="3" width="7.5" style="2" customWidth="1"/>
    <col min="4" max="4" width="28.5" style="1" customWidth="1"/>
    <col min="5" max="5" width="15.5" style="1" customWidth="1"/>
    <col min="6" max="6" width="12.1640625" style="1" customWidth="1"/>
    <col min="7" max="7" width="28.5" style="1" customWidth="1"/>
    <col min="8" max="8" width="6.6640625" style="1" customWidth="1"/>
    <col min="9" max="9" width="12.1640625" style="1" customWidth="1"/>
    <col min="10" max="10" width="28.5" style="1" customWidth="1"/>
    <col min="11" max="11" width="6.6640625" style="1" customWidth="1"/>
    <col min="12" max="12" width="12.1640625" style="1" customWidth="1"/>
    <col min="13" max="13" width="28.5" style="1" customWidth="1"/>
    <col min="14" max="14" width="6.6640625" style="1" customWidth="1"/>
    <col min="15" max="15" width="12.1640625" style="1" customWidth="1"/>
    <col min="16" max="16" width="28.5" style="1" customWidth="1"/>
    <col min="17" max="17" width="6.6640625" style="1" customWidth="1"/>
    <col min="18" max="18" width="12.1640625" style="1" customWidth="1"/>
    <col min="19" max="19" width="28.5" style="1" customWidth="1"/>
    <col min="20" max="20" width="6.6640625" style="1" customWidth="1"/>
    <col min="21" max="21" width="12.1640625" style="1" customWidth="1"/>
    <col min="22" max="22" width="13" style="1" bestFit="1" customWidth="1"/>
    <col min="23" max="23" width="24.5" style="1" customWidth="1"/>
    <col min="24" max="24" width="13" style="1" bestFit="1" customWidth="1"/>
    <col min="25" max="25" width="10.6640625" style="1" customWidth="1"/>
    <col min="26" max="26" width="12" style="1" customWidth="1"/>
    <col min="27" max="30" width="10.6640625" style="1" customWidth="1"/>
    <col min="31" max="16384" width="14.5" style="1"/>
  </cols>
  <sheetData>
    <row r="2" spans="1:32" ht="17">
      <c r="A2" s="27"/>
      <c r="B2" s="232" t="s">
        <v>10</v>
      </c>
      <c r="C2" s="233"/>
      <c r="D2" s="234" t="s">
        <v>11</v>
      </c>
      <c r="E2" s="235"/>
      <c r="F2" s="235"/>
      <c r="G2" s="236"/>
      <c r="H2" s="32"/>
      <c r="I2" s="27"/>
      <c r="L2" s="27"/>
      <c r="M2" s="27"/>
      <c r="N2" s="27"/>
      <c r="O2" s="27"/>
      <c r="P2" s="27"/>
      <c r="Q2" s="27"/>
      <c r="R2" s="27"/>
      <c r="S2" s="27"/>
      <c r="T2" s="27"/>
      <c r="U2" s="27"/>
      <c r="AB2" s="27"/>
      <c r="AC2" s="27"/>
      <c r="AD2" s="27"/>
      <c r="AE2" s="27"/>
      <c r="AF2" s="27"/>
    </row>
    <row r="4" spans="1:32" ht="16">
      <c r="B4" s="237" t="s">
        <v>2</v>
      </c>
      <c r="C4" s="238"/>
      <c r="D4" s="203" t="s">
        <v>3</v>
      </c>
      <c r="E4" s="204" t="s">
        <v>0</v>
      </c>
      <c r="F4" s="203" t="s">
        <v>4</v>
      </c>
      <c r="G4" s="205" t="s">
        <v>5</v>
      </c>
      <c r="H4" s="204" t="s">
        <v>0</v>
      </c>
      <c r="I4" s="203" t="s">
        <v>4</v>
      </c>
      <c r="J4" s="205" t="s">
        <v>6</v>
      </c>
      <c r="K4" s="204" t="s">
        <v>0</v>
      </c>
      <c r="L4" s="203" t="s">
        <v>4</v>
      </c>
      <c r="M4" s="205" t="s">
        <v>7</v>
      </c>
      <c r="N4" s="204" t="s">
        <v>0</v>
      </c>
      <c r="O4" s="203" t="s">
        <v>4</v>
      </c>
      <c r="P4" s="205" t="s">
        <v>8</v>
      </c>
      <c r="Q4" s="204" t="s">
        <v>0</v>
      </c>
      <c r="R4" s="203" t="s">
        <v>4</v>
      </c>
      <c r="S4" s="205" t="s">
        <v>9</v>
      </c>
      <c r="T4" s="204" t="s">
        <v>0</v>
      </c>
      <c r="U4" s="203" t="s">
        <v>4</v>
      </c>
      <c r="AB4" s="28"/>
      <c r="AC4" s="28"/>
      <c r="AD4" s="28"/>
    </row>
    <row r="5" spans="1:32" ht="30">
      <c r="B5" s="206">
        <v>0.29166666666666669</v>
      </c>
      <c r="C5" s="207">
        <v>0.3125</v>
      </c>
      <c r="D5" s="29" t="str" cm="1">
        <f t="array" ref="D5">_xlfn.TEXTJOIN(CHAR(10),TRUE,IF(Profesor=base_de_datos[Profesor],IF("x"=base_de_datos[Lunes],IF(base_de_datos[Hora inicio]&lt;=$B5,IF(base_de_datos[Hora fin]&gt;=$C5,base_de_datos[Materia]&amp;" "&amp;base_de_datos[[Número de grupo ]],""),""),""),""),"")</f>
        <v/>
      </c>
      <c r="E5" s="29" t="str" cm="1">
        <f t="array" ref="E5">_xlfn.TEXTJOIN(CHAR(10),TRUE,IF(Profesor=base_de_datos[Profesor],IF("x"=base_de_datos[Lunes],IF(base_de_datos[Hora inicio]&lt;=$B5,IF(base_de_datos[Hora fin]&gt;=$C5,base_de_datos[Aula]&amp;" "&amp;#REF!,""),""),""),""),"")</f>
        <v/>
      </c>
      <c r="F5" s="29" t="str" cm="1">
        <f t="array" ref="F5">_xlfn.TEXTJOIN(CHAR(10),TRUE,IF(Profesor=base_de_datos[Profesor],IF("x"=base_de_datos[Lunes],IF(base_de_datos[Hora inicio]&lt;=$B5,IF(base_de_datos[Hora fin]&gt;=$C5,base_de_datos[No clase],""),""),""),""),"")</f>
        <v/>
      </c>
      <c r="G5" s="29" t="str" cm="1">
        <f t="array" ref="G5">_xlfn.TEXTJOIN(CHAR(10),TRUE,IF(Profesor=base_de_datos[Profesor],IF("x"=base_de_datos[Martes],IF(base_de_datos[Hora inicio]&lt;=$B5,IF(base_de_datos[Hora fin]&gt;=$C5,base_de_datos[Materia]&amp;" "&amp;base_de_datos[[Número de grupo ]],""),""),""),""),"")</f>
        <v>Álgebra 4</v>
      </c>
      <c r="H5" s="29" t="e" cm="1">
        <f t="array" ref="H5">_xlfn.TEXTJOIN(CHAR(10),TRUE,IF(Profesor=base_de_datos[Profesor],IF("x"=base_de_datos[Martes],IF(base_de_datos[Hora inicio]&lt;=$B5,IF(base_de_datos[Hora fin]&gt;=$C5,base_de_datos[Aula]&amp;" "&amp;#REF!,""),""),""),""),"")</f>
        <v>#REF!</v>
      </c>
      <c r="I5" s="29" t="str" cm="1">
        <f t="array" ref="I5">_xlfn.TEXTJOIN(CHAR(10),TRUE,IF(Profesor=base_de_datos[Profesor],IF("x"=base_de_datos[Martes],IF(base_de_datos[Hora inicio]&lt;=$B5,IF(base_de_datos[Hora fin]&gt;=$C5,base_de_datos[No clase],""),""),""),""),"")</f>
        <v>1435, 1440, 1445</v>
      </c>
      <c r="J5" s="29" t="str" cm="1">
        <f t="array" ref="J5">_xlfn.TEXTJOIN(CHAR(10),TRUE,IF(Profesor=base_de_datos[Profesor],IF("x"=base_de_datos[Miércoles],IF(base_de_datos[Hora inicio]&lt;=$B5,IF(base_de_datos[Hora fin]&gt;=$C5,base_de_datos[Materia]&amp;" "&amp;base_de_datos[[Número de grupo ]],""),""),""),""),"")</f>
        <v/>
      </c>
      <c r="K5" s="29" t="str" cm="1">
        <f t="array" ref="K5">_xlfn.TEXTJOIN(CHAR(10),TRUE,IF(Profesor=base_de_datos[Profesor],IF("x"=base_de_datos[Miércoles],IF(base_de_datos[Hora inicio]&lt;=$B5,IF(base_de_datos[Hora fin]&gt;=$C5,base_de_datos[Aula]&amp;" "&amp;#REF!,""),""),""),""),"")</f>
        <v/>
      </c>
      <c r="L5" s="29" t="str" cm="1">
        <f t="array" ref="L5">_xlfn.TEXTJOIN(CHAR(10),TRUE,IF(Profesor=base_de_datos[Profesor],IF("x"=base_de_datos[Miércoles],IF(base_de_datos[Hora inicio]&lt;=$B5,IF(base_de_datos[Hora fin]&gt;=$C5,base_de_datos[No clase],""),""),""),""),"")</f>
        <v/>
      </c>
      <c r="M5" s="29" t="str" cm="1">
        <f t="array" ref="M5">_xlfn.TEXTJOIN(CHAR(10),TRUE,IF(Profesor=base_de_datos[Profesor],IF("x"=base_de_datos[Jueves],IF(base_de_datos[Hora inicio]&lt;=$B5,IF(base_de_datos[Hora fin]&gt;=$C5,base_de_datos[Materia]&amp;" "&amp;base_de_datos[[Número de grupo ]],""),""),""),""),"")</f>
        <v>Álgebra 4</v>
      </c>
      <c r="N5" s="29" t="e" cm="1">
        <f t="array" ref="N5">_xlfn.TEXTJOIN(CHAR(10),TRUE,IF(Profesor=base_de_datos[Profesor],IF("x"=base_de_datos[Jueves],IF(base_de_datos[Hora inicio]&lt;=$B5,IF(base_de_datos[Hora fin]&gt;=$C5,base_de_datos[Aula]&amp;" "&amp;#REF!,""),""),""),""),"")</f>
        <v>#REF!</v>
      </c>
      <c r="O5" s="29" t="str" cm="1">
        <f t="array" ref="O5">_xlfn.TEXTJOIN(CHAR(10),TRUE,IF(Profesor=base_de_datos[Profesor],IF("x"=base_de_datos[Jueves],IF(base_de_datos[Hora inicio]&lt;=$B5,IF(base_de_datos[Hora fin]&gt;=$C5,base_de_datos[No clase],""),""),""),""),"")</f>
        <v>1435, 1440, 1445</v>
      </c>
      <c r="P5" s="29" t="str" cm="1">
        <f t="array" ref="P5">_xlfn.TEXTJOIN(CHAR(10),TRUE,IF(Profesor=base_de_datos[Profesor],IF("x"=base_de_datos[Viernes],IF(base_de_datos[Hora inicio]&lt;=$B5,IF(base_de_datos[Hora fin]&gt;=$C5,base_de_datos[Materia]&amp;" "&amp;base_de_datos[[Número de grupo ]],""),""),""),""),"")</f>
        <v/>
      </c>
      <c r="Q5" s="29" t="str" cm="1">
        <f t="array" ref="Q5">_xlfn.TEXTJOIN(CHAR(10),TRUE,IF(Profesor=base_de_datos[Profesor],IF("x"=base_de_datos[Viernes],IF(base_de_datos[Hora inicio]&lt;=$B5,IF(base_de_datos[Hora fin]&gt;=$C5,base_de_datos[Aula]&amp;" "&amp;#REF!,""),""),""),""),"")</f>
        <v/>
      </c>
      <c r="R5" s="29" t="str" cm="1">
        <f t="array" ref="R5">_xlfn.TEXTJOIN(CHAR(10),TRUE,IF(Profesor=base_de_datos[Profesor],IF("x"=base_de_datos[Viernes],IF(base_de_datos[Hora inicio]&lt;=$B5,IF(base_de_datos[Hora fin]&gt;=$C5,base_de_datos[No clase],""),""),""),""),"")</f>
        <v/>
      </c>
      <c r="S5" s="29" t="str" cm="1">
        <f t="array" ref="S5">_xlfn.TEXTJOIN(CHAR(10),TRUE,IF(Profesor=base_de_datos[Profesor],IF("x"=base_de_datos[Sábado],IF(base_de_datos[Hora inicio]&lt;=$B5,IF(base_de_datos[Hora fin]&gt;=$C5,base_de_datos[Materia]&amp;" "&amp;base_de_datos[[Número de grupo ]],""),""),""),""),"")</f>
        <v/>
      </c>
      <c r="T5" s="29" t="str" cm="1">
        <f t="array" ref="T5">_xlfn.TEXTJOIN(CHAR(10),TRUE,IF(Profesor=base_de_datos[Profesor],IF("x"=base_de_datos[Sábado],IF(base_de_datos[Hora inicio]&lt;=$B5,IF(base_de_datos[Hora fin]&gt;=$C5,base_de_datos[Aula]&amp;" "&amp;#REF!,""),""),""),""),"")</f>
        <v/>
      </c>
      <c r="U5" s="29" t="str" cm="1">
        <f t="array" ref="U5">_xlfn.TEXTJOIN(CHAR(10),TRUE,IF(Profesor=base_de_datos[Profesor],IF("x"=base_de_datos[Sábado],IF(base_de_datos[Hora inicio]&lt;=$B5,IF(base_de_datos[Hora fin]&gt;=$C5,base_de_datos[No clase],""),""),""),""),"")</f>
        <v/>
      </c>
      <c r="AB5" s="28"/>
      <c r="AC5" s="28"/>
      <c r="AD5" s="28"/>
    </row>
    <row r="6" spans="1:32" ht="30">
      <c r="B6" s="206">
        <v>0.3125</v>
      </c>
      <c r="C6" s="206">
        <v>0.33333333333333298</v>
      </c>
      <c r="D6" s="29" t="str" cm="1">
        <f t="array" ref="D6">_xlfn.TEXTJOIN(CHAR(10),TRUE,IF(Profesor=base_de_datos[Profesor],IF("x"=base_de_datos[Lunes],IF(base_de_datos[Hora inicio]&lt;=$B6,IF(base_de_datos[Hora fin]&gt;=$C6,base_de_datos[Materia]&amp;" "&amp;base_de_datos[[Número de grupo ]],""),""),""),""),"")</f>
        <v/>
      </c>
      <c r="E6" s="29" t="str" cm="1">
        <f t="array" ref="E6">_xlfn.TEXTJOIN(CHAR(10),TRUE,IF(Profesor=base_de_datos[Profesor],IF("x"=base_de_datos[Lunes],IF(base_de_datos[Hora inicio]&lt;=$B6,IF(base_de_datos[Hora fin]&gt;=$C6,base_de_datos[Aula]&amp;" "&amp;#REF!,""),""),""),""),"")</f>
        <v/>
      </c>
      <c r="F6" s="29" t="str" cm="1">
        <f t="array" ref="F6">_xlfn.TEXTJOIN(CHAR(10),TRUE,IF(Profesor=base_de_datos[Profesor],IF("x"=base_de_datos[Lunes],IF(base_de_datos[Hora inicio]&lt;=$B6,IF(base_de_datos[Hora fin]&gt;=$C6,base_de_datos[No clase],""),""),""),""),"")</f>
        <v/>
      </c>
      <c r="G6" s="29" t="str" cm="1">
        <f t="array" ref="G6">_xlfn.TEXTJOIN(CHAR(10),TRUE,IF(Profesor=base_de_datos[Profesor],IF("x"=base_de_datos[Martes],IF(base_de_datos[Hora inicio]&lt;=$B6,IF(base_de_datos[Hora fin]&gt;=$C6,base_de_datos[Materia]&amp;" "&amp;base_de_datos[[Número de grupo ]],""),""),""),""),"")</f>
        <v>Álgebra 4</v>
      </c>
      <c r="H6" s="29" t="e" cm="1">
        <f t="array" ref="H6">_xlfn.TEXTJOIN(CHAR(10),TRUE,IF(Profesor=base_de_datos[Profesor],IF("x"=base_de_datos[Martes],IF(base_de_datos[Hora inicio]&lt;=$B6,IF(base_de_datos[Hora fin]&gt;=$C6,base_de_datos[Aula]&amp;" "&amp;#REF!,""),""),""),""),"")</f>
        <v>#REF!</v>
      </c>
      <c r="I6" s="29" t="str" cm="1">
        <f t="array" ref="I6">_xlfn.TEXTJOIN(CHAR(10),TRUE,IF(Profesor=base_de_datos[Profesor],IF("x"=base_de_datos[Martes],IF(base_de_datos[Hora inicio]&lt;=$B6,IF(base_de_datos[Hora fin]&gt;=$C6,base_de_datos[No clase],""),""),""),""),"")</f>
        <v>1435, 1440, 1445</v>
      </c>
      <c r="J6" s="29" t="str" cm="1">
        <f t="array" ref="J6">_xlfn.TEXTJOIN(CHAR(10),TRUE,IF(Profesor=base_de_datos[Profesor],IF("x"=base_de_datos[Miércoles],IF(base_de_datos[Hora inicio]&lt;=$B6,IF(base_de_datos[Hora fin]&gt;=$C6,base_de_datos[Materia]&amp;" "&amp;base_de_datos[[Número de grupo ]],""),""),""),""),"")</f>
        <v/>
      </c>
      <c r="K6" s="29" t="str" cm="1">
        <f t="array" ref="K6">_xlfn.TEXTJOIN(CHAR(10),TRUE,IF(Profesor=base_de_datos[Profesor],IF("x"=base_de_datos[Miércoles],IF(base_de_datos[Hora inicio]&lt;=$B6,IF(base_de_datos[Hora fin]&gt;=$C6,base_de_datos[Aula]&amp;" "&amp;#REF!,""),""),""),""),"")</f>
        <v/>
      </c>
      <c r="L6" s="29" t="str" cm="1">
        <f t="array" ref="L6">_xlfn.TEXTJOIN(CHAR(10),TRUE,IF(Profesor=base_de_datos[Profesor],IF("x"=base_de_datos[Miércoles],IF(base_de_datos[Hora inicio]&lt;=$B6,IF(base_de_datos[Hora fin]&gt;=$C6,base_de_datos[No clase],""),""),""),""),"")</f>
        <v/>
      </c>
      <c r="M6" s="29" t="str" cm="1">
        <f t="array" ref="M6">_xlfn.TEXTJOIN(CHAR(10),TRUE,IF(Profesor=base_de_datos[Profesor],IF("x"=base_de_datos[Jueves],IF(base_de_datos[Hora inicio]&lt;=$B6,IF(base_de_datos[Hora fin]&gt;=$C6,base_de_datos[Materia]&amp;" "&amp;base_de_datos[[Número de grupo ]],""),""),""),""),"")</f>
        <v>Álgebra 4</v>
      </c>
      <c r="N6" s="29" t="e" cm="1">
        <f t="array" ref="N6">_xlfn.TEXTJOIN(CHAR(10),TRUE,IF(Profesor=base_de_datos[Profesor],IF("x"=base_de_datos[Jueves],IF(base_de_datos[Hora inicio]&lt;=$B6,IF(base_de_datos[Hora fin]&gt;=$C6,base_de_datos[Aula]&amp;" "&amp;#REF!,""),""),""),""),"")</f>
        <v>#REF!</v>
      </c>
      <c r="O6" s="29" t="str" cm="1">
        <f t="array" ref="O6">_xlfn.TEXTJOIN(CHAR(10),TRUE,IF(Profesor=base_de_datos[Profesor],IF("x"=base_de_datos[Jueves],IF(base_de_datos[Hora inicio]&lt;=$B6,IF(base_de_datos[Hora fin]&gt;=$C6,base_de_datos[No clase],""),""),""),""),"")</f>
        <v>1435, 1440, 1445</v>
      </c>
      <c r="P6" s="29" t="str" cm="1">
        <f t="array" ref="P6">_xlfn.TEXTJOIN(CHAR(10),TRUE,IF(Profesor=base_de_datos[Profesor],IF("x"=base_de_datos[Viernes],IF(base_de_datos[Hora inicio]&lt;=$B6,IF(base_de_datos[Hora fin]&gt;=$C6,base_de_datos[Materia]&amp;" "&amp;base_de_datos[[Número de grupo ]],""),""),""),""),"")</f>
        <v/>
      </c>
      <c r="Q6" s="29" t="str" cm="1">
        <f t="array" ref="Q6">_xlfn.TEXTJOIN(CHAR(10),TRUE,IF(Profesor=base_de_datos[Profesor],IF("x"=base_de_datos[Viernes],IF(base_de_datos[Hora inicio]&lt;=$B6,IF(base_de_datos[Hora fin]&gt;=$C6,base_de_datos[Aula]&amp;" "&amp;#REF!,""),""),""),""),"")</f>
        <v/>
      </c>
      <c r="R6" s="29" t="str" cm="1">
        <f t="array" ref="R6">_xlfn.TEXTJOIN(CHAR(10),TRUE,IF(Profesor=base_de_datos[Profesor],IF("x"=base_de_datos[Viernes],IF(base_de_datos[Hora inicio]&lt;=$B6,IF(base_de_datos[Hora fin]&gt;=$C6,base_de_datos[No clase],""),""),""),""),"")</f>
        <v/>
      </c>
      <c r="S6" s="29" t="str" cm="1">
        <f t="array" ref="S6">_xlfn.TEXTJOIN(CHAR(10),TRUE,IF(Profesor=base_de_datos[Profesor],IF("x"=base_de_datos[Sábado],IF(base_de_datos[Hora inicio]&lt;=$B6,IF(base_de_datos[Hora fin]&gt;=$C6,base_de_datos[Materia]&amp;" "&amp;base_de_datos[[Número de grupo ]],""),""),""),""),"")</f>
        <v/>
      </c>
      <c r="T6" s="29" t="str" cm="1">
        <f t="array" ref="T6">_xlfn.TEXTJOIN(CHAR(10),TRUE,IF(Profesor=base_de_datos[Profesor],IF("x"=base_de_datos[Sábado],IF(base_de_datos[Hora inicio]&lt;=$B6,IF(base_de_datos[Hora fin]&gt;=$C6,base_de_datos[Aula]&amp;" "&amp;#REF!,""),""),""),""),"")</f>
        <v/>
      </c>
      <c r="U6" s="29" t="str" cm="1">
        <f t="array" ref="U6">_xlfn.TEXTJOIN(CHAR(10),TRUE,IF(Profesor=base_de_datos[Profesor],IF("x"=base_de_datos[Sábado],IF(base_de_datos[Hora inicio]&lt;=$B6,IF(base_de_datos[Hora fin]&gt;=$C6,base_de_datos[No clase],""),""),""),""),"")</f>
        <v/>
      </c>
      <c r="AB6" s="28"/>
      <c r="AC6" s="28"/>
      <c r="AD6" s="28"/>
    </row>
    <row r="7" spans="1:32" ht="30">
      <c r="B7" s="206">
        <v>0.33333333333333298</v>
      </c>
      <c r="C7" s="206">
        <v>0.35416666666666602</v>
      </c>
      <c r="D7" s="29" t="str" cm="1">
        <f t="array" ref="D7">_xlfn.TEXTJOIN(CHAR(10),TRUE,IF(Profesor=base_de_datos[Profesor],IF("x"=base_de_datos[Lunes],IF(base_de_datos[Hora inicio]&lt;=$B7,IF(base_de_datos[Hora fin]&gt;=$C7,base_de_datos[Materia]&amp;" "&amp;base_de_datos[[Número de grupo ]],""),""),""),""),"")</f>
        <v/>
      </c>
      <c r="E7" s="29" t="str" cm="1">
        <f t="array" ref="E7">_xlfn.TEXTJOIN(CHAR(10),TRUE,IF(Profesor=base_de_datos[Profesor],IF("x"=base_de_datos[Lunes],IF(base_de_datos[Hora inicio]&lt;=$B7,IF(base_de_datos[Hora fin]&gt;=$C7,base_de_datos[Aula]&amp;" "&amp;#REF!,""),""),""),""),"")</f>
        <v/>
      </c>
      <c r="F7" s="29" t="str" cm="1">
        <f t="array" ref="F7">_xlfn.TEXTJOIN(CHAR(10),TRUE,IF(Profesor=base_de_datos[Profesor],IF("x"=base_de_datos[Lunes],IF(base_de_datos[Hora inicio]&lt;=$B7,IF(base_de_datos[Hora fin]&gt;=$C7,base_de_datos[No clase],""),""),""),""),"")</f>
        <v/>
      </c>
      <c r="G7" s="29" t="str" cm="1">
        <f t="array" ref="G7">_xlfn.TEXTJOIN(CHAR(10),TRUE,IF(Profesor=base_de_datos[Profesor],IF("x"=base_de_datos[Martes],IF(base_de_datos[Hora inicio]&lt;=$B7,IF(base_de_datos[Hora fin]&gt;=$C7,base_de_datos[Materia]&amp;" "&amp;base_de_datos[[Número de grupo ]],""),""),""),""),"")</f>
        <v>Álgebra 4</v>
      </c>
      <c r="H7" s="29" t="e" cm="1">
        <f t="array" ref="H7">_xlfn.TEXTJOIN(CHAR(10),TRUE,IF(Profesor=base_de_datos[Profesor],IF("x"=base_de_datos[Martes],IF(base_de_datos[Hora inicio]&lt;=$B7,IF(base_de_datos[Hora fin]&gt;=$C7,base_de_datos[Aula]&amp;" "&amp;#REF!,""),""),""),""),"")</f>
        <v>#REF!</v>
      </c>
      <c r="I7" s="29" t="str" cm="1">
        <f t="array" ref="I7">_xlfn.TEXTJOIN(CHAR(10),TRUE,IF(Profesor=base_de_datos[Profesor],IF("x"=base_de_datos[Martes],IF(base_de_datos[Hora inicio]&lt;=$B7,IF(base_de_datos[Hora fin]&gt;=$C7,base_de_datos[No clase],""),""),""),""),"")</f>
        <v>1435, 1440, 1445</v>
      </c>
      <c r="J7" s="29" t="str" cm="1">
        <f t="array" ref="J7">_xlfn.TEXTJOIN(CHAR(10),TRUE,IF(Profesor=base_de_datos[Profesor],IF("x"=base_de_datos[Miércoles],IF(base_de_datos[Hora inicio]&lt;=$B7,IF(base_de_datos[Hora fin]&gt;=$C7,base_de_datos[Materia]&amp;" "&amp;base_de_datos[[Número de grupo ]],""),""),""),""),"")</f>
        <v/>
      </c>
      <c r="K7" s="29" t="str" cm="1">
        <f t="array" ref="K7">_xlfn.TEXTJOIN(CHAR(10),TRUE,IF(Profesor=base_de_datos[Profesor],IF("x"=base_de_datos[Miércoles],IF(base_de_datos[Hora inicio]&lt;=$B7,IF(base_de_datos[Hora fin]&gt;=$C7,base_de_datos[Aula]&amp;" "&amp;#REF!,""),""),""),""),"")</f>
        <v/>
      </c>
      <c r="L7" s="29" t="str" cm="1">
        <f t="array" ref="L7">_xlfn.TEXTJOIN(CHAR(10),TRUE,IF(Profesor=base_de_datos[Profesor],IF("x"=base_de_datos[Miércoles],IF(base_de_datos[Hora inicio]&lt;=$B7,IF(base_de_datos[Hora fin]&gt;=$C7,base_de_datos[No clase],""),""),""),""),"")</f>
        <v/>
      </c>
      <c r="M7" s="29" t="str" cm="1">
        <f t="array" ref="M7">_xlfn.TEXTJOIN(CHAR(10),TRUE,IF(Profesor=base_de_datos[Profesor],IF("x"=base_de_datos[Jueves],IF(base_de_datos[Hora inicio]&lt;=$B7,IF(base_de_datos[Hora fin]&gt;=$C7,base_de_datos[Materia]&amp;" "&amp;base_de_datos[[Número de grupo ]],""),""),""),""),"")</f>
        <v>Álgebra 4</v>
      </c>
      <c r="N7" s="29" t="e" cm="1">
        <f t="array" ref="N7">_xlfn.TEXTJOIN(CHAR(10),TRUE,IF(Profesor=base_de_datos[Profesor],IF("x"=base_de_datos[Jueves],IF(base_de_datos[Hora inicio]&lt;=$B7,IF(base_de_datos[Hora fin]&gt;=$C7,base_de_datos[Aula]&amp;" "&amp;#REF!,""),""),""),""),"")</f>
        <v>#REF!</v>
      </c>
      <c r="O7" s="29" t="str" cm="1">
        <f t="array" ref="O7">_xlfn.TEXTJOIN(CHAR(10),TRUE,IF(Profesor=base_de_datos[Profesor],IF("x"=base_de_datos[Jueves],IF(base_de_datos[Hora inicio]&lt;=$B7,IF(base_de_datos[Hora fin]&gt;=$C7,base_de_datos[No clase],""),""),""),""),"")</f>
        <v>1435, 1440, 1445</v>
      </c>
      <c r="P7" s="29" t="str" cm="1">
        <f t="array" ref="P7">_xlfn.TEXTJOIN(CHAR(10),TRUE,IF(Profesor=base_de_datos[Profesor],IF("x"=base_de_datos[Viernes],IF(base_de_datos[Hora inicio]&lt;=$B7,IF(base_de_datos[Hora fin]&gt;=$C7,base_de_datos[Materia]&amp;" "&amp;base_de_datos[[Número de grupo ]],""),""),""),""),"")</f>
        <v/>
      </c>
      <c r="Q7" s="29" t="str" cm="1">
        <f t="array" ref="Q7">_xlfn.TEXTJOIN(CHAR(10),TRUE,IF(Profesor=base_de_datos[Profesor],IF("x"=base_de_datos[Viernes],IF(base_de_datos[Hora inicio]&lt;=$B7,IF(base_de_datos[Hora fin]&gt;=$C7,base_de_datos[Aula]&amp;" "&amp;#REF!,""),""),""),""),"")</f>
        <v/>
      </c>
      <c r="R7" s="29" t="str" cm="1">
        <f t="array" ref="R7">_xlfn.TEXTJOIN(CHAR(10),TRUE,IF(Profesor=base_de_datos[Profesor],IF("x"=base_de_datos[Viernes],IF(base_de_datos[Hora inicio]&lt;=$B7,IF(base_de_datos[Hora fin]&gt;=$C7,base_de_datos[No clase],""),""),""),""),"")</f>
        <v/>
      </c>
      <c r="S7" s="29" t="str" cm="1">
        <f t="array" ref="S7">_xlfn.TEXTJOIN(CHAR(10),TRUE,IF(Profesor=base_de_datos[Profesor],IF("x"=base_de_datos[Sábado],IF(base_de_datos[Hora inicio]&lt;=$B7,IF(base_de_datos[Hora fin]&gt;=$C7,base_de_datos[Materia]&amp;" "&amp;base_de_datos[[Número de grupo ]],""),""),""),""),"")</f>
        <v/>
      </c>
      <c r="T7" s="29" t="str" cm="1">
        <f t="array" ref="T7">_xlfn.TEXTJOIN(CHAR(10),TRUE,IF(Profesor=base_de_datos[Profesor],IF("x"=base_de_datos[Sábado],IF(base_de_datos[Hora inicio]&lt;=$B7,IF(base_de_datos[Hora fin]&gt;=$C7,base_de_datos[Aula]&amp;" "&amp;#REF!,""),""),""),""),"")</f>
        <v/>
      </c>
      <c r="U7" s="29" t="str" cm="1">
        <f t="array" ref="U7">_xlfn.TEXTJOIN(CHAR(10),TRUE,IF(Profesor=base_de_datos[Profesor],IF("x"=base_de_datos[Sábado],IF(base_de_datos[Hora inicio]&lt;=$B7,IF(base_de_datos[Hora fin]&gt;=$C7,base_de_datos[No clase],""),""),""),""),"")</f>
        <v/>
      </c>
      <c r="AB7" s="28"/>
      <c r="AC7" s="28"/>
      <c r="AD7" s="28"/>
    </row>
    <row r="8" spans="1:32" ht="30">
      <c r="B8" s="206">
        <v>0.35416666666666702</v>
      </c>
      <c r="C8" s="206">
        <v>0.374999999999999</v>
      </c>
      <c r="D8" s="29" t="str" cm="1">
        <f t="array" ref="D8">_xlfn.TEXTJOIN(CHAR(10),TRUE,IF(Profesor=base_de_datos[Profesor],IF("x"=base_de_datos[Lunes],IF(base_de_datos[Hora inicio]&lt;=$B8,IF(base_de_datos[Hora fin]&gt;=$C8,base_de_datos[Materia]&amp;" "&amp;base_de_datos[[Número de grupo ]],""),""),""),""),"")</f>
        <v/>
      </c>
      <c r="E8" s="29" t="str" cm="1">
        <f t="array" ref="E8">_xlfn.TEXTJOIN(CHAR(10),TRUE,IF(Profesor=base_de_datos[Profesor],IF("x"=base_de_datos[Lunes],IF(base_de_datos[Hora inicio]&lt;=$B8,IF(base_de_datos[Hora fin]&gt;=$C8,base_de_datos[Aula]&amp;" "&amp;#REF!,""),""),""),""),"")</f>
        <v/>
      </c>
      <c r="F8" s="29" t="str" cm="1">
        <f t="array" ref="F8">_xlfn.TEXTJOIN(CHAR(10),TRUE,IF(Profesor=base_de_datos[Profesor],IF("x"=base_de_datos[Lunes],IF(base_de_datos[Hora inicio]&lt;=$B8,IF(base_de_datos[Hora fin]&gt;=$C8,base_de_datos[No clase],""),""),""),""),"")</f>
        <v/>
      </c>
      <c r="G8" s="29" t="str" cm="1">
        <f t="array" ref="G8">_xlfn.TEXTJOIN(CHAR(10),TRUE,IF(Profesor=base_de_datos[Profesor],IF("x"=base_de_datos[Martes],IF(base_de_datos[Hora inicio]&lt;=$B8,IF(base_de_datos[Hora fin]&gt;=$C8,base_de_datos[Materia]&amp;" "&amp;base_de_datos[[Número de grupo ]],""),""),""),""),"")</f>
        <v>Álgebra 4</v>
      </c>
      <c r="H8" s="29" t="e" cm="1">
        <f t="array" ref="H8">_xlfn.TEXTJOIN(CHAR(10),TRUE,IF(Profesor=base_de_datos[Profesor],IF("x"=base_de_datos[Martes],IF(base_de_datos[Hora inicio]&lt;=$B8,IF(base_de_datos[Hora fin]&gt;=$C8,base_de_datos[Aula]&amp;" "&amp;#REF!,""),""),""),""),"")</f>
        <v>#REF!</v>
      </c>
      <c r="I8" s="29" t="str" cm="1">
        <f t="array" ref="I8">_xlfn.TEXTJOIN(CHAR(10),TRUE,IF(Profesor=base_de_datos[Profesor],IF("x"=base_de_datos[Martes],IF(base_de_datos[Hora inicio]&lt;=$B8,IF(base_de_datos[Hora fin]&gt;=$C8,base_de_datos[No clase],""),""),""),""),"")</f>
        <v>1435, 1440, 1445</v>
      </c>
      <c r="J8" s="29" t="str" cm="1">
        <f t="array" ref="J8">_xlfn.TEXTJOIN(CHAR(10),TRUE,IF(Profesor=base_de_datos[Profesor],IF("x"=base_de_datos[Miércoles],IF(base_de_datos[Hora inicio]&lt;=$B8,IF(base_de_datos[Hora fin]&gt;=$C8,base_de_datos[Materia]&amp;" "&amp;base_de_datos[[Número de grupo ]],""),""),""),""),"")</f>
        <v/>
      </c>
      <c r="K8" s="29" t="str" cm="1">
        <f t="array" ref="K8">_xlfn.TEXTJOIN(CHAR(10),TRUE,IF(Profesor=base_de_datos[Profesor],IF("x"=base_de_datos[Miércoles],IF(base_de_datos[Hora inicio]&lt;=$B8,IF(base_de_datos[Hora fin]&gt;=$C8,base_de_datos[Aula]&amp;" "&amp;#REF!,""),""),""),""),"")</f>
        <v/>
      </c>
      <c r="L8" s="29" t="str" cm="1">
        <f t="array" ref="L8">_xlfn.TEXTJOIN(CHAR(10),TRUE,IF(Profesor=base_de_datos[Profesor],IF("x"=base_de_datos[Miércoles],IF(base_de_datos[Hora inicio]&lt;=$B8,IF(base_de_datos[Hora fin]&gt;=$C8,base_de_datos[No clase],""),""),""),""),"")</f>
        <v/>
      </c>
      <c r="M8" s="29" t="str" cm="1">
        <f t="array" ref="M8">_xlfn.TEXTJOIN(CHAR(10),TRUE,IF(Profesor=base_de_datos[Profesor],IF("x"=base_de_datos[Jueves],IF(base_de_datos[Hora inicio]&lt;=$B8,IF(base_de_datos[Hora fin]&gt;=$C8,base_de_datos[Materia]&amp;" "&amp;base_de_datos[[Número de grupo ]],""),""),""),""),"")</f>
        <v>Álgebra 4</v>
      </c>
      <c r="N8" s="29" t="e" cm="1">
        <f t="array" ref="N8">_xlfn.TEXTJOIN(CHAR(10),TRUE,IF(Profesor=base_de_datos[Profesor],IF("x"=base_de_datos[Jueves],IF(base_de_datos[Hora inicio]&lt;=$B8,IF(base_de_datos[Hora fin]&gt;=$C8,base_de_datos[Aula]&amp;" "&amp;#REF!,""),""),""),""),"")</f>
        <v>#REF!</v>
      </c>
      <c r="O8" s="29" t="str" cm="1">
        <f t="array" ref="O8">_xlfn.TEXTJOIN(CHAR(10),TRUE,IF(Profesor=base_de_datos[Profesor],IF("x"=base_de_datos[Jueves],IF(base_de_datos[Hora inicio]&lt;=$B8,IF(base_de_datos[Hora fin]&gt;=$C8,base_de_datos[No clase],""),""),""),""),"")</f>
        <v>1435, 1440, 1445</v>
      </c>
      <c r="P8" s="29" t="str" cm="1">
        <f t="array" ref="P8">_xlfn.TEXTJOIN(CHAR(10),TRUE,IF(Profesor=base_de_datos[Profesor],IF("x"=base_de_datos[Viernes],IF(base_de_datos[Hora inicio]&lt;=$B8,IF(base_de_datos[Hora fin]&gt;=$C8,base_de_datos[Materia]&amp;" "&amp;base_de_datos[[Número de grupo ]],""),""),""),""),"")</f>
        <v/>
      </c>
      <c r="Q8" s="29" t="str" cm="1">
        <f t="array" ref="Q8">_xlfn.TEXTJOIN(CHAR(10),TRUE,IF(Profesor=base_de_datos[Profesor],IF("x"=base_de_datos[Viernes],IF(base_de_datos[Hora inicio]&lt;=$B8,IF(base_de_datos[Hora fin]&gt;=$C8,base_de_datos[Aula]&amp;" "&amp;#REF!,""),""),""),""),"")</f>
        <v/>
      </c>
      <c r="R8" s="29" t="str" cm="1">
        <f t="array" ref="R8">_xlfn.TEXTJOIN(CHAR(10),TRUE,IF(Profesor=base_de_datos[Profesor],IF("x"=base_de_datos[Viernes],IF(base_de_datos[Hora inicio]&lt;=$B8,IF(base_de_datos[Hora fin]&gt;=$C8,base_de_datos[No clase],""),""),""),""),"")</f>
        <v/>
      </c>
      <c r="S8" s="29" t="str" cm="1">
        <f t="array" ref="S8">_xlfn.TEXTJOIN(CHAR(10),TRUE,IF(Profesor=base_de_datos[Profesor],IF("x"=base_de_datos[Sábado],IF(base_de_datos[Hora inicio]&lt;=$B8,IF(base_de_datos[Hora fin]&gt;=$C8,base_de_datos[Materia]&amp;" "&amp;base_de_datos[[Número de grupo ]],""),""),""),""),"")</f>
        <v/>
      </c>
      <c r="T8" s="29" t="str" cm="1">
        <f t="array" ref="T8">_xlfn.TEXTJOIN(CHAR(10),TRUE,IF(Profesor=base_de_datos[Profesor],IF("x"=base_de_datos[Sábado],IF(base_de_datos[Hora inicio]&lt;=$B8,IF(base_de_datos[Hora fin]&gt;=$C8,base_de_datos[Aula]&amp;" "&amp;#REF!,""),""),""),""),"")</f>
        <v/>
      </c>
      <c r="U8" s="29" t="str" cm="1">
        <f t="array" ref="U8">_xlfn.TEXTJOIN(CHAR(10),TRUE,IF(Profesor=base_de_datos[Profesor],IF("x"=base_de_datos[Sábado],IF(base_de_datos[Hora inicio]&lt;=$B8,IF(base_de_datos[Hora fin]&gt;=$C8,base_de_datos[No clase],""),""),""),""),"")</f>
        <v/>
      </c>
      <c r="AB8" s="28"/>
      <c r="AC8" s="28"/>
      <c r="AD8" s="28"/>
    </row>
    <row r="9" spans="1:32" ht="30">
      <c r="B9" s="206">
        <v>0.375</v>
      </c>
      <c r="C9" s="206">
        <v>0.39583333333333198</v>
      </c>
      <c r="D9" s="29" t="str" cm="1">
        <f t="array" ref="D9">_xlfn.TEXTJOIN(CHAR(10),TRUE,IF(Profesor=base_de_datos[Profesor],IF("x"=base_de_datos[Lunes],IF(base_de_datos[Hora inicio]&lt;=$B9,IF(base_de_datos[Hora fin]&gt;=$C9,base_de_datos[Materia]&amp;" "&amp;base_de_datos[[Número de grupo ]],""),""),""),""),"")</f>
        <v/>
      </c>
      <c r="E9" s="29" t="str" cm="1">
        <f t="array" ref="E9">_xlfn.TEXTJOIN(CHAR(10),TRUE,IF(Profesor=base_de_datos[Profesor],IF("x"=base_de_datos[Lunes],IF(base_de_datos[Hora inicio]&lt;=$B9,IF(base_de_datos[Hora fin]&gt;=$C9,base_de_datos[Aula]&amp;" "&amp;#REF!,""),""),""),""),"")</f>
        <v/>
      </c>
      <c r="F9" s="29" t="str" cm="1">
        <f t="array" ref="F9">_xlfn.TEXTJOIN(CHAR(10),TRUE,IF(Profesor=base_de_datos[Profesor],IF("x"=base_de_datos[Lunes],IF(base_de_datos[Hora inicio]&lt;=$B9,IF(base_de_datos[Hora fin]&gt;=$C9,base_de_datos[No clase],""),""),""),""),"")</f>
        <v/>
      </c>
      <c r="G9" s="29" t="str" cm="1">
        <f t="array" ref="G9">_xlfn.TEXTJOIN(CHAR(10),TRUE,IF(Profesor=base_de_datos[Profesor],IF("x"=base_de_datos[Martes],IF(base_de_datos[Hora inicio]&lt;=$B9,IF(base_de_datos[Hora fin]&gt;=$C9,base_de_datos[Materia]&amp;" "&amp;base_de_datos[[Número de grupo ]],""),""),""),""),"")</f>
        <v>Álgebra 4</v>
      </c>
      <c r="H9" s="29" t="e" cm="1">
        <f t="array" ref="H9">_xlfn.TEXTJOIN(CHAR(10),TRUE,IF(Profesor=base_de_datos[Profesor],IF("x"=base_de_datos[Martes],IF(base_de_datos[Hora inicio]&lt;=$B9,IF(base_de_datos[Hora fin]&gt;=$C9,base_de_datos[Aula]&amp;" "&amp;#REF!,""),""),""),""),"")</f>
        <v>#REF!</v>
      </c>
      <c r="I9" s="29" t="str" cm="1">
        <f t="array" ref="I9">_xlfn.TEXTJOIN(CHAR(10),TRUE,IF(Profesor=base_de_datos[Profesor],IF("x"=base_de_datos[Martes],IF(base_de_datos[Hora inicio]&lt;=$B9,IF(base_de_datos[Hora fin]&gt;=$C9,base_de_datos[No clase],""),""),""),""),"")</f>
        <v>1435, 1440, 1445</v>
      </c>
      <c r="J9" s="29" t="str" cm="1">
        <f t="array" ref="J9">_xlfn.TEXTJOIN(CHAR(10),TRUE,IF(Profesor=base_de_datos[Profesor],IF("x"=base_de_datos[Miércoles],IF(base_de_datos[Hora inicio]&lt;=$B9,IF(base_de_datos[Hora fin]&gt;=$C9,base_de_datos[Materia]&amp;" "&amp;base_de_datos[[Número de grupo ]],""),""),""),""),"")</f>
        <v/>
      </c>
      <c r="K9" s="29" t="str" cm="1">
        <f t="array" ref="K9">_xlfn.TEXTJOIN(CHAR(10),TRUE,IF(Profesor=base_de_datos[Profesor],IF("x"=base_de_datos[Miércoles],IF(base_de_datos[Hora inicio]&lt;=$B9,IF(base_de_datos[Hora fin]&gt;=$C9,base_de_datos[Aula]&amp;" "&amp;#REF!,""),""),""),""),"")</f>
        <v/>
      </c>
      <c r="L9" s="29" t="str" cm="1">
        <f t="array" ref="L9">_xlfn.TEXTJOIN(CHAR(10),TRUE,IF(Profesor=base_de_datos[Profesor],IF("x"=base_de_datos[Miércoles],IF(base_de_datos[Hora inicio]&lt;=$B9,IF(base_de_datos[Hora fin]&gt;=$C9,base_de_datos[No clase],""),""),""),""),"")</f>
        <v/>
      </c>
      <c r="M9" s="29" t="str" cm="1">
        <f t="array" ref="M9">_xlfn.TEXTJOIN(CHAR(10),TRUE,IF(Profesor=base_de_datos[Profesor],IF("x"=base_de_datos[Jueves],IF(base_de_datos[Hora inicio]&lt;=$B9,IF(base_de_datos[Hora fin]&gt;=$C9,base_de_datos[Materia]&amp;" "&amp;base_de_datos[[Número de grupo ]],""),""),""),""),"")</f>
        <v>Álgebra 4</v>
      </c>
      <c r="N9" s="29" t="e" cm="1">
        <f t="array" ref="N9">_xlfn.TEXTJOIN(CHAR(10),TRUE,IF(Profesor=base_de_datos[Profesor],IF("x"=base_de_datos[Jueves],IF(base_de_datos[Hora inicio]&lt;=$B9,IF(base_de_datos[Hora fin]&gt;=$C9,base_de_datos[Aula]&amp;" "&amp;#REF!,""),""),""),""),"")</f>
        <v>#REF!</v>
      </c>
      <c r="O9" s="29" t="str" cm="1">
        <f t="array" ref="O9">_xlfn.TEXTJOIN(CHAR(10),TRUE,IF(Profesor=base_de_datos[Profesor],IF("x"=base_de_datos[Jueves],IF(base_de_datos[Hora inicio]&lt;=$B9,IF(base_de_datos[Hora fin]&gt;=$C9,base_de_datos[No clase],""),""),""),""),"")</f>
        <v>1435, 1440, 1445</v>
      </c>
      <c r="P9" s="29" t="str" cm="1">
        <f t="array" ref="P9">_xlfn.TEXTJOIN(CHAR(10),TRUE,IF(Profesor=base_de_datos[Profesor],IF("x"=base_de_datos[Viernes],IF(base_de_datos[Hora inicio]&lt;=$B9,IF(base_de_datos[Hora fin]&gt;=$C9,base_de_datos[Materia]&amp;" "&amp;base_de_datos[[Número de grupo ]],""),""),""),""),"")</f>
        <v/>
      </c>
      <c r="Q9" s="29" t="str" cm="1">
        <f t="array" ref="Q9">_xlfn.TEXTJOIN(CHAR(10),TRUE,IF(Profesor=base_de_datos[Profesor],IF("x"=base_de_datos[Viernes],IF(base_de_datos[Hora inicio]&lt;=$B9,IF(base_de_datos[Hora fin]&gt;=$C9,base_de_datos[Aula]&amp;" "&amp;#REF!,""),""),""),""),"")</f>
        <v/>
      </c>
      <c r="R9" s="29" t="str" cm="1">
        <f t="array" ref="R9">_xlfn.TEXTJOIN(CHAR(10),TRUE,IF(Profesor=base_de_datos[Profesor],IF("x"=base_de_datos[Viernes],IF(base_de_datos[Hora inicio]&lt;=$B9,IF(base_de_datos[Hora fin]&gt;=$C9,base_de_datos[No clase],""),""),""),""),"")</f>
        <v/>
      </c>
      <c r="S9" s="29" t="str" cm="1">
        <f t="array" ref="S9">_xlfn.TEXTJOIN(CHAR(10),TRUE,IF(Profesor=base_de_datos[Profesor],IF("x"=base_de_datos[Sábado],IF(base_de_datos[Hora inicio]&lt;=$B9,IF(base_de_datos[Hora fin]&gt;=$C9,base_de_datos[Materia]&amp;" "&amp;base_de_datos[[Número de grupo ]],""),""),""),""),"")</f>
        <v/>
      </c>
      <c r="T9" s="29" t="str" cm="1">
        <f t="array" ref="T9">_xlfn.TEXTJOIN(CHAR(10),TRUE,IF(Profesor=base_de_datos[Profesor],IF("x"=base_de_datos[Sábado],IF(base_de_datos[Hora inicio]&lt;=$B9,IF(base_de_datos[Hora fin]&gt;=$C9,base_de_datos[Aula]&amp;" "&amp;#REF!,""),""),""),""),"")</f>
        <v/>
      </c>
      <c r="U9" s="29" t="str" cm="1">
        <f t="array" ref="U9">_xlfn.TEXTJOIN(CHAR(10),TRUE,IF(Profesor=base_de_datos[Profesor],IF("x"=base_de_datos[Sábado],IF(base_de_datos[Hora inicio]&lt;=$B9,IF(base_de_datos[Hora fin]&gt;=$C9,base_de_datos[No clase],""),""),""),""),"")</f>
        <v/>
      </c>
      <c r="AB9" s="28"/>
      <c r="AC9" s="28"/>
      <c r="AD9" s="28"/>
    </row>
    <row r="10" spans="1:32" ht="30">
      <c r="B10" s="206">
        <v>0.39583333333333398</v>
      </c>
      <c r="C10" s="206">
        <v>0.41666666666666502</v>
      </c>
      <c r="D10" s="29" t="str" cm="1">
        <f t="array" ref="D10">_xlfn.TEXTJOIN(CHAR(10),TRUE,IF(Profesor=base_de_datos[Profesor],IF("x"=base_de_datos[Lunes],IF(base_de_datos[Hora inicio]&lt;=$B10,IF(base_de_datos[Hora fin]&gt;=$C10,base_de_datos[Materia]&amp;" "&amp;base_de_datos[[Número de grupo ]],""),""),""),""),"")</f>
        <v/>
      </c>
      <c r="E10" s="29" t="str" cm="1">
        <f t="array" ref="E10">_xlfn.TEXTJOIN(CHAR(10),TRUE,IF(Profesor=base_de_datos[Profesor],IF("x"=base_de_datos[Lunes],IF(base_de_datos[Hora inicio]&lt;=$B10,IF(base_de_datos[Hora fin]&gt;=$C10,base_de_datos[Aula]&amp;" "&amp;#REF!,""),""),""),""),"")</f>
        <v/>
      </c>
      <c r="F10" s="29" t="str" cm="1">
        <f t="array" ref="F10">_xlfn.TEXTJOIN(CHAR(10),TRUE,IF(Profesor=base_de_datos[Profesor],IF("x"=base_de_datos[Lunes],IF(base_de_datos[Hora inicio]&lt;=$B10,IF(base_de_datos[Hora fin]&gt;=$C10,base_de_datos[No clase],""),""),""),""),"")</f>
        <v/>
      </c>
      <c r="G10" s="29" t="str" cm="1">
        <f t="array" ref="G10">_xlfn.TEXTJOIN(CHAR(10),TRUE,IF(Profesor=base_de_datos[Profesor],IF("x"=base_de_datos[Martes],IF(base_de_datos[Hora inicio]&lt;=$B10,IF(base_de_datos[Hora fin]&gt;=$C10,base_de_datos[Materia]&amp;" "&amp;base_de_datos[[Número de grupo ]],""),""),""),""),"")</f>
        <v>Álgebra 4</v>
      </c>
      <c r="H10" s="29" t="e" cm="1">
        <f t="array" ref="H10">_xlfn.TEXTJOIN(CHAR(10),TRUE,IF(Profesor=base_de_datos[Profesor],IF("x"=base_de_datos[Martes],IF(base_de_datos[Hora inicio]&lt;=$B10,IF(base_de_datos[Hora fin]&gt;=$C10,base_de_datos[Aula]&amp;" "&amp;#REF!,""),""),""),""),"")</f>
        <v>#REF!</v>
      </c>
      <c r="I10" s="29" t="str" cm="1">
        <f t="array" ref="I10">_xlfn.TEXTJOIN(CHAR(10),TRUE,IF(Profesor=base_de_datos[Profesor],IF("x"=base_de_datos[Martes],IF(base_de_datos[Hora inicio]&lt;=$B10,IF(base_de_datos[Hora fin]&gt;=$C10,base_de_datos[No clase],""),""),""),""),"")</f>
        <v>1435, 1440, 1445</v>
      </c>
      <c r="J10" s="29" t="str" cm="1">
        <f t="array" ref="J10">_xlfn.TEXTJOIN(CHAR(10),TRUE,IF(Profesor=base_de_datos[Profesor],IF("x"=base_de_datos[Miércoles],IF(base_de_datos[Hora inicio]&lt;=$B10,IF(base_de_datos[Hora fin]&gt;=$C10,base_de_datos[Materia]&amp;" "&amp;base_de_datos[[Número de grupo ]],""),""),""),""),"")</f>
        <v/>
      </c>
      <c r="K10" s="29" t="str" cm="1">
        <f t="array" ref="K10">_xlfn.TEXTJOIN(CHAR(10),TRUE,IF(Profesor=base_de_datos[Profesor],IF("x"=base_de_datos[Miércoles],IF(base_de_datos[Hora inicio]&lt;=$B10,IF(base_de_datos[Hora fin]&gt;=$C10,base_de_datos[Aula]&amp;" "&amp;#REF!,""),""),""),""),"")</f>
        <v/>
      </c>
      <c r="L10" s="29" t="str" cm="1">
        <f t="array" ref="L10">_xlfn.TEXTJOIN(CHAR(10),TRUE,IF(Profesor=base_de_datos[Profesor],IF("x"=base_de_datos[Miércoles],IF(base_de_datos[Hora inicio]&lt;=$B10,IF(base_de_datos[Hora fin]&gt;=$C10,base_de_datos[No clase],""),""),""),""),"")</f>
        <v/>
      </c>
      <c r="M10" s="29" t="str" cm="1">
        <f t="array" ref="M10">_xlfn.TEXTJOIN(CHAR(10),TRUE,IF(Profesor=base_de_datos[Profesor],IF("x"=base_de_datos[Jueves],IF(base_de_datos[Hora inicio]&lt;=$B10,IF(base_de_datos[Hora fin]&gt;=$C10,base_de_datos[Materia]&amp;" "&amp;base_de_datos[[Número de grupo ]],""),""),""),""),"")</f>
        <v>Álgebra 4</v>
      </c>
      <c r="N10" s="29" t="e" cm="1">
        <f t="array" ref="N10">_xlfn.TEXTJOIN(CHAR(10),TRUE,IF(Profesor=base_de_datos[Profesor],IF("x"=base_de_datos[Jueves],IF(base_de_datos[Hora inicio]&lt;=$B10,IF(base_de_datos[Hora fin]&gt;=$C10,base_de_datos[Aula]&amp;" "&amp;#REF!,""),""),""),""),"")</f>
        <v>#REF!</v>
      </c>
      <c r="O10" s="29" t="str" cm="1">
        <f t="array" ref="O10">_xlfn.TEXTJOIN(CHAR(10),TRUE,IF(Profesor=base_de_datos[Profesor],IF("x"=base_de_datos[Jueves],IF(base_de_datos[Hora inicio]&lt;=$B10,IF(base_de_datos[Hora fin]&gt;=$C10,base_de_datos[No clase],""),""),""),""),"")</f>
        <v>1435, 1440, 1445</v>
      </c>
      <c r="P10" s="29" t="str" cm="1">
        <f t="array" ref="P10">_xlfn.TEXTJOIN(CHAR(10),TRUE,IF(Profesor=base_de_datos[Profesor],IF("x"=base_de_datos[Viernes],IF(base_de_datos[Hora inicio]&lt;=$B10,IF(base_de_datos[Hora fin]&gt;=$C10,base_de_datos[Materia]&amp;" "&amp;base_de_datos[[Número de grupo ]],""),""),""),""),"")</f>
        <v/>
      </c>
      <c r="Q10" s="29" t="str" cm="1">
        <f t="array" ref="Q10">_xlfn.TEXTJOIN(CHAR(10),TRUE,IF(Profesor=base_de_datos[Profesor],IF("x"=base_de_datos[Viernes],IF(base_de_datos[Hora inicio]&lt;=$B10,IF(base_de_datos[Hora fin]&gt;=$C10,base_de_datos[Aula]&amp;" "&amp;#REF!,""),""),""),""),"")</f>
        <v/>
      </c>
      <c r="R10" s="29" t="str" cm="1">
        <f t="array" ref="R10">_xlfn.TEXTJOIN(CHAR(10),TRUE,IF(Profesor=base_de_datos[Profesor],IF("x"=base_de_datos[Viernes],IF(base_de_datos[Hora inicio]&lt;=$B10,IF(base_de_datos[Hora fin]&gt;=$C10,base_de_datos[No clase],""),""),""),""),"")</f>
        <v/>
      </c>
      <c r="S10" s="29" t="str" cm="1">
        <f t="array" ref="S10">_xlfn.TEXTJOIN(CHAR(10),TRUE,IF(Profesor=base_de_datos[Profesor],IF("x"=base_de_datos[Sábado],IF(base_de_datos[Hora inicio]&lt;=$B10,IF(base_de_datos[Hora fin]&gt;=$C10,base_de_datos[Materia]&amp;" "&amp;base_de_datos[[Número de grupo ]],""),""),""),""),"")</f>
        <v/>
      </c>
      <c r="T10" s="29" t="str" cm="1">
        <f t="array" ref="T10">_xlfn.TEXTJOIN(CHAR(10),TRUE,IF(Profesor=base_de_datos[Profesor],IF("x"=base_de_datos[Sábado],IF(base_de_datos[Hora inicio]&lt;=$B10,IF(base_de_datos[Hora fin]&gt;=$C10,base_de_datos[Aula]&amp;" "&amp;#REF!,""),""),""),""),"")</f>
        <v/>
      </c>
      <c r="U10" s="29" t="str" cm="1">
        <f t="array" ref="U10">_xlfn.TEXTJOIN(CHAR(10),TRUE,IF(Profesor=base_de_datos[Profesor],IF("x"=base_de_datos[Sábado],IF(base_de_datos[Hora inicio]&lt;=$B10,IF(base_de_datos[Hora fin]&gt;=$C10,base_de_datos[No clase],""),""),""),""),"")</f>
        <v/>
      </c>
      <c r="AB10" s="28"/>
      <c r="AC10" s="28"/>
      <c r="AD10" s="28"/>
    </row>
    <row r="11" spans="1:32" ht="30">
      <c r="B11" s="206">
        <v>0.41666666666666702</v>
      </c>
      <c r="C11" s="206">
        <v>0.437499999999998</v>
      </c>
      <c r="D11" s="29" t="str" cm="1">
        <f t="array" ref="D11">_xlfn.TEXTJOIN(CHAR(10),TRUE,IF(Profesor=base_de_datos[Profesor],IF("x"=base_de_datos[Lunes],IF(base_de_datos[Hora inicio]&lt;=$B11,IF(base_de_datos[Hora fin]&gt;=$C11,base_de_datos[Materia]&amp;" "&amp;base_de_datos[[Número de grupo ]],""),""),""),""),"")</f>
        <v/>
      </c>
      <c r="E11" s="29" t="str" cm="1">
        <f t="array" ref="E11">_xlfn.TEXTJOIN(CHAR(10),TRUE,IF(Profesor=base_de_datos[Profesor],IF("x"=base_de_datos[Lunes],IF(base_de_datos[Hora inicio]&lt;=$B11,IF(base_de_datos[Hora fin]&gt;=$C11,base_de_datos[Aula]&amp;" "&amp;#REF!,""),""),""),""),"")</f>
        <v/>
      </c>
      <c r="F11" s="29" t="str" cm="1">
        <f t="array" ref="F11">_xlfn.TEXTJOIN(CHAR(10),TRUE,IF(Profesor=base_de_datos[Profesor],IF("x"=base_de_datos[Lunes],IF(base_de_datos[Hora inicio]&lt;=$B11,IF(base_de_datos[Hora fin]&gt;=$C11,base_de_datos[No clase],""),""),""),""),"")</f>
        <v/>
      </c>
      <c r="G11" s="29" t="str" cm="1">
        <f t="array" ref="G11">_xlfn.TEXTJOIN(CHAR(10),TRUE,IF(Profesor=base_de_datos[Profesor],IF("x"=base_de_datos[Martes],IF(base_de_datos[Hora inicio]&lt;=$B11,IF(base_de_datos[Hora fin]&gt;=$C11,base_de_datos[Materia]&amp;" "&amp;base_de_datos[[Número de grupo ]],""),""),""),""),"")</f>
        <v>Álgebra 4</v>
      </c>
      <c r="H11" s="29" t="e" cm="1">
        <f t="array" ref="H11">_xlfn.TEXTJOIN(CHAR(10),TRUE,IF(Profesor=base_de_datos[Profesor],IF("x"=base_de_datos[Martes],IF(base_de_datos[Hora inicio]&lt;=$B11,IF(base_de_datos[Hora fin]&gt;=$C11,base_de_datos[Aula]&amp;" "&amp;#REF!,""),""),""),""),"")</f>
        <v>#REF!</v>
      </c>
      <c r="I11" s="29" t="str" cm="1">
        <f t="array" ref="I11">_xlfn.TEXTJOIN(CHAR(10),TRUE,IF(Profesor=base_de_datos[Profesor],IF("x"=base_de_datos[Martes],IF(base_de_datos[Hora inicio]&lt;=$B11,IF(base_de_datos[Hora fin]&gt;=$C11,base_de_datos[No clase],""),""),""),""),"")</f>
        <v>1435, 1440, 1445</v>
      </c>
      <c r="J11" s="29" t="str" cm="1">
        <f t="array" ref="J11">_xlfn.TEXTJOIN(CHAR(10),TRUE,IF(Profesor=base_de_datos[Profesor],IF("x"=base_de_datos[Miércoles],IF(base_de_datos[Hora inicio]&lt;=$B11,IF(base_de_datos[Hora fin]&gt;=$C11,base_de_datos[Materia]&amp;" "&amp;base_de_datos[[Número de grupo ]],""),""),""),""),"")</f>
        <v/>
      </c>
      <c r="K11" s="29" t="str" cm="1">
        <f t="array" ref="K11">_xlfn.TEXTJOIN(CHAR(10),TRUE,IF(Profesor=base_de_datos[Profesor],IF("x"=base_de_datos[Miércoles],IF(base_de_datos[Hora inicio]&lt;=$B11,IF(base_de_datos[Hora fin]&gt;=$C11,base_de_datos[Aula]&amp;" "&amp;#REF!,""),""),""),""),"")</f>
        <v/>
      </c>
      <c r="L11" s="29" t="str" cm="1">
        <f t="array" ref="L11">_xlfn.TEXTJOIN(CHAR(10),TRUE,IF(Profesor=base_de_datos[Profesor],IF("x"=base_de_datos[Miércoles],IF(base_de_datos[Hora inicio]&lt;=$B11,IF(base_de_datos[Hora fin]&gt;=$C11,base_de_datos[No clase],""),""),""),""),"")</f>
        <v/>
      </c>
      <c r="M11" s="29" t="str" cm="1">
        <f t="array" ref="M11">_xlfn.TEXTJOIN(CHAR(10),TRUE,IF(Profesor=base_de_datos[Profesor],IF("x"=base_de_datos[Jueves],IF(base_de_datos[Hora inicio]&lt;=$B11,IF(base_de_datos[Hora fin]&gt;=$C11,base_de_datos[Materia]&amp;" "&amp;base_de_datos[[Número de grupo ]],""),""),""),""),"")</f>
        <v>Álgebra 4</v>
      </c>
      <c r="N11" s="29" t="e" cm="1">
        <f t="array" ref="N11">_xlfn.TEXTJOIN(CHAR(10),TRUE,IF(Profesor=base_de_datos[Profesor],IF("x"=base_de_datos[Jueves],IF(base_de_datos[Hora inicio]&lt;=$B11,IF(base_de_datos[Hora fin]&gt;=$C11,base_de_datos[Aula]&amp;" "&amp;#REF!,""),""),""),""),"")</f>
        <v>#REF!</v>
      </c>
      <c r="O11" s="29" t="str" cm="1">
        <f t="array" ref="O11">_xlfn.TEXTJOIN(CHAR(10),TRUE,IF(Profesor=base_de_datos[Profesor],IF("x"=base_de_datos[Jueves],IF(base_de_datos[Hora inicio]&lt;=$B11,IF(base_de_datos[Hora fin]&gt;=$C11,base_de_datos[No clase],""),""),""),""),"")</f>
        <v>1435, 1440, 1445</v>
      </c>
      <c r="P11" s="29" t="str" cm="1">
        <f t="array" ref="P11">_xlfn.TEXTJOIN(CHAR(10),TRUE,IF(Profesor=base_de_datos[Profesor],IF("x"=base_de_datos[Viernes],IF(base_de_datos[Hora inicio]&lt;=$B11,IF(base_de_datos[Hora fin]&gt;=$C11,base_de_datos[Materia]&amp;" "&amp;base_de_datos[[Número de grupo ]],""),""),""),""),"")</f>
        <v/>
      </c>
      <c r="Q11" s="29" t="str" cm="1">
        <f t="array" ref="Q11">_xlfn.TEXTJOIN(CHAR(10),TRUE,IF(Profesor=base_de_datos[Profesor],IF("x"=base_de_datos[Viernes],IF(base_de_datos[Hora inicio]&lt;=$B11,IF(base_de_datos[Hora fin]&gt;=$C11,base_de_datos[Aula]&amp;" "&amp;#REF!,""),""),""),""),"")</f>
        <v/>
      </c>
      <c r="R11" s="29" t="str" cm="1">
        <f t="array" ref="R11">_xlfn.TEXTJOIN(CHAR(10),TRUE,IF(Profesor=base_de_datos[Profesor],IF("x"=base_de_datos[Viernes],IF(base_de_datos[Hora inicio]&lt;=$B11,IF(base_de_datos[Hora fin]&gt;=$C11,base_de_datos[No clase],""),""),""),""),"")</f>
        <v/>
      </c>
      <c r="S11" s="29" t="str" cm="1">
        <f t="array" ref="S11">_xlfn.TEXTJOIN(CHAR(10),TRUE,IF(Profesor=base_de_datos[Profesor],IF("x"=base_de_datos[Sábado],IF(base_de_datos[Hora inicio]&lt;=$B11,IF(base_de_datos[Hora fin]&gt;=$C11,base_de_datos[Materia]&amp;" "&amp;base_de_datos[[Número de grupo ]],""),""),""),""),"")</f>
        <v/>
      </c>
      <c r="T11" s="29" t="str" cm="1">
        <f t="array" ref="T11">_xlfn.TEXTJOIN(CHAR(10),TRUE,IF(Profesor=base_de_datos[Profesor],IF("x"=base_de_datos[Sábado],IF(base_de_datos[Hora inicio]&lt;=$B11,IF(base_de_datos[Hora fin]&gt;=$C11,base_de_datos[Aula]&amp;" "&amp;#REF!,""),""),""),""),"")</f>
        <v/>
      </c>
      <c r="U11" s="29" t="str" cm="1">
        <f t="array" ref="U11">_xlfn.TEXTJOIN(CHAR(10),TRUE,IF(Profesor=base_de_datos[Profesor],IF("x"=base_de_datos[Sábado],IF(base_de_datos[Hora inicio]&lt;=$B11,IF(base_de_datos[Hora fin]&gt;=$C11,base_de_datos[No clase],""),""),""),""),"")</f>
        <v/>
      </c>
      <c r="AB11" s="28"/>
      <c r="AC11" s="28"/>
      <c r="AD11" s="28"/>
    </row>
    <row r="12" spans="1:32" ht="30">
      <c r="B12" s="206">
        <v>0.4375</v>
      </c>
      <c r="C12" s="206">
        <v>0.45833333333333098</v>
      </c>
      <c r="D12" s="29" t="str" cm="1">
        <f t="array" ref="D12">_xlfn.TEXTJOIN(CHAR(10),TRUE,IF(Profesor=base_de_datos[Profesor],IF("x"=base_de_datos[Lunes],IF(base_de_datos[Hora inicio]&lt;=$B12,IF(base_de_datos[Hora fin]&gt;=$C12,base_de_datos[Materia]&amp;" "&amp;base_de_datos[[Número de grupo ]],""),""),""),""),"")</f>
        <v/>
      </c>
      <c r="E12" s="29" t="str" cm="1">
        <f t="array" ref="E12">_xlfn.TEXTJOIN(CHAR(10),TRUE,IF(Profesor=base_de_datos[Profesor],IF("x"=base_de_datos[Lunes],IF(base_de_datos[Hora inicio]&lt;=$B12,IF(base_de_datos[Hora fin]&gt;=$C12,base_de_datos[Aula]&amp;" "&amp;#REF!,""),""),""),""),"")</f>
        <v/>
      </c>
      <c r="F12" s="29" t="str" cm="1">
        <f t="array" ref="F12">_xlfn.TEXTJOIN(CHAR(10),TRUE,IF(Profesor=base_de_datos[Profesor],IF("x"=base_de_datos[Lunes],IF(base_de_datos[Hora inicio]&lt;=$B12,IF(base_de_datos[Hora fin]&gt;=$C12,base_de_datos[No clase],""),""),""),""),"")</f>
        <v/>
      </c>
      <c r="G12" s="29" t="str" cm="1">
        <f t="array" ref="G12">_xlfn.TEXTJOIN(CHAR(10),TRUE,IF(Profesor=base_de_datos[Profesor],IF("x"=base_de_datos[Martes],IF(base_de_datos[Hora inicio]&lt;=$B12,IF(base_de_datos[Hora fin]&gt;=$C12,base_de_datos[Materia]&amp;" "&amp;base_de_datos[[Número de grupo ]],""),""),""),""),"")</f>
        <v>Álgebra 4</v>
      </c>
      <c r="H12" s="29" t="e" cm="1">
        <f t="array" ref="H12">_xlfn.TEXTJOIN(CHAR(10),TRUE,IF(Profesor=base_de_datos[Profesor],IF("x"=base_de_datos[Martes],IF(base_de_datos[Hora inicio]&lt;=$B12,IF(base_de_datos[Hora fin]&gt;=$C12,base_de_datos[Aula]&amp;" "&amp;#REF!,""),""),""),""),"")</f>
        <v>#REF!</v>
      </c>
      <c r="I12" s="29" t="str" cm="1">
        <f t="array" ref="I12">_xlfn.TEXTJOIN(CHAR(10),TRUE,IF(Profesor=base_de_datos[Profesor],IF("x"=base_de_datos[Martes],IF(base_de_datos[Hora inicio]&lt;=$B12,IF(base_de_datos[Hora fin]&gt;=$C12,base_de_datos[No clase],""),""),""),""),"")</f>
        <v>1435, 1440, 1445</v>
      </c>
      <c r="J12" s="29" t="str" cm="1">
        <f t="array" ref="J12">_xlfn.TEXTJOIN(CHAR(10),TRUE,IF(Profesor=base_de_datos[Profesor],IF("x"=base_de_datos[Miércoles],IF(base_de_datos[Hora inicio]&lt;=$B12,IF(base_de_datos[Hora fin]&gt;=$C12,base_de_datos[Materia]&amp;" "&amp;base_de_datos[[Número de grupo ]],""),""),""),""),"")</f>
        <v/>
      </c>
      <c r="K12" s="29" t="str" cm="1">
        <f t="array" ref="K12">_xlfn.TEXTJOIN(CHAR(10),TRUE,IF(Profesor=base_de_datos[Profesor],IF("x"=base_de_datos[Miércoles],IF(base_de_datos[Hora inicio]&lt;=$B12,IF(base_de_datos[Hora fin]&gt;=$C12,base_de_datos[Aula]&amp;" "&amp;#REF!,""),""),""),""),"")</f>
        <v/>
      </c>
      <c r="L12" s="29" t="str" cm="1">
        <f t="array" ref="L12">_xlfn.TEXTJOIN(CHAR(10),TRUE,IF(Profesor=base_de_datos[Profesor],IF("x"=base_de_datos[Miércoles],IF(base_de_datos[Hora inicio]&lt;=$B12,IF(base_de_datos[Hora fin]&gt;=$C12,base_de_datos[No clase],""),""),""),""),"")</f>
        <v/>
      </c>
      <c r="M12" s="29" t="str" cm="1">
        <f t="array" ref="M12">_xlfn.TEXTJOIN(CHAR(10),TRUE,IF(Profesor=base_de_datos[Profesor],IF("x"=base_de_datos[Jueves],IF(base_de_datos[Hora inicio]&lt;=$B12,IF(base_de_datos[Hora fin]&gt;=$C12,base_de_datos[Materia]&amp;" "&amp;base_de_datos[[Número de grupo ]],""),""),""),""),"")</f>
        <v>Álgebra 4</v>
      </c>
      <c r="N12" s="29" t="e" cm="1">
        <f t="array" ref="N12">_xlfn.TEXTJOIN(CHAR(10),TRUE,IF(Profesor=base_de_datos[Profesor],IF("x"=base_de_datos[Jueves],IF(base_de_datos[Hora inicio]&lt;=$B12,IF(base_de_datos[Hora fin]&gt;=$C12,base_de_datos[Aula]&amp;" "&amp;#REF!,""),""),""),""),"")</f>
        <v>#REF!</v>
      </c>
      <c r="O12" s="29" t="str" cm="1">
        <f t="array" ref="O12">_xlfn.TEXTJOIN(CHAR(10),TRUE,IF(Profesor=base_de_datos[Profesor],IF("x"=base_de_datos[Jueves],IF(base_de_datos[Hora inicio]&lt;=$B12,IF(base_de_datos[Hora fin]&gt;=$C12,base_de_datos[No clase],""),""),""),""),"")</f>
        <v>1435, 1440, 1445</v>
      </c>
      <c r="P12" s="29" t="str" cm="1">
        <f t="array" ref="P12">_xlfn.TEXTJOIN(CHAR(10),TRUE,IF(Profesor=base_de_datos[Profesor],IF("x"=base_de_datos[Viernes],IF(base_de_datos[Hora inicio]&lt;=$B12,IF(base_de_datos[Hora fin]&gt;=$C12,base_de_datos[Materia]&amp;" "&amp;base_de_datos[[Número de grupo ]],""),""),""),""),"")</f>
        <v/>
      </c>
      <c r="Q12" s="29" t="str" cm="1">
        <f t="array" ref="Q12">_xlfn.TEXTJOIN(CHAR(10),TRUE,IF(Profesor=base_de_datos[Profesor],IF("x"=base_de_datos[Viernes],IF(base_de_datos[Hora inicio]&lt;=$B12,IF(base_de_datos[Hora fin]&gt;=$C12,base_de_datos[Aula]&amp;" "&amp;#REF!,""),""),""),""),"")</f>
        <v/>
      </c>
      <c r="R12" s="29" t="str" cm="1">
        <f t="array" ref="R12">_xlfn.TEXTJOIN(CHAR(10),TRUE,IF(Profesor=base_de_datos[Profesor],IF("x"=base_de_datos[Viernes],IF(base_de_datos[Hora inicio]&lt;=$B12,IF(base_de_datos[Hora fin]&gt;=$C12,base_de_datos[No clase],""),""),""),""),"")</f>
        <v/>
      </c>
      <c r="S12" s="29" t="str" cm="1">
        <f t="array" ref="S12">_xlfn.TEXTJOIN(CHAR(10),TRUE,IF(Profesor=base_de_datos[Profesor],IF("x"=base_de_datos[Sábado],IF(base_de_datos[Hora inicio]&lt;=$B12,IF(base_de_datos[Hora fin]&gt;=$C12,base_de_datos[Materia]&amp;" "&amp;base_de_datos[[Número de grupo ]],""),""),""),""),"")</f>
        <v/>
      </c>
      <c r="T12" s="29" t="str" cm="1">
        <f t="array" ref="T12">_xlfn.TEXTJOIN(CHAR(10),TRUE,IF(Profesor=base_de_datos[Profesor],IF("x"=base_de_datos[Sábado],IF(base_de_datos[Hora inicio]&lt;=$B12,IF(base_de_datos[Hora fin]&gt;=$C12,base_de_datos[Aula]&amp;" "&amp;#REF!,""),""),""),""),"")</f>
        <v/>
      </c>
      <c r="U12" s="29" t="str" cm="1">
        <f t="array" ref="U12">_xlfn.TEXTJOIN(CHAR(10),TRUE,IF(Profesor=base_de_datos[Profesor],IF("x"=base_de_datos[Sábado],IF(base_de_datos[Hora inicio]&lt;=$B12,IF(base_de_datos[Hora fin]&gt;=$C12,base_de_datos[No clase],""),""),""),""),"")</f>
        <v/>
      </c>
      <c r="AB12" s="28"/>
      <c r="AC12" s="28"/>
      <c r="AD12" s="28"/>
    </row>
    <row r="13" spans="1:32" ht="15">
      <c r="B13" s="206">
        <v>0.45833333333333398</v>
      </c>
      <c r="C13" s="206">
        <v>0.47916666666666402</v>
      </c>
      <c r="D13" s="30" t="str" cm="1">
        <f t="array" ref="D13">_xlfn.TEXTJOIN(CHAR(10),TRUE,IF(Profesor=base_de_datos[Profesor],IF("x"=base_de_datos[Lunes],IF(base_de_datos[Hora inicio]&lt;=$B13,IF(base_de_datos[Hora fin]&gt;=$C13,base_de_datos[Materia]&amp;" "&amp;base_de_datos[[Número de grupo ]],""),""),""),""),"")</f>
        <v/>
      </c>
      <c r="E13" s="30" t="str" cm="1">
        <f t="array" ref="E13">_xlfn.TEXTJOIN(CHAR(10),TRUE,IF(Profesor=base_de_datos[Profesor],IF("x"=base_de_datos[Lunes],IF(base_de_datos[Hora inicio]&lt;=$B13,IF(base_de_datos[Hora fin]&gt;=$C13,base_de_datos[Aula]&amp;" "&amp;#REF!,""),""),""),""),"")</f>
        <v/>
      </c>
      <c r="F13" s="30" t="str" cm="1">
        <f t="array" ref="F13">_xlfn.TEXTJOIN(CHAR(10),TRUE,IF(Profesor=base_de_datos[Profesor],IF("x"=base_de_datos[Lunes],IF(base_de_datos[Hora inicio]&lt;=$B13,IF(base_de_datos[Hora fin]&gt;=$C13,base_de_datos[No clase],""),""),""),""),"")</f>
        <v/>
      </c>
      <c r="G13" s="30" t="str" cm="1">
        <f t="array" ref="G13">_xlfn.TEXTJOIN(CHAR(10),TRUE,IF(Profesor=base_de_datos[Profesor],IF("x"=base_de_datos[Martes],IF(base_de_datos[Hora inicio]&lt;=$B13,IF(base_de_datos[Hora fin]&gt;=$C13,base_de_datos[Materia]&amp;" "&amp;base_de_datos[[Número de grupo ]],""),""),""),""),"")</f>
        <v/>
      </c>
      <c r="H13" s="30" t="str" cm="1">
        <f t="array" ref="H13">_xlfn.TEXTJOIN(CHAR(10),TRUE,IF(Profesor=base_de_datos[Profesor],IF("x"=base_de_datos[Martes],IF(base_de_datos[Hora inicio]&lt;=$B13,IF(base_de_datos[Hora fin]&gt;=$C13,base_de_datos[Aula]&amp;" "&amp;#REF!,""),""),""),""),"")</f>
        <v/>
      </c>
      <c r="I13" s="30" t="str" cm="1">
        <f t="array" ref="I13">_xlfn.TEXTJOIN(CHAR(10),TRUE,IF(Profesor=base_de_datos[Profesor],IF("x"=base_de_datos[Martes],IF(base_de_datos[Hora inicio]&lt;=$B13,IF(base_de_datos[Hora fin]&gt;=$C13,base_de_datos[No clase],""),""),""),""),"")</f>
        <v/>
      </c>
      <c r="J13" s="30" t="str" cm="1">
        <f t="array" ref="J13">_xlfn.TEXTJOIN(CHAR(10),TRUE,IF(Profesor=base_de_datos[Profesor],IF("x"=base_de_datos[Miércoles],IF(base_de_datos[Hora inicio]&lt;=$B13,IF(base_de_datos[Hora fin]&gt;=$C13,base_de_datos[Materia]&amp;" "&amp;base_de_datos[[Número de grupo ]],""),""),""),""),"")</f>
        <v/>
      </c>
      <c r="K13" s="30" t="str" cm="1">
        <f t="array" ref="K13">_xlfn.TEXTJOIN(CHAR(10),TRUE,IF(Profesor=base_de_datos[Profesor],IF("x"=base_de_datos[Miércoles],IF(base_de_datos[Hora inicio]&lt;=$B13,IF(base_de_datos[Hora fin]&gt;=$C13,base_de_datos[Aula]&amp;" "&amp;#REF!,""),""),""),""),"")</f>
        <v/>
      </c>
      <c r="L13" s="30" t="str" cm="1">
        <f t="array" ref="L13">_xlfn.TEXTJOIN(CHAR(10),TRUE,IF(Profesor=base_de_datos[Profesor],IF("x"=base_de_datos[Miércoles],IF(base_de_datos[Hora inicio]&lt;=$B13,IF(base_de_datos[Hora fin]&gt;=$C13,base_de_datos[No clase],""),""),""),""),"")</f>
        <v/>
      </c>
      <c r="M13" s="30" t="str" cm="1">
        <f t="array" ref="M13">_xlfn.TEXTJOIN(CHAR(10),TRUE,IF(Profesor=base_de_datos[Profesor],IF("x"=base_de_datos[Jueves],IF(base_de_datos[Hora inicio]&lt;=$B13,IF(base_de_datos[Hora fin]&gt;=$C13,base_de_datos[Materia]&amp;" "&amp;base_de_datos[[Número de grupo ]],""),""),""),""),"")</f>
        <v/>
      </c>
      <c r="N13" s="30" t="str" cm="1">
        <f t="array" ref="N13">_xlfn.TEXTJOIN(CHAR(10),TRUE,IF(Profesor=base_de_datos[Profesor],IF("x"=base_de_datos[Jueves],IF(base_de_datos[Hora inicio]&lt;=$B13,IF(base_de_datos[Hora fin]&gt;=$C13,base_de_datos[Aula]&amp;" "&amp;#REF!,""),""),""),""),"")</f>
        <v/>
      </c>
      <c r="O13" s="30" t="str" cm="1">
        <f t="array" ref="O13">_xlfn.TEXTJOIN(CHAR(10),TRUE,IF(Profesor=base_de_datos[Profesor],IF("x"=base_de_datos[Jueves],IF(base_de_datos[Hora inicio]&lt;=$B13,IF(base_de_datos[Hora fin]&gt;=$C13,base_de_datos[No clase],""),""),""),""),"")</f>
        <v/>
      </c>
      <c r="P13" s="30" t="str" cm="1">
        <f t="array" ref="P13">_xlfn.TEXTJOIN(CHAR(10),TRUE,IF(Profesor=base_de_datos[Profesor],IF("x"=base_de_datos[Viernes],IF(base_de_datos[Hora inicio]&lt;=$B13,IF(base_de_datos[Hora fin]&gt;=$C13,base_de_datos[Materia]&amp;" "&amp;base_de_datos[[Número de grupo ]],""),""),""),""),"")</f>
        <v/>
      </c>
      <c r="Q13" s="29" t="str" cm="1">
        <f t="array" ref="Q13">_xlfn.TEXTJOIN(CHAR(10),TRUE,IF(Profesor=base_de_datos[Profesor],IF("x"=base_de_datos[Viernes],IF(base_de_datos[Hora inicio]&lt;=$B13,IF(base_de_datos[Hora fin]&gt;=$C13,base_de_datos[Aula]&amp;" "&amp;#REF!,""),""),""),""),"")</f>
        <v/>
      </c>
      <c r="R13" s="29" t="str" cm="1">
        <f t="array" ref="R13">_xlfn.TEXTJOIN(CHAR(10),TRUE,IF(Profesor=base_de_datos[Profesor],IF("x"=base_de_datos[Viernes],IF(base_de_datos[Hora inicio]&lt;=$B13,IF(base_de_datos[Hora fin]&gt;=$C13,base_de_datos[No clase],""),""),""),""),"")</f>
        <v/>
      </c>
      <c r="S13" s="29" t="str" cm="1">
        <f t="array" ref="S13">_xlfn.TEXTJOIN(CHAR(10),TRUE,IF(Profesor=base_de_datos[Profesor],IF("x"=base_de_datos[Sábado],IF(base_de_datos[Hora inicio]&lt;=$B13,IF(base_de_datos[Hora fin]&gt;=$C13,base_de_datos[Materia]&amp;" "&amp;base_de_datos[[Número de grupo ]],""),""),""),""),"")</f>
        <v/>
      </c>
      <c r="T13" s="29" t="str" cm="1">
        <f t="array" ref="T13">_xlfn.TEXTJOIN(CHAR(10),TRUE,IF(Profesor=base_de_datos[Profesor],IF("x"=base_de_datos[Sábado],IF(base_de_datos[Hora inicio]&lt;=$B13,IF(base_de_datos[Hora fin]&gt;=$C13,base_de_datos[Aula]&amp;" "&amp;#REF!,""),""),""),""),"")</f>
        <v/>
      </c>
      <c r="U13" s="29" t="str" cm="1">
        <f t="array" ref="U13">_xlfn.TEXTJOIN(CHAR(10),TRUE,IF(Profesor=base_de_datos[Profesor],IF("x"=base_de_datos[Sábado],IF(base_de_datos[Hora inicio]&lt;=$B13,IF(base_de_datos[Hora fin]&gt;=$C13,base_de_datos[No clase],""),""),""),""),"")</f>
        <v/>
      </c>
      <c r="AB13" s="28"/>
      <c r="AC13" s="28"/>
      <c r="AD13" s="28"/>
    </row>
    <row r="14" spans="1:32" ht="15">
      <c r="B14" s="206">
        <v>0.47916666666666702</v>
      </c>
      <c r="C14" s="206">
        <v>0.499999999999997</v>
      </c>
      <c r="D14" s="30" t="str" cm="1">
        <f t="array" ref="D14">_xlfn.TEXTJOIN(CHAR(10),TRUE,IF(Profesor=base_de_datos[Profesor],IF("x"=base_de_datos[Lunes],IF(base_de_datos[Hora inicio]&lt;=$B14,IF(base_de_datos[Hora fin]&gt;=$C14,base_de_datos[Materia]&amp;" "&amp;base_de_datos[[Número de grupo ]],""),""),""),""),"")</f>
        <v/>
      </c>
      <c r="E14" s="30" t="str" cm="1">
        <f t="array" ref="E14">_xlfn.TEXTJOIN(CHAR(10),TRUE,IF(Profesor=base_de_datos[Profesor],IF("x"=base_de_datos[Lunes],IF(base_de_datos[Hora inicio]&lt;=$B14,IF(base_de_datos[Hora fin]&gt;=$C14,base_de_datos[Aula]&amp;" "&amp;#REF!,""),""),""),""),"")</f>
        <v/>
      </c>
      <c r="F14" s="30" t="str" cm="1">
        <f t="array" ref="F14">_xlfn.TEXTJOIN(CHAR(10),TRUE,IF(Profesor=base_de_datos[Profesor],IF("x"=base_de_datos[Lunes],IF(base_de_datos[Hora inicio]&lt;=$B14,IF(base_de_datos[Hora fin]&gt;=$C14,base_de_datos[No clase],""),""),""),""),"")</f>
        <v/>
      </c>
      <c r="G14" s="30" t="str" cm="1">
        <f t="array" ref="G14">_xlfn.TEXTJOIN(CHAR(10),TRUE,IF(Profesor=base_de_datos[Profesor],IF("x"=base_de_datos[Martes],IF(base_de_datos[Hora inicio]&lt;=$B14,IF(base_de_datos[Hora fin]&gt;=$C14,base_de_datos[Materia]&amp;" "&amp;base_de_datos[[Número de grupo ]],""),""),""),""),"")</f>
        <v/>
      </c>
      <c r="H14" s="30" t="str" cm="1">
        <f t="array" ref="H14">_xlfn.TEXTJOIN(CHAR(10),TRUE,IF(Profesor=base_de_datos[Profesor],IF("x"=base_de_datos[Martes],IF(base_de_datos[Hora inicio]&lt;=$B14,IF(base_de_datos[Hora fin]&gt;=$C14,base_de_datos[Aula]&amp;" "&amp;#REF!,""),""),""),""),"")</f>
        <v/>
      </c>
      <c r="I14" s="30" t="str" cm="1">
        <f t="array" ref="I14">_xlfn.TEXTJOIN(CHAR(10),TRUE,IF(Profesor=base_de_datos[Profesor],IF("x"=base_de_datos[Martes],IF(base_de_datos[Hora inicio]&lt;=$B14,IF(base_de_datos[Hora fin]&gt;=$C14,base_de_datos[No clase],""),""),""),""),"")</f>
        <v/>
      </c>
      <c r="J14" s="30" t="str" cm="1">
        <f t="array" ref="J14">_xlfn.TEXTJOIN(CHAR(10),TRUE,IF(Profesor=base_de_datos[Profesor],IF("x"=base_de_datos[Miércoles],IF(base_de_datos[Hora inicio]&lt;=$B14,IF(base_de_datos[Hora fin]&gt;=$C14,base_de_datos[Materia]&amp;" "&amp;base_de_datos[[Número de grupo ]],""),""),""),""),"")</f>
        <v/>
      </c>
      <c r="K14" s="30" t="str" cm="1">
        <f t="array" ref="K14">_xlfn.TEXTJOIN(CHAR(10),TRUE,IF(Profesor=base_de_datos[Profesor],IF("x"=base_de_datos[Miércoles],IF(base_de_datos[Hora inicio]&lt;=$B14,IF(base_de_datos[Hora fin]&gt;=$C14,base_de_datos[Aula]&amp;" "&amp;#REF!,""),""),""),""),"")</f>
        <v/>
      </c>
      <c r="L14" s="30" t="str" cm="1">
        <f t="array" ref="L14">_xlfn.TEXTJOIN(CHAR(10),TRUE,IF(Profesor=base_de_datos[Profesor],IF("x"=base_de_datos[Miércoles],IF(base_de_datos[Hora inicio]&lt;=$B14,IF(base_de_datos[Hora fin]&gt;=$C14,base_de_datos[No clase],""),""),""),""),"")</f>
        <v/>
      </c>
      <c r="M14" s="30" t="str" cm="1">
        <f t="array" ref="M14">_xlfn.TEXTJOIN(CHAR(10),TRUE,IF(Profesor=base_de_datos[Profesor],IF("x"=base_de_datos[Jueves],IF(base_de_datos[Hora inicio]&lt;=$B14,IF(base_de_datos[Hora fin]&gt;=$C14,base_de_datos[Materia]&amp;" "&amp;base_de_datos[[Número de grupo ]],""),""),""),""),"")</f>
        <v/>
      </c>
      <c r="N14" s="30" t="str" cm="1">
        <f t="array" ref="N14">_xlfn.TEXTJOIN(CHAR(10),TRUE,IF(Profesor=base_de_datos[Profesor],IF("x"=base_de_datos[Jueves],IF(base_de_datos[Hora inicio]&lt;=$B14,IF(base_de_datos[Hora fin]&gt;=$C14,base_de_datos[Aula]&amp;" "&amp;#REF!,""),""),""),""),"")</f>
        <v/>
      </c>
      <c r="O14" s="30" t="str" cm="1">
        <f t="array" ref="O14">_xlfn.TEXTJOIN(CHAR(10),TRUE,IF(Profesor=base_de_datos[Profesor],IF("x"=base_de_datos[Jueves],IF(base_de_datos[Hora inicio]&lt;=$B14,IF(base_de_datos[Hora fin]&gt;=$C14,base_de_datos[No clase],""),""),""),""),"")</f>
        <v/>
      </c>
      <c r="P14" s="30" t="str" cm="1">
        <f t="array" ref="P14">_xlfn.TEXTJOIN(CHAR(10),TRUE,IF(Profesor=base_de_datos[Profesor],IF("x"=base_de_datos[Viernes],IF(base_de_datos[Hora inicio]&lt;=$B14,IF(base_de_datos[Hora fin]&gt;=$C14,base_de_datos[Materia]&amp;" "&amp;base_de_datos[[Número de grupo ]],""),""),""),""),"")</f>
        <v/>
      </c>
      <c r="Q14" s="29" t="str" cm="1">
        <f t="array" ref="Q14">_xlfn.TEXTJOIN(CHAR(10),TRUE,IF(Profesor=base_de_datos[Profesor],IF("x"=base_de_datos[Viernes],IF(base_de_datos[Hora inicio]&lt;=$B14,IF(base_de_datos[Hora fin]&gt;=$C14,base_de_datos[Aula]&amp;" "&amp;#REF!,""),""),""),""),"")</f>
        <v/>
      </c>
      <c r="R14" s="29" t="str" cm="1">
        <f t="array" ref="R14">_xlfn.TEXTJOIN(CHAR(10),TRUE,IF(Profesor=base_de_datos[Profesor],IF("x"=base_de_datos[Viernes],IF(base_de_datos[Hora inicio]&lt;=$B14,IF(base_de_datos[Hora fin]&gt;=$C14,base_de_datos[No clase],""),""),""),""),"")</f>
        <v/>
      </c>
      <c r="S14" s="29" t="str" cm="1">
        <f t="array" ref="S14">_xlfn.TEXTJOIN(CHAR(10),TRUE,IF(Profesor=base_de_datos[Profesor],IF("x"=base_de_datos[Sábado],IF(base_de_datos[Hora inicio]&lt;=$B14,IF(base_de_datos[Hora fin]&gt;=$C14,base_de_datos[Materia]&amp;" "&amp;base_de_datos[[Número de grupo ]],""),""),""),""),"")</f>
        <v/>
      </c>
      <c r="T14" s="29" t="str" cm="1">
        <f t="array" ref="T14">_xlfn.TEXTJOIN(CHAR(10),TRUE,IF(Profesor=base_de_datos[Profesor],IF("x"=base_de_datos[Sábado],IF(base_de_datos[Hora inicio]&lt;=$B14,IF(base_de_datos[Hora fin]&gt;=$C14,base_de_datos[Aula]&amp;" "&amp;#REF!,""),""),""),""),"")</f>
        <v/>
      </c>
      <c r="U14" s="29" t="str" cm="1">
        <f t="array" ref="U14">_xlfn.TEXTJOIN(CHAR(10),TRUE,IF(Profesor=base_de_datos[Profesor],IF("x"=base_de_datos[Sábado],IF(base_de_datos[Hora inicio]&lt;=$B14,IF(base_de_datos[Hora fin]&gt;=$C14,base_de_datos[No clase],""),""),""),""),"")</f>
        <v/>
      </c>
      <c r="AB14" s="28"/>
      <c r="AC14" s="28"/>
      <c r="AD14" s="28"/>
    </row>
    <row r="15" spans="1:32" ht="15">
      <c r="B15" s="206">
        <v>0.5</v>
      </c>
      <c r="C15" s="206">
        <v>0.52083333333333004</v>
      </c>
      <c r="D15" s="29" t="str" cm="1">
        <f t="array" ref="D15">_xlfn.TEXTJOIN(CHAR(10),TRUE,IF(Profesor=base_de_datos[Profesor],IF("x"=base_de_datos[Lunes],IF(base_de_datos[Hora inicio]&lt;=$B15,IF(base_de_datos[Hora fin]&gt;=$C15,base_de_datos[Materia]&amp;" "&amp;base_de_datos[[Número de grupo ]],""),""),""),""),"")</f>
        <v/>
      </c>
      <c r="E15" s="29" t="str" cm="1">
        <f t="array" ref="E15">_xlfn.TEXTJOIN(CHAR(10),TRUE,IF(Profesor=base_de_datos[Profesor],IF("x"=base_de_datos[Lunes],IF(base_de_datos[Hora inicio]&lt;=$B15,IF(base_de_datos[Hora fin]&gt;=$C15,base_de_datos[Aula]&amp;" "&amp;#REF!,""),""),""),""),"")</f>
        <v/>
      </c>
      <c r="F15" s="29" t="str" cm="1">
        <f t="array" ref="F15">_xlfn.TEXTJOIN(CHAR(10),TRUE,IF(Profesor=base_de_datos[Profesor],IF("x"=base_de_datos[Lunes],IF(base_de_datos[Hora inicio]&lt;=$B15,IF(base_de_datos[Hora fin]&gt;=$C15,base_de_datos[No clase],""),""),""),""),"")</f>
        <v/>
      </c>
      <c r="G15" s="29" t="str" cm="1">
        <f t="array" ref="G15">_xlfn.TEXTJOIN(CHAR(10),TRUE,IF(Profesor=base_de_datos[Profesor],IF("x"=base_de_datos[Martes],IF(base_de_datos[Hora inicio]&lt;=$B15,IF(base_de_datos[Hora fin]&gt;=$C15,base_de_datos[Materia]&amp;" "&amp;base_de_datos[[Número de grupo ]],""),""),""),""),"")</f>
        <v/>
      </c>
      <c r="H15" s="29" t="str" cm="1">
        <f t="array" ref="H15">_xlfn.TEXTJOIN(CHAR(10),TRUE,IF(Profesor=base_de_datos[Profesor],IF("x"=base_de_datos[Martes],IF(base_de_datos[Hora inicio]&lt;=$B15,IF(base_de_datos[Hora fin]&gt;=$C15,base_de_datos[Aula]&amp;" "&amp;#REF!,""),""),""),""),"")</f>
        <v/>
      </c>
      <c r="I15" s="29" t="str" cm="1">
        <f t="array" ref="I15">_xlfn.TEXTJOIN(CHAR(10),TRUE,IF(Profesor=base_de_datos[Profesor],IF("x"=base_de_datos[Martes],IF(base_de_datos[Hora inicio]&lt;=$B15,IF(base_de_datos[Hora fin]&gt;=$C15,base_de_datos[No clase],""),""),""),""),"")</f>
        <v/>
      </c>
      <c r="J15" s="29" t="str" cm="1">
        <f t="array" ref="J15">_xlfn.TEXTJOIN(CHAR(10),TRUE,IF(Profesor=base_de_datos[Profesor],IF("x"=base_de_datos[Miércoles],IF(base_de_datos[Hora inicio]&lt;=$B15,IF(base_de_datos[Hora fin]&gt;=$C15,base_de_datos[Materia]&amp;" "&amp;base_de_datos[[Número de grupo ]],""),""),""),""),"")</f>
        <v/>
      </c>
      <c r="K15" s="29" t="str" cm="1">
        <f t="array" ref="K15">_xlfn.TEXTJOIN(CHAR(10),TRUE,IF(Profesor=base_de_datos[Profesor],IF("x"=base_de_datos[Miércoles],IF(base_de_datos[Hora inicio]&lt;=$B15,IF(base_de_datos[Hora fin]&gt;=$C15,base_de_datos[Aula]&amp;" "&amp;#REF!,""),""),""),""),"")</f>
        <v/>
      </c>
      <c r="L15" s="29" t="str" cm="1">
        <f t="array" ref="L15">_xlfn.TEXTJOIN(CHAR(10),TRUE,IF(Profesor=base_de_datos[Profesor],IF("x"=base_de_datos[Miércoles],IF(base_de_datos[Hora inicio]&lt;=$B15,IF(base_de_datos[Hora fin]&gt;=$C15,base_de_datos[No clase],""),""),""),""),"")</f>
        <v/>
      </c>
      <c r="M15" s="29" t="str" cm="1">
        <f t="array" ref="M15">_xlfn.TEXTJOIN(CHAR(10),TRUE,IF(Profesor=base_de_datos[Profesor],IF("x"=base_de_datos[Jueves],IF(base_de_datos[Hora inicio]&lt;=$B15,IF(base_de_datos[Hora fin]&gt;=$C15,base_de_datos[Materia]&amp;" "&amp;base_de_datos[[Número de grupo ]],""),""),""),""),"")</f>
        <v/>
      </c>
      <c r="N15" s="29" t="str" cm="1">
        <f t="array" ref="N15">_xlfn.TEXTJOIN(CHAR(10),TRUE,IF(Profesor=base_de_datos[Profesor],IF("x"=base_de_datos[Jueves],IF(base_de_datos[Hora inicio]&lt;=$B15,IF(base_de_datos[Hora fin]&gt;=$C15,base_de_datos[Aula]&amp;" "&amp;#REF!,""),""),""),""),"")</f>
        <v/>
      </c>
      <c r="O15" s="29" t="str" cm="1">
        <f t="array" ref="O15">_xlfn.TEXTJOIN(CHAR(10),TRUE,IF(Profesor=base_de_datos[Profesor],IF("x"=base_de_datos[Jueves],IF(base_de_datos[Hora inicio]&lt;=$B15,IF(base_de_datos[Hora fin]&gt;=$C15,base_de_datos[No clase],""),""),""),""),"")</f>
        <v/>
      </c>
      <c r="P15" s="29" t="str" cm="1">
        <f t="array" ref="P15">_xlfn.TEXTJOIN(CHAR(10),TRUE,IF(Profesor=base_de_datos[Profesor],IF("x"=base_de_datos[Viernes],IF(base_de_datos[Hora inicio]&lt;=$B15,IF(base_de_datos[Hora fin]&gt;=$C15,base_de_datos[Materia]&amp;" "&amp;base_de_datos[[Número de grupo ]],""),""),""),""),"")</f>
        <v/>
      </c>
      <c r="Q15" s="29" t="str" cm="1">
        <f t="array" ref="Q15">_xlfn.TEXTJOIN(CHAR(10),TRUE,IF(Profesor=base_de_datos[Profesor],IF("x"=base_de_datos[Viernes],IF(base_de_datos[Hora inicio]&lt;=$B15,IF(base_de_datos[Hora fin]&gt;=$C15,base_de_datos[Aula]&amp;" "&amp;#REF!,""),""),""),""),"")</f>
        <v/>
      </c>
      <c r="R15" s="29" t="str" cm="1">
        <f t="array" ref="R15">_xlfn.TEXTJOIN(CHAR(10),TRUE,IF(Profesor=base_de_datos[Profesor],IF("x"=base_de_datos[Viernes],IF(base_de_datos[Hora inicio]&lt;=$B15,IF(base_de_datos[Hora fin]&gt;=$C15,base_de_datos[No clase],""),""),""),""),"")</f>
        <v/>
      </c>
      <c r="S15" s="29" t="str" cm="1">
        <f t="array" ref="S15">_xlfn.TEXTJOIN(CHAR(10),TRUE,IF(Profesor=base_de_datos[Profesor],IF("x"=base_de_datos[Sábado],IF(base_de_datos[Hora inicio]&lt;=$B15,IF(base_de_datos[Hora fin]&gt;=$C15,base_de_datos[Materia]&amp;" "&amp;base_de_datos[[Número de grupo ]],""),""),""),""),"")</f>
        <v/>
      </c>
      <c r="T15" s="29" t="str" cm="1">
        <f t="array" ref="T15">_xlfn.TEXTJOIN(CHAR(10),TRUE,IF(Profesor=base_de_datos[Profesor],IF("x"=base_de_datos[Sábado],IF(base_de_datos[Hora inicio]&lt;=$B15,IF(base_de_datos[Hora fin]&gt;=$C15,base_de_datos[Aula]&amp;" "&amp;#REF!,""),""),""),""),"")</f>
        <v/>
      </c>
      <c r="U15" s="29" t="str" cm="1">
        <f t="array" ref="U15">_xlfn.TEXTJOIN(CHAR(10),TRUE,IF(Profesor=base_de_datos[Profesor],IF("x"=base_de_datos[Sábado],IF(base_de_datos[Hora inicio]&lt;=$B15,IF(base_de_datos[Hora fin]&gt;=$C15,base_de_datos[No clase],""),""),""),""),"")</f>
        <v/>
      </c>
      <c r="AB15" s="28"/>
      <c r="AC15" s="28"/>
      <c r="AD15" s="28"/>
    </row>
    <row r="16" spans="1:32" ht="15">
      <c r="B16" s="206">
        <v>0.52083333333333304</v>
      </c>
      <c r="C16" s="206">
        <v>0.54166666666666297</v>
      </c>
      <c r="D16" s="29" t="str" cm="1">
        <f t="array" ref="D16">_xlfn.TEXTJOIN(CHAR(10),TRUE,IF(Profesor=base_de_datos[Profesor],IF("x"=base_de_datos[Lunes],IF(base_de_datos[Hora inicio]&lt;=$B16,IF(base_de_datos[Hora fin]&gt;=$C16,base_de_datos[Materia]&amp;" "&amp;base_de_datos[[Número de grupo ]],""),""),""),""),"")</f>
        <v/>
      </c>
      <c r="E16" s="29" t="str" cm="1">
        <f t="array" ref="E16">_xlfn.TEXTJOIN(CHAR(10),TRUE,IF(Profesor=base_de_datos[Profesor],IF("x"=base_de_datos[Lunes],IF(base_de_datos[Hora inicio]&lt;=$B16,IF(base_de_datos[Hora fin]&gt;=$C16,base_de_datos[Aula]&amp;" "&amp;#REF!,""),""),""),""),"")</f>
        <v/>
      </c>
      <c r="F16" s="29" t="str" cm="1">
        <f t="array" ref="F16">_xlfn.TEXTJOIN(CHAR(10),TRUE,IF(Profesor=base_de_datos[Profesor],IF("x"=base_de_datos[Lunes],IF(base_de_datos[Hora inicio]&lt;=$B16,IF(base_de_datos[Hora fin]&gt;=$C16,base_de_datos[No clase],""),""),""),""),"")</f>
        <v/>
      </c>
      <c r="G16" s="29" t="str" cm="1">
        <f t="array" ref="G16">_xlfn.TEXTJOIN(CHAR(10),TRUE,IF(Profesor=base_de_datos[Profesor],IF("x"=base_de_datos[Martes],IF(base_de_datos[Hora inicio]&lt;=$B16,IF(base_de_datos[Hora fin]&gt;=$C16,base_de_datos[Materia]&amp;" "&amp;base_de_datos[[Número de grupo ]],""),""),""),""),"")</f>
        <v/>
      </c>
      <c r="H16" s="29" t="str" cm="1">
        <f t="array" ref="H16">_xlfn.TEXTJOIN(CHAR(10),TRUE,IF(Profesor=base_de_datos[Profesor],IF("x"=base_de_datos[Martes],IF(base_de_datos[Hora inicio]&lt;=$B16,IF(base_de_datos[Hora fin]&gt;=$C16,base_de_datos[Aula]&amp;" "&amp;#REF!,""),""),""),""),"")</f>
        <v/>
      </c>
      <c r="I16" s="29" t="str" cm="1">
        <f t="array" ref="I16">_xlfn.TEXTJOIN(CHAR(10),TRUE,IF(Profesor=base_de_datos[Profesor],IF("x"=base_de_datos[Martes],IF(base_de_datos[Hora inicio]&lt;=$B16,IF(base_de_datos[Hora fin]&gt;=$C16,base_de_datos[No clase],""),""),""),""),"")</f>
        <v/>
      </c>
      <c r="J16" s="29" t="str" cm="1">
        <f t="array" ref="J16">_xlfn.TEXTJOIN(CHAR(10),TRUE,IF(Profesor=base_de_datos[Profesor],IF("x"=base_de_datos[Miércoles],IF(base_de_datos[Hora inicio]&lt;=$B16,IF(base_de_datos[Hora fin]&gt;=$C16,base_de_datos[Materia]&amp;" "&amp;base_de_datos[[Número de grupo ]],""),""),""),""),"")</f>
        <v/>
      </c>
      <c r="K16" s="29" t="str" cm="1">
        <f t="array" ref="K16">_xlfn.TEXTJOIN(CHAR(10),TRUE,IF(Profesor=base_de_datos[Profesor],IF("x"=base_de_datos[Miércoles],IF(base_de_datos[Hora inicio]&lt;=$B16,IF(base_de_datos[Hora fin]&gt;=$C16,base_de_datos[Aula]&amp;" "&amp;#REF!,""),""),""),""),"")</f>
        <v/>
      </c>
      <c r="L16" s="29" t="str" cm="1">
        <f t="array" ref="L16">_xlfn.TEXTJOIN(CHAR(10),TRUE,IF(Profesor=base_de_datos[Profesor],IF("x"=base_de_datos[Miércoles],IF(base_de_datos[Hora inicio]&lt;=$B16,IF(base_de_datos[Hora fin]&gt;=$C16,base_de_datos[No clase],""),""),""),""),"")</f>
        <v/>
      </c>
      <c r="M16" s="29" t="str" cm="1">
        <f t="array" ref="M16">_xlfn.TEXTJOIN(CHAR(10),TRUE,IF(Profesor=base_de_datos[Profesor],IF("x"=base_de_datos[Jueves],IF(base_de_datos[Hora inicio]&lt;=$B16,IF(base_de_datos[Hora fin]&gt;=$C16,base_de_datos[Materia]&amp;" "&amp;base_de_datos[[Número de grupo ]],""),""),""),""),"")</f>
        <v/>
      </c>
      <c r="N16" s="29" t="str" cm="1">
        <f t="array" ref="N16">_xlfn.TEXTJOIN(CHAR(10),TRUE,IF(Profesor=base_de_datos[Profesor],IF("x"=base_de_datos[Jueves],IF(base_de_datos[Hora inicio]&lt;=$B16,IF(base_de_datos[Hora fin]&gt;=$C16,base_de_datos[Aula]&amp;" "&amp;#REF!,""),""),""),""),"")</f>
        <v/>
      </c>
      <c r="O16" s="29" t="str" cm="1">
        <f t="array" ref="O16">_xlfn.TEXTJOIN(CHAR(10),TRUE,IF(Profesor=base_de_datos[Profesor],IF("x"=base_de_datos[Jueves],IF(base_de_datos[Hora inicio]&lt;=$B16,IF(base_de_datos[Hora fin]&gt;=$C16,base_de_datos[No clase],""),""),""),""),"")</f>
        <v/>
      </c>
      <c r="P16" s="29" t="str" cm="1">
        <f t="array" ref="P16">_xlfn.TEXTJOIN(CHAR(10),TRUE,IF(Profesor=base_de_datos[Profesor],IF("x"=base_de_datos[Viernes],IF(base_de_datos[Hora inicio]&lt;=$B16,IF(base_de_datos[Hora fin]&gt;=$C16,base_de_datos[Materia]&amp;" "&amp;base_de_datos[[Número de grupo ]],""),""),""),""),"")</f>
        <v/>
      </c>
      <c r="Q16" s="29" t="str" cm="1">
        <f t="array" ref="Q16">_xlfn.TEXTJOIN(CHAR(10),TRUE,IF(Profesor=base_de_datos[Profesor],IF("x"=base_de_datos[Viernes],IF(base_de_datos[Hora inicio]&lt;=$B16,IF(base_de_datos[Hora fin]&gt;=$C16,base_de_datos[Aula]&amp;" "&amp;#REF!,""),""),""),""),"")</f>
        <v/>
      </c>
      <c r="R16" s="29" t="str" cm="1">
        <f t="array" ref="R16">_xlfn.TEXTJOIN(CHAR(10),TRUE,IF(Profesor=base_de_datos[Profesor],IF("x"=base_de_datos[Viernes],IF(base_de_datos[Hora inicio]&lt;=$B16,IF(base_de_datos[Hora fin]&gt;=$C16,base_de_datos[No clase],""),""),""),""),"")</f>
        <v/>
      </c>
      <c r="S16" s="29" t="str" cm="1">
        <f t="array" ref="S16">_xlfn.TEXTJOIN(CHAR(10),TRUE,IF(Profesor=base_de_datos[Profesor],IF("x"=base_de_datos[Sábado],IF(base_de_datos[Hora inicio]&lt;=$B16,IF(base_de_datos[Hora fin]&gt;=$C16,base_de_datos[Materia]&amp;" "&amp;base_de_datos[[Número de grupo ]],""),""),""),""),"")</f>
        <v/>
      </c>
      <c r="T16" s="29" t="str" cm="1">
        <f t="array" ref="T16">_xlfn.TEXTJOIN(CHAR(10),TRUE,IF(Profesor=base_de_datos[Profesor],IF("x"=base_de_datos[Sábado],IF(base_de_datos[Hora inicio]&lt;=$B16,IF(base_de_datos[Hora fin]&gt;=$C16,base_de_datos[Aula]&amp;" "&amp;#REF!,""),""),""),""),"")</f>
        <v/>
      </c>
      <c r="U16" s="29" t="str" cm="1">
        <f t="array" ref="U16">_xlfn.TEXTJOIN(CHAR(10),TRUE,IF(Profesor=base_de_datos[Profesor],IF("x"=base_de_datos[Sábado],IF(base_de_datos[Hora inicio]&lt;=$B16,IF(base_de_datos[Hora fin]&gt;=$C16,base_de_datos[No clase],""),""),""),""),"")</f>
        <v/>
      </c>
      <c r="AB16" s="28"/>
      <c r="AC16" s="28"/>
      <c r="AD16" s="28"/>
    </row>
    <row r="17" spans="2:30" ht="15">
      <c r="B17" s="206">
        <v>0.54166666666666696</v>
      </c>
      <c r="C17" s="206">
        <v>0.562499999999996</v>
      </c>
      <c r="D17" s="29" t="str" cm="1">
        <f t="array" ref="D17">_xlfn.TEXTJOIN(CHAR(10),TRUE,IF(Profesor=base_de_datos[Profesor],IF("x"=base_de_datos[Lunes],IF(base_de_datos[Hora inicio]&lt;=$B17,IF(base_de_datos[Hora fin]&gt;=$C17,base_de_datos[Materia]&amp;" "&amp;base_de_datos[[Número de grupo ]],""),""),""),""),"")</f>
        <v/>
      </c>
      <c r="E17" s="29" t="str" cm="1">
        <f t="array" ref="E17">_xlfn.TEXTJOIN(CHAR(10),TRUE,IF(Profesor=base_de_datos[Profesor],IF("x"=base_de_datos[Lunes],IF(base_de_datos[Hora inicio]&lt;=$B17,IF(base_de_datos[Hora fin]&gt;=$C17,base_de_datos[Aula]&amp;" "&amp;#REF!,""),""),""),""),"")</f>
        <v/>
      </c>
      <c r="F17" s="29" t="str" cm="1">
        <f t="array" ref="F17">_xlfn.TEXTJOIN(CHAR(10),TRUE,IF(Profesor=base_de_datos[Profesor],IF("x"=base_de_datos[Lunes],IF(base_de_datos[Hora inicio]&lt;=$B17,IF(base_de_datos[Hora fin]&gt;=$C17,base_de_datos[No clase],""),""),""),""),"")</f>
        <v/>
      </c>
      <c r="G17" s="29" t="str" cm="1">
        <f t="array" ref="G17">_xlfn.TEXTJOIN(CHAR(10),TRUE,IF(Profesor=base_de_datos[Profesor],IF("x"=base_de_datos[Martes],IF(base_de_datos[Hora inicio]&lt;=$B17,IF(base_de_datos[Hora fin]&gt;=$C17,base_de_datos[Materia]&amp;" "&amp;base_de_datos[[Número de grupo ]],""),""),""),""),"")</f>
        <v/>
      </c>
      <c r="H17" s="29" t="str" cm="1">
        <f t="array" ref="H17">_xlfn.TEXTJOIN(CHAR(10),TRUE,IF(Profesor=base_de_datos[Profesor],IF("x"=base_de_datos[Martes],IF(base_de_datos[Hora inicio]&lt;=$B17,IF(base_de_datos[Hora fin]&gt;=$C17,base_de_datos[Aula]&amp;" "&amp;#REF!,""),""),""),""),"")</f>
        <v/>
      </c>
      <c r="I17" s="29" t="str" cm="1">
        <f t="array" ref="I17">_xlfn.TEXTJOIN(CHAR(10),TRUE,IF(Profesor=base_de_datos[Profesor],IF("x"=base_de_datos[Martes],IF(base_de_datos[Hora inicio]&lt;=$B17,IF(base_de_datos[Hora fin]&gt;=$C17,base_de_datos[No clase],""),""),""),""),"")</f>
        <v/>
      </c>
      <c r="J17" s="29" t="str" cm="1">
        <f t="array" ref="J17">_xlfn.TEXTJOIN(CHAR(10),TRUE,IF(Profesor=base_de_datos[Profesor],IF("x"=base_de_datos[Miércoles],IF(base_de_datos[Hora inicio]&lt;=$B17,IF(base_de_datos[Hora fin]&gt;=$C17,base_de_datos[Materia]&amp;" "&amp;base_de_datos[[Número de grupo ]],""),""),""),""),"")</f>
        <v/>
      </c>
      <c r="K17" s="29" t="str" cm="1">
        <f t="array" ref="K17">_xlfn.TEXTJOIN(CHAR(10),TRUE,IF(Profesor=base_de_datos[Profesor],IF("x"=base_de_datos[Miércoles],IF(base_de_datos[Hora inicio]&lt;=$B17,IF(base_de_datos[Hora fin]&gt;=$C17,base_de_datos[Aula]&amp;" "&amp;#REF!,""),""),""),""),"")</f>
        <v/>
      </c>
      <c r="L17" s="29" t="str" cm="1">
        <f t="array" ref="L17">_xlfn.TEXTJOIN(CHAR(10),TRUE,IF(Profesor=base_de_datos[Profesor],IF("x"=base_de_datos[Miércoles],IF(base_de_datos[Hora inicio]&lt;=$B17,IF(base_de_datos[Hora fin]&gt;=$C17,base_de_datos[No clase],""),""),""),""),"")</f>
        <v/>
      </c>
      <c r="M17" s="29" t="str" cm="1">
        <f t="array" ref="M17">_xlfn.TEXTJOIN(CHAR(10),TRUE,IF(Profesor=base_de_datos[Profesor],IF("x"=base_de_datos[Jueves],IF(base_de_datos[Hora inicio]&lt;=$B17,IF(base_de_datos[Hora fin]&gt;=$C17,base_de_datos[Materia]&amp;" "&amp;base_de_datos[[Número de grupo ]],""),""),""),""),"")</f>
        <v/>
      </c>
      <c r="N17" s="29" t="str" cm="1">
        <f t="array" ref="N17">_xlfn.TEXTJOIN(CHAR(10),TRUE,IF(Profesor=base_de_datos[Profesor],IF("x"=base_de_datos[Jueves],IF(base_de_datos[Hora inicio]&lt;=$B17,IF(base_de_datos[Hora fin]&gt;=$C17,base_de_datos[Aula]&amp;" "&amp;#REF!,""),""),""),""),"")</f>
        <v/>
      </c>
      <c r="O17" s="29" t="str" cm="1">
        <f t="array" ref="O17">_xlfn.TEXTJOIN(CHAR(10),TRUE,IF(Profesor=base_de_datos[Profesor],IF("x"=base_de_datos[Jueves],IF(base_de_datos[Hora inicio]&lt;=$B17,IF(base_de_datos[Hora fin]&gt;=$C17,base_de_datos[No clase],""),""),""),""),"")</f>
        <v/>
      </c>
      <c r="P17" s="29" t="str" cm="1">
        <f t="array" ref="P17">_xlfn.TEXTJOIN(CHAR(10),TRUE,IF(Profesor=base_de_datos[Profesor],IF("x"=base_de_datos[Viernes],IF(base_de_datos[Hora inicio]&lt;=$B17,IF(base_de_datos[Hora fin]&gt;=$C17,base_de_datos[Materia]&amp;" "&amp;base_de_datos[[Número de grupo ]],""),""),""),""),"")</f>
        <v/>
      </c>
      <c r="Q17" s="29" t="str" cm="1">
        <f t="array" ref="Q17">_xlfn.TEXTJOIN(CHAR(10),TRUE,IF(Profesor=base_de_datos[Profesor],IF("x"=base_de_datos[Viernes],IF(base_de_datos[Hora inicio]&lt;=$B17,IF(base_de_datos[Hora fin]&gt;=$C17,base_de_datos[Aula]&amp;" "&amp;#REF!,""),""),""),""),"")</f>
        <v/>
      </c>
      <c r="R17" s="29" t="str" cm="1">
        <f t="array" ref="R17">_xlfn.TEXTJOIN(CHAR(10),TRUE,IF(Profesor=base_de_datos[Profesor],IF("x"=base_de_datos[Viernes],IF(base_de_datos[Hora inicio]&lt;=$B17,IF(base_de_datos[Hora fin]&gt;=$C17,base_de_datos[No clase],""),""),""),""),"")</f>
        <v/>
      </c>
      <c r="S17" s="29" t="str" cm="1">
        <f t="array" ref="S17">_xlfn.TEXTJOIN(CHAR(10),TRUE,IF(Profesor=base_de_datos[Profesor],IF("x"=base_de_datos[Sábado],IF(base_de_datos[Hora inicio]&lt;=$B17,IF(base_de_datos[Hora fin]&gt;=$C17,base_de_datos[Materia]&amp;" "&amp;base_de_datos[[Número de grupo ]],""),""),""),""),"")</f>
        <v/>
      </c>
      <c r="T17" s="29" t="str" cm="1">
        <f t="array" ref="T17">_xlfn.TEXTJOIN(CHAR(10),TRUE,IF(Profesor=base_de_datos[Profesor],IF("x"=base_de_datos[Sábado],IF(base_de_datos[Hora inicio]&lt;=$B17,IF(base_de_datos[Hora fin]&gt;=$C17,base_de_datos[Aula]&amp;" "&amp;#REF!,""),""),""),""),"")</f>
        <v/>
      </c>
      <c r="U17" s="29" t="str" cm="1">
        <f t="array" ref="U17">_xlfn.TEXTJOIN(CHAR(10),TRUE,IF(Profesor=base_de_datos[Profesor],IF("x"=base_de_datos[Sábado],IF(base_de_datos[Hora inicio]&lt;=$B17,IF(base_de_datos[Hora fin]&gt;=$C17,base_de_datos[No clase],""),""),""),""),"")</f>
        <v/>
      </c>
      <c r="AB17" s="28"/>
      <c r="AC17" s="28"/>
      <c r="AD17" s="28"/>
    </row>
    <row r="18" spans="2:30" ht="15">
      <c r="B18" s="206">
        <v>0.5625</v>
      </c>
      <c r="C18" s="206">
        <v>0.58333333333332904</v>
      </c>
      <c r="D18" s="29" t="str" cm="1">
        <f t="array" ref="D18">_xlfn.TEXTJOIN(CHAR(10),TRUE,IF(Profesor=base_de_datos[Profesor],IF("x"=base_de_datos[Lunes],IF(base_de_datos[Hora inicio]&lt;=$B18,IF(base_de_datos[Hora fin]&gt;=$C18,base_de_datos[Materia]&amp;" "&amp;base_de_datos[[Número de grupo ]],""),""),""),""),"")</f>
        <v/>
      </c>
      <c r="E18" s="29" t="str" cm="1">
        <f t="array" ref="E18">_xlfn.TEXTJOIN(CHAR(10),TRUE,IF(Profesor=base_de_datos[Profesor],IF("x"=base_de_datos[Lunes],IF(base_de_datos[Hora inicio]&lt;=$B18,IF(base_de_datos[Hora fin]&gt;=$C18,base_de_datos[Aula]&amp;" "&amp;#REF!,""),""),""),""),"")</f>
        <v/>
      </c>
      <c r="F18" s="29" t="str" cm="1">
        <f t="array" ref="F18">_xlfn.TEXTJOIN(CHAR(10),TRUE,IF(Profesor=base_de_datos[Profesor],IF("x"=base_de_datos[Lunes],IF(base_de_datos[Hora inicio]&lt;=$B18,IF(base_de_datos[Hora fin]&gt;=$C18,base_de_datos[No clase],""),""),""),""),"")</f>
        <v/>
      </c>
      <c r="G18" s="29" t="str" cm="1">
        <f t="array" ref="G18">_xlfn.TEXTJOIN(CHAR(10),TRUE,IF(Profesor=base_de_datos[Profesor],IF("x"=base_de_datos[Martes],IF(base_de_datos[Hora inicio]&lt;=$B18,IF(base_de_datos[Hora fin]&gt;=$C18,base_de_datos[Materia]&amp;" "&amp;base_de_datos[[Número de grupo ]],""),""),""),""),"")</f>
        <v/>
      </c>
      <c r="H18" s="29" t="str" cm="1">
        <f t="array" ref="H18">_xlfn.TEXTJOIN(CHAR(10),TRUE,IF(Profesor=base_de_datos[Profesor],IF("x"=base_de_datos[Martes],IF(base_de_datos[Hora inicio]&lt;=$B18,IF(base_de_datos[Hora fin]&gt;=$C18,base_de_datos[Aula]&amp;" "&amp;#REF!,""),""),""),""),"")</f>
        <v/>
      </c>
      <c r="I18" s="29" t="str" cm="1">
        <f t="array" ref="I18">_xlfn.TEXTJOIN(CHAR(10),TRUE,IF(Profesor=base_de_datos[Profesor],IF("x"=base_de_datos[Martes],IF(base_de_datos[Hora inicio]&lt;=$B18,IF(base_de_datos[Hora fin]&gt;=$C18,base_de_datos[No clase],""),""),""),""),"")</f>
        <v/>
      </c>
      <c r="J18" s="29" t="str" cm="1">
        <f t="array" ref="J18">_xlfn.TEXTJOIN(CHAR(10),TRUE,IF(Profesor=base_de_datos[Profesor],IF("x"=base_de_datos[Miércoles],IF(base_de_datos[Hora inicio]&lt;=$B18,IF(base_de_datos[Hora fin]&gt;=$C18,base_de_datos[Materia]&amp;" "&amp;base_de_datos[[Número de grupo ]],""),""),""),""),"")</f>
        <v/>
      </c>
      <c r="K18" s="29" t="str" cm="1">
        <f t="array" ref="K18">_xlfn.TEXTJOIN(CHAR(10),TRUE,IF(Profesor=base_de_datos[Profesor],IF("x"=base_de_datos[Miércoles],IF(base_de_datos[Hora inicio]&lt;=$B18,IF(base_de_datos[Hora fin]&gt;=$C18,base_de_datos[Aula]&amp;" "&amp;#REF!,""),""),""),""),"")</f>
        <v/>
      </c>
      <c r="L18" s="29" t="str" cm="1">
        <f t="array" ref="L18">_xlfn.TEXTJOIN(CHAR(10),TRUE,IF(Profesor=base_de_datos[Profesor],IF("x"=base_de_datos[Miércoles],IF(base_de_datos[Hora inicio]&lt;=$B18,IF(base_de_datos[Hora fin]&gt;=$C18,base_de_datos[No clase],""),""),""),""),"")</f>
        <v/>
      </c>
      <c r="M18" s="29" t="str" cm="1">
        <f t="array" ref="M18">_xlfn.TEXTJOIN(CHAR(10),TRUE,IF(Profesor=base_de_datos[Profesor],IF("x"=base_de_datos[Jueves],IF(base_de_datos[Hora inicio]&lt;=$B18,IF(base_de_datos[Hora fin]&gt;=$C18,base_de_datos[Materia]&amp;" "&amp;base_de_datos[[Número de grupo ]],""),""),""),""),"")</f>
        <v/>
      </c>
      <c r="N18" s="29" t="str" cm="1">
        <f t="array" ref="N18">_xlfn.TEXTJOIN(CHAR(10),TRUE,IF(Profesor=base_de_datos[Profesor],IF("x"=base_de_datos[Jueves],IF(base_de_datos[Hora inicio]&lt;=$B18,IF(base_de_datos[Hora fin]&gt;=$C18,base_de_datos[Aula]&amp;" "&amp;#REF!,""),""),""),""),"")</f>
        <v/>
      </c>
      <c r="O18" s="29" t="str" cm="1">
        <f t="array" ref="O18">_xlfn.TEXTJOIN(CHAR(10),TRUE,IF(Profesor=base_de_datos[Profesor],IF("x"=base_de_datos[Jueves],IF(base_de_datos[Hora inicio]&lt;=$B18,IF(base_de_datos[Hora fin]&gt;=$C18,base_de_datos[No clase],""),""),""),""),"")</f>
        <v/>
      </c>
      <c r="P18" s="29" t="str" cm="1">
        <f t="array" ref="P18">_xlfn.TEXTJOIN(CHAR(10),TRUE,IF(Profesor=base_de_datos[Profesor],IF("x"=base_de_datos[Viernes],IF(base_de_datos[Hora inicio]&lt;=$B18,IF(base_de_datos[Hora fin]&gt;=$C18,base_de_datos[Materia]&amp;" "&amp;base_de_datos[[Número de grupo ]],""),""),""),""),"")</f>
        <v/>
      </c>
      <c r="Q18" s="29" t="str" cm="1">
        <f t="array" ref="Q18">_xlfn.TEXTJOIN(CHAR(10),TRUE,IF(Profesor=base_de_datos[Profesor],IF("x"=base_de_datos[Viernes],IF(base_de_datos[Hora inicio]&lt;=$B18,IF(base_de_datos[Hora fin]&gt;=$C18,base_de_datos[Aula]&amp;" "&amp;#REF!,""),""),""),""),"")</f>
        <v/>
      </c>
      <c r="R18" s="29" t="str" cm="1">
        <f t="array" ref="R18">_xlfn.TEXTJOIN(CHAR(10),TRUE,IF(Profesor=base_de_datos[Profesor],IF("x"=base_de_datos[Viernes],IF(base_de_datos[Hora inicio]&lt;=$B18,IF(base_de_datos[Hora fin]&gt;=$C18,base_de_datos[No clase],""),""),""),""),"")</f>
        <v/>
      </c>
      <c r="S18" s="29" t="str" cm="1">
        <f t="array" ref="S18">_xlfn.TEXTJOIN(CHAR(10),TRUE,IF(Profesor=base_de_datos[Profesor],IF("x"=base_de_datos[Sábado],IF(base_de_datos[Hora inicio]&lt;=$B18,IF(base_de_datos[Hora fin]&gt;=$C18,base_de_datos[Materia]&amp;" "&amp;base_de_datos[[Número de grupo ]],""),""),""),""),"")</f>
        <v/>
      </c>
      <c r="T18" s="29" t="str" cm="1">
        <f t="array" ref="T18">_xlfn.TEXTJOIN(CHAR(10),TRUE,IF(Profesor=base_de_datos[Profesor],IF("x"=base_de_datos[Sábado],IF(base_de_datos[Hora inicio]&lt;=$B18,IF(base_de_datos[Hora fin]&gt;=$C18,base_de_datos[Aula]&amp;" "&amp;#REF!,""),""),""),""),"")</f>
        <v/>
      </c>
      <c r="U18" s="29" t="str" cm="1">
        <f t="array" ref="U18">_xlfn.TEXTJOIN(CHAR(10),TRUE,IF(Profesor=base_de_datos[Profesor],IF("x"=base_de_datos[Sábado],IF(base_de_datos[Hora inicio]&lt;=$B18,IF(base_de_datos[Hora fin]&gt;=$C18,base_de_datos[No clase],""),""),""),""),"")</f>
        <v/>
      </c>
    </row>
    <row r="19" spans="2:30" ht="15">
      <c r="B19" s="206">
        <v>0.58333333333333304</v>
      </c>
      <c r="C19" s="206">
        <v>0.60416666666666197</v>
      </c>
      <c r="D19" s="29" t="str" cm="1">
        <f t="array" ref="D19">_xlfn.TEXTJOIN(CHAR(10),TRUE,IF(Profesor=base_de_datos[Profesor],IF("x"=base_de_datos[Lunes],IF(base_de_datos[Hora inicio]&lt;=$B19,IF(base_de_datos[Hora fin]&gt;=$C19,base_de_datos[Materia]&amp;" "&amp;base_de_datos[[Número de grupo ]],""),""),""),""),"")</f>
        <v/>
      </c>
      <c r="E19" s="29" t="str" cm="1">
        <f t="array" ref="E19">_xlfn.TEXTJOIN(CHAR(10),TRUE,IF(Profesor=base_de_datos[Profesor],IF("x"=base_de_datos[Lunes],IF(base_de_datos[Hora inicio]&lt;=$B19,IF(base_de_datos[Hora fin]&gt;=$C19,base_de_datos[Aula]&amp;" "&amp;#REF!,""),""),""),""),"")</f>
        <v/>
      </c>
      <c r="F19" s="29" t="str" cm="1">
        <f t="array" ref="F19">_xlfn.TEXTJOIN(CHAR(10),TRUE,IF(Profesor=base_de_datos[Profesor],IF("x"=base_de_datos[Lunes],IF(base_de_datos[Hora inicio]&lt;=$B19,IF(base_de_datos[Hora fin]&gt;=$C19,base_de_datos[No clase],""),""),""),""),"")</f>
        <v/>
      </c>
      <c r="G19" s="29" t="str" cm="1">
        <f t="array" ref="G19">_xlfn.TEXTJOIN(CHAR(10),TRUE,IF(Profesor=base_de_datos[Profesor],IF("x"=base_de_datos[Martes],IF(base_de_datos[Hora inicio]&lt;=$B19,IF(base_de_datos[Hora fin]&gt;=$C19,base_de_datos[Materia]&amp;" "&amp;base_de_datos[[Número de grupo ]],""),""),""),""),"")</f>
        <v/>
      </c>
      <c r="H19" s="29" t="str" cm="1">
        <f t="array" ref="H19">_xlfn.TEXTJOIN(CHAR(10),TRUE,IF(Profesor=base_de_datos[Profesor],IF("x"=base_de_datos[Martes],IF(base_de_datos[Hora inicio]&lt;=$B19,IF(base_de_datos[Hora fin]&gt;=$C19,base_de_datos[Aula]&amp;" "&amp;#REF!,""),""),""),""),"")</f>
        <v/>
      </c>
      <c r="I19" s="29" t="str" cm="1">
        <f t="array" ref="I19">_xlfn.TEXTJOIN(CHAR(10),TRUE,IF(Profesor=base_de_datos[Profesor],IF("x"=base_de_datos[Martes],IF(base_de_datos[Hora inicio]&lt;=$B19,IF(base_de_datos[Hora fin]&gt;=$C19,base_de_datos[No clase],""),""),""),""),"")</f>
        <v/>
      </c>
      <c r="J19" s="29" t="str" cm="1">
        <f t="array" ref="J19">_xlfn.TEXTJOIN(CHAR(10),TRUE,IF(Profesor=base_de_datos[Profesor],IF("x"=base_de_datos[Miércoles],IF(base_de_datos[Hora inicio]&lt;=$B19,IF(base_de_datos[Hora fin]&gt;=$C19,base_de_datos[Materia]&amp;" "&amp;base_de_datos[[Número de grupo ]],""),""),""),""),"")</f>
        <v/>
      </c>
      <c r="K19" s="29" t="str" cm="1">
        <f t="array" ref="K19">_xlfn.TEXTJOIN(CHAR(10),TRUE,IF(Profesor=base_de_datos[Profesor],IF("x"=base_de_datos[Miércoles],IF(base_de_datos[Hora inicio]&lt;=$B19,IF(base_de_datos[Hora fin]&gt;=$C19,base_de_datos[Aula]&amp;" "&amp;#REF!,""),""),""),""),"")</f>
        <v/>
      </c>
      <c r="L19" s="29" t="str" cm="1">
        <f t="array" ref="L19">_xlfn.TEXTJOIN(CHAR(10),TRUE,IF(Profesor=base_de_datos[Profesor],IF("x"=base_de_datos[Miércoles],IF(base_de_datos[Hora inicio]&lt;=$B19,IF(base_de_datos[Hora fin]&gt;=$C19,base_de_datos[No clase],""),""),""),""),"")</f>
        <v/>
      </c>
      <c r="M19" s="29" t="str" cm="1">
        <f t="array" ref="M19">_xlfn.TEXTJOIN(CHAR(10),TRUE,IF(Profesor=base_de_datos[Profesor],IF("x"=base_de_datos[Jueves],IF(base_de_datos[Hora inicio]&lt;=$B19,IF(base_de_datos[Hora fin]&gt;=$C19,base_de_datos[Materia]&amp;" "&amp;base_de_datos[[Número de grupo ]],""),""),""),""),"")</f>
        <v/>
      </c>
      <c r="N19" s="29" t="str" cm="1">
        <f t="array" ref="N19">_xlfn.TEXTJOIN(CHAR(10),TRUE,IF(Profesor=base_de_datos[Profesor],IF("x"=base_de_datos[Jueves],IF(base_de_datos[Hora inicio]&lt;=$B19,IF(base_de_datos[Hora fin]&gt;=$C19,base_de_datos[Aula]&amp;" "&amp;#REF!,""),""),""),""),"")</f>
        <v/>
      </c>
      <c r="O19" s="29" t="str" cm="1">
        <f t="array" ref="O19">_xlfn.TEXTJOIN(CHAR(10),TRUE,IF(Profesor=base_de_datos[Profesor],IF("x"=base_de_datos[Jueves],IF(base_de_datos[Hora inicio]&lt;=$B19,IF(base_de_datos[Hora fin]&gt;=$C19,base_de_datos[No clase],""),""),""),""),"")</f>
        <v/>
      </c>
      <c r="P19" s="29" t="str" cm="1">
        <f t="array" ref="P19">_xlfn.TEXTJOIN(CHAR(10),TRUE,IF(Profesor=base_de_datos[Profesor],IF("x"=base_de_datos[Viernes],IF(base_de_datos[Hora inicio]&lt;=$B19,IF(base_de_datos[Hora fin]&gt;=$C19,base_de_datos[Materia]&amp;" "&amp;base_de_datos[[Número de grupo ]],""),""),""),""),"")</f>
        <v/>
      </c>
      <c r="Q19" s="29" t="str" cm="1">
        <f t="array" ref="Q19">_xlfn.TEXTJOIN(CHAR(10),TRUE,IF(Profesor=base_de_datos[Profesor],IF("x"=base_de_datos[Viernes],IF(base_de_datos[Hora inicio]&lt;=$B19,IF(base_de_datos[Hora fin]&gt;=$C19,base_de_datos[Aula]&amp;" "&amp;#REF!,""),""),""),""),"")</f>
        <v/>
      </c>
      <c r="R19" s="29" t="str" cm="1">
        <f t="array" ref="R19">_xlfn.TEXTJOIN(CHAR(10),TRUE,IF(Profesor=base_de_datos[Profesor],IF("x"=base_de_datos[Viernes],IF(base_de_datos[Hora inicio]&lt;=$B19,IF(base_de_datos[Hora fin]&gt;=$C19,base_de_datos[No clase],""),""),""),""),"")</f>
        <v/>
      </c>
      <c r="S19" s="29" t="str" cm="1">
        <f t="array" ref="S19">_xlfn.TEXTJOIN(CHAR(10),TRUE,IF(Profesor=base_de_datos[Profesor],IF("x"=base_de_datos[Sábado],IF(base_de_datos[Hora inicio]&lt;=$B19,IF(base_de_datos[Hora fin]&gt;=$C19,base_de_datos[Materia]&amp;" "&amp;base_de_datos[[Número de grupo ]],""),""),""),""),"")</f>
        <v/>
      </c>
      <c r="T19" s="29" t="str" cm="1">
        <f t="array" ref="T19">_xlfn.TEXTJOIN(CHAR(10),TRUE,IF(Profesor=base_de_datos[Profesor],IF("x"=base_de_datos[Sábado],IF(base_de_datos[Hora inicio]&lt;=$B19,IF(base_de_datos[Hora fin]&gt;=$C19,base_de_datos[Aula]&amp;" "&amp;#REF!,""),""),""),""),"")</f>
        <v/>
      </c>
      <c r="U19" s="29" t="str" cm="1">
        <f t="array" ref="U19">_xlfn.TEXTJOIN(CHAR(10),TRUE,IF(Profesor=base_de_datos[Profesor],IF("x"=base_de_datos[Sábado],IF(base_de_datos[Hora inicio]&lt;=$B19,IF(base_de_datos[Hora fin]&gt;=$C19,base_de_datos[No clase],""),""),""),""),"")</f>
        <v/>
      </c>
    </row>
    <row r="20" spans="2:30" ht="15">
      <c r="B20" s="206">
        <v>0.60416666666666696</v>
      </c>
      <c r="C20" s="206">
        <v>0.624999999999995</v>
      </c>
      <c r="D20" s="29" t="str" cm="1">
        <f t="array" ref="D20">_xlfn.TEXTJOIN(CHAR(10),TRUE,IF(Profesor=base_de_datos[Profesor],IF("x"=base_de_datos[Lunes],IF(base_de_datos[Hora inicio]&lt;=$B20,IF(base_de_datos[Hora fin]&gt;=$C20,base_de_datos[Materia]&amp;" "&amp;base_de_datos[[Número de grupo ]],""),""),""),""),"")</f>
        <v/>
      </c>
      <c r="E20" s="29" t="str" cm="1">
        <f t="array" ref="E20">_xlfn.TEXTJOIN(CHAR(10),TRUE,IF(Profesor=base_de_datos[Profesor],IF("x"=base_de_datos[Lunes],IF(base_de_datos[Hora inicio]&lt;=$B20,IF(base_de_datos[Hora fin]&gt;=$C20,base_de_datos[Aula]&amp;" "&amp;#REF!,""),""),""),""),"")</f>
        <v/>
      </c>
      <c r="F20" s="29" t="str" cm="1">
        <f t="array" ref="F20">_xlfn.TEXTJOIN(CHAR(10),TRUE,IF(Profesor=base_de_datos[Profesor],IF("x"=base_de_datos[Lunes],IF(base_de_datos[Hora inicio]&lt;=$B20,IF(base_de_datos[Hora fin]&gt;=$C20,base_de_datos[No clase],""),""),""),""),"")</f>
        <v/>
      </c>
      <c r="G20" s="29" t="str" cm="1">
        <f t="array" ref="G20">_xlfn.TEXTJOIN(CHAR(10),TRUE,IF(Profesor=base_de_datos[Profesor],IF("x"=base_de_datos[Martes],IF(base_de_datos[Hora inicio]&lt;=$B20,IF(base_de_datos[Hora fin]&gt;=$C20,base_de_datos[Materia]&amp;" "&amp;base_de_datos[[Número de grupo ]],""),""),""),""),"")</f>
        <v/>
      </c>
      <c r="H20" s="29" t="str" cm="1">
        <f t="array" ref="H20">_xlfn.TEXTJOIN(CHAR(10),TRUE,IF(Profesor=base_de_datos[Profesor],IF("x"=base_de_datos[Martes],IF(base_de_datos[Hora inicio]&lt;=$B20,IF(base_de_datos[Hora fin]&gt;=$C20,base_de_datos[Aula]&amp;" "&amp;#REF!,""),""),""),""),"")</f>
        <v/>
      </c>
      <c r="I20" s="29" t="str" cm="1">
        <f t="array" ref="I20">_xlfn.TEXTJOIN(CHAR(10),TRUE,IF(Profesor=base_de_datos[Profesor],IF("x"=base_de_datos[Martes],IF(base_de_datos[Hora inicio]&lt;=$B20,IF(base_de_datos[Hora fin]&gt;=$C20,base_de_datos[No clase],""),""),""),""),"")</f>
        <v/>
      </c>
      <c r="J20" s="29" t="str" cm="1">
        <f t="array" ref="J20">_xlfn.TEXTJOIN(CHAR(10),TRUE,IF(Profesor=base_de_datos[Profesor],IF("x"=base_de_datos[Miércoles],IF(base_de_datos[Hora inicio]&lt;=$B20,IF(base_de_datos[Hora fin]&gt;=$C20,base_de_datos[Materia]&amp;" "&amp;base_de_datos[[Número de grupo ]],""),""),""),""),"")</f>
        <v/>
      </c>
      <c r="K20" s="29" t="str" cm="1">
        <f t="array" ref="K20">_xlfn.TEXTJOIN(CHAR(10),TRUE,IF(Profesor=base_de_datos[Profesor],IF("x"=base_de_datos[Miércoles],IF(base_de_datos[Hora inicio]&lt;=$B20,IF(base_de_datos[Hora fin]&gt;=$C20,base_de_datos[Aula]&amp;" "&amp;#REF!,""),""),""),""),"")</f>
        <v/>
      </c>
      <c r="L20" s="29" t="str" cm="1">
        <f t="array" ref="L20">_xlfn.TEXTJOIN(CHAR(10),TRUE,IF(Profesor=base_de_datos[Profesor],IF("x"=base_de_datos[Miércoles],IF(base_de_datos[Hora inicio]&lt;=$B20,IF(base_de_datos[Hora fin]&gt;=$C20,base_de_datos[No clase],""),""),""),""),"")</f>
        <v/>
      </c>
      <c r="M20" s="29" t="str" cm="1">
        <f t="array" ref="M20">_xlfn.TEXTJOIN(CHAR(10),TRUE,IF(Profesor=base_de_datos[Profesor],IF("x"=base_de_datos[Jueves],IF(base_de_datos[Hora inicio]&lt;=$B20,IF(base_de_datos[Hora fin]&gt;=$C20,base_de_datos[Materia]&amp;" "&amp;base_de_datos[[Número de grupo ]],""),""),""),""),"")</f>
        <v/>
      </c>
      <c r="N20" s="29" t="str" cm="1">
        <f t="array" ref="N20">_xlfn.TEXTJOIN(CHAR(10),TRUE,IF(Profesor=base_de_datos[Profesor],IF("x"=base_de_datos[Jueves],IF(base_de_datos[Hora inicio]&lt;=$B20,IF(base_de_datos[Hora fin]&gt;=$C20,base_de_datos[Aula]&amp;" "&amp;#REF!,""),""),""),""),"")</f>
        <v/>
      </c>
      <c r="O20" s="29" t="str" cm="1">
        <f t="array" ref="O20">_xlfn.TEXTJOIN(CHAR(10),TRUE,IF(Profesor=base_de_datos[Profesor],IF("x"=base_de_datos[Jueves],IF(base_de_datos[Hora inicio]&lt;=$B20,IF(base_de_datos[Hora fin]&gt;=$C20,base_de_datos[No clase],""),""),""),""),"")</f>
        <v/>
      </c>
      <c r="P20" s="29" t="str" cm="1">
        <f t="array" ref="P20">_xlfn.TEXTJOIN(CHAR(10),TRUE,IF(Profesor=base_de_datos[Profesor],IF("x"=base_de_datos[Viernes],IF(base_de_datos[Hora inicio]&lt;=$B20,IF(base_de_datos[Hora fin]&gt;=$C20,base_de_datos[Materia]&amp;" "&amp;base_de_datos[[Número de grupo ]],""),""),""),""),"")</f>
        <v/>
      </c>
      <c r="Q20" s="29" t="str" cm="1">
        <f t="array" ref="Q20">_xlfn.TEXTJOIN(CHAR(10),TRUE,IF(Profesor=base_de_datos[Profesor],IF("x"=base_de_datos[Viernes],IF(base_de_datos[Hora inicio]&lt;=$B20,IF(base_de_datos[Hora fin]&gt;=$C20,base_de_datos[Aula]&amp;" "&amp;#REF!,""),""),""),""),"")</f>
        <v/>
      </c>
      <c r="R20" s="29" t="str" cm="1">
        <f t="array" ref="R20">_xlfn.TEXTJOIN(CHAR(10),TRUE,IF(Profesor=base_de_datos[Profesor],IF("x"=base_de_datos[Viernes],IF(base_de_datos[Hora inicio]&lt;=$B20,IF(base_de_datos[Hora fin]&gt;=$C20,base_de_datos[No clase],""),""),""),""),"")</f>
        <v/>
      </c>
      <c r="S20" s="29" t="str" cm="1">
        <f t="array" ref="S20">_xlfn.TEXTJOIN(CHAR(10),TRUE,IF(Profesor=base_de_datos[Profesor],IF("x"=base_de_datos[Sábado],IF(base_de_datos[Hora inicio]&lt;=$B20,IF(base_de_datos[Hora fin]&gt;=$C20,base_de_datos[Materia]&amp;" "&amp;base_de_datos[[Número de grupo ]],""),""),""),""),"")</f>
        <v/>
      </c>
      <c r="T20" s="29" t="str" cm="1">
        <f t="array" ref="T20">_xlfn.TEXTJOIN(CHAR(10),TRUE,IF(Profesor=base_de_datos[Profesor],IF("x"=base_de_datos[Sábado],IF(base_de_datos[Hora inicio]&lt;=$B20,IF(base_de_datos[Hora fin]&gt;=$C20,base_de_datos[Aula]&amp;" "&amp;#REF!,""),""),""),""),"")</f>
        <v/>
      </c>
      <c r="U20" s="29" t="str" cm="1">
        <f t="array" ref="U20">_xlfn.TEXTJOIN(CHAR(10),TRUE,IF(Profesor=base_de_datos[Profesor],IF("x"=base_de_datos[Sábado],IF(base_de_datos[Hora inicio]&lt;=$B20,IF(base_de_datos[Hora fin]&gt;=$C20,base_de_datos[No clase],""),""),""),""),"")</f>
        <v/>
      </c>
    </row>
    <row r="21" spans="2:30" ht="15">
      <c r="B21" s="206">
        <v>0.625</v>
      </c>
      <c r="C21" s="206">
        <v>0.64583333333332804</v>
      </c>
      <c r="D21" s="30" t="str" cm="1">
        <f t="array" ref="D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E21" s="30" t="str" cm="1">
        <f t="array" ref="E21">_xlfn.TEXTJOIN(CHAR(10),TRUE,IF(Profesor=base_de_datos[Profesor],IF("x"=base_de_datos[Lunes],IF(base_de_datos[Hora inicio]&lt;=$B21,IF(base_de_datos[Hora fin]&gt;=$C21,base_de_datos[Aula]&amp;" "&amp;#REF!,""),""),""),""),"")</f>
        <v/>
      </c>
      <c r="F21" s="30" t="str" cm="1">
        <f t="array" ref="F21">_xlfn.TEXTJOIN(CHAR(10),TRUE,IF(Profesor=base_de_datos[Profesor],IF("x"=base_de_datos[Lunes],IF(base_de_datos[Hora inicio]&lt;=$B21,IF(base_de_datos[Hora fin]&gt;=$C21,base_de_datos[No clase],""),""),""),""),"")</f>
        <v/>
      </c>
      <c r="G21" s="29" t="str" cm="1">
        <f t="array" ref="G21">_xlfn.TEXTJOIN(CHAR(10),TRUE,IF(Profesor=base_de_datos[Profesor],IF("x"=base_de_datos[Martes],IF(base_de_datos[Hora inicio]&lt;=$B21,IF(base_de_datos[Hora fin]&gt;=$C21,base_de_datos[Materia]&amp;" "&amp;base_de_datos[[Número de grupo ]],""),""),""),""),"")</f>
        <v/>
      </c>
      <c r="H21" s="29" t="str" cm="1">
        <f t="array" ref="H21">_xlfn.TEXTJOIN(CHAR(10),TRUE,IF(Profesor=base_de_datos[Profesor],IF("x"=base_de_datos[Martes],IF(base_de_datos[Hora inicio]&lt;=$B21,IF(base_de_datos[Hora fin]&gt;=$C21,base_de_datos[Aula]&amp;" "&amp;#REF!,""),""),""),""),"")</f>
        <v/>
      </c>
      <c r="I21" s="29" t="str" cm="1">
        <f t="array" ref="I21">_xlfn.TEXTJOIN(CHAR(10),TRUE,IF(Profesor=base_de_datos[Profesor],IF("x"=base_de_datos[Martes],IF(base_de_datos[Hora inicio]&lt;=$B21,IF(base_de_datos[Hora fin]&gt;=$C21,base_de_datos[No clase],""),""),""),""),"")</f>
        <v/>
      </c>
      <c r="J21" s="30" t="str" cm="1">
        <f t="array" ref="J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K21" s="30" t="str" cm="1">
        <f t="array" ref="K21">_xlfn.TEXTJOIN(CHAR(10),TRUE,IF(Profesor=base_de_datos[Profesor],IF("x"=base_de_datos[Lunes],IF(base_de_datos[Hora inicio]&lt;=$B21,IF(base_de_datos[Hora fin]&gt;=$C21,base_de_datos[Aula]&amp;" "&amp;#REF!,""),""),""),""),"")</f>
        <v/>
      </c>
      <c r="L21" s="30" t="str" cm="1">
        <f t="array" ref="L21">_xlfn.TEXTJOIN(CHAR(10),TRUE,IF(Profesor=base_de_datos[Profesor],IF("x"=base_de_datos[Lunes],IF(base_de_datos[Hora inicio]&lt;=$B21,IF(base_de_datos[Hora fin]&gt;=$C21,base_de_datos[No clase],""),""),""),""),"")</f>
        <v/>
      </c>
      <c r="M21" s="29" t="str" cm="1">
        <f t="array" ref="M21">_xlfn.TEXTJOIN(CHAR(10),TRUE,IF(Profesor=base_de_datos[Profesor],IF("x"=base_de_datos[Jueves],IF(base_de_datos[Hora inicio]&lt;=$B21,IF(base_de_datos[Hora fin]&gt;=$C21,base_de_datos[Materia]&amp;" "&amp;base_de_datos[[Número de grupo ]],""),""),""),""),"")</f>
        <v/>
      </c>
      <c r="N21" s="29" t="str" cm="1">
        <f t="array" ref="N21">_xlfn.TEXTJOIN(CHAR(10),TRUE,IF(Profesor=base_de_datos[Profesor],IF("x"=base_de_datos[Jueves],IF(base_de_datos[Hora inicio]&lt;=$B21,IF(base_de_datos[Hora fin]&gt;=$C21,base_de_datos[Aula]&amp;" "&amp;#REF!,""),""),""),""),"")</f>
        <v/>
      </c>
      <c r="O21" s="29" t="str" cm="1">
        <f t="array" ref="O21">_xlfn.TEXTJOIN(CHAR(10),TRUE,IF(Profesor=base_de_datos[Profesor],IF("x"=base_de_datos[Jueves],IF(base_de_datos[Hora inicio]&lt;=$B21,IF(base_de_datos[Hora fin]&gt;=$C21,base_de_datos[No clase],""),""),""),""),"")</f>
        <v/>
      </c>
      <c r="P21" s="30" t="str" cm="1">
        <f t="array" ref="P21">_xlfn.TEXTJOIN(CHAR(10),TRUE,IF(Profesor=base_de_datos[Profesor],IF("x"=base_de_datos[Viernes],IF(base_de_datos[Hora inicio]&lt;=$B21,IF(base_de_datos[Hora fin]&gt;=$C21,base_de_datos[Materia]&amp;" "&amp;base_de_datos[[Número de grupo ]],""),""),""),""),"")</f>
        <v/>
      </c>
      <c r="Q21" s="30" t="str" cm="1">
        <f t="array" ref="Q21">_xlfn.TEXTJOIN(CHAR(10),TRUE,IF(Profesor=base_de_datos[Profesor],IF("x"=base_de_datos[Viernes],IF(base_de_datos[Hora inicio]&lt;=$B21,IF(base_de_datos[Hora fin]&gt;=$C21,base_de_datos[Aula]&amp;" "&amp;#REF!,""),""),""),""),"")</f>
        <v/>
      </c>
      <c r="R21" s="30" t="str" cm="1">
        <f t="array" ref="R21">_xlfn.TEXTJOIN(CHAR(10),TRUE,IF(Profesor=base_de_datos[Profesor],IF("x"=base_de_datos[Viernes],IF(base_de_datos[Hora inicio]&lt;=$B21,IF(base_de_datos[Hora fin]&gt;=$C21,base_de_datos[No clase],""),""),""),""),"")</f>
        <v/>
      </c>
      <c r="S21" s="29" t="str" cm="1">
        <f t="array" ref="S21">_xlfn.TEXTJOIN(CHAR(10),TRUE,IF(Profesor=base_de_datos[Profesor],IF("x"=base_de_datos[Sábado],IF(base_de_datos[Hora inicio]&lt;=$B21,IF(base_de_datos[Hora fin]&gt;=$C21,base_de_datos[Materia]&amp;" "&amp;base_de_datos[[Número de grupo ]],""),""),""),""),"")</f>
        <v/>
      </c>
      <c r="T21" s="29" t="str" cm="1">
        <f t="array" ref="T21">_xlfn.TEXTJOIN(CHAR(10),TRUE,IF(Profesor=base_de_datos[Profesor],IF("x"=base_de_datos[Sábado],IF(base_de_datos[Hora inicio]&lt;=$B21,IF(base_de_datos[Hora fin]&gt;=$C21,base_de_datos[Aula]&amp;" "&amp;#REF!,""),""),""),""),"")</f>
        <v/>
      </c>
      <c r="U21" s="29" t="str" cm="1">
        <f t="array" ref="U21">_xlfn.TEXTJOIN(CHAR(10),TRUE,IF(Profesor=base_de_datos[Profesor],IF("x"=base_de_datos[Sábado],IF(base_de_datos[Hora inicio]&lt;=$B21,IF(base_de_datos[Hora fin]&gt;=$C21,base_de_datos[No clase],""),""),""),""),"")</f>
        <v/>
      </c>
    </row>
    <row r="22" spans="2:30" ht="15">
      <c r="B22" s="206">
        <v>0.64583333333333304</v>
      </c>
      <c r="C22" s="206">
        <v>0.66666666666666097</v>
      </c>
      <c r="D22" s="30" t="str" cm="1">
        <f t="array" ref="D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E22" s="30" t="str" cm="1">
        <f t="array" ref="E22">_xlfn.TEXTJOIN(CHAR(10),TRUE,IF(Profesor=base_de_datos[Profesor],IF("x"=base_de_datos[Lunes],IF(base_de_datos[Hora inicio]&lt;=$B22,IF(base_de_datos[Hora fin]&gt;=$C22,base_de_datos[Aula]&amp;" "&amp;#REF!,""),""),""),""),"")</f>
        <v/>
      </c>
      <c r="F22" s="30" t="str" cm="1">
        <f t="array" ref="F22">_xlfn.TEXTJOIN(CHAR(10),TRUE,IF(Profesor=base_de_datos[Profesor],IF("x"=base_de_datos[Lunes],IF(base_de_datos[Hora inicio]&lt;=$B22,IF(base_de_datos[Hora fin]&gt;=$C22,base_de_datos[No clase],""),""),""),""),"")</f>
        <v/>
      </c>
      <c r="G22" s="29" t="str" cm="1">
        <f t="array" ref="G22">_xlfn.TEXTJOIN(CHAR(10),TRUE,IF(Profesor=base_de_datos[Profesor],IF("x"=base_de_datos[Martes],IF(base_de_datos[Hora inicio]&lt;=$B22,IF(base_de_datos[Hora fin]&gt;=$C22,base_de_datos[Materia]&amp;" "&amp;base_de_datos[[Número de grupo ]],""),""),""),""),"")</f>
        <v/>
      </c>
      <c r="H22" s="29" t="str" cm="1">
        <f t="array" ref="H22">_xlfn.TEXTJOIN(CHAR(10),TRUE,IF(Profesor=base_de_datos[Profesor],IF("x"=base_de_datos[Martes],IF(base_de_datos[Hora inicio]&lt;=$B22,IF(base_de_datos[Hora fin]&gt;=$C22,base_de_datos[Aula]&amp;" "&amp;#REF!,""),""),""),""),"")</f>
        <v/>
      </c>
      <c r="I22" s="29" t="str" cm="1">
        <f t="array" ref="I22">_xlfn.TEXTJOIN(CHAR(10),TRUE,IF(Profesor=base_de_datos[Profesor],IF("x"=base_de_datos[Martes],IF(base_de_datos[Hora inicio]&lt;=$B22,IF(base_de_datos[Hora fin]&gt;=$C22,base_de_datos[No clase],""),""),""),""),"")</f>
        <v/>
      </c>
      <c r="J22" s="30" t="str" cm="1">
        <f t="array" ref="J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K22" s="30" t="str" cm="1">
        <f t="array" ref="K22">_xlfn.TEXTJOIN(CHAR(10),TRUE,IF(Profesor=base_de_datos[Profesor],IF("x"=base_de_datos[Lunes],IF(base_de_datos[Hora inicio]&lt;=$B22,IF(base_de_datos[Hora fin]&gt;=$C22,base_de_datos[Aula]&amp;" "&amp;#REF!,""),""),""),""),"")</f>
        <v/>
      </c>
      <c r="L22" s="30" t="str" cm="1">
        <f t="array" ref="L22">_xlfn.TEXTJOIN(CHAR(10),TRUE,IF(Profesor=base_de_datos[Profesor],IF("x"=base_de_datos[Lunes],IF(base_de_datos[Hora inicio]&lt;=$B22,IF(base_de_datos[Hora fin]&gt;=$C22,base_de_datos[No clase],""),""),""),""),"")</f>
        <v/>
      </c>
      <c r="M22" s="29" t="str" cm="1">
        <f t="array" ref="M22">_xlfn.TEXTJOIN(CHAR(10),TRUE,IF(Profesor=base_de_datos[Profesor],IF("x"=base_de_datos[Jueves],IF(base_de_datos[Hora inicio]&lt;=$B22,IF(base_de_datos[Hora fin]&gt;=$C22,base_de_datos[Materia]&amp;" "&amp;base_de_datos[[Número de grupo ]],""),""),""),""),"")</f>
        <v/>
      </c>
      <c r="N22" s="29" t="str" cm="1">
        <f t="array" ref="N22">_xlfn.TEXTJOIN(CHAR(10),TRUE,IF(Profesor=base_de_datos[Profesor],IF("x"=base_de_datos[Jueves],IF(base_de_datos[Hora inicio]&lt;=$B22,IF(base_de_datos[Hora fin]&gt;=$C22,base_de_datos[Aula]&amp;" "&amp;#REF!,""),""),""),""),"")</f>
        <v/>
      </c>
      <c r="O22" s="29" t="str" cm="1">
        <f t="array" ref="O22">_xlfn.TEXTJOIN(CHAR(10),TRUE,IF(Profesor=base_de_datos[Profesor],IF("x"=base_de_datos[Jueves],IF(base_de_datos[Hora inicio]&lt;=$B22,IF(base_de_datos[Hora fin]&gt;=$C22,base_de_datos[No clase],""),""),""),""),"")</f>
        <v/>
      </c>
      <c r="P22" s="30" t="str" cm="1">
        <f t="array" ref="P22">_xlfn.TEXTJOIN(CHAR(10),TRUE,IF(Profesor=base_de_datos[Profesor],IF("x"=base_de_datos[Viernes],IF(base_de_datos[Hora inicio]&lt;=$B22,IF(base_de_datos[Hora fin]&gt;=$C22,base_de_datos[Materia]&amp;" "&amp;base_de_datos[[Número de grupo ]],""),""),""),""),"")</f>
        <v/>
      </c>
      <c r="Q22" s="30" t="str" cm="1">
        <f t="array" ref="Q22">_xlfn.TEXTJOIN(CHAR(10),TRUE,IF(Profesor=base_de_datos[Profesor],IF("x"=base_de_datos[Viernes],IF(base_de_datos[Hora inicio]&lt;=$B22,IF(base_de_datos[Hora fin]&gt;=$C22,base_de_datos[Aula]&amp;" "&amp;#REF!,""),""),""),""),"")</f>
        <v/>
      </c>
      <c r="R22" s="30" t="str" cm="1">
        <f t="array" ref="R22">_xlfn.TEXTJOIN(CHAR(10),TRUE,IF(Profesor=base_de_datos[Profesor],IF("x"=base_de_datos[Viernes],IF(base_de_datos[Hora inicio]&lt;=$B22,IF(base_de_datos[Hora fin]&gt;=$C22,base_de_datos[No clase],""),""),""),""),"")</f>
        <v/>
      </c>
      <c r="S22" s="29" t="str" cm="1">
        <f t="array" ref="S22">_xlfn.TEXTJOIN(CHAR(10),TRUE,IF(Profesor=base_de_datos[Profesor],IF("x"=base_de_datos[Sábado],IF(base_de_datos[Hora inicio]&lt;=$B22,IF(base_de_datos[Hora fin]&gt;=$C22,base_de_datos[Materia]&amp;" "&amp;base_de_datos[[Número de grupo ]],""),""),""),""),"")</f>
        <v/>
      </c>
      <c r="T22" s="29" t="str" cm="1">
        <f t="array" ref="T22">_xlfn.TEXTJOIN(CHAR(10),TRUE,IF(Profesor=base_de_datos[Profesor],IF("x"=base_de_datos[Sábado],IF(base_de_datos[Hora inicio]&lt;=$B22,IF(base_de_datos[Hora fin]&gt;=$C22,base_de_datos[Aula]&amp;" "&amp;#REF!,""),""),""),""),"")</f>
        <v/>
      </c>
      <c r="U22" s="29" t="str" cm="1">
        <f t="array" ref="U22">_xlfn.TEXTJOIN(CHAR(10),TRUE,IF(Profesor=base_de_datos[Profesor],IF("x"=base_de_datos[Sábado],IF(base_de_datos[Hora inicio]&lt;=$B22,IF(base_de_datos[Hora fin]&gt;=$C22,base_de_datos[No clase],""),""),""),""),"")</f>
        <v/>
      </c>
    </row>
    <row r="23" spans="2:30" ht="15">
      <c r="B23" s="206">
        <v>0.66666666666666696</v>
      </c>
      <c r="C23" s="206">
        <v>0.687499999999994</v>
      </c>
      <c r="D23" s="30" t="str" cm="1">
        <f t="array" ref="D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E23" s="30" t="str" cm="1">
        <f t="array" ref="E23">_xlfn.TEXTJOIN(CHAR(10),TRUE,IF(Profesor=base_de_datos[Profesor],IF("x"=base_de_datos[Lunes],IF(base_de_datos[Hora inicio]&lt;=$B23,IF(base_de_datos[Hora fin]&gt;=$C23,base_de_datos[Aula]&amp;" "&amp;#REF!,""),""),""),""),"")</f>
        <v/>
      </c>
      <c r="F23" s="30" t="str" cm="1">
        <f t="array" ref="F23">_xlfn.TEXTJOIN(CHAR(10),TRUE,IF(Profesor=base_de_datos[Profesor],IF("x"=base_de_datos[Lunes],IF(base_de_datos[Hora inicio]&lt;=$B23,IF(base_de_datos[Hora fin]&gt;=$C23,base_de_datos[No clase],""),""),""),""),"")</f>
        <v/>
      </c>
      <c r="G23" s="29" t="str" cm="1">
        <f t="array" ref="G23">_xlfn.TEXTJOIN(CHAR(10),TRUE,IF(Profesor=base_de_datos[Profesor],IF("x"=base_de_datos[Martes],IF(base_de_datos[Hora inicio]&lt;=$B23,IF(base_de_datos[Hora fin]&gt;=$C23,base_de_datos[Materia]&amp;" "&amp;base_de_datos[[Número de grupo ]],""),""),""),""),"")</f>
        <v/>
      </c>
      <c r="H23" s="29" t="str" cm="1">
        <f t="array" ref="H23">_xlfn.TEXTJOIN(CHAR(10),TRUE,IF(Profesor=base_de_datos[Profesor],IF("x"=base_de_datos[Martes],IF(base_de_datos[Hora inicio]&lt;=$B23,IF(base_de_datos[Hora fin]&gt;=$C23,base_de_datos[Aula]&amp;" "&amp;#REF!,""),""),""),""),"")</f>
        <v/>
      </c>
      <c r="I23" s="29" t="str" cm="1">
        <f t="array" ref="I23">_xlfn.TEXTJOIN(CHAR(10),TRUE,IF(Profesor=base_de_datos[Profesor],IF("x"=base_de_datos[Martes],IF(base_de_datos[Hora inicio]&lt;=$B23,IF(base_de_datos[Hora fin]&gt;=$C23,base_de_datos[No clase],""),""),""),""),"")</f>
        <v/>
      </c>
      <c r="J23" s="30" t="str" cm="1">
        <f t="array" ref="J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K23" s="30" t="str" cm="1">
        <f t="array" ref="K23">_xlfn.TEXTJOIN(CHAR(10),TRUE,IF(Profesor=base_de_datos[Profesor],IF("x"=base_de_datos[Lunes],IF(base_de_datos[Hora inicio]&lt;=$B23,IF(base_de_datos[Hora fin]&gt;=$C23,base_de_datos[Aula]&amp;" "&amp;#REF!,""),""),""),""),"")</f>
        <v/>
      </c>
      <c r="L23" s="30" t="str" cm="1">
        <f t="array" ref="L23">_xlfn.TEXTJOIN(CHAR(10),TRUE,IF(Profesor=base_de_datos[Profesor],IF("x"=base_de_datos[Lunes],IF(base_de_datos[Hora inicio]&lt;=$B23,IF(base_de_datos[Hora fin]&gt;=$C23,base_de_datos[No clase],""),""),""),""),"")</f>
        <v/>
      </c>
      <c r="M23" s="29" t="str" cm="1">
        <f t="array" ref="M23">_xlfn.TEXTJOIN(CHAR(10),TRUE,IF(Profesor=base_de_datos[Profesor],IF("x"=base_de_datos[Jueves],IF(base_de_datos[Hora inicio]&lt;=$B23,IF(base_de_datos[Hora fin]&gt;=$C23,base_de_datos[Materia]&amp;" "&amp;base_de_datos[[Número de grupo ]],""),""),""),""),"")</f>
        <v/>
      </c>
      <c r="N23" s="29" t="str" cm="1">
        <f t="array" ref="N23">_xlfn.TEXTJOIN(CHAR(10),TRUE,IF(Profesor=base_de_datos[Profesor],IF("x"=base_de_datos[Jueves],IF(base_de_datos[Hora inicio]&lt;=$B23,IF(base_de_datos[Hora fin]&gt;=$C23,base_de_datos[Aula]&amp;" "&amp;#REF!,""),""),""),""),"")</f>
        <v/>
      </c>
      <c r="O23" s="29" t="str" cm="1">
        <f t="array" ref="O23">_xlfn.TEXTJOIN(CHAR(10),TRUE,IF(Profesor=base_de_datos[Profesor],IF("x"=base_de_datos[Jueves],IF(base_de_datos[Hora inicio]&lt;=$B23,IF(base_de_datos[Hora fin]&gt;=$C23,base_de_datos[No clase],""),""),""),""),"")</f>
        <v/>
      </c>
      <c r="P23" s="29" t="str" cm="1">
        <f t="array" ref="P23">_xlfn.TEXTJOIN(CHAR(10),TRUE,IF(Profesor=base_de_datos[Profesor],IF("x"=base_de_datos[Viernes],IF(base_de_datos[Hora inicio]&lt;=$B23,IF(base_de_datos[Hora fin]&gt;=$C23,base_de_datos[Materia]&amp;" "&amp;base_de_datos[[Número de grupo ]],""),""),""),""),"")</f>
        <v/>
      </c>
      <c r="Q23" s="29" t="str" cm="1">
        <f t="array" ref="Q23">_xlfn.TEXTJOIN(CHAR(10),TRUE,IF(Profesor=base_de_datos[Profesor],IF("x"=base_de_datos[Viernes],IF(base_de_datos[Hora inicio]&lt;=$B23,IF(base_de_datos[Hora fin]&gt;=$C23,base_de_datos[Aula]&amp;" "&amp;#REF!,""),""),""),""),"")</f>
        <v/>
      </c>
      <c r="R23" s="29" t="str" cm="1">
        <f t="array" ref="R23">_xlfn.TEXTJOIN(CHAR(10),TRUE,IF(Profesor=base_de_datos[Profesor],IF("x"=base_de_datos[Viernes],IF(base_de_datos[Hora inicio]&lt;=$B23,IF(base_de_datos[Hora fin]&gt;=$C23,base_de_datos[No clase],""),""),""),""),"")</f>
        <v/>
      </c>
      <c r="S23" s="29" t="str" cm="1">
        <f t="array" ref="S23">_xlfn.TEXTJOIN(CHAR(10),TRUE,IF(Profesor=base_de_datos[Profesor],IF("x"=base_de_datos[Sábado],IF(base_de_datos[Hora inicio]&lt;=$B23,IF(base_de_datos[Hora fin]&gt;=$C23,base_de_datos[Materia]&amp;" "&amp;base_de_datos[[Número de grupo ]],""),""),""),""),"")</f>
        <v/>
      </c>
      <c r="T23" s="29" t="str" cm="1">
        <f t="array" ref="T23">_xlfn.TEXTJOIN(CHAR(10),TRUE,IF(Profesor=base_de_datos[Profesor],IF("x"=base_de_datos[Sábado],IF(base_de_datos[Hora inicio]&lt;=$B23,IF(base_de_datos[Hora fin]&gt;=$C23,base_de_datos[Aula]&amp;" "&amp;#REF!,""),""),""),""),"")</f>
        <v/>
      </c>
      <c r="U23" s="29" t="str" cm="1">
        <f t="array" ref="U23">_xlfn.TEXTJOIN(CHAR(10),TRUE,IF(Profesor=base_de_datos[Profesor],IF("x"=base_de_datos[Sábado],IF(base_de_datos[Hora inicio]&lt;=$B23,IF(base_de_datos[Hora fin]&gt;=$C23,base_de_datos[No clase],""),""),""),""),"")</f>
        <v/>
      </c>
    </row>
    <row r="24" spans="2:30" ht="15">
      <c r="B24" s="206">
        <v>0.6875</v>
      </c>
      <c r="C24" s="206">
        <v>0.70833333333332704</v>
      </c>
      <c r="D24" s="30" t="str" cm="1">
        <f t="array" ref="D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E24" s="30" t="str" cm="1">
        <f t="array" ref="E24">_xlfn.TEXTJOIN(CHAR(10),TRUE,IF(Profesor=base_de_datos[Profesor],IF("x"=base_de_datos[Lunes],IF(base_de_datos[Hora inicio]&lt;=$B24,IF(base_de_datos[Hora fin]&gt;=$C24,base_de_datos[Aula]&amp;" "&amp;#REF!,""),""),""),""),"")</f>
        <v/>
      </c>
      <c r="F24" s="30" t="str" cm="1">
        <f t="array" ref="F24">_xlfn.TEXTJOIN(CHAR(10),TRUE,IF(Profesor=base_de_datos[Profesor],IF("x"=base_de_datos[Lunes],IF(base_de_datos[Hora inicio]&lt;=$B24,IF(base_de_datos[Hora fin]&gt;=$C24,base_de_datos[No clase],""),""),""),""),"")</f>
        <v/>
      </c>
      <c r="G24" s="29" t="str" cm="1">
        <f t="array" ref="G24">_xlfn.TEXTJOIN(CHAR(10),TRUE,IF(Profesor=base_de_datos[Profesor],IF("x"=base_de_datos[Martes],IF(base_de_datos[Hora inicio]&lt;=$B24,IF(base_de_datos[Hora fin]&gt;=$C24,base_de_datos[Materia]&amp;" "&amp;base_de_datos[[Número de grupo ]],""),""),""),""),"")</f>
        <v/>
      </c>
      <c r="H24" s="29" t="str" cm="1">
        <f t="array" ref="H24">_xlfn.TEXTJOIN(CHAR(10),TRUE,IF(Profesor=base_de_datos[Profesor],IF("x"=base_de_datos[Martes],IF(base_de_datos[Hora inicio]&lt;=$B24,IF(base_de_datos[Hora fin]&gt;=$C24,base_de_datos[Aula]&amp;" "&amp;#REF!,""),""),""),""),"")</f>
        <v/>
      </c>
      <c r="I24" s="29" t="str" cm="1">
        <f t="array" ref="I24">_xlfn.TEXTJOIN(CHAR(10),TRUE,IF(Profesor=base_de_datos[Profesor],IF("x"=base_de_datos[Martes],IF(base_de_datos[Hora inicio]&lt;=$B24,IF(base_de_datos[Hora fin]&gt;=$C24,base_de_datos[No clase],""),""),""),""),"")</f>
        <v/>
      </c>
      <c r="J24" s="30" t="str" cm="1">
        <f t="array" ref="J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K24" s="30" t="str" cm="1">
        <f t="array" ref="K24">_xlfn.TEXTJOIN(CHAR(10),TRUE,IF(Profesor=base_de_datos[Profesor],IF("x"=base_de_datos[Lunes],IF(base_de_datos[Hora inicio]&lt;=$B24,IF(base_de_datos[Hora fin]&gt;=$C24,base_de_datos[Aula]&amp;" "&amp;#REF!,""),""),""),""),"")</f>
        <v/>
      </c>
      <c r="L24" s="30" t="str" cm="1">
        <f t="array" ref="L24">_xlfn.TEXTJOIN(CHAR(10),TRUE,IF(Profesor=base_de_datos[Profesor],IF("x"=base_de_datos[Lunes],IF(base_de_datos[Hora inicio]&lt;=$B24,IF(base_de_datos[Hora fin]&gt;=$C24,base_de_datos[No clase],""),""),""),""),"")</f>
        <v/>
      </c>
      <c r="M24" s="29" t="str" cm="1">
        <f t="array" ref="M24">_xlfn.TEXTJOIN(CHAR(10),TRUE,IF(Profesor=base_de_datos[Profesor],IF("x"=base_de_datos[Jueves],IF(base_de_datos[Hora inicio]&lt;=$B24,IF(base_de_datos[Hora fin]&gt;=$C24,base_de_datos[Materia]&amp;" "&amp;base_de_datos[[Número de grupo ]],""),""),""),""),"")</f>
        <v/>
      </c>
      <c r="N24" s="29" t="str" cm="1">
        <f t="array" ref="N24">_xlfn.TEXTJOIN(CHAR(10),TRUE,IF(Profesor=base_de_datos[Profesor],IF("x"=base_de_datos[Jueves],IF(base_de_datos[Hora inicio]&lt;=$B24,IF(base_de_datos[Hora fin]&gt;=$C24,base_de_datos[Aula]&amp;" "&amp;#REF!,""),""),""),""),"")</f>
        <v/>
      </c>
      <c r="O24" s="29" t="str" cm="1">
        <f t="array" ref="O24">_xlfn.TEXTJOIN(CHAR(10),TRUE,IF(Profesor=base_de_datos[Profesor],IF("x"=base_de_datos[Jueves],IF(base_de_datos[Hora inicio]&lt;=$B24,IF(base_de_datos[Hora fin]&gt;=$C24,base_de_datos[No clase],""),""),""),""),"")</f>
        <v/>
      </c>
      <c r="P24" s="29" t="str" cm="1">
        <f t="array" ref="P24">_xlfn.TEXTJOIN(CHAR(10),TRUE,IF(Profesor=base_de_datos[Profesor],IF("x"=base_de_datos[Viernes],IF(base_de_datos[Hora inicio]&lt;=$B24,IF(base_de_datos[Hora fin]&gt;=$C24,base_de_datos[Materia]&amp;" "&amp;base_de_datos[[Número de grupo ]],""),""),""),""),"")</f>
        <v/>
      </c>
      <c r="Q24" s="29" t="str" cm="1">
        <f t="array" ref="Q24">_xlfn.TEXTJOIN(CHAR(10),TRUE,IF(Profesor=base_de_datos[Profesor],IF("x"=base_de_datos[Viernes],IF(base_de_datos[Hora inicio]&lt;=$B24,IF(base_de_datos[Hora fin]&gt;=$C24,base_de_datos[Aula]&amp;" "&amp;#REF!,""),""),""),""),"")</f>
        <v/>
      </c>
      <c r="R24" s="29" t="str" cm="1">
        <f t="array" ref="R24">_xlfn.TEXTJOIN(CHAR(10),TRUE,IF(Profesor=base_de_datos[Profesor],IF("x"=base_de_datos[Viernes],IF(base_de_datos[Hora inicio]&lt;=$B24,IF(base_de_datos[Hora fin]&gt;=$C24,base_de_datos[No clase],""),""),""),""),"")</f>
        <v/>
      </c>
      <c r="S24" s="29" t="str" cm="1">
        <f t="array" ref="S24">_xlfn.TEXTJOIN(CHAR(10),TRUE,IF(Profesor=base_de_datos[Profesor],IF("x"=base_de_datos[Sábado],IF(base_de_datos[Hora inicio]&lt;=$B24,IF(base_de_datos[Hora fin]&gt;=$C24,base_de_datos[Materia]&amp;" "&amp;base_de_datos[[Número de grupo ]],""),""),""),""),"")</f>
        <v/>
      </c>
      <c r="T24" s="29" t="str" cm="1">
        <f t="array" ref="T24">_xlfn.TEXTJOIN(CHAR(10),TRUE,IF(Profesor=base_de_datos[Profesor],IF("x"=base_de_datos[Sábado],IF(base_de_datos[Hora inicio]&lt;=$B24,IF(base_de_datos[Hora fin]&gt;=$C24,base_de_datos[Aula]&amp;" "&amp;#REF!,""),""),""),""),"")</f>
        <v/>
      </c>
      <c r="U24" s="29" t="str" cm="1">
        <f t="array" ref="U24">_xlfn.TEXTJOIN(CHAR(10),TRUE,IF(Profesor=base_de_datos[Profesor],IF("x"=base_de_datos[Sábado],IF(base_de_datos[Hora inicio]&lt;=$B24,IF(base_de_datos[Hora fin]&gt;=$C24,base_de_datos[No clase],""),""),""),""),"")</f>
        <v/>
      </c>
    </row>
    <row r="25" spans="2:30" ht="15">
      <c r="B25" s="206">
        <v>0.70833333333333304</v>
      </c>
      <c r="C25" s="206">
        <v>0.72916666666665997</v>
      </c>
      <c r="D25" s="29" t="str" cm="1">
        <f t="array" ref="D25">_xlfn.TEXTJOIN(CHAR(10),TRUE,IF(Profesor=base_de_datos[Profesor],IF("x"=base_de_datos[Lunes],IF(base_de_datos[Hora inicio]&lt;=$B25,IF(base_de_datos[Hora fin]&gt;=$C25,base_de_datos[Materia]&amp;" "&amp;base_de_datos[[Número de grupo ]],""),""),""),""),"")</f>
        <v/>
      </c>
      <c r="E25" s="29" t="str" cm="1">
        <f t="array" ref="E25">_xlfn.TEXTJOIN(CHAR(10),TRUE,IF(Profesor=base_de_datos[Profesor],IF("x"=base_de_datos[Lunes],IF(base_de_datos[Hora inicio]&lt;=$B25,IF(base_de_datos[Hora fin]&gt;=$C25,base_de_datos[Aula]&amp;" "&amp;#REF!,""),""),""),""),"")</f>
        <v/>
      </c>
      <c r="F25" s="29" t="str" cm="1">
        <f t="array" ref="F25">_xlfn.TEXTJOIN(CHAR(10),TRUE,IF(Profesor=base_de_datos[Profesor],IF("x"=base_de_datos[Lunes],IF(base_de_datos[Hora inicio]&lt;=$B25,IF(base_de_datos[Hora fin]&gt;=$C25,base_de_datos[No clase],""),""),""),""),"")</f>
        <v/>
      </c>
      <c r="G25" s="29" t="str" cm="1">
        <f t="array" ref="G25">_xlfn.TEXTJOIN(CHAR(10),TRUE,IF(Profesor=base_de_datos[Profesor],IF("x"=base_de_datos[Martes],IF(base_de_datos[Hora inicio]&lt;=$B25,IF(base_de_datos[Hora fin]&gt;=$C25,base_de_datos[Materia]&amp;" "&amp;base_de_datos[[Número de grupo ]],""),""),""),""),"")</f>
        <v/>
      </c>
      <c r="H25" s="29" t="str" cm="1">
        <f t="array" ref="H25">_xlfn.TEXTJOIN(CHAR(10),TRUE,IF(Profesor=base_de_datos[Profesor],IF("x"=base_de_datos[Martes],IF(base_de_datos[Hora inicio]&lt;=$B25,IF(base_de_datos[Hora fin]&gt;=$C25,base_de_datos[Aula]&amp;" "&amp;#REF!,""),""),""),""),"")</f>
        <v/>
      </c>
      <c r="I25" s="29" t="str" cm="1">
        <f t="array" ref="I25">_xlfn.TEXTJOIN(CHAR(10),TRUE,IF(Profesor=base_de_datos[Profesor],IF("x"=base_de_datos[Martes],IF(base_de_datos[Hora inicio]&lt;=$B25,IF(base_de_datos[Hora fin]&gt;=$C25,base_de_datos[No clase],""),""),""),""),"")</f>
        <v/>
      </c>
      <c r="J25" s="29" t="str" cm="1">
        <f t="array" ref="J25">_xlfn.TEXTJOIN(CHAR(10),TRUE,IF(Profesor=base_de_datos[Profesor],IF("x"=base_de_datos[Miércoles],IF(base_de_datos[Hora inicio]&lt;=$B25,IF(base_de_datos[Hora fin]&gt;=$C25,base_de_datos[Materia]&amp;" "&amp;base_de_datos[[Número de grupo ]],""),""),""),""),"")</f>
        <v/>
      </c>
      <c r="K25" s="29" t="str" cm="1">
        <f t="array" ref="K25">_xlfn.TEXTJOIN(CHAR(10),TRUE,IF(Profesor=base_de_datos[Profesor],IF("x"=base_de_datos[Miércoles],IF(base_de_datos[Hora inicio]&lt;=$B25,IF(base_de_datos[Hora fin]&gt;=$C25,base_de_datos[Aula]&amp;" "&amp;#REF!,""),""),""),""),"")</f>
        <v/>
      </c>
      <c r="L25" s="29" t="str" cm="1">
        <f t="array" ref="L25">_xlfn.TEXTJOIN(CHAR(10),TRUE,IF(Profesor=base_de_datos[Profesor],IF("x"=base_de_datos[Miércoles],IF(base_de_datos[Hora inicio]&lt;=$B25,IF(base_de_datos[Hora fin]&gt;=$C25,base_de_datos[No clase],""),""),""),""),"")</f>
        <v/>
      </c>
      <c r="M25" s="29" t="str" cm="1">
        <f t="array" ref="M25">_xlfn.TEXTJOIN(CHAR(10),TRUE,IF(Profesor=base_de_datos[Profesor],IF("x"=base_de_datos[Jueves],IF(base_de_datos[Hora inicio]&lt;=$B25,IF(base_de_datos[Hora fin]&gt;=$C25,base_de_datos[Materia]&amp;" "&amp;base_de_datos[[Número de grupo ]],""),""),""),""),"")</f>
        <v/>
      </c>
      <c r="N25" s="29" t="str" cm="1">
        <f t="array" ref="N25">_xlfn.TEXTJOIN(CHAR(10),TRUE,IF(Profesor=base_de_datos[Profesor],IF("x"=base_de_datos[Jueves],IF(base_de_datos[Hora inicio]&lt;=$B25,IF(base_de_datos[Hora fin]&gt;=$C25,base_de_datos[Aula]&amp;" "&amp;#REF!,""),""),""),""),"")</f>
        <v/>
      </c>
      <c r="O25" s="29" t="str" cm="1">
        <f t="array" ref="O25">_xlfn.TEXTJOIN(CHAR(10),TRUE,IF(Profesor=base_de_datos[Profesor],IF("x"=base_de_datos[Jueves],IF(base_de_datos[Hora inicio]&lt;=$B25,IF(base_de_datos[Hora fin]&gt;=$C25,base_de_datos[No clase],""),""),""),""),"")</f>
        <v/>
      </c>
      <c r="P25" s="29" t="str" cm="1">
        <f t="array" ref="P25">_xlfn.TEXTJOIN(CHAR(10),TRUE,IF(Profesor=base_de_datos[Profesor],IF("x"=base_de_datos[Viernes],IF(base_de_datos[Hora inicio]&lt;=$B25,IF(base_de_datos[Hora fin]&gt;=$C25,base_de_datos[Materia]&amp;" "&amp;base_de_datos[[Número de grupo ]],""),""),""),""),"")</f>
        <v/>
      </c>
      <c r="Q25" s="29" t="str" cm="1">
        <f t="array" ref="Q25">_xlfn.TEXTJOIN(CHAR(10),TRUE,IF(Profesor=base_de_datos[Profesor],IF("x"=base_de_datos[Viernes],IF(base_de_datos[Hora inicio]&lt;=$B25,IF(base_de_datos[Hora fin]&gt;=$C25,base_de_datos[Aula]&amp;" "&amp;#REF!,""),""),""),""),"")</f>
        <v/>
      </c>
      <c r="R25" s="29" t="str" cm="1">
        <f t="array" ref="R25">_xlfn.TEXTJOIN(CHAR(10),TRUE,IF(Profesor=base_de_datos[Profesor],IF("x"=base_de_datos[Viernes],IF(base_de_datos[Hora inicio]&lt;=$B25,IF(base_de_datos[Hora fin]&gt;=$C25,base_de_datos[No clase],""),""),""),""),"")</f>
        <v/>
      </c>
      <c r="S25" s="29" t="str" cm="1">
        <f t="array" ref="S25">_xlfn.TEXTJOIN(CHAR(10),TRUE,IF(Profesor=base_de_datos[Profesor],IF("x"=base_de_datos[Sábado],IF(base_de_datos[Hora inicio]&lt;=$B25,IF(base_de_datos[Hora fin]&gt;=$C25,base_de_datos[Materia]&amp;" "&amp;base_de_datos[[Número de grupo ]],""),""),""),""),"")</f>
        <v/>
      </c>
      <c r="T25" s="29" t="str" cm="1">
        <f t="array" ref="T25">_xlfn.TEXTJOIN(CHAR(10),TRUE,IF(Profesor=base_de_datos[Profesor],IF("x"=base_de_datos[Sábado],IF(base_de_datos[Hora inicio]&lt;=$B25,IF(base_de_datos[Hora fin]&gt;=$C25,base_de_datos[Aula]&amp;" "&amp;#REF!,""),""),""),""),"")</f>
        <v/>
      </c>
      <c r="U25" s="29" t="str" cm="1">
        <f t="array" ref="U25">_xlfn.TEXTJOIN(CHAR(10),TRUE,IF(Profesor=base_de_datos[Profesor],IF("x"=base_de_datos[Sábado],IF(base_de_datos[Hora inicio]&lt;=$B25,IF(base_de_datos[Hora fin]&gt;=$C25,base_de_datos[No clase],""),""),""),""),"")</f>
        <v/>
      </c>
    </row>
    <row r="26" spans="2:30" ht="15">
      <c r="B26" s="206">
        <v>0.72916666666666696</v>
      </c>
      <c r="C26" s="206">
        <v>0.74999999999999301</v>
      </c>
      <c r="D26" s="29" t="str" cm="1">
        <f t="array" ref="D26">_xlfn.TEXTJOIN(CHAR(10),TRUE,IF(Profesor=base_de_datos[Profesor],IF("x"=base_de_datos[Lunes],IF(base_de_datos[Hora inicio]&lt;=$B26,IF(base_de_datos[Hora fin]&gt;=$C26,base_de_datos[Materia]&amp;" "&amp;base_de_datos[[Número de grupo ]],""),""),""),""),"")</f>
        <v/>
      </c>
      <c r="E26" s="29" t="str" cm="1">
        <f t="array" ref="E26">_xlfn.TEXTJOIN(CHAR(10),TRUE,IF(Profesor=base_de_datos[Profesor],IF("x"=base_de_datos[Lunes],IF(base_de_datos[Hora inicio]&lt;=$B26,IF(base_de_datos[Hora fin]&gt;=$C26,base_de_datos[Aula]&amp;" "&amp;#REF!,""),""),""),""),"")</f>
        <v/>
      </c>
      <c r="F26" s="29" t="str" cm="1">
        <f t="array" ref="F26">_xlfn.TEXTJOIN(CHAR(10),TRUE,IF(Profesor=base_de_datos[Profesor],IF("x"=base_de_datos[Lunes],IF(base_de_datos[Hora inicio]&lt;=$B26,IF(base_de_datos[Hora fin]&gt;=$C26,base_de_datos[No clase],""),""),""),""),"")</f>
        <v/>
      </c>
      <c r="G26" s="29" t="str" cm="1">
        <f t="array" ref="G26">_xlfn.TEXTJOIN(CHAR(10),TRUE,IF(Profesor=base_de_datos[Profesor],IF("x"=base_de_datos[Martes],IF(base_de_datos[Hora inicio]&lt;=$B26,IF(base_de_datos[Hora fin]&gt;=$C26,base_de_datos[Materia]&amp;" "&amp;base_de_datos[[Número de grupo ]],""),""),""),""),"")</f>
        <v/>
      </c>
      <c r="H26" s="29" t="str" cm="1">
        <f t="array" ref="H26">_xlfn.TEXTJOIN(CHAR(10),TRUE,IF(Profesor=base_de_datos[Profesor],IF("x"=base_de_datos[Martes],IF(base_de_datos[Hora inicio]&lt;=$B26,IF(base_de_datos[Hora fin]&gt;=$C26,base_de_datos[Aula]&amp;" "&amp;#REF!,""),""),""),""),"")</f>
        <v/>
      </c>
      <c r="I26" s="29" t="str" cm="1">
        <f t="array" ref="I26">_xlfn.TEXTJOIN(CHAR(10),TRUE,IF(Profesor=base_de_datos[Profesor],IF("x"=base_de_datos[Martes],IF(base_de_datos[Hora inicio]&lt;=$B26,IF(base_de_datos[Hora fin]&gt;=$C26,base_de_datos[No clase],""),""),""),""),"")</f>
        <v/>
      </c>
      <c r="J26" s="29" t="str" cm="1">
        <f t="array" ref="J26">_xlfn.TEXTJOIN(CHAR(10),TRUE,IF(Profesor=base_de_datos[Profesor],IF("x"=base_de_datos[Miércoles],IF(base_de_datos[Hora inicio]&lt;=$B26,IF(base_de_datos[Hora fin]&gt;=$C26,base_de_datos[Materia]&amp;" "&amp;base_de_datos[[Número de grupo ]],""),""),""),""),"")</f>
        <v/>
      </c>
      <c r="K26" s="29" t="str" cm="1">
        <f t="array" ref="K26">_xlfn.TEXTJOIN(CHAR(10),TRUE,IF(Profesor=base_de_datos[Profesor],IF("x"=base_de_datos[Miércoles],IF(base_de_datos[Hora inicio]&lt;=$B26,IF(base_de_datos[Hora fin]&gt;=$C26,base_de_datos[Aula]&amp;" "&amp;#REF!,""),""),""),""),"")</f>
        <v/>
      </c>
      <c r="L26" s="29" t="str" cm="1">
        <f t="array" ref="L26">_xlfn.TEXTJOIN(CHAR(10),TRUE,IF(Profesor=base_de_datos[Profesor],IF("x"=base_de_datos[Miércoles],IF(base_de_datos[Hora inicio]&lt;=$B26,IF(base_de_datos[Hora fin]&gt;=$C26,base_de_datos[No clase],""),""),""),""),"")</f>
        <v/>
      </c>
      <c r="M26" s="29" t="str" cm="1">
        <f t="array" ref="M26">_xlfn.TEXTJOIN(CHAR(10),TRUE,IF(Profesor=base_de_datos[Profesor],IF("x"=base_de_datos[Jueves],IF(base_de_datos[Hora inicio]&lt;=$B26,IF(base_de_datos[Hora fin]&gt;=$C26,base_de_datos[Materia]&amp;" "&amp;base_de_datos[[Número de grupo ]],""),""),""),""),"")</f>
        <v/>
      </c>
      <c r="N26" s="29" t="str" cm="1">
        <f t="array" ref="N26">_xlfn.TEXTJOIN(CHAR(10),TRUE,IF(Profesor=base_de_datos[Profesor],IF("x"=base_de_datos[Jueves],IF(base_de_datos[Hora inicio]&lt;=$B26,IF(base_de_datos[Hora fin]&gt;=$C26,base_de_datos[Aula]&amp;" "&amp;#REF!,""),""),""),""),"")</f>
        <v/>
      </c>
      <c r="O26" s="29" t="str" cm="1">
        <f t="array" ref="O26">_xlfn.TEXTJOIN(CHAR(10),TRUE,IF(Profesor=base_de_datos[Profesor],IF("x"=base_de_datos[Jueves],IF(base_de_datos[Hora inicio]&lt;=$B26,IF(base_de_datos[Hora fin]&gt;=$C26,base_de_datos[No clase],""),""),""),""),"")</f>
        <v/>
      </c>
      <c r="P26" s="29" t="str" cm="1">
        <f t="array" ref="P26">_xlfn.TEXTJOIN(CHAR(10),TRUE,IF(Profesor=base_de_datos[Profesor],IF("x"=base_de_datos[Viernes],IF(base_de_datos[Hora inicio]&lt;=$B26,IF(base_de_datos[Hora fin]&gt;=$C26,base_de_datos[Materia]&amp;" "&amp;base_de_datos[[Número de grupo ]],""),""),""),""),"")</f>
        <v/>
      </c>
      <c r="Q26" s="29" t="str" cm="1">
        <f t="array" ref="Q26">_xlfn.TEXTJOIN(CHAR(10),TRUE,IF(Profesor=base_de_datos[Profesor],IF("x"=base_de_datos[Viernes],IF(base_de_datos[Hora inicio]&lt;=$B26,IF(base_de_datos[Hora fin]&gt;=$C26,base_de_datos[Aula]&amp;" "&amp;#REF!,""),""),""),""),"")</f>
        <v/>
      </c>
      <c r="R26" s="29" t="str" cm="1">
        <f t="array" ref="R26">_xlfn.TEXTJOIN(CHAR(10),TRUE,IF(Profesor=base_de_datos[Profesor],IF("x"=base_de_datos[Viernes],IF(base_de_datos[Hora inicio]&lt;=$B26,IF(base_de_datos[Hora fin]&gt;=$C26,base_de_datos[No clase],""),""),""),""),"")</f>
        <v/>
      </c>
      <c r="S26" s="29" t="str" cm="1">
        <f t="array" ref="S26">_xlfn.TEXTJOIN(CHAR(10),TRUE,IF(Profesor=base_de_datos[Profesor],IF("x"=base_de_datos[Sábado],IF(base_de_datos[Hora inicio]&lt;=$B26,IF(base_de_datos[Hora fin]&gt;=$C26,base_de_datos[Materia]&amp;" "&amp;base_de_datos[[Número de grupo ]],""),""),""),""),"")</f>
        <v/>
      </c>
      <c r="T26" s="29" t="str" cm="1">
        <f t="array" ref="T26">_xlfn.TEXTJOIN(CHAR(10),TRUE,IF(Profesor=base_de_datos[Profesor],IF("x"=base_de_datos[Sábado],IF(base_de_datos[Hora inicio]&lt;=$B26,IF(base_de_datos[Hora fin]&gt;=$C26,base_de_datos[Aula]&amp;" "&amp;#REF!,""),""),""),""),"")</f>
        <v/>
      </c>
      <c r="U26" s="29" t="str" cm="1">
        <f t="array" ref="U26">_xlfn.TEXTJOIN(CHAR(10),TRUE,IF(Profesor=base_de_datos[Profesor],IF("x"=base_de_datos[Sábado],IF(base_de_datos[Hora inicio]&lt;=$B26,IF(base_de_datos[Hora fin]&gt;=$C26,base_de_datos[No clase],""),""),""),""),"")</f>
        <v/>
      </c>
    </row>
    <row r="27" spans="2:30" ht="15">
      <c r="B27" s="206">
        <v>0.75</v>
      </c>
      <c r="C27" s="206">
        <v>0.77083333333332604</v>
      </c>
      <c r="D27" s="29" t="str" cm="1">
        <f t="array" ref="D27">_xlfn.TEXTJOIN(CHAR(10),TRUE,IF(Profesor=base_de_datos[Profesor],IF("x"=base_de_datos[Lunes],IF(base_de_datos[Hora inicio]&lt;=$B27,IF(base_de_datos[Hora fin]&gt;=$C27,base_de_datos[Materia]&amp;" "&amp;base_de_datos[[Número de grupo ]],""),""),""),""),"")</f>
        <v/>
      </c>
      <c r="E27" s="29" t="str" cm="1">
        <f t="array" ref="E27">_xlfn.TEXTJOIN(CHAR(10),TRUE,IF(Profesor=base_de_datos[Profesor],IF("x"=base_de_datos[Lunes],IF(base_de_datos[Hora inicio]&lt;=$B27,IF(base_de_datos[Hora fin]&gt;=$C27,base_de_datos[Aula]&amp;" "&amp;#REF!,""),""),""),""),"")</f>
        <v/>
      </c>
      <c r="F27" s="29" t="str" cm="1">
        <f t="array" ref="F27">_xlfn.TEXTJOIN(CHAR(10),TRUE,IF(Profesor=base_de_datos[Profesor],IF("x"=base_de_datos[Lunes],IF(base_de_datos[Hora inicio]&lt;=$B27,IF(base_de_datos[Hora fin]&gt;=$C27,base_de_datos[No clase],""),""),""),""),"")</f>
        <v/>
      </c>
      <c r="G27" s="29" t="str" cm="1">
        <f t="array" ref="G27">_xlfn.TEXTJOIN(CHAR(10),TRUE,IF(Profesor=base_de_datos[Profesor],IF("x"=base_de_datos[Martes],IF(base_de_datos[Hora inicio]&lt;=$B27,IF(base_de_datos[Hora fin]&gt;=$C27,base_de_datos[Materia]&amp;" "&amp;base_de_datos[[Número de grupo ]],""),""),""),""),"")</f>
        <v/>
      </c>
      <c r="H27" s="29" t="str" cm="1">
        <f t="array" ref="H27">_xlfn.TEXTJOIN(CHAR(10),TRUE,IF(Profesor=base_de_datos[Profesor],IF("x"=base_de_datos[Martes],IF(base_de_datos[Hora inicio]&lt;=$B27,IF(base_de_datos[Hora fin]&gt;=$C27,base_de_datos[Aula]&amp;" "&amp;#REF!,""),""),""),""),"")</f>
        <v/>
      </c>
      <c r="I27" s="29" t="str" cm="1">
        <f t="array" ref="I27">_xlfn.TEXTJOIN(CHAR(10),TRUE,IF(Profesor=base_de_datos[Profesor],IF("x"=base_de_datos[Martes],IF(base_de_datos[Hora inicio]&lt;=$B27,IF(base_de_datos[Hora fin]&gt;=$C27,base_de_datos[No clase],""),""),""),""),"")</f>
        <v/>
      </c>
      <c r="J27" s="29" t="str" cm="1">
        <f t="array" ref="J27">_xlfn.TEXTJOIN(CHAR(10),TRUE,IF(Profesor=base_de_datos[Profesor],IF("x"=base_de_datos[Miércoles],IF(base_de_datos[Hora inicio]&lt;=$B27,IF(base_de_datos[Hora fin]&gt;=$C27,base_de_datos[Materia]&amp;" "&amp;base_de_datos[[Número de grupo ]],""),""),""),""),"")</f>
        <v/>
      </c>
      <c r="K27" s="29" t="str" cm="1">
        <f t="array" ref="K27">_xlfn.TEXTJOIN(CHAR(10),TRUE,IF(Profesor=base_de_datos[Profesor],IF("x"=base_de_datos[Miércoles],IF(base_de_datos[Hora inicio]&lt;=$B27,IF(base_de_datos[Hora fin]&gt;=$C27,base_de_datos[Aula]&amp;" "&amp;#REF!,""),""),""),""),"")</f>
        <v/>
      </c>
      <c r="L27" s="29" t="str" cm="1">
        <f t="array" ref="L27">_xlfn.TEXTJOIN(CHAR(10),TRUE,IF(Profesor=base_de_datos[Profesor],IF("x"=base_de_datos[Miércoles],IF(base_de_datos[Hora inicio]&lt;=$B27,IF(base_de_datos[Hora fin]&gt;=$C27,base_de_datos[No clase],""),""),""),""),"")</f>
        <v/>
      </c>
      <c r="M27" s="29" t="str" cm="1">
        <f t="array" ref="M27">_xlfn.TEXTJOIN(CHAR(10),TRUE,IF(Profesor=base_de_datos[Profesor],IF("x"=base_de_datos[Jueves],IF(base_de_datos[Hora inicio]&lt;=$B27,IF(base_de_datos[Hora fin]&gt;=$C27,base_de_datos[Materia]&amp;" "&amp;base_de_datos[[Número de grupo ]],""),""),""),""),"")</f>
        <v/>
      </c>
      <c r="N27" s="29" t="str" cm="1">
        <f t="array" ref="N27">_xlfn.TEXTJOIN(CHAR(10),TRUE,IF(Profesor=base_de_datos[Profesor],IF("x"=base_de_datos[Jueves],IF(base_de_datos[Hora inicio]&lt;=$B27,IF(base_de_datos[Hora fin]&gt;=$C27,base_de_datos[Aula]&amp;" "&amp;#REF!,""),""),""),""),"")</f>
        <v/>
      </c>
      <c r="O27" s="29" t="str" cm="1">
        <f t="array" ref="O27">_xlfn.TEXTJOIN(CHAR(10),TRUE,IF(Profesor=base_de_datos[Profesor],IF("x"=base_de_datos[Jueves],IF(base_de_datos[Hora inicio]&lt;=$B27,IF(base_de_datos[Hora fin]&gt;=$C27,base_de_datos[No clase],""),""),""),""),"")</f>
        <v/>
      </c>
      <c r="P27" s="29" t="str" cm="1">
        <f t="array" ref="P27">_xlfn.TEXTJOIN(CHAR(10),TRUE,IF(Profesor=base_de_datos[Profesor],IF("x"=base_de_datos[Viernes],IF(base_de_datos[Hora inicio]&lt;=$B27,IF(base_de_datos[Hora fin]&gt;=$C27,base_de_datos[Materia]&amp;" "&amp;base_de_datos[[Número de grupo ]],""),""),""),""),"")</f>
        <v/>
      </c>
      <c r="Q27" s="29" t="str" cm="1">
        <f t="array" ref="Q27">_xlfn.TEXTJOIN(CHAR(10),TRUE,IF(Profesor=base_de_datos[Profesor],IF("x"=base_de_datos[Viernes],IF(base_de_datos[Hora inicio]&lt;=$B27,IF(base_de_datos[Hora fin]&gt;=$C27,base_de_datos[Aula]&amp;" "&amp;#REF!,""),""),""),""),"")</f>
        <v/>
      </c>
      <c r="R27" s="29" t="str" cm="1">
        <f t="array" ref="R27">_xlfn.TEXTJOIN(CHAR(10),TRUE,IF(Profesor=base_de_datos[Profesor],IF("x"=base_de_datos[Viernes],IF(base_de_datos[Hora inicio]&lt;=$B27,IF(base_de_datos[Hora fin]&gt;=$C27,base_de_datos[No clase],""),""),""),""),"")</f>
        <v/>
      </c>
      <c r="S27" s="29" t="str" cm="1">
        <f t="array" ref="S27">_xlfn.TEXTJOIN(CHAR(10),TRUE,IF(Profesor=base_de_datos[Profesor],IF("x"=base_de_datos[Sábado],IF(base_de_datos[Hora inicio]&lt;=$B27,IF(base_de_datos[Hora fin]&gt;=$C27,base_de_datos[Materia]&amp;" "&amp;base_de_datos[[Número de grupo ]],""),""),""),""),"")</f>
        <v/>
      </c>
      <c r="T27" s="29" t="str" cm="1">
        <f t="array" ref="T27">_xlfn.TEXTJOIN(CHAR(10),TRUE,IF(Profesor=base_de_datos[Profesor],IF("x"=base_de_datos[Sábado],IF(base_de_datos[Hora inicio]&lt;=$B27,IF(base_de_datos[Hora fin]&gt;=$C27,base_de_datos[Aula]&amp;" "&amp;#REF!,""),""),""),""),"")</f>
        <v/>
      </c>
      <c r="U27" s="29" t="str" cm="1">
        <f t="array" ref="U27">_xlfn.TEXTJOIN(CHAR(10),TRUE,IF(Profesor=base_de_datos[Profesor],IF("x"=base_de_datos[Sábado],IF(base_de_datos[Hora inicio]&lt;=$B27,IF(base_de_datos[Hora fin]&gt;=$C27,base_de_datos[No clase],""),""),""),""),"")</f>
        <v/>
      </c>
    </row>
    <row r="28" spans="2:30" ht="15">
      <c r="B28" s="206">
        <v>0.77083333333333304</v>
      </c>
      <c r="C28" s="206">
        <v>0.79166666666665897</v>
      </c>
      <c r="D28" s="29" t="str" cm="1">
        <f t="array" ref="D28">_xlfn.TEXTJOIN(CHAR(10),TRUE,IF(Profesor=base_de_datos[Profesor],IF("x"=base_de_datos[Lunes],IF(base_de_datos[Hora inicio]&lt;=$B28,IF(base_de_datos[Hora fin]&gt;=$C28,base_de_datos[Materia]&amp;" "&amp;base_de_datos[[Número de grupo ]],""),""),""),""),"")</f>
        <v/>
      </c>
      <c r="E28" s="29" t="str" cm="1">
        <f t="array" ref="E28">_xlfn.TEXTJOIN(CHAR(10),TRUE,IF(Profesor=base_de_datos[Profesor],IF("x"=base_de_datos[Lunes],IF(base_de_datos[Hora inicio]&lt;=$B28,IF(base_de_datos[Hora fin]&gt;=$C28,base_de_datos[Aula]&amp;" "&amp;#REF!,""),""),""),""),"")</f>
        <v/>
      </c>
      <c r="F28" s="29" t="str" cm="1">
        <f t="array" ref="F28">_xlfn.TEXTJOIN(CHAR(10),TRUE,IF(Profesor=base_de_datos[Profesor],IF("x"=base_de_datos[Lunes],IF(base_de_datos[Hora inicio]&lt;=$B28,IF(base_de_datos[Hora fin]&gt;=$C28,base_de_datos[No clase],""),""),""),""),"")</f>
        <v/>
      </c>
      <c r="G28" s="29" t="str" cm="1">
        <f t="array" ref="G28">_xlfn.TEXTJOIN(CHAR(10),TRUE,IF(Profesor=base_de_datos[Profesor],IF("x"=base_de_datos[Martes],IF(base_de_datos[Hora inicio]&lt;=$B28,IF(base_de_datos[Hora fin]&gt;=$C28,base_de_datos[Materia]&amp;" "&amp;base_de_datos[[Número de grupo ]],""),""),""),""),"")</f>
        <v/>
      </c>
      <c r="H28" s="29" t="str" cm="1">
        <f t="array" ref="H28">_xlfn.TEXTJOIN(CHAR(10),TRUE,IF(Profesor=base_de_datos[Profesor],IF("x"=base_de_datos[Martes],IF(base_de_datos[Hora inicio]&lt;=$B28,IF(base_de_datos[Hora fin]&gt;=$C28,base_de_datos[Aula]&amp;" "&amp;#REF!,""),""),""),""),"")</f>
        <v/>
      </c>
      <c r="I28" s="29" t="str" cm="1">
        <f t="array" ref="I28">_xlfn.TEXTJOIN(CHAR(10),TRUE,IF(Profesor=base_de_datos[Profesor],IF("x"=base_de_datos[Martes],IF(base_de_datos[Hora inicio]&lt;=$B28,IF(base_de_datos[Hora fin]&gt;=$C28,base_de_datos[No clase],""),""),""),""),"")</f>
        <v/>
      </c>
      <c r="J28" s="29" t="str" cm="1">
        <f t="array" ref="J28">_xlfn.TEXTJOIN(CHAR(10),TRUE,IF(Profesor=base_de_datos[Profesor],IF("x"=base_de_datos[Miércoles],IF(base_de_datos[Hora inicio]&lt;=$B28,IF(base_de_datos[Hora fin]&gt;=$C28,base_de_datos[Materia]&amp;" "&amp;base_de_datos[[Número de grupo ]],""),""),""),""),"")</f>
        <v/>
      </c>
      <c r="K28" s="29" t="str" cm="1">
        <f t="array" ref="K28">_xlfn.TEXTJOIN(CHAR(10),TRUE,IF(Profesor=base_de_datos[Profesor],IF("x"=base_de_datos[Miércoles],IF(base_de_datos[Hora inicio]&lt;=$B28,IF(base_de_datos[Hora fin]&gt;=$C28,base_de_datos[Aula]&amp;" "&amp;#REF!,""),""),""),""),"")</f>
        <v/>
      </c>
      <c r="L28" s="29" t="str" cm="1">
        <f t="array" ref="L28">_xlfn.TEXTJOIN(CHAR(10),TRUE,IF(Profesor=base_de_datos[Profesor],IF("x"=base_de_datos[Miércoles],IF(base_de_datos[Hora inicio]&lt;=$B28,IF(base_de_datos[Hora fin]&gt;=$C28,base_de_datos[No clase],""),""),""),""),"")</f>
        <v/>
      </c>
      <c r="M28" s="29" t="str" cm="1">
        <f t="array" ref="M28">_xlfn.TEXTJOIN(CHAR(10),TRUE,IF(Profesor=base_de_datos[Profesor],IF("x"=base_de_datos[Jueves],IF(base_de_datos[Hora inicio]&lt;=$B28,IF(base_de_datos[Hora fin]&gt;=$C28,base_de_datos[Materia]&amp;" "&amp;base_de_datos[[Número de grupo ]],""),""),""),""),"")</f>
        <v/>
      </c>
      <c r="N28" s="29" t="str" cm="1">
        <f t="array" ref="N28">_xlfn.TEXTJOIN(CHAR(10),TRUE,IF(Profesor=base_de_datos[Profesor],IF("x"=base_de_datos[Jueves],IF(base_de_datos[Hora inicio]&lt;=$B28,IF(base_de_datos[Hora fin]&gt;=$C28,base_de_datos[Aula]&amp;" "&amp;#REF!,""),""),""),""),"")</f>
        <v/>
      </c>
      <c r="O28" s="29" t="str" cm="1">
        <f t="array" ref="O28">_xlfn.TEXTJOIN(CHAR(10),TRUE,IF(Profesor=base_de_datos[Profesor],IF("x"=base_de_datos[Jueves],IF(base_de_datos[Hora inicio]&lt;=$B28,IF(base_de_datos[Hora fin]&gt;=$C28,base_de_datos[No clase],""),""),""),""),"")</f>
        <v/>
      </c>
      <c r="P28" s="29" t="str" cm="1">
        <f t="array" ref="P28">_xlfn.TEXTJOIN(CHAR(10),TRUE,IF(Profesor=base_de_datos[Profesor],IF("x"=base_de_datos[Viernes],IF(base_de_datos[Hora inicio]&lt;=$B28,IF(base_de_datos[Hora fin]&gt;=$C28,base_de_datos[Materia]&amp;" "&amp;base_de_datos[[Número de grupo ]],""),""),""),""),"")</f>
        <v/>
      </c>
      <c r="Q28" s="29" t="str" cm="1">
        <f t="array" ref="Q28">_xlfn.TEXTJOIN(CHAR(10),TRUE,IF(Profesor=base_de_datos[Profesor],IF("x"=base_de_datos[Viernes],IF(base_de_datos[Hora inicio]&lt;=$B28,IF(base_de_datos[Hora fin]&gt;=$C28,base_de_datos[Aula]&amp;" "&amp;#REF!,""),""),""),""),"")</f>
        <v/>
      </c>
      <c r="R28" s="29" t="str" cm="1">
        <f t="array" ref="R28">_xlfn.TEXTJOIN(CHAR(10),TRUE,IF(Profesor=base_de_datos[Profesor],IF("x"=base_de_datos[Viernes],IF(base_de_datos[Hora inicio]&lt;=$B28,IF(base_de_datos[Hora fin]&gt;=$C28,base_de_datos[No clase],""),""),""),""),"")</f>
        <v/>
      </c>
      <c r="S28" s="29" t="str" cm="1">
        <f t="array" ref="S28">_xlfn.TEXTJOIN(CHAR(10),TRUE,IF(Profesor=base_de_datos[Profesor],IF("x"=base_de_datos[Sábado],IF(base_de_datos[Hora inicio]&lt;=$B28,IF(base_de_datos[Hora fin]&gt;=$C28,base_de_datos[Materia]&amp;" "&amp;base_de_datos[[Número de grupo ]],""),""),""),""),"")</f>
        <v/>
      </c>
      <c r="T28" s="29" t="str" cm="1">
        <f t="array" ref="T28">_xlfn.TEXTJOIN(CHAR(10),TRUE,IF(Profesor=base_de_datos[Profesor],IF("x"=base_de_datos[Sábado],IF(base_de_datos[Hora inicio]&lt;=$B28,IF(base_de_datos[Hora fin]&gt;=$C28,base_de_datos[Aula]&amp;" "&amp;#REF!,""),""),""),""),"")</f>
        <v/>
      </c>
      <c r="U28" s="29" t="str" cm="1">
        <f t="array" ref="U28">_xlfn.TEXTJOIN(CHAR(10),TRUE,IF(Profesor=base_de_datos[Profesor],IF("x"=base_de_datos[Sábado],IF(base_de_datos[Hora inicio]&lt;=$B28,IF(base_de_datos[Hora fin]&gt;=$C28,base_de_datos[No clase],""),""),""),""),"")</f>
        <v/>
      </c>
    </row>
    <row r="29" spans="2:30" ht="15">
      <c r="B29" s="206">
        <v>0.79166666666666696</v>
      </c>
      <c r="C29" s="206">
        <v>0.81249999999999201</v>
      </c>
      <c r="D29" s="29" t="str" cm="1">
        <f t="array" ref="D29">_xlfn.TEXTJOIN(CHAR(10),TRUE,IF(Profesor=base_de_datos[Profesor],IF("x"=base_de_datos[Lunes],IF(base_de_datos[Hora inicio]&lt;=$B29,IF(base_de_datos[Hora fin]&gt;=$C29,base_de_datos[Materia]&amp;" "&amp;base_de_datos[[Número de grupo ]],""),""),""),""),"")</f>
        <v/>
      </c>
      <c r="E29" s="29" t="str" cm="1">
        <f t="array" ref="E29">_xlfn.TEXTJOIN(CHAR(10),TRUE,IF(Profesor=base_de_datos[Profesor],IF("x"=base_de_datos[Lunes],IF(base_de_datos[Hora inicio]&lt;=$B29,IF(base_de_datos[Hora fin]&gt;=$C29,base_de_datos[Aula]&amp;" "&amp;#REF!,""),""),""),""),"")</f>
        <v/>
      </c>
      <c r="F29" s="29" t="str" cm="1">
        <f t="array" ref="F29">_xlfn.TEXTJOIN(CHAR(10),TRUE,IF(Profesor=base_de_datos[Profesor],IF("x"=base_de_datos[Lunes],IF(base_de_datos[Hora inicio]&lt;=$B29,IF(base_de_datos[Hora fin]&gt;=$C29,base_de_datos[No clase],""),""),""),""),"")</f>
        <v/>
      </c>
      <c r="G29" s="29" t="str" cm="1">
        <f t="array" ref="G29">_xlfn.TEXTJOIN(CHAR(10),TRUE,IF(Profesor=base_de_datos[Profesor],IF("x"=base_de_datos[Martes],IF(base_de_datos[Hora inicio]&lt;=$B29,IF(base_de_datos[Hora fin]&gt;=$C29,base_de_datos[Materia]&amp;" "&amp;base_de_datos[[Número de grupo ]],""),""),""),""),"")</f>
        <v/>
      </c>
      <c r="H29" s="29" t="str" cm="1">
        <f t="array" ref="H29">_xlfn.TEXTJOIN(CHAR(10),TRUE,IF(Profesor=base_de_datos[Profesor],IF("x"=base_de_datos[Martes],IF(base_de_datos[Hora inicio]&lt;=$B29,IF(base_de_datos[Hora fin]&gt;=$C29,base_de_datos[Aula]&amp;" "&amp;#REF!,""),""),""),""),"")</f>
        <v/>
      </c>
      <c r="I29" s="29" t="str" cm="1">
        <f t="array" ref="I29">_xlfn.TEXTJOIN(CHAR(10),TRUE,IF(Profesor=base_de_datos[Profesor],IF("x"=base_de_datos[Martes],IF(base_de_datos[Hora inicio]&lt;=$B29,IF(base_de_datos[Hora fin]&gt;=$C29,base_de_datos[No clase],""),""),""),""),"")</f>
        <v/>
      </c>
      <c r="J29" s="29" t="str" cm="1">
        <f t="array" ref="J29">_xlfn.TEXTJOIN(CHAR(10),TRUE,IF(Profesor=base_de_datos[Profesor],IF("x"=base_de_datos[Miércoles],IF(base_de_datos[Hora inicio]&lt;=$B29,IF(base_de_datos[Hora fin]&gt;=$C29,base_de_datos[Materia]&amp;" "&amp;base_de_datos[[Número de grupo ]],""),""),""),""),"")</f>
        <v/>
      </c>
      <c r="K29" s="29" t="str" cm="1">
        <f t="array" ref="K29">_xlfn.TEXTJOIN(CHAR(10),TRUE,IF(Profesor=base_de_datos[Profesor],IF("x"=base_de_datos[Miércoles],IF(base_de_datos[Hora inicio]&lt;=$B29,IF(base_de_datos[Hora fin]&gt;=$C29,base_de_datos[Aula]&amp;" "&amp;#REF!,""),""),""),""),"")</f>
        <v/>
      </c>
      <c r="L29" s="29" t="str" cm="1">
        <f t="array" ref="L29">_xlfn.TEXTJOIN(CHAR(10),TRUE,IF(Profesor=base_de_datos[Profesor],IF("x"=base_de_datos[Miércoles],IF(base_de_datos[Hora inicio]&lt;=$B29,IF(base_de_datos[Hora fin]&gt;=$C29,base_de_datos[No clase],""),""),""),""),"")</f>
        <v/>
      </c>
      <c r="M29" s="29" t="str" cm="1">
        <f t="array" ref="M29">_xlfn.TEXTJOIN(CHAR(10),TRUE,IF(Profesor=base_de_datos[Profesor],IF("x"=base_de_datos[Jueves],IF(base_de_datos[Hora inicio]&lt;=$B29,IF(base_de_datos[Hora fin]&gt;=$C29,base_de_datos[Materia]&amp;" "&amp;base_de_datos[[Número de grupo ]],""),""),""),""),"")</f>
        <v/>
      </c>
      <c r="N29" s="29" t="str" cm="1">
        <f t="array" ref="N29">_xlfn.TEXTJOIN(CHAR(10),TRUE,IF(Profesor=base_de_datos[Profesor],IF("x"=base_de_datos[Jueves],IF(base_de_datos[Hora inicio]&lt;=$B29,IF(base_de_datos[Hora fin]&gt;=$C29,base_de_datos[Aula]&amp;" "&amp;#REF!,""),""),""),""),"")</f>
        <v/>
      </c>
      <c r="O29" s="29" t="str" cm="1">
        <f t="array" ref="O29">_xlfn.TEXTJOIN(CHAR(10),TRUE,IF(Profesor=base_de_datos[Profesor],IF("x"=base_de_datos[Jueves],IF(base_de_datos[Hora inicio]&lt;=$B29,IF(base_de_datos[Hora fin]&gt;=$C29,base_de_datos[No clase],""),""),""),""),"")</f>
        <v/>
      </c>
      <c r="P29" s="29" t="str" cm="1">
        <f t="array" ref="P29">_xlfn.TEXTJOIN(CHAR(10),TRUE,IF(Profesor=base_de_datos[Profesor],IF("x"=base_de_datos[Viernes],IF(base_de_datos[Hora inicio]&lt;=$B29,IF(base_de_datos[Hora fin]&gt;=$C29,base_de_datos[Materia]&amp;" "&amp;base_de_datos[[Número de grupo ]],""),""),""),""),"")</f>
        <v/>
      </c>
      <c r="Q29" s="29" t="str" cm="1">
        <f t="array" ref="Q29">_xlfn.TEXTJOIN(CHAR(10),TRUE,IF(Profesor=base_de_datos[Profesor],IF("x"=base_de_datos[Viernes],IF(base_de_datos[Hora inicio]&lt;=$B29,IF(base_de_datos[Hora fin]&gt;=$C29,base_de_datos[Aula]&amp;" "&amp;#REF!,""),""),""),""),"")</f>
        <v/>
      </c>
      <c r="R29" s="29" t="str" cm="1">
        <f t="array" ref="R29">_xlfn.TEXTJOIN(CHAR(10),TRUE,IF(Profesor=base_de_datos[Profesor],IF("x"=base_de_datos[Viernes],IF(base_de_datos[Hora inicio]&lt;=$B29,IF(base_de_datos[Hora fin]&gt;=$C29,base_de_datos[No clase],""),""),""),""),"")</f>
        <v/>
      </c>
      <c r="S29" s="29" t="str" cm="1">
        <f t="array" ref="S29">_xlfn.TEXTJOIN(CHAR(10),TRUE,IF(Profesor=base_de_datos[Profesor],IF("x"=base_de_datos[Sábado],IF(base_de_datos[Hora inicio]&lt;=$B29,IF(base_de_datos[Hora fin]&gt;=$C29,base_de_datos[Materia]&amp;" "&amp;base_de_datos[[Número de grupo ]],""),""),""),""),"")</f>
        <v/>
      </c>
      <c r="T29" s="29" t="str" cm="1">
        <f t="array" ref="T29">_xlfn.TEXTJOIN(CHAR(10),TRUE,IF(Profesor=base_de_datos[Profesor],IF("x"=base_de_datos[Sábado],IF(base_de_datos[Hora inicio]&lt;=$B29,IF(base_de_datos[Hora fin]&gt;=$C29,base_de_datos[Aula]&amp;" "&amp;#REF!,""),""),""),""),"")</f>
        <v/>
      </c>
      <c r="U29" s="29" t="str" cm="1">
        <f t="array" ref="U29">_xlfn.TEXTJOIN(CHAR(10),TRUE,IF(Profesor=base_de_datos[Profesor],IF("x"=base_de_datos[Sábado],IF(base_de_datos[Hora inicio]&lt;=$B29,IF(base_de_datos[Hora fin]&gt;=$C29,base_de_datos[No clase],""),""),""),""),"")</f>
        <v/>
      </c>
    </row>
    <row r="30" spans="2:30" ht="15">
      <c r="B30" s="206">
        <v>0.8125</v>
      </c>
      <c r="C30" s="206">
        <v>0.83333333333332504</v>
      </c>
      <c r="D30" s="29" t="str" cm="1">
        <f t="array" ref="D30">_xlfn.TEXTJOIN(CHAR(10),TRUE,IF(Profesor=base_de_datos[Profesor],IF("x"=base_de_datos[Lunes],IF(base_de_datos[Hora inicio]&lt;=$B30,IF(base_de_datos[Hora fin]&gt;=$C30,base_de_datos[Materia]&amp;" "&amp;base_de_datos[[Número de grupo ]],""),""),""),""),"")</f>
        <v/>
      </c>
      <c r="E30" s="29" t="str" cm="1">
        <f t="array" ref="E30">_xlfn.TEXTJOIN(CHAR(10),TRUE,IF(Profesor=base_de_datos[Profesor],IF("x"=base_de_datos[Lunes],IF(base_de_datos[Hora inicio]&lt;=$B30,IF(base_de_datos[Hora fin]&gt;=$C30,base_de_datos[Aula]&amp;" "&amp;#REF!,""),""),""),""),"")</f>
        <v/>
      </c>
      <c r="F30" s="29" t="str" cm="1">
        <f t="array" ref="F30">_xlfn.TEXTJOIN(CHAR(10),TRUE,IF(Profesor=base_de_datos[Profesor],IF("x"=base_de_datos[Lunes],IF(base_de_datos[Hora inicio]&lt;=$B30,IF(base_de_datos[Hora fin]&gt;=$C30,base_de_datos[No clase],""),""),""),""),"")</f>
        <v/>
      </c>
      <c r="G30" s="29" t="str" cm="1">
        <f t="array" ref="G30">_xlfn.TEXTJOIN(CHAR(10),TRUE,IF(Profesor=base_de_datos[Profesor],IF("x"=base_de_datos[Martes],IF(base_de_datos[Hora inicio]&lt;=$B30,IF(base_de_datos[Hora fin]&gt;=$C30,base_de_datos[Materia]&amp;" "&amp;base_de_datos[[Número de grupo ]],""),""),""),""),"")</f>
        <v/>
      </c>
      <c r="H30" s="29" t="str" cm="1">
        <f t="array" ref="H30">_xlfn.TEXTJOIN(CHAR(10),TRUE,IF(Profesor=base_de_datos[Profesor],IF("x"=base_de_datos[Martes],IF(base_de_datos[Hora inicio]&lt;=$B30,IF(base_de_datos[Hora fin]&gt;=$C30,base_de_datos[Aula]&amp;" "&amp;#REF!,""),""),""),""),"")</f>
        <v/>
      </c>
      <c r="I30" s="29" t="str" cm="1">
        <f t="array" ref="I30">_xlfn.TEXTJOIN(CHAR(10),TRUE,IF(Profesor=base_de_datos[Profesor],IF("x"=base_de_datos[Martes],IF(base_de_datos[Hora inicio]&lt;=$B30,IF(base_de_datos[Hora fin]&gt;=$C30,base_de_datos[No clase],""),""),""),""),"")</f>
        <v/>
      </c>
      <c r="J30" s="29" t="str" cm="1">
        <f t="array" ref="J30">_xlfn.TEXTJOIN(CHAR(10),TRUE,IF(Profesor=base_de_datos[Profesor],IF("x"=base_de_datos[Miércoles],IF(base_de_datos[Hora inicio]&lt;=$B30,IF(base_de_datos[Hora fin]&gt;=$C30,base_de_datos[Materia]&amp;" "&amp;base_de_datos[[Número de grupo ]],""),""),""),""),"")</f>
        <v/>
      </c>
      <c r="K30" s="29" t="str" cm="1">
        <f t="array" ref="K30">_xlfn.TEXTJOIN(CHAR(10),TRUE,IF(Profesor=base_de_datos[Profesor],IF("x"=base_de_datos[Miércoles],IF(base_de_datos[Hora inicio]&lt;=$B30,IF(base_de_datos[Hora fin]&gt;=$C30,base_de_datos[Aula]&amp;" "&amp;#REF!,""),""),""),""),"")</f>
        <v/>
      </c>
      <c r="L30" s="29" t="str" cm="1">
        <f t="array" ref="L30">_xlfn.TEXTJOIN(CHAR(10),TRUE,IF(Profesor=base_de_datos[Profesor],IF("x"=base_de_datos[Miércoles],IF(base_de_datos[Hora inicio]&lt;=$B30,IF(base_de_datos[Hora fin]&gt;=$C30,base_de_datos[No clase],""),""),""),""),"")</f>
        <v/>
      </c>
      <c r="M30" s="29" t="str" cm="1">
        <f t="array" ref="M30">_xlfn.TEXTJOIN(CHAR(10),TRUE,IF(Profesor=base_de_datos[Profesor],IF("x"=base_de_datos[Jueves],IF(base_de_datos[Hora inicio]&lt;=$B30,IF(base_de_datos[Hora fin]&gt;=$C30,base_de_datos[Materia]&amp;" "&amp;base_de_datos[[Número de grupo ]],""),""),""),""),"")</f>
        <v/>
      </c>
      <c r="N30" s="29" t="str" cm="1">
        <f t="array" ref="N30">_xlfn.TEXTJOIN(CHAR(10),TRUE,IF(Profesor=base_de_datos[Profesor],IF("x"=base_de_datos[Jueves],IF(base_de_datos[Hora inicio]&lt;=$B30,IF(base_de_datos[Hora fin]&gt;=$C30,base_de_datos[Aula]&amp;" "&amp;#REF!,""),""),""),""),"")</f>
        <v/>
      </c>
      <c r="O30" s="29" t="str" cm="1">
        <f t="array" ref="O30">_xlfn.TEXTJOIN(CHAR(10),TRUE,IF(Profesor=base_de_datos[Profesor],IF("x"=base_de_datos[Jueves],IF(base_de_datos[Hora inicio]&lt;=$B30,IF(base_de_datos[Hora fin]&gt;=$C30,base_de_datos[No clase],""),""),""),""),"")</f>
        <v/>
      </c>
      <c r="P30" s="29" t="str" cm="1">
        <f t="array" ref="P30">_xlfn.TEXTJOIN(CHAR(10),TRUE,IF(Profesor=base_de_datos[Profesor],IF("x"=base_de_datos[Viernes],IF(base_de_datos[Hora inicio]&lt;=$B30,IF(base_de_datos[Hora fin]&gt;=$C30,base_de_datos[Materia]&amp;" "&amp;base_de_datos[[Número de grupo ]],""),""),""),""),"")</f>
        <v/>
      </c>
      <c r="Q30" s="29" t="str" cm="1">
        <f t="array" ref="Q30">_xlfn.TEXTJOIN(CHAR(10),TRUE,IF(Profesor=base_de_datos[Profesor],IF("x"=base_de_datos[Viernes],IF(base_de_datos[Hora inicio]&lt;=$B30,IF(base_de_datos[Hora fin]&gt;=$C30,base_de_datos[Aula]&amp;" "&amp;#REF!,""),""),""),""),"")</f>
        <v/>
      </c>
      <c r="R30" s="29" t="str" cm="1">
        <f t="array" ref="R30">_xlfn.TEXTJOIN(CHAR(10),TRUE,IF(Profesor=base_de_datos[Profesor],IF("x"=base_de_datos[Viernes],IF(base_de_datos[Hora inicio]&lt;=$B30,IF(base_de_datos[Hora fin]&gt;=$C30,base_de_datos[No clase],""),""),""),""),"")</f>
        <v/>
      </c>
      <c r="S30" s="29" t="str" cm="1">
        <f t="array" ref="S30">_xlfn.TEXTJOIN(CHAR(10),TRUE,IF(Profesor=base_de_datos[Profesor],IF("x"=base_de_datos[Sábado],IF(base_de_datos[Hora inicio]&lt;=$B30,IF(base_de_datos[Hora fin]&gt;=$C30,base_de_datos[Materia]&amp;" "&amp;base_de_datos[[Número de grupo ]],""),""),""),""),"")</f>
        <v/>
      </c>
      <c r="T30" s="29" t="str" cm="1">
        <f t="array" ref="T30">_xlfn.TEXTJOIN(CHAR(10),TRUE,IF(Profesor=base_de_datos[Profesor],IF("x"=base_de_datos[Sábado],IF(base_de_datos[Hora inicio]&lt;=$B30,IF(base_de_datos[Hora fin]&gt;=$C30,base_de_datos[Aula]&amp;" "&amp;#REF!,""),""),""),""),"")</f>
        <v/>
      </c>
      <c r="U30" s="29" t="str" cm="1">
        <f t="array" ref="U30">_xlfn.TEXTJOIN(CHAR(10),TRUE,IF(Profesor=base_de_datos[Profesor],IF("x"=base_de_datos[Sábado],IF(base_de_datos[Hora inicio]&lt;=$B30,IF(base_de_datos[Hora fin]&gt;=$C30,base_de_datos[No clase],""),""),""),""),"")</f>
        <v/>
      </c>
    </row>
    <row r="31" spans="2:30" ht="15">
      <c r="B31" s="206">
        <v>0.83333333333333304</v>
      </c>
      <c r="C31" s="206">
        <v>0.85416666666665797</v>
      </c>
      <c r="D31" s="29" t="str" cm="1">
        <f t="array" ref="D31">_xlfn.TEXTJOIN(CHAR(10),TRUE,IF(Profesor=base_de_datos[Profesor],IF("x"=base_de_datos[Lunes],IF(base_de_datos[Hora inicio]&lt;=$B31,IF(base_de_datos[Hora fin]&gt;=$C31,base_de_datos[Materia]&amp;" "&amp;base_de_datos[[Número de grupo ]],""),""),""),""),"")</f>
        <v/>
      </c>
      <c r="E31" s="29" t="str" cm="1">
        <f t="array" ref="E31">_xlfn.TEXTJOIN(CHAR(10),TRUE,IF(Profesor=base_de_datos[Profesor],IF("x"=base_de_datos[Lunes],IF(base_de_datos[Hora inicio]&lt;=$B31,IF(base_de_datos[Hora fin]&gt;=$C31,base_de_datos[Aula]&amp;" "&amp;#REF!,""),""),""),""),"")</f>
        <v/>
      </c>
      <c r="F31" s="29" t="str" cm="1">
        <f t="array" ref="F31">_xlfn.TEXTJOIN(CHAR(10),TRUE,IF(Profesor=base_de_datos[Profesor],IF("x"=base_de_datos[Lunes],IF(base_de_datos[Hora inicio]&lt;=$B31,IF(base_de_datos[Hora fin]&gt;=$C31,base_de_datos[No clase],""),""),""),""),"")</f>
        <v/>
      </c>
      <c r="G31" s="29" t="str" cm="1">
        <f t="array" ref="G31">_xlfn.TEXTJOIN(CHAR(10),TRUE,IF(Profesor=base_de_datos[Profesor],IF("x"=base_de_datos[Martes],IF(base_de_datos[Hora inicio]&lt;=$B31,IF(base_de_datos[Hora fin]&gt;=$C31,base_de_datos[Materia]&amp;" "&amp;base_de_datos[[Número de grupo ]],""),""),""),""),"")</f>
        <v/>
      </c>
      <c r="H31" s="29" t="str" cm="1">
        <f t="array" ref="H31">_xlfn.TEXTJOIN(CHAR(10),TRUE,IF(Profesor=base_de_datos[Profesor],IF("x"=base_de_datos[Martes],IF(base_de_datos[Hora inicio]&lt;=$B31,IF(base_de_datos[Hora fin]&gt;=$C31,base_de_datos[Aula]&amp;" "&amp;#REF!,""),""),""),""),"")</f>
        <v/>
      </c>
      <c r="I31" s="29" t="str" cm="1">
        <f t="array" ref="I31">_xlfn.TEXTJOIN(CHAR(10),TRUE,IF(Profesor=base_de_datos[Profesor],IF("x"=base_de_datos[Martes],IF(base_de_datos[Hora inicio]&lt;=$B31,IF(base_de_datos[Hora fin]&gt;=$C31,base_de_datos[No clase],""),""),""),""),"")</f>
        <v/>
      </c>
      <c r="J31" s="29" t="str" cm="1">
        <f t="array" ref="J31">_xlfn.TEXTJOIN(CHAR(10),TRUE,IF(Profesor=base_de_datos[Profesor],IF("x"=base_de_datos[Miércoles],IF(base_de_datos[Hora inicio]&lt;=$B31,IF(base_de_datos[Hora fin]&gt;=$C31,base_de_datos[Materia]&amp;" "&amp;base_de_datos[[Número de grupo ]],""),""),""),""),"")</f>
        <v/>
      </c>
      <c r="K31" s="29" t="str" cm="1">
        <f t="array" ref="K31">_xlfn.TEXTJOIN(CHAR(10),TRUE,IF(Profesor=base_de_datos[Profesor],IF("x"=base_de_datos[Miércoles],IF(base_de_datos[Hora inicio]&lt;=$B31,IF(base_de_datos[Hora fin]&gt;=$C31,base_de_datos[Aula]&amp;" "&amp;#REF!,""),""),""),""),"")</f>
        <v/>
      </c>
      <c r="L31" s="29" t="str" cm="1">
        <f t="array" ref="L31">_xlfn.TEXTJOIN(CHAR(10),TRUE,IF(Profesor=base_de_datos[Profesor],IF("x"=base_de_datos[Miércoles],IF(base_de_datos[Hora inicio]&lt;=$B31,IF(base_de_datos[Hora fin]&gt;=$C31,base_de_datos[No clase],""),""),""),""),"")</f>
        <v/>
      </c>
      <c r="M31" s="29" t="str" cm="1">
        <f t="array" ref="M31">_xlfn.TEXTJOIN(CHAR(10),TRUE,IF(Profesor=base_de_datos[Profesor],IF("x"=base_de_datos[Jueves],IF(base_de_datos[Hora inicio]&lt;=$B31,IF(base_de_datos[Hora fin]&gt;=$C31,base_de_datos[Materia]&amp;" "&amp;base_de_datos[[Número de grupo ]],""),""),""),""),"")</f>
        <v/>
      </c>
      <c r="N31" s="29" t="str" cm="1">
        <f t="array" ref="N31">_xlfn.TEXTJOIN(CHAR(10),TRUE,IF(Profesor=base_de_datos[Profesor],IF("x"=base_de_datos[Jueves],IF(base_de_datos[Hora inicio]&lt;=$B31,IF(base_de_datos[Hora fin]&gt;=$C31,base_de_datos[Aula]&amp;" "&amp;#REF!,""),""),""),""),"")</f>
        <v/>
      </c>
      <c r="O31" s="29" t="str" cm="1">
        <f t="array" ref="O31">_xlfn.TEXTJOIN(CHAR(10),TRUE,IF(Profesor=base_de_datos[Profesor],IF("x"=base_de_datos[Jueves],IF(base_de_datos[Hora inicio]&lt;=$B31,IF(base_de_datos[Hora fin]&gt;=$C31,base_de_datos[No clase],""),""),""),""),"")</f>
        <v/>
      </c>
      <c r="P31" s="29" t="str" cm="1">
        <f t="array" ref="P31">_xlfn.TEXTJOIN(CHAR(10),TRUE,IF(Profesor=base_de_datos[Profesor],IF("x"=base_de_datos[Viernes],IF(base_de_datos[Hora inicio]&lt;=$B31,IF(base_de_datos[Hora fin]&gt;=$C31,base_de_datos[Materia]&amp;" "&amp;base_de_datos[[Número de grupo ]],""),""),""),""),"")</f>
        <v/>
      </c>
      <c r="Q31" s="29" t="str" cm="1">
        <f t="array" ref="Q31">_xlfn.TEXTJOIN(CHAR(10),TRUE,IF(Profesor=base_de_datos[Profesor],IF("x"=base_de_datos[Viernes],IF(base_de_datos[Hora inicio]&lt;=$B31,IF(base_de_datos[Hora fin]&gt;=$C31,base_de_datos[Aula]&amp;" "&amp;#REF!,""),""),""),""),"")</f>
        <v/>
      </c>
      <c r="R31" s="29" t="str" cm="1">
        <f t="array" ref="R31">_xlfn.TEXTJOIN(CHAR(10),TRUE,IF(Profesor=base_de_datos[Profesor],IF("x"=base_de_datos[Viernes],IF(base_de_datos[Hora inicio]&lt;=$B31,IF(base_de_datos[Hora fin]&gt;=$C31,base_de_datos[No clase],""),""),""),""),"")</f>
        <v/>
      </c>
      <c r="S31" s="29" t="str" cm="1">
        <f t="array" ref="S31">_xlfn.TEXTJOIN(CHAR(10),TRUE,IF(Profesor=base_de_datos[Profesor],IF("x"=base_de_datos[Sábado],IF(base_de_datos[Hora inicio]&lt;=$B31,IF(base_de_datos[Hora fin]&gt;=$C31,base_de_datos[Materia]&amp;" "&amp;base_de_datos[[Número de grupo ]],""),""),""),""),"")</f>
        <v/>
      </c>
      <c r="T31" s="29" t="str" cm="1">
        <f t="array" ref="T31">_xlfn.TEXTJOIN(CHAR(10),TRUE,IF(Profesor=base_de_datos[Profesor],IF("x"=base_de_datos[Sábado],IF(base_de_datos[Hora inicio]&lt;=$B31,IF(base_de_datos[Hora fin]&gt;=$C31,base_de_datos[Aula]&amp;" "&amp;#REF!,""),""),""),""),"")</f>
        <v/>
      </c>
      <c r="U31" s="29" t="str" cm="1">
        <f t="array" ref="U31">_xlfn.TEXTJOIN(CHAR(10),TRUE,IF(Profesor=base_de_datos[Profesor],IF("x"=base_de_datos[Sábado],IF(base_de_datos[Hora inicio]&lt;=$B31,IF(base_de_datos[Hora fin]&gt;=$C31,base_de_datos[No clase],""),""),""),""),"")</f>
        <v/>
      </c>
    </row>
    <row r="32" spans="2:30" ht="15">
      <c r="B32" s="206">
        <v>0.85416666666666696</v>
      </c>
      <c r="C32" s="206">
        <v>0.87499999999999001</v>
      </c>
      <c r="D32" s="29" t="str" cm="1">
        <f t="array" ref="D32">_xlfn.TEXTJOIN(CHAR(10),TRUE,IF(Profesor=base_de_datos[Profesor],IF("x"=base_de_datos[Lunes],IF(base_de_datos[Hora inicio]&lt;=$B32,IF(base_de_datos[Hora fin]&gt;=$C32,base_de_datos[Materia]&amp;" "&amp;base_de_datos[[Número de grupo ]],""),""),""),""),"")</f>
        <v/>
      </c>
      <c r="E32" s="29" t="str" cm="1">
        <f t="array" ref="E32">_xlfn.TEXTJOIN(CHAR(10),TRUE,IF(Profesor=base_de_datos[Profesor],IF("x"=base_de_datos[Lunes],IF(base_de_datos[Hora inicio]&lt;=$B32,IF(base_de_datos[Hora fin]&gt;=$C32,base_de_datos[Aula]&amp;" "&amp;#REF!,""),""),""),""),"")</f>
        <v/>
      </c>
      <c r="F32" s="29" t="str" cm="1">
        <f t="array" ref="F32">_xlfn.TEXTJOIN(CHAR(10),TRUE,IF(Profesor=base_de_datos[Profesor],IF("x"=base_de_datos[Lunes],IF(base_de_datos[Hora inicio]&lt;=$B32,IF(base_de_datos[Hora fin]&gt;=$C32,base_de_datos[No clase],""),""),""),""),"")</f>
        <v/>
      </c>
      <c r="G32" s="29" t="str" cm="1">
        <f t="array" ref="G32">_xlfn.TEXTJOIN(CHAR(10),TRUE,IF(Profesor=base_de_datos[Profesor],IF("x"=base_de_datos[Martes],IF(base_de_datos[Hora inicio]&lt;=$B32,IF(base_de_datos[Hora fin]&gt;=$C32,base_de_datos[Materia]&amp;" "&amp;base_de_datos[[Número de grupo ]],""),""),""),""),"")</f>
        <v/>
      </c>
      <c r="H32" s="29" t="str" cm="1">
        <f t="array" ref="H32">_xlfn.TEXTJOIN(CHAR(10),TRUE,IF(Profesor=base_de_datos[Profesor],IF("x"=base_de_datos[Martes],IF(base_de_datos[Hora inicio]&lt;=$B32,IF(base_de_datos[Hora fin]&gt;=$C32,base_de_datos[Aula]&amp;" "&amp;#REF!,""),""),""),""),"")</f>
        <v/>
      </c>
      <c r="I32" s="29" t="str" cm="1">
        <f t="array" ref="I32">_xlfn.TEXTJOIN(CHAR(10),TRUE,IF(Profesor=base_de_datos[Profesor],IF("x"=base_de_datos[Martes],IF(base_de_datos[Hora inicio]&lt;=$B32,IF(base_de_datos[Hora fin]&gt;=$C32,base_de_datos[No clase],""),""),""),""),"")</f>
        <v/>
      </c>
      <c r="J32" s="29" t="str" cm="1">
        <f t="array" ref="J32">_xlfn.TEXTJOIN(CHAR(10),TRUE,IF(Profesor=base_de_datos[Profesor],IF("x"=base_de_datos[Miércoles],IF(base_de_datos[Hora inicio]&lt;=$B32,IF(base_de_datos[Hora fin]&gt;=$C32,base_de_datos[Materia]&amp;" "&amp;base_de_datos[[Número de grupo ]],""),""),""),""),"")</f>
        <v/>
      </c>
      <c r="K32" s="29" t="str" cm="1">
        <f t="array" ref="K32">_xlfn.TEXTJOIN(CHAR(10),TRUE,IF(Profesor=base_de_datos[Profesor],IF("x"=base_de_datos[Miércoles],IF(base_de_datos[Hora inicio]&lt;=$B32,IF(base_de_datos[Hora fin]&gt;=$C32,base_de_datos[Aula]&amp;" "&amp;#REF!,""),""),""),""),"")</f>
        <v/>
      </c>
      <c r="L32" s="29" t="str" cm="1">
        <f t="array" ref="L32">_xlfn.TEXTJOIN(CHAR(10),TRUE,IF(Profesor=base_de_datos[Profesor],IF("x"=base_de_datos[Miércoles],IF(base_de_datos[Hora inicio]&lt;=$B32,IF(base_de_datos[Hora fin]&gt;=$C32,base_de_datos[No clase],""),""),""),""),"")</f>
        <v/>
      </c>
      <c r="M32" s="29" t="str" cm="1">
        <f t="array" ref="M32">_xlfn.TEXTJOIN(CHAR(10),TRUE,IF(Profesor=base_de_datos[Profesor],IF("x"=base_de_datos[Jueves],IF(base_de_datos[Hora inicio]&lt;=$B32,IF(base_de_datos[Hora fin]&gt;=$C32,base_de_datos[Materia]&amp;" "&amp;base_de_datos[[Número de grupo ]],""),""),""),""),"")</f>
        <v/>
      </c>
      <c r="N32" s="29" t="str" cm="1">
        <f t="array" ref="N32">_xlfn.TEXTJOIN(CHAR(10),TRUE,IF(Profesor=base_de_datos[Profesor],IF("x"=base_de_datos[Jueves],IF(base_de_datos[Hora inicio]&lt;=$B32,IF(base_de_datos[Hora fin]&gt;=$C32,base_de_datos[Aula]&amp;" "&amp;#REF!,""),""),""),""),"")</f>
        <v/>
      </c>
      <c r="O32" s="29" t="str" cm="1">
        <f t="array" ref="O32">_xlfn.TEXTJOIN(CHAR(10),TRUE,IF(Profesor=base_de_datos[Profesor],IF("x"=base_de_datos[Jueves],IF(base_de_datos[Hora inicio]&lt;=$B32,IF(base_de_datos[Hora fin]&gt;=$C32,base_de_datos[No clase],""),""),""),""),"")</f>
        <v/>
      </c>
      <c r="P32" s="29" t="str" cm="1">
        <f t="array" ref="P32">_xlfn.TEXTJOIN(CHAR(10),TRUE,IF(Profesor=base_de_datos[Profesor],IF("x"=base_de_datos[Viernes],IF(base_de_datos[Hora inicio]&lt;=$B32,IF(base_de_datos[Hora fin]&gt;=$C32,base_de_datos[Materia]&amp;" "&amp;base_de_datos[[Número de grupo ]],""),""),""),""),"")</f>
        <v/>
      </c>
      <c r="Q32" s="29" t="str" cm="1">
        <f t="array" ref="Q32">_xlfn.TEXTJOIN(CHAR(10),TRUE,IF(Profesor=base_de_datos[Profesor],IF("x"=base_de_datos[Viernes],IF(base_de_datos[Hora inicio]&lt;=$B32,IF(base_de_datos[Hora fin]&gt;=$C32,base_de_datos[Aula]&amp;" "&amp;#REF!,""),""),""),""),"")</f>
        <v/>
      </c>
      <c r="R32" s="29" t="str" cm="1">
        <f t="array" ref="R32">_xlfn.TEXTJOIN(CHAR(10),TRUE,IF(Profesor=base_de_datos[Profesor],IF("x"=base_de_datos[Viernes],IF(base_de_datos[Hora inicio]&lt;=$B32,IF(base_de_datos[Hora fin]&gt;=$C32,base_de_datos[No clase],""),""),""),""),"")</f>
        <v/>
      </c>
      <c r="S32" s="29" t="str" cm="1">
        <f t="array" ref="S32">_xlfn.TEXTJOIN(CHAR(10),TRUE,IF(Profesor=base_de_datos[Profesor],IF("x"=base_de_datos[Sábado],IF(base_de_datos[Hora inicio]&lt;=$B32,IF(base_de_datos[Hora fin]&gt;=$C32,base_de_datos[Materia]&amp;" "&amp;base_de_datos[[Número de grupo ]],""),""),""),""),"")</f>
        <v/>
      </c>
      <c r="T32" s="29" t="str" cm="1">
        <f t="array" ref="T32">_xlfn.TEXTJOIN(CHAR(10),TRUE,IF(Profesor=base_de_datos[Profesor],IF("x"=base_de_datos[Sábado],IF(base_de_datos[Hora inicio]&lt;=$B32,IF(base_de_datos[Hora fin]&gt;=$C32,base_de_datos[Aula]&amp;" "&amp;#REF!,""),""),""),""),"")</f>
        <v/>
      </c>
      <c r="U32" s="29" t="str" cm="1">
        <f t="array" ref="U32">_xlfn.TEXTJOIN(CHAR(10),TRUE,IF(Profesor=base_de_datos[Profesor],IF("x"=base_de_datos[Sábado],IF(base_de_datos[Hora inicio]&lt;=$B32,IF(base_de_datos[Hora fin]&gt;=$C32,base_de_datos[No clase],""),""),""),""),"")</f>
        <v/>
      </c>
    </row>
    <row r="33" spans="2:30" ht="15">
      <c r="B33" s="206">
        <v>0.875</v>
      </c>
      <c r="C33" s="206">
        <v>0.89583333333332305</v>
      </c>
      <c r="D33" s="29" t="str" cm="1">
        <f t="array" ref="D33">_xlfn.TEXTJOIN(CHAR(10),TRUE,IF(Profesor=base_de_datos[Profesor],IF("x"=base_de_datos[Lunes],IF(base_de_datos[Hora inicio]&lt;=$B33,IF(base_de_datos[Hora fin]&gt;=$C33,base_de_datos[Materia]&amp;" "&amp;base_de_datos[[Número de grupo ]],""),""),""),""),"")</f>
        <v/>
      </c>
      <c r="E33" s="29" t="str" cm="1">
        <f t="array" ref="E33">_xlfn.TEXTJOIN(CHAR(10),TRUE,IF(Profesor=base_de_datos[Profesor],IF("x"=base_de_datos[Lunes],IF(base_de_datos[Hora inicio]&lt;=$B33,IF(base_de_datos[Hora fin]&gt;=$C33,base_de_datos[Aula]&amp;" "&amp;#REF!,""),""),""),""),"")</f>
        <v/>
      </c>
      <c r="F33" s="29" t="str" cm="1">
        <f t="array" ref="F33">_xlfn.TEXTJOIN(CHAR(10),TRUE,IF(Profesor=base_de_datos[Profesor],IF("x"=base_de_datos[Lunes],IF(base_de_datos[Hora inicio]&lt;=$B33,IF(base_de_datos[Hora fin]&gt;=$C33,base_de_datos[No clase],""),""),""),""),"")</f>
        <v/>
      </c>
      <c r="G33" s="29" t="str" cm="1">
        <f t="array" ref="G33">_xlfn.TEXTJOIN(CHAR(10),TRUE,IF(Profesor=base_de_datos[Profesor],IF("x"=base_de_datos[Martes],IF(base_de_datos[Hora inicio]&lt;=$B33,IF(base_de_datos[Hora fin]&gt;=$C33,base_de_datos[Materia]&amp;" "&amp;base_de_datos[[Número de grupo ]],""),""),""),""),"")</f>
        <v/>
      </c>
      <c r="H33" s="29" t="str" cm="1">
        <f t="array" ref="H33">_xlfn.TEXTJOIN(CHAR(10),TRUE,IF(Profesor=base_de_datos[Profesor],IF("x"=base_de_datos[Martes],IF(base_de_datos[Hora inicio]&lt;=$B33,IF(base_de_datos[Hora fin]&gt;=$C33,base_de_datos[Aula]&amp;" "&amp;#REF!,""),""),""),""),"")</f>
        <v/>
      </c>
      <c r="I33" s="29" t="str" cm="1">
        <f t="array" ref="I33">_xlfn.TEXTJOIN(CHAR(10),TRUE,IF(Profesor=base_de_datos[Profesor],IF("x"=base_de_datos[Martes],IF(base_de_datos[Hora inicio]&lt;=$B33,IF(base_de_datos[Hora fin]&gt;=$C33,base_de_datos[No clase],""),""),""),""),"")</f>
        <v/>
      </c>
      <c r="J33" s="29" t="str" cm="1">
        <f t="array" ref="J33">_xlfn.TEXTJOIN(CHAR(10),TRUE,IF(Profesor=base_de_datos[Profesor],IF("x"=base_de_datos[Miércoles],IF(base_de_datos[Hora inicio]&lt;=$B33,IF(base_de_datos[Hora fin]&gt;=$C33,base_de_datos[Materia]&amp;" "&amp;base_de_datos[[Número de grupo ]],""),""),""),""),"")</f>
        <v/>
      </c>
      <c r="K33" s="29" t="str" cm="1">
        <f t="array" ref="K33">_xlfn.TEXTJOIN(CHAR(10),TRUE,IF(Profesor=base_de_datos[Profesor],IF("x"=base_de_datos[Miércoles],IF(base_de_datos[Hora inicio]&lt;=$B33,IF(base_de_datos[Hora fin]&gt;=$C33,base_de_datos[Aula]&amp;" "&amp;#REF!,""),""),""),""),"")</f>
        <v/>
      </c>
      <c r="L33" s="29" t="str" cm="1">
        <f t="array" ref="L33">_xlfn.TEXTJOIN(CHAR(10),TRUE,IF(Profesor=base_de_datos[Profesor],IF("x"=base_de_datos[Miércoles],IF(base_de_datos[Hora inicio]&lt;=$B33,IF(base_de_datos[Hora fin]&gt;=$C33,base_de_datos[No clase],""),""),""),""),"")</f>
        <v/>
      </c>
      <c r="M33" s="29" t="str" cm="1">
        <f t="array" ref="M33">_xlfn.TEXTJOIN(CHAR(10),TRUE,IF(Profesor=base_de_datos[Profesor],IF("x"=base_de_datos[Jueves],IF(base_de_datos[Hora inicio]&lt;=$B33,IF(base_de_datos[Hora fin]&gt;=$C33,base_de_datos[Materia]&amp;" "&amp;base_de_datos[[Número de grupo ]],""),""),""),""),"")</f>
        <v/>
      </c>
      <c r="N33" s="29" t="str" cm="1">
        <f t="array" ref="N33">_xlfn.TEXTJOIN(CHAR(10),TRUE,IF(Profesor=base_de_datos[Profesor],IF("x"=base_de_datos[Jueves],IF(base_de_datos[Hora inicio]&lt;=$B33,IF(base_de_datos[Hora fin]&gt;=$C33,base_de_datos[Aula]&amp;" "&amp;#REF!,""),""),""),""),"")</f>
        <v/>
      </c>
      <c r="O33" s="29" t="str" cm="1">
        <f t="array" ref="O33">_xlfn.TEXTJOIN(CHAR(10),TRUE,IF(Profesor=base_de_datos[Profesor],IF("x"=base_de_datos[Jueves],IF(base_de_datos[Hora inicio]&lt;=$B33,IF(base_de_datos[Hora fin]&gt;=$C33,base_de_datos[No clase],""),""),""),""),"")</f>
        <v/>
      </c>
      <c r="P33" s="29" t="str" cm="1">
        <f t="array" ref="P33">_xlfn.TEXTJOIN(CHAR(10),TRUE,IF(Profesor=base_de_datos[Profesor],IF("x"=base_de_datos[Viernes],IF(base_de_datos[Hora inicio]&lt;=$B33,IF(base_de_datos[Hora fin]&gt;=$C33,base_de_datos[Materia]&amp;" "&amp;base_de_datos[[Número de grupo ]],""),""),""),""),"")</f>
        <v/>
      </c>
      <c r="Q33" s="29" t="str" cm="1">
        <f t="array" ref="Q33">_xlfn.TEXTJOIN(CHAR(10),TRUE,IF(Profesor=base_de_datos[Profesor],IF("x"=base_de_datos[Viernes],IF(base_de_datos[Hora inicio]&lt;=$B33,IF(base_de_datos[Hora fin]&gt;=$C33,base_de_datos[Aula]&amp;" "&amp;#REF!,""),""),""),""),"")</f>
        <v/>
      </c>
      <c r="R33" s="29" t="str" cm="1">
        <f t="array" ref="R33">_xlfn.TEXTJOIN(CHAR(10),TRUE,IF(Profesor=base_de_datos[Profesor],IF("x"=base_de_datos[Viernes],IF(base_de_datos[Hora inicio]&lt;=$B33,IF(base_de_datos[Hora fin]&gt;=$C33,base_de_datos[No clase],""),""),""),""),"")</f>
        <v/>
      </c>
      <c r="S33" s="29" t="str" cm="1">
        <f t="array" ref="S33">_xlfn.TEXTJOIN(CHAR(10),TRUE,IF(Profesor=base_de_datos[Profesor],IF("x"=base_de_datos[Sábado],IF(base_de_datos[Hora inicio]&lt;=$B33,IF(base_de_datos[Hora fin]&gt;=$C33,base_de_datos[Materia]&amp;" "&amp;base_de_datos[[Número de grupo ]],""),""),""),""),"")</f>
        <v/>
      </c>
      <c r="T33" s="29" t="str" cm="1">
        <f t="array" ref="T33">_xlfn.TEXTJOIN(CHAR(10),TRUE,IF(Profesor=base_de_datos[Profesor],IF("x"=base_de_datos[Sábado],IF(base_de_datos[Hora inicio]&lt;=$B33,IF(base_de_datos[Hora fin]&gt;=$C33,base_de_datos[Aula]&amp;" "&amp;#REF!,""),""),""),""),"")</f>
        <v/>
      </c>
      <c r="U33" s="29" t="str" cm="1">
        <f t="array" ref="U33">_xlfn.TEXTJOIN(CHAR(10),TRUE,IF(Profesor=base_de_datos[Profesor],IF("x"=base_de_datos[Sábado],IF(base_de_datos[Hora inicio]&lt;=$B33,IF(base_de_datos[Hora fin]&gt;=$C33,base_de_datos[No clase],""),""),""),""),"")</f>
        <v/>
      </c>
    </row>
    <row r="34" spans="2:30" ht="15">
      <c r="B34" s="206">
        <v>0.89583333333333304</v>
      </c>
      <c r="C34" s="206">
        <v>0.91666666666665697</v>
      </c>
      <c r="D34" s="29" t="str" cm="1">
        <f t="array" ref="D34">_xlfn.TEXTJOIN(CHAR(10),TRUE,IF(Profesor=base_de_datos[Profesor],IF("x"=base_de_datos[Lunes],IF(base_de_datos[Hora inicio]&lt;=$B34,IF(base_de_datos[Hora fin]&gt;=$C34,base_de_datos[Materia]&amp;" "&amp;base_de_datos[[Número de grupo ]],""),""),""),""),"")</f>
        <v/>
      </c>
      <c r="E34" s="29" t="str" cm="1">
        <f t="array" ref="E34">_xlfn.TEXTJOIN(CHAR(10),TRUE,IF(Profesor=base_de_datos[Profesor],IF("x"=base_de_datos[Lunes],IF(base_de_datos[Hora inicio]&lt;=$B34,IF(base_de_datos[Hora fin]&gt;=$C34,base_de_datos[Aula]&amp;" "&amp;#REF!,""),""),""),""),"")</f>
        <v/>
      </c>
      <c r="F34" s="29" t="str" cm="1">
        <f t="array" ref="F34">_xlfn.TEXTJOIN(CHAR(10),TRUE,IF(Profesor=base_de_datos[Profesor],IF("x"=base_de_datos[Lunes],IF(base_de_datos[Hora inicio]&lt;=$B34,IF(base_de_datos[Hora fin]&gt;=$C34,base_de_datos[No clase],""),""),""),""),"")</f>
        <v/>
      </c>
      <c r="G34" s="29" t="str" cm="1">
        <f t="array" ref="G34">_xlfn.TEXTJOIN(CHAR(10),TRUE,IF(Profesor=base_de_datos[Profesor],IF("x"=base_de_datos[Martes],IF(base_de_datos[Hora inicio]&lt;=$B34,IF(base_de_datos[Hora fin]&gt;=$C34,base_de_datos[Materia]&amp;" "&amp;base_de_datos[[Número de grupo ]],""),""),""),""),"")</f>
        <v/>
      </c>
      <c r="H34" s="29" t="str" cm="1">
        <f t="array" ref="H34">_xlfn.TEXTJOIN(CHAR(10),TRUE,IF(Profesor=base_de_datos[Profesor],IF("x"=base_de_datos[Martes],IF(base_de_datos[Hora inicio]&lt;=$B34,IF(base_de_datos[Hora fin]&gt;=$C34,base_de_datos[Aula]&amp;" "&amp;#REF!,""),""),""),""),"")</f>
        <v/>
      </c>
      <c r="I34" s="29" t="str" cm="1">
        <f t="array" ref="I34">_xlfn.TEXTJOIN(CHAR(10),TRUE,IF(Profesor=base_de_datos[Profesor],IF("x"=base_de_datos[Martes],IF(base_de_datos[Hora inicio]&lt;=$B34,IF(base_de_datos[Hora fin]&gt;=$C34,base_de_datos[No clase],""),""),""),""),"")</f>
        <v/>
      </c>
      <c r="J34" s="29" t="str" cm="1">
        <f t="array" ref="J34">_xlfn.TEXTJOIN(CHAR(10),TRUE,IF(Profesor=base_de_datos[Profesor],IF("x"=base_de_datos[Miércoles],IF(base_de_datos[Hora inicio]&lt;=$B34,IF(base_de_datos[Hora fin]&gt;=$C34,base_de_datos[Materia]&amp;" "&amp;base_de_datos[[Número de grupo ]],""),""),""),""),"")</f>
        <v/>
      </c>
      <c r="K34" s="29" t="str" cm="1">
        <f t="array" ref="K34">_xlfn.TEXTJOIN(CHAR(10),TRUE,IF(Profesor=base_de_datos[Profesor],IF("x"=base_de_datos[Miércoles],IF(base_de_datos[Hora inicio]&lt;=$B34,IF(base_de_datos[Hora fin]&gt;=$C34,base_de_datos[Aula]&amp;" "&amp;#REF!,""),""),""),""),"")</f>
        <v/>
      </c>
      <c r="L34" s="29" t="str" cm="1">
        <f t="array" ref="L34">_xlfn.TEXTJOIN(CHAR(10),TRUE,IF(Profesor=base_de_datos[Profesor],IF("x"=base_de_datos[Miércoles],IF(base_de_datos[Hora inicio]&lt;=$B34,IF(base_de_datos[Hora fin]&gt;=$C34,base_de_datos[No clase],""),""),""),""),"")</f>
        <v/>
      </c>
      <c r="M34" s="29" t="str" cm="1">
        <f t="array" ref="M34">_xlfn.TEXTJOIN(CHAR(10),TRUE,IF(Profesor=base_de_datos[Profesor],IF("x"=base_de_datos[Jueves],IF(base_de_datos[Hora inicio]&lt;=$B34,IF(base_de_datos[Hora fin]&gt;=$C34,base_de_datos[Materia]&amp;" "&amp;base_de_datos[[Número de grupo ]],""),""),""),""),"")</f>
        <v/>
      </c>
      <c r="N34" s="29" t="str" cm="1">
        <f t="array" ref="N34">_xlfn.TEXTJOIN(CHAR(10),TRUE,IF(Profesor=base_de_datos[Profesor],IF("x"=base_de_datos[Jueves],IF(base_de_datos[Hora inicio]&lt;=$B34,IF(base_de_datos[Hora fin]&gt;=$C34,base_de_datos[Aula]&amp;" "&amp;#REF!,""),""),""),""),"")</f>
        <v/>
      </c>
      <c r="O34" s="29" t="str" cm="1">
        <f t="array" ref="O34">_xlfn.TEXTJOIN(CHAR(10),TRUE,IF(Profesor=base_de_datos[Profesor],IF("x"=base_de_datos[Jueves],IF(base_de_datos[Hora inicio]&lt;=$B34,IF(base_de_datos[Hora fin]&gt;=$C34,base_de_datos[No clase],""),""),""),""),"")</f>
        <v/>
      </c>
      <c r="P34" s="29" t="str" cm="1">
        <f t="array" ref="P34">_xlfn.TEXTJOIN(CHAR(10),TRUE,IF(Profesor=base_de_datos[Profesor],IF("x"=base_de_datos[Viernes],IF(base_de_datos[Hora inicio]&lt;=$B34,IF(base_de_datos[Hora fin]&gt;=$C34,base_de_datos[Materia]&amp;" "&amp;base_de_datos[[Número de grupo ]],""),""),""),""),"")</f>
        <v/>
      </c>
      <c r="Q34" s="29" t="str" cm="1">
        <f t="array" ref="Q34">_xlfn.TEXTJOIN(CHAR(10),TRUE,IF(Profesor=base_de_datos[Profesor],IF("x"=base_de_datos[Viernes],IF(base_de_datos[Hora inicio]&lt;=$B34,IF(base_de_datos[Hora fin]&gt;=$C34,base_de_datos[Aula]&amp;" "&amp;#REF!,""),""),""),""),"")</f>
        <v/>
      </c>
      <c r="R34" s="29" t="str" cm="1">
        <f t="array" ref="R34">_xlfn.TEXTJOIN(CHAR(10),TRUE,IF(Profesor=base_de_datos[Profesor],IF("x"=base_de_datos[Viernes],IF(base_de_datos[Hora inicio]&lt;=$B34,IF(base_de_datos[Hora fin]&gt;=$C34,base_de_datos[No clase],""),""),""),""),"")</f>
        <v/>
      </c>
      <c r="S34" s="29" t="str" cm="1">
        <f t="array" ref="S34">_xlfn.TEXTJOIN(CHAR(10),TRUE,IF(Profesor=base_de_datos[Profesor],IF("x"=base_de_datos[Sábado],IF(base_de_datos[Hora inicio]&lt;=$B34,IF(base_de_datos[Hora fin]&gt;=$C34,base_de_datos[Materia]&amp;" "&amp;base_de_datos[[Número de grupo ]],""),""),""),""),"")</f>
        <v/>
      </c>
      <c r="T34" s="29" t="str" cm="1">
        <f t="array" ref="T34">_xlfn.TEXTJOIN(CHAR(10),TRUE,IF(Profesor=base_de_datos[Profesor],IF("x"=base_de_datos[Sábado],IF(base_de_datos[Hora inicio]&lt;=$B34,IF(base_de_datos[Hora fin]&gt;=$C34,base_de_datos[Aula]&amp;" "&amp;#REF!,""),""),""),""),"")</f>
        <v/>
      </c>
      <c r="U34" s="29" t="str" cm="1">
        <f t="array" ref="U34">_xlfn.TEXTJOIN(CHAR(10),TRUE,IF(Profesor=base_de_datos[Profesor],IF("x"=base_de_datos[Sábado],IF(base_de_datos[Hora inicio]&lt;=$B34,IF(base_de_datos[Hora fin]&gt;=$C34,base_de_datos[No clase],""),""),""),""),"")</f>
        <v/>
      </c>
      <c r="AB34" s="28"/>
      <c r="AC34" s="28"/>
      <c r="AD34" s="28"/>
    </row>
    <row r="35" spans="2:30">
      <c r="C35" s="3"/>
      <c r="D35" s="28"/>
      <c r="E35" s="28"/>
      <c r="F35" s="28"/>
      <c r="G35" s="28"/>
      <c r="H35" s="28"/>
      <c r="I35" s="28"/>
      <c r="J35" s="31"/>
      <c r="K35" s="31"/>
      <c r="L35" s="28"/>
      <c r="M35" s="28"/>
      <c r="N35" s="28"/>
      <c r="O35" s="28"/>
      <c r="P35" s="28"/>
      <c r="Q35" s="28"/>
      <c r="R35" s="28"/>
      <c r="S35" s="28"/>
      <c r="T35" s="28"/>
      <c r="U35" s="28"/>
      <c r="AB35" s="28"/>
      <c r="AC35" s="28"/>
      <c r="AD35" s="28"/>
    </row>
    <row r="36" spans="2:30">
      <c r="C36" s="3"/>
      <c r="D36" s="28"/>
      <c r="E36" s="28"/>
      <c r="F36" s="28"/>
      <c r="G36" s="28"/>
      <c r="H36" s="28"/>
      <c r="I36" s="28"/>
      <c r="J36" s="31"/>
      <c r="K36" s="31"/>
      <c r="L36" s="28"/>
      <c r="M36" s="28"/>
      <c r="N36" s="28"/>
      <c r="O36" s="28"/>
      <c r="P36" s="28"/>
      <c r="Q36" s="28"/>
      <c r="R36" s="28"/>
      <c r="S36" s="28"/>
      <c r="T36" s="28"/>
      <c r="U36" s="28"/>
      <c r="AB36" s="28"/>
      <c r="AC36" s="28"/>
      <c r="AD36" s="28"/>
    </row>
    <row r="37" spans="2:30">
      <c r="C37" s="3"/>
      <c r="D37" s="28"/>
      <c r="E37" s="28"/>
      <c r="F37" s="28"/>
      <c r="G37" s="28"/>
      <c r="H37" s="28"/>
      <c r="I37" s="28"/>
      <c r="J37" s="31"/>
      <c r="K37" s="31"/>
      <c r="L37" s="28"/>
      <c r="M37" s="28"/>
      <c r="N37" s="28"/>
      <c r="O37" s="28"/>
      <c r="P37" s="28"/>
      <c r="Q37" s="28"/>
      <c r="R37" s="28"/>
      <c r="S37" s="28"/>
      <c r="T37" s="28"/>
      <c r="U37" s="28"/>
      <c r="AB37" s="28"/>
      <c r="AC37" s="28"/>
      <c r="AD37" s="28"/>
    </row>
    <row r="38" spans="2:30">
      <c r="C38" s="3"/>
      <c r="D38" s="28"/>
      <c r="E38" s="28"/>
      <c r="F38" s="28"/>
      <c r="G38" s="28"/>
      <c r="H38" s="28"/>
      <c r="I38" s="28"/>
      <c r="J38" s="31"/>
      <c r="K38" s="31"/>
      <c r="L38" s="28"/>
      <c r="M38" s="28"/>
      <c r="N38" s="28"/>
      <c r="O38" s="28"/>
      <c r="P38" s="28"/>
      <c r="Q38" s="28"/>
      <c r="R38" s="28"/>
      <c r="S38" s="28"/>
      <c r="T38" s="28"/>
      <c r="U38" s="28"/>
      <c r="AB38" s="28"/>
      <c r="AC38" s="28"/>
      <c r="AD38" s="28"/>
    </row>
    <row r="39" spans="2:30">
      <c r="C39" s="3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AB39" s="28"/>
      <c r="AC39" s="28"/>
      <c r="AD39" s="28"/>
    </row>
    <row r="40" spans="2:30">
      <c r="C40" s="3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AB40" s="28"/>
      <c r="AC40" s="28"/>
      <c r="AD40" s="28"/>
    </row>
    <row r="41" spans="2:30">
      <c r="C41" s="3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AB41" s="28"/>
      <c r="AC41" s="28"/>
      <c r="AD41" s="28"/>
    </row>
    <row r="42" spans="2:30">
      <c r="C42" s="3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AB42" s="28"/>
      <c r="AC42" s="28"/>
      <c r="AD42" s="28"/>
    </row>
    <row r="43" spans="2:30">
      <c r="C43" s="3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AB43" s="28"/>
      <c r="AC43" s="28"/>
      <c r="AD43" s="28"/>
    </row>
    <row r="44" spans="2:30">
      <c r="C44" s="3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AB44" s="28"/>
      <c r="AC44" s="28"/>
      <c r="AD44" s="28"/>
    </row>
    <row r="45" spans="2:30">
      <c r="C45" s="3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AB45" s="28"/>
      <c r="AC45" s="28"/>
      <c r="AD45" s="28"/>
    </row>
    <row r="46" spans="2:30">
      <c r="C46" s="3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AB46" s="28"/>
      <c r="AC46" s="28"/>
      <c r="AD46" s="28"/>
    </row>
    <row r="47" spans="2:30">
      <c r="C47" s="3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AB47" s="28"/>
      <c r="AC47" s="28"/>
      <c r="AD47" s="28"/>
    </row>
    <row r="48" spans="2:30">
      <c r="C48" s="3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AB48" s="28"/>
      <c r="AC48" s="28"/>
      <c r="AD48" s="28"/>
    </row>
    <row r="49" spans="3:30">
      <c r="C49" s="3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AB49" s="28"/>
      <c r="AC49" s="28"/>
      <c r="AD49" s="28"/>
    </row>
    <row r="50" spans="3:30">
      <c r="C50" s="3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AB50" s="28"/>
      <c r="AC50" s="28"/>
      <c r="AD50" s="28"/>
    </row>
    <row r="51" spans="3:30">
      <c r="C51" s="3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AB51" s="28"/>
      <c r="AC51" s="28"/>
      <c r="AD51" s="28"/>
    </row>
    <row r="52" spans="3:30">
      <c r="C52" s="3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AB52" s="28"/>
      <c r="AC52" s="28"/>
      <c r="AD52" s="28"/>
    </row>
    <row r="53" spans="3:30">
      <c r="C53" s="3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AB53" s="28"/>
      <c r="AC53" s="28"/>
      <c r="AD53" s="28"/>
    </row>
    <row r="54" spans="3:30">
      <c r="C54" s="3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AB54" s="28"/>
      <c r="AC54" s="28"/>
      <c r="AD54" s="28"/>
    </row>
    <row r="55" spans="3:30">
      <c r="C55" s="3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AB55" s="28"/>
      <c r="AC55" s="28"/>
      <c r="AD55" s="28"/>
    </row>
    <row r="56" spans="3:30">
      <c r="C56" s="3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AB56" s="28"/>
      <c r="AC56" s="28"/>
      <c r="AD56" s="28"/>
    </row>
    <row r="57" spans="3:30">
      <c r="C57" s="3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AB57" s="28"/>
      <c r="AC57" s="28"/>
      <c r="AD57" s="28"/>
    </row>
    <row r="58" spans="3:30">
      <c r="C58" s="3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AB58" s="28"/>
      <c r="AC58" s="28"/>
      <c r="AD58" s="28"/>
    </row>
    <row r="59" spans="3:30">
      <c r="C59" s="3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AB59" s="28"/>
      <c r="AC59" s="28"/>
      <c r="AD59" s="28"/>
    </row>
    <row r="60" spans="3:30">
      <c r="C60" s="3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AB60" s="28"/>
      <c r="AC60" s="28"/>
      <c r="AD60" s="28"/>
    </row>
    <row r="61" spans="3:30">
      <c r="C61" s="3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AB61" s="28"/>
      <c r="AC61" s="28"/>
      <c r="AD61" s="28"/>
    </row>
    <row r="62" spans="3:30">
      <c r="C62" s="3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AB62" s="28"/>
      <c r="AC62" s="28"/>
      <c r="AD62" s="28"/>
    </row>
    <row r="63" spans="3:30">
      <c r="C63" s="3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AB63" s="28"/>
      <c r="AC63" s="28"/>
      <c r="AD63" s="28"/>
    </row>
    <row r="64" spans="3:30">
      <c r="C64" s="3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AB64" s="28"/>
      <c r="AC64" s="28"/>
      <c r="AD64" s="28"/>
    </row>
    <row r="65" spans="3:30">
      <c r="C65" s="3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AB65" s="28"/>
      <c r="AC65" s="28"/>
      <c r="AD65" s="28"/>
    </row>
    <row r="66" spans="3:30">
      <c r="C66" s="3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AB66" s="28"/>
      <c r="AC66" s="28"/>
      <c r="AD66" s="28"/>
    </row>
    <row r="67" spans="3:30">
      <c r="C67" s="3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AB67" s="28"/>
      <c r="AC67" s="28"/>
      <c r="AD67" s="28"/>
    </row>
    <row r="68" spans="3:30">
      <c r="C68" s="3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AB68" s="28"/>
      <c r="AC68" s="28"/>
      <c r="AD68" s="28"/>
    </row>
    <row r="69" spans="3:30">
      <c r="C69" s="3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AB69" s="28"/>
      <c r="AC69" s="28"/>
      <c r="AD69" s="28"/>
    </row>
    <row r="70" spans="3:30">
      <c r="C70" s="3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AB70" s="28"/>
      <c r="AC70" s="28"/>
      <c r="AD70" s="28"/>
    </row>
    <row r="71" spans="3:30">
      <c r="C71" s="3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AB71" s="28"/>
      <c r="AC71" s="28"/>
      <c r="AD71" s="28"/>
    </row>
    <row r="72" spans="3:30">
      <c r="C72" s="3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AB72" s="28"/>
      <c r="AC72" s="28"/>
      <c r="AD72" s="28"/>
    </row>
    <row r="73" spans="3:30">
      <c r="C73" s="3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AB73" s="28"/>
      <c r="AC73" s="28"/>
      <c r="AD73" s="28"/>
    </row>
    <row r="74" spans="3:30">
      <c r="C74" s="3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AB74" s="28"/>
      <c r="AC74" s="28"/>
      <c r="AD74" s="28"/>
    </row>
    <row r="75" spans="3:30">
      <c r="C75" s="3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AB75" s="28"/>
      <c r="AC75" s="28"/>
      <c r="AD75" s="28"/>
    </row>
    <row r="76" spans="3:30">
      <c r="C76" s="3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AB76" s="28"/>
      <c r="AC76" s="28"/>
      <c r="AD76" s="28"/>
    </row>
    <row r="77" spans="3:30">
      <c r="C77" s="3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AB77" s="28"/>
      <c r="AC77" s="28"/>
      <c r="AD77" s="28"/>
    </row>
    <row r="78" spans="3:30">
      <c r="C78" s="3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AB78" s="28"/>
      <c r="AC78" s="28"/>
      <c r="AD78" s="28"/>
    </row>
    <row r="79" spans="3:30">
      <c r="C79" s="3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AB79" s="28"/>
      <c r="AC79" s="28"/>
      <c r="AD79" s="28"/>
    </row>
    <row r="80" spans="3:30">
      <c r="C80" s="3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AB80" s="28"/>
      <c r="AC80" s="28"/>
      <c r="AD80" s="28"/>
    </row>
    <row r="81" spans="3:30">
      <c r="C81" s="3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AB81" s="28"/>
      <c r="AC81" s="28"/>
      <c r="AD81" s="28"/>
    </row>
    <row r="82" spans="3:30">
      <c r="C82" s="3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AB82" s="28"/>
      <c r="AC82" s="28"/>
      <c r="AD82" s="28"/>
    </row>
    <row r="83" spans="3:30">
      <c r="C83" s="3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AB83" s="28"/>
      <c r="AC83" s="28"/>
      <c r="AD83" s="28"/>
    </row>
    <row r="84" spans="3:30">
      <c r="C84" s="3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AB84" s="28"/>
      <c r="AC84" s="28"/>
      <c r="AD84" s="28"/>
    </row>
    <row r="85" spans="3:30">
      <c r="C85" s="3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AB85" s="28"/>
      <c r="AC85" s="28"/>
      <c r="AD85" s="28"/>
    </row>
    <row r="86" spans="3:30">
      <c r="C86" s="3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AB86" s="28"/>
      <c r="AC86" s="28"/>
      <c r="AD86" s="28"/>
    </row>
    <row r="87" spans="3:30">
      <c r="C87" s="3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AB87" s="28"/>
      <c r="AC87" s="28"/>
      <c r="AD87" s="28"/>
    </row>
    <row r="88" spans="3:30">
      <c r="C88" s="3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AB88" s="28"/>
      <c r="AC88" s="28"/>
      <c r="AD88" s="28"/>
    </row>
    <row r="89" spans="3:30">
      <c r="C89" s="3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AB89" s="28"/>
      <c r="AC89" s="28"/>
      <c r="AD89" s="28"/>
    </row>
    <row r="90" spans="3:30">
      <c r="C90" s="3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AB90" s="28"/>
      <c r="AC90" s="28"/>
      <c r="AD90" s="28"/>
    </row>
    <row r="91" spans="3:30">
      <c r="C91" s="3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AB91" s="28"/>
      <c r="AC91" s="28"/>
      <c r="AD91" s="28"/>
    </row>
    <row r="92" spans="3:30">
      <c r="C92" s="3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AB92" s="28"/>
      <c r="AC92" s="28"/>
      <c r="AD92" s="28"/>
    </row>
    <row r="93" spans="3:30">
      <c r="C93" s="3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AB93" s="28"/>
      <c r="AC93" s="28"/>
      <c r="AD93" s="28"/>
    </row>
    <row r="94" spans="3:30">
      <c r="C94" s="3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AB94" s="28"/>
      <c r="AC94" s="28"/>
      <c r="AD94" s="28"/>
    </row>
    <row r="95" spans="3:30">
      <c r="C95" s="3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AB95" s="28"/>
      <c r="AC95" s="28"/>
      <c r="AD95" s="28"/>
    </row>
    <row r="96" spans="3:30">
      <c r="C96" s="3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AB96" s="28"/>
      <c r="AC96" s="28"/>
      <c r="AD96" s="28"/>
    </row>
    <row r="97" spans="3:30">
      <c r="C97" s="3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AB97" s="28"/>
      <c r="AC97" s="28"/>
      <c r="AD97" s="28"/>
    </row>
    <row r="98" spans="3:30">
      <c r="C98" s="3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AB98" s="28"/>
      <c r="AC98" s="28"/>
      <c r="AD98" s="28"/>
    </row>
    <row r="99" spans="3:30">
      <c r="C99" s="3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AB99" s="28"/>
      <c r="AC99" s="28"/>
      <c r="AD99" s="28"/>
    </row>
    <row r="100" spans="3:30">
      <c r="C100" s="3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AB100" s="28"/>
      <c r="AC100" s="28"/>
      <c r="AD100" s="28"/>
    </row>
    <row r="101" spans="3:30">
      <c r="C101" s="3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AB101" s="28"/>
      <c r="AC101" s="28"/>
      <c r="AD101" s="28"/>
    </row>
    <row r="102" spans="3:30">
      <c r="C102" s="3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AB102" s="28"/>
      <c r="AC102" s="28"/>
      <c r="AD102" s="28"/>
    </row>
    <row r="103" spans="3:30">
      <c r="C103" s="3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AB103" s="28"/>
      <c r="AC103" s="28"/>
      <c r="AD103" s="28"/>
    </row>
    <row r="104" spans="3:30">
      <c r="C104" s="3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AB104" s="28"/>
      <c r="AC104" s="28"/>
      <c r="AD104" s="28"/>
    </row>
    <row r="105" spans="3:30">
      <c r="C105" s="3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AB105" s="28"/>
      <c r="AC105" s="28"/>
      <c r="AD105" s="28"/>
    </row>
    <row r="106" spans="3:30">
      <c r="C106" s="3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AB106" s="28"/>
      <c r="AC106" s="28"/>
      <c r="AD106" s="28"/>
    </row>
    <row r="107" spans="3:30">
      <c r="C107" s="3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AB107" s="28"/>
      <c r="AC107" s="28"/>
      <c r="AD107" s="28"/>
    </row>
    <row r="108" spans="3:30">
      <c r="C108" s="3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AB108" s="28"/>
      <c r="AC108" s="28"/>
      <c r="AD108" s="28"/>
    </row>
    <row r="109" spans="3:30">
      <c r="C109" s="3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AB109" s="28"/>
      <c r="AC109" s="28"/>
      <c r="AD109" s="28"/>
    </row>
    <row r="110" spans="3:30">
      <c r="C110" s="3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AB110" s="28"/>
      <c r="AC110" s="28"/>
      <c r="AD110" s="28"/>
    </row>
    <row r="111" spans="3:30">
      <c r="C111" s="3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AB111" s="28"/>
      <c r="AC111" s="28"/>
      <c r="AD111" s="28"/>
    </row>
    <row r="112" spans="3:30">
      <c r="C112" s="3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AB112" s="28"/>
      <c r="AC112" s="28"/>
      <c r="AD112" s="28"/>
    </row>
    <row r="113" spans="3:30">
      <c r="C113" s="3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AB113" s="28"/>
      <c r="AC113" s="28"/>
      <c r="AD113" s="28"/>
    </row>
    <row r="114" spans="3:30">
      <c r="C114" s="3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AB114" s="28"/>
      <c r="AC114" s="28"/>
      <c r="AD114" s="28"/>
    </row>
    <row r="115" spans="3:30">
      <c r="C115" s="3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AB115" s="28"/>
      <c r="AC115" s="28"/>
      <c r="AD115" s="28"/>
    </row>
    <row r="116" spans="3:30">
      <c r="C116" s="3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AB116" s="28"/>
      <c r="AC116" s="28"/>
      <c r="AD116" s="28"/>
    </row>
    <row r="117" spans="3:30">
      <c r="C117" s="3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AB117" s="28"/>
      <c r="AC117" s="28"/>
      <c r="AD117" s="28"/>
    </row>
    <row r="118" spans="3:30">
      <c r="C118" s="3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AB118" s="28"/>
      <c r="AC118" s="28"/>
      <c r="AD118" s="28"/>
    </row>
    <row r="119" spans="3:30">
      <c r="C119" s="3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AB119" s="28"/>
      <c r="AC119" s="28"/>
      <c r="AD119" s="28"/>
    </row>
    <row r="120" spans="3:30">
      <c r="C120" s="3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AB120" s="28"/>
      <c r="AC120" s="28"/>
      <c r="AD120" s="28"/>
    </row>
    <row r="121" spans="3:30">
      <c r="C121" s="3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AB121" s="28"/>
      <c r="AC121" s="28"/>
      <c r="AD121" s="28"/>
    </row>
    <row r="122" spans="3:30">
      <c r="C122" s="3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AB122" s="28"/>
      <c r="AC122" s="28"/>
      <c r="AD122" s="28"/>
    </row>
    <row r="123" spans="3:30">
      <c r="C123" s="3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AB123" s="28"/>
      <c r="AC123" s="28"/>
      <c r="AD123" s="28"/>
    </row>
    <row r="124" spans="3:30">
      <c r="C124" s="3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AB124" s="28"/>
      <c r="AC124" s="28"/>
      <c r="AD124" s="28"/>
    </row>
    <row r="125" spans="3:30">
      <c r="C125" s="3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AB125" s="28"/>
      <c r="AC125" s="28"/>
      <c r="AD125" s="28"/>
    </row>
    <row r="126" spans="3:30">
      <c r="C126" s="3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AB126" s="28"/>
      <c r="AC126" s="28"/>
      <c r="AD126" s="28"/>
    </row>
    <row r="127" spans="3:30">
      <c r="C127" s="3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AB127" s="28"/>
      <c r="AC127" s="28"/>
      <c r="AD127" s="28"/>
    </row>
    <row r="128" spans="3:30">
      <c r="C128" s="3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AB128" s="28"/>
      <c r="AC128" s="28"/>
      <c r="AD128" s="28"/>
    </row>
    <row r="129" spans="3:30">
      <c r="C129" s="3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AB129" s="28"/>
      <c r="AC129" s="28"/>
      <c r="AD129" s="28"/>
    </row>
    <row r="130" spans="3:30">
      <c r="C130" s="3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AB130" s="28"/>
      <c r="AC130" s="28"/>
      <c r="AD130" s="28"/>
    </row>
    <row r="131" spans="3:30">
      <c r="C131" s="3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AB131" s="28"/>
      <c r="AC131" s="28"/>
      <c r="AD131" s="28"/>
    </row>
    <row r="132" spans="3:30">
      <c r="C132" s="3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AB132" s="28"/>
      <c r="AC132" s="28"/>
      <c r="AD132" s="28"/>
    </row>
    <row r="133" spans="3:30">
      <c r="C133" s="3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AB133" s="28"/>
      <c r="AC133" s="28"/>
      <c r="AD133" s="28"/>
    </row>
    <row r="134" spans="3:30">
      <c r="C134" s="3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AB134" s="28"/>
      <c r="AC134" s="28"/>
      <c r="AD134" s="28"/>
    </row>
    <row r="135" spans="3:30">
      <c r="C135" s="3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AB135" s="28"/>
      <c r="AC135" s="28"/>
      <c r="AD135" s="28"/>
    </row>
    <row r="136" spans="3:30">
      <c r="C136" s="3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AB136" s="28"/>
      <c r="AC136" s="28"/>
      <c r="AD136" s="28"/>
    </row>
    <row r="137" spans="3:30">
      <c r="C137" s="3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AB137" s="28"/>
      <c r="AC137" s="28"/>
      <c r="AD137" s="28"/>
    </row>
    <row r="138" spans="3:30">
      <c r="C138" s="3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AB138" s="28"/>
      <c r="AC138" s="28"/>
      <c r="AD138" s="28"/>
    </row>
    <row r="139" spans="3:30">
      <c r="C139" s="3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AB139" s="28"/>
      <c r="AC139" s="28"/>
      <c r="AD139" s="28"/>
    </row>
    <row r="140" spans="3:30">
      <c r="C140" s="3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AB140" s="28"/>
      <c r="AC140" s="28"/>
      <c r="AD140" s="28"/>
    </row>
    <row r="141" spans="3:30">
      <c r="C141" s="3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AB141" s="28"/>
      <c r="AC141" s="28"/>
      <c r="AD141" s="28"/>
    </row>
    <row r="142" spans="3:30">
      <c r="C142" s="3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AB142" s="28"/>
      <c r="AC142" s="28"/>
      <c r="AD142" s="28"/>
    </row>
    <row r="143" spans="3:30">
      <c r="C143" s="3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AB143" s="28"/>
      <c r="AC143" s="28"/>
      <c r="AD143" s="28"/>
    </row>
    <row r="144" spans="3:30">
      <c r="C144" s="3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AB144" s="28"/>
      <c r="AC144" s="28"/>
      <c r="AD144" s="28"/>
    </row>
    <row r="145" spans="3:30">
      <c r="C145" s="3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AB145" s="28"/>
      <c r="AC145" s="28"/>
      <c r="AD145" s="28"/>
    </row>
    <row r="146" spans="3:30">
      <c r="C146" s="3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AB146" s="28"/>
      <c r="AC146" s="28"/>
      <c r="AD146" s="28"/>
    </row>
    <row r="147" spans="3:30">
      <c r="C147" s="3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AB147" s="28"/>
      <c r="AC147" s="28"/>
      <c r="AD147" s="28"/>
    </row>
    <row r="148" spans="3:30">
      <c r="C148" s="3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AB148" s="28"/>
      <c r="AC148" s="28"/>
      <c r="AD148" s="28"/>
    </row>
    <row r="149" spans="3:30">
      <c r="C149" s="3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AB149" s="28"/>
      <c r="AC149" s="28"/>
      <c r="AD149" s="28"/>
    </row>
    <row r="150" spans="3:30">
      <c r="C150" s="3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AB150" s="28"/>
      <c r="AC150" s="28"/>
      <c r="AD150" s="28"/>
    </row>
    <row r="151" spans="3:30">
      <c r="C151" s="3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AB151" s="28"/>
      <c r="AC151" s="28"/>
      <c r="AD151" s="28"/>
    </row>
    <row r="152" spans="3:30">
      <c r="C152" s="3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AB152" s="28"/>
      <c r="AC152" s="28"/>
      <c r="AD152" s="28"/>
    </row>
    <row r="153" spans="3:30">
      <c r="C153" s="3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AB153" s="28"/>
      <c r="AC153" s="28"/>
      <c r="AD153" s="28"/>
    </row>
    <row r="154" spans="3:30">
      <c r="C154" s="3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AB154" s="28"/>
      <c r="AC154" s="28"/>
      <c r="AD154" s="28"/>
    </row>
    <row r="155" spans="3:30">
      <c r="C155" s="3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AB155" s="28"/>
      <c r="AC155" s="28"/>
      <c r="AD155" s="28"/>
    </row>
    <row r="156" spans="3:30">
      <c r="C156" s="3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AB156" s="28"/>
      <c r="AC156" s="28"/>
      <c r="AD156" s="28"/>
    </row>
    <row r="157" spans="3:30">
      <c r="C157" s="3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AB157" s="28"/>
      <c r="AC157" s="28"/>
      <c r="AD157" s="28"/>
    </row>
    <row r="158" spans="3:30">
      <c r="C158" s="3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AB158" s="28"/>
      <c r="AC158" s="28"/>
      <c r="AD158" s="28"/>
    </row>
    <row r="159" spans="3:30">
      <c r="C159" s="3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AB159" s="28"/>
      <c r="AC159" s="28"/>
      <c r="AD159" s="28"/>
    </row>
    <row r="160" spans="3:30">
      <c r="C160" s="3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AB160" s="28"/>
      <c r="AC160" s="28"/>
      <c r="AD160" s="28"/>
    </row>
    <row r="161" spans="3:30">
      <c r="C161" s="3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AB161" s="28"/>
      <c r="AC161" s="28"/>
      <c r="AD161" s="28"/>
    </row>
    <row r="162" spans="3:30">
      <c r="C162" s="3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AB162" s="28"/>
      <c r="AC162" s="28"/>
      <c r="AD162" s="28"/>
    </row>
    <row r="163" spans="3:30">
      <c r="C163" s="3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AB163" s="28"/>
      <c r="AC163" s="28"/>
      <c r="AD163" s="28"/>
    </row>
    <row r="164" spans="3:30">
      <c r="C164" s="3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AB164" s="28"/>
      <c r="AC164" s="28"/>
      <c r="AD164" s="28"/>
    </row>
    <row r="165" spans="3:30">
      <c r="C165" s="3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AB165" s="28"/>
      <c r="AC165" s="28"/>
      <c r="AD165" s="28"/>
    </row>
    <row r="166" spans="3:30">
      <c r="C166" s="3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AB166" s="28"/>
      <c r="AC166" s="28"/>
      <c r="AD166" s="28"/>
    </row>
    <row r="167" spans="3:30">
      <c r="C167" s="3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AB167" s="28"/>
      <c r="AC167" s="28"/>
      <c r="AD167" s="28"/>
    </row>
    <row r="168" spans="3:30">
      <c r="C168" s="3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AB168" s="28"/>
      <c r="AC168" s="28"/>
      <c r="AD168" s="28"/>
    </row>
    <row r="169" spans="3:30">
      <c r="C169" s="3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AB169" s="28"/>
      <c r="AC169" s="28"/>
      <c r="AD169" s="28"/>
    </row>
    <row r="170" spans="3:30">
      <c r="C170" s="3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AB170" s="28"/>
      <c r="AC170" s="28"/>
      <c r="AD170" s="28"/>
    </row>
    <row r="171" spans="3:30">
      <c r="C171" s="3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AB171" s="28"/>
      <c r="AC171" s="28"/>
      <c r="AD171" s="28"/>
    </row>
    <row r="172" spans="3:30">
      <c r="C172" s="3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AB172" s="28"/>
      <c r="AC172" s="28"/>
      <c r="AD172" s="28"/>
    </row>
    <row r="173" spans="3:30">
      <c r="C173" s="3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AB173" s="28"/>
      <c r="AC173" s="28"/>
      <c r="AD173" s="28"/>
    </row>
    <row r="174" spans="3:30">
      <c r="C174" s="3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AB174" s="28"/>
      <c r="AC174" s="28"/>
      <c r="AD174" s="28"/>
    </row>
    <row r="175" spans="3:30">
      <c r="C175" s="3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AB175" s="28"/>
      <c r="AC175" s="28"/>
      <c r="AD175" s="28"/>
    </row>
    <row r="176" spans="3:30">
      <c r="C176" s="3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AB176" s="28"/>
      <c r="AC176" s="28"/>
      <c r="AD176" s="28"/>
    </row>
    <row r="177" spans="3:30">
      <c r="C177" s="3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AB177" s="28"/>
      <c r="AC177" s="28"/>
      <c r="AD177" s="28"/>
    </row>
    <row r="178" spans="3:30">
      <c r="C178" s="3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AB178" s="28"/>
      <c r="AC178" s="28"/>
      <c r="AD178" s="28"/>
    </row>
    <row r="179" spans="3:30">
      <c r="C179" s="3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AB179" s="28"/>
      <c r="AC179" s="28"/>
      <c r="AD179" s="28"/>
    </row>
    <row r="180" spans="3:30">
      <c r="C180" s="3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AB180" s="28"/>
      <c r="AC180" s="28"/>
      <c r="AD180" s="28"/>
    </row>
    <row r="181" spans="3:30">
      <c r="C181" s="3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AB181" s="28"/>
      <c r="AC181" s="28"/>
      <c r="AD181" s="28"/>
    </row>
    <row r="182" spans="3:30">
      <c r="C182" s="3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AB182" s="28"/>
      <c r="AC182" s="28"/>
      <c r="AD182" s="28"/>
    </row>
    <row r="183" spans="3:30">
      <c r="C183" s="3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AB183" s="28"/>
      <c r="AC183" s="28"/>
      <c r="AD183" s="28"/>
    </row>
    <row r="184" spans="3:30">
      <c r="C184" s="3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AB184" s="28"/>
      <c r="AC184" s="28"/>
      <c r="AD184" s="28"/>
    </row>
    <row r="185" spans="3:30">
      <c r="C185" s="3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AB185" s="28"/>
      <c r="AC185" s="28"/>
      <c r="AD185" s="28"/>
    </row>
    <row r="186" spans="3:30">
      <c r="C186" s="3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AB186" s="28"/>
      <c r="AC186" s="28"/>
      <c r="AD186" s="28"/>
    </row>
    <row r="187" spans="3:30">
      <c r="C187" s="3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AB187" s="28"/>
      <c r="AC187" s="28"/>
      <c r="AD187" s="28"/>
    </row>
    <row r="188" spans="3:30">
      <c r="C188" s="3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AB188" s="28"/>
      <c r="AC188" s="28"/>
      <c r="AD188" s="28"/>
    </row>
    <row r="189" spans="3:30">
      <c r="C189" s="3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AB189" s="28"/>
      <c r="AC189" s="28"/>
      <c r="AD189" s="28"/>
    </row>
    <row r="190" spans="3:30">
      <c r="C190" s="3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AB190" s="28"/>
      <c r="AC190" s="28"/>
      <c r="AD190" s="28"/>
    </row>
    <row r="191" spans="3:30">
      <c r="C191" s="3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AB191" s="28"/>
      <c r="AC191" s="28"/>
      <c r="AD191" s="28"/>
    </row>
    <row r="192" spans="3:30">
      <c r="C192" s="3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AB192" s="28"/>
      <c r="AC192" s="28"/>
      <c r="AD192" s="28"/>
    </row>
    <row r="193" spans="3:30">
      <c r="C193" s="3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AB193" s="28"/>
      <c r="AC193" s="28"/>
      <c r="AD193" s="28"/>
    </row>
    <row r="194" spans="3:30">
      <c r="C194" s="3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AB194" s="28"/>
      <c r="AC194" s="28"/>
      <c r="AD194" s="28"/>
    </row>
    <row r="195" spans="3:30">
      <c r="C195" s="3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AB195" s="28"/>
      <c r="AC195" s="28"/>
      <c r="AD195" s="28"/>
    </row>
    <row r="196" spans="3:30">
      <c r="C196" s="3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AB196" s="28"/>
      <c r="AC196" s="28"/>
      <c r="AD196" s="28"/>
    </row>
    <row r="197" spans="3:30">
      <c r="C197" s="3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AB197" s="28"/>
      <c r="AC197" s="28"/>
      <c r="AD197" s="28"/>
    </row>
    <row r="198" spans="3:30">
      <c r="C198" s="3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AB198" s="28"/>
      <c r="AC198" s="28"/>
      <c r="AD198" s="28"/>
    </row>
    <row r="199" spans="3:30">
      <c r="C199" s="3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AB199" s="28"/>
      <c r="AC199" s="28"/>
      <c r="AD199" s="28"/>
    </row>
    <row r="200" spans="3:30">
      <c r="C200" s="3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AB200" s="28"/>
      <c r="AC200" s="28"/>
      <c r="AD200" s="28"/>
    </row>
    <row r="201" spans="3:30">
      <c r="C201" s="3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AB201" s="28"/>
      <c r="AC201" s="28"/>
      <c r="AD201" s="28"/>
    </row>
    <row r="202" spans="3:30">
      <c r="C202" s="3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AB202" s="28"/>
      <c r="AC202" s="28"/>
      <c r="AD202" s="28"/>
    </row>
    <row r="203" spans="3:30">
      <c r="C203" s="3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AB203" s="28"/>
      <c r="AC203" s="28"/>
      <c r="AD203" s="28"/>
    </row>
    <row r="204" spans="3:30">
      <c r="C204" s="3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AB204" s="28"/>
      <c r="AC204" s="28"/>
      <c r="AD204" s="28"/>
    </row>
    <row r="205" spans="3:30">
      <c r="C205" s="3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AB205" s="28"/>
      <c r="AC205" s="28"/>
      <c r="AD205" s="28"/>
    </row>
    <row r="206" spans="3:30">
      <c r="C206" s="3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AB206" s="28"/>
      <c r="AC206" s="28"/>
      <c r="AD206" s="28"/>
    </row>
    <row r="207" spans="3:30">
      <c r="C207" s="3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AB207" s="28"/>
      <c r="AC207" s="28"/>
      <c r="AD207" s="28"/>
    </row>
    <row r="208" spans="3:30">
      <c r="C208" s="3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AB208" s="28"/>
      <c r="AC208" s="28"/>
      <c r="AD208" s="28"/>
    </row>
    <row r="209" spans="3:30">
      <c r="C209" s="3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AB209" s="28"/>
      <c r="AC209" s="28"/>
      <c r="AD209" s="28"/>
    </row>
    <row r="210" spans="3:30">
      <c r="C210" s="3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AB210" s="28"/>
      <c r="AC210" s="28"/>
      <c r="AD210" s="28"/>
    </row>
    <row r="211" spans="3:30">
      <c r="C211" s="3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AB211" s="28"/>
      <c r="AC211" s="28"/>
      <c r="AD211" s="28"/>
    </row>
    <row r="212" spans="3:30">
      <c r="C212" s="3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AB212" s="28"/>
      <c r="AC212" s="28"/>
      <c r="AD212" s="28"/>
    </row>
    <row r="213" spans="3:30">
      <c r="C213" s="3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AB213" s="28"/>
      <c r="AC213" s="28"/>
      <c r="AD213" s="28"/>
    </row>
    <row r="214" spans="3:30">
      <c r="C214" s="3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AB214" s="28"/>
      <c r="AC214" s="28"/>
      <c r="AD214" s="28"/>
    </row>
    <row r="215" spans="3:30">
      <c r="C215" s="3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AB215" s="28"/>
      <c r="AC215" s="28"/>
      <c r="AD215" s="28"/>
    </row>
    <row r="216" spans="3:30">
      <c r="C216" s="3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AB216" s="28"/>
      <c r="AC216" s="28"/>
      <c r="AD216" s="28"/>
    </row>
    <row r="217" spans="3:30">
      <c r="C217" s="3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AB217" s="28"/>
      <c r="AC217" s="28"/>
      <c r="AD217" s="28"/>
    </row>
    <row r="218" spans="3:30">
      <c r="C218" s="3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AB218" s="28"/>
      <c r="AC218" s="28"/>
      <c r="AD218" s="28"/>
    </row>
    <row r="219" spans="3:30">
      <c r="C219" s="3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AB219" s="28"/>
      <c r="AC219" s="28"/>
      <c r="AD219" s="28"/>
    </row>
    <row r="220" spans="3:30">
      <c r="C220" s="3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AB220" s="28"/>
      <c r="AC220" s="28"/>
      <c r="AD220" s="28"/>
    </row>
    <row r="221" spans="3:30">
      <c r="C221" s="3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AB221" s="28"/>
      <c r="AC221" s="28"/>
      <c r="AD221" s="28"/>
    </row>
    <row r="222" spans="3:30">
      <c r="C222" s="3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AB222" s="28"/>
      <c r="AC222" s="28"/>
      <c r="AD222" s="28"/>
    </row>
    <row r="223" spans="3:30">
      <c r="C223" s="3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AB223" s="28"/>
      <c r="AC223" s="28"/>
      <c r="AD223" s="28"/>
    </row>
    <row r="224" spans="3:30">
      <c r="C224" s="3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AB224" s="28"/>
      <c r="AC224" s="28"/>
      <c r="AD224" s="28"/>
    </row>
    <row r="225" spans="3:30">
      <c r="C225" s="3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AB225" s="28"/>
      <c r="AC225" s="28"/>
      <c r="AD225" s="28"/>
    </row>
    <row r="226" spans="3:30">
      <c r="C226" s="3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AB226" s="28"/>
      <c r="AC226" s="28"/>
      <c r="AD226" s="28"/>
    </row>
    <row r="227" spans="3:30">
      <c r="C227" s="3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AB227" s="28"/>
      <c r="AC227" s="28"/>
      <c r="AD227" s="28"/>
    </row>
    <row r="228" spans="3:30">
      <c r="C228" s="3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AB228" s="28"/>
      <c r="AC228" s="28"/>
      <c r="AD228" s="28"/>
    </row>
    <row r="229" spans="3:30">
      <c r="C229" s="3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AB229" s="28"/>
      <c r="AC229" s="28"/>
      <c r="AD229" s="28"/>
    </row>
    <row r="230" spans="3:30">
      <c r="C230" s="3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AB230" s="28"/>
      <c r="AC230" s="28"/>
      <c r="AD230" s="28"/>
    </row>
    <row r="231" spans="3:30">
      <c r="C231" s="3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AB231" s="28"/>
      <c r="AC231" s="28"/>
      <c r="AD231" s="28"/>
    </row>
    <row r="232" spans="3:30">
      <c r="C232" s="3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AB232" s="28"/>
      <c r="AC232" s="28"/>
      <c r="AD232" s="28"/>
    </row>
    <row r="233" spans="3:30">
      <c r="C233" s="3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AB233" s="28"/>
      <c r="AC233" s="28"/>
      <c r="AD233" s="28"/>
    </row>
    <row r="234" spans="3:30">
      <c r="C234" s="3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AB234" s="28"/>
      <c r="AC234" s="28"/>
      <c r="AD234" s="28"/>
    </row>
    <row r="235" spans="3:30">
      <c r="C235" s="3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AB235" s="28"/>
      <c r="AC235" s="28"/>
      <c r="AD235" s="28"/>
    </row>
    <row r="236" spans="3:30">
      <c r="C236" s="3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AB236" s="28"/>
      <c r="AC236" s="28"/>
      <c r="AD236" s="28"/>
    </row>
    <row r="237" spans="3:30">
      <c r="C237" s="3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AB237" s="28"/>
      <c r="AC237" s="28"/>
      <c r="AD237" s="28"/>
    </row>
    <row r="238" spans="3:30">
      <c r="C238" s="3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AB238" s="28"/>
      <c r="AC238" s="28"/>
      <c r="AD238" s="28"/>
    </row>
    <row r="239" spans="3:30">
      <c r="C239" s="3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AB239" s="28"/>
      <c r="AC239" s="28"/>
      <c r="AD239" s="28"/>
    </row>
    <row r="240" spans="3:30">
      <c r="C240" s="3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AB240" s="28"/>
      <c r="AC240" s="28"/>
      <c r="AD240" s="28"/>
    </row>
    <row r="241" spans="3:30">
      <c r="C241" s="3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AB241" s="28"/>
      <c r="AC241" s="28"/>
      <c r="AD241" s="28"/>
    </row>
    <row r="242" spans="3:30">
      <c r="C242" s="3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AB242" s="28"/>
      <c r="AC242" s="28"/>
      <c r="AD242" s="28"/>
    </row>
    <row r="243" spans="3:30">
      <c r="C243" s="3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AB243" s="28"/>
      <c r="AC243" s="28"/>
      <c r="AD243" s="28"/>
    </row>
    <row r="244" spans="3:30">
      <c r="C244" s="3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AB244" s="28"/>
      <c r="AC244" s="28"/>
      <c r="AD244" s="28"/>
    </row>
    <row r="245" spans="3:30">
      <c r="C245" s="3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AB245" s="28"/>
      <c r="AC245" s="28"/>
      <c r="AD245" s="28"/>
    </row>
    <row r="246" spans="3:30">
      <c r="C246" s="3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AB246" s="28"/>
      <c r="AC246" s="28"/>
      <c r="AD246" s="28"/>
    </row>
    <row r="247" spans="3:30">
      <c r="C247" s="3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AB247" s="28"/>
      <c r="AC247" s="28"/>
      <c r="AD247" s="28"/>
    </row>
    <row r="248" spans="3:30">
      <c r="C248" s="3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AB248" s="28"/>
      <c r="AC248" s="28"/>
      <c r="AD248" s="28"/>
    </row>
    <row r="249" spans="3:30">
      <c r="C249" s="3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AB249" s="28"/>
      <c r="AC249" s="28"/>
      <c r="AD249" s="28"/>
    </row>
    <row r="250" spans="3:30">
      <c r="C250" s="3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AB250" s="28"/>
      <c r="AC250" s="28"/>
      <c r="AD250" s="28"/>
    </row>
    <row r="251" spans="3:30">
      <c r="C251" s="3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AB251" s="28"/>
      <c r="AC251" s="28"/>
      <c r="AD251" s="28"/>
    </row>
    <row r="252" spans="3:30">
      <c r="C252" s="3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AB252" s="28"/>
      <c r="AC252" s="28"/>
      <c r="AD252" s="28"/>
    </row>
    <row r="253" spans="3:30">
      <c r="C253" s="3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AB253" s="28"/>
      <c r="AC253" s="28"/>
      <c r="AD253" s="28"/>
    </row>
    <row r="254" spans="3:30">
      <c r="C254" s="3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AB254" s="28"/>
      <c r="AC254" s="28"/>
      <c r="AD254" s="28"/>
    </row>
    <row r="255" spans="3:30">
      <c r="C255" s="3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AB255" s="28"/>
      <c r="AC255" s="28"/>
      <c r="AD255" s="28"/>
    </row>
    <row r="256" spans="3:30">
      <c r="C256" s="3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AB256" s="28"/>
      <c r="AC256" s="28"/>
      <c r="AD256" s="28"/>
    </row>
    <row r="257" spans="3:30">
      <c r="C257" s="3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AB257" s="28"/>
      <c r="AC257" s="28"/>
      <c r="AD257" s="28"/>
    </row>
    <row r="258" spans="3:30">
      <c r="C258" s="3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AB258" s="28"/>
      <c r="AC258" s="28"/>
      <c r="AD258" s="28"/>
    </row>
    <row r="259" spans="3:30">
      <c r="C259" s="3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AB259" s="28"/>
      <c r="AC259" s="28"/>
      <c r="AD259" s="28"/>
    </row>
    <row r="260" spans="3:30">
      <c r="C260" s="3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AB260" s="28"/>
      <c r="AC260" s="28"/>
      <c r="AD260" s="28"/>
    </row>
    <row r="261" spans="3:30">
      <c r="C261" s="3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AB261" s="28"/>
      <c r="AC261" s="28"/>
      <c r="AD261" s="28"/>
    </row>
    <row r="262" spans="3:30">
      <c r="C262" s="3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AB262" s="28"/>
      <c r="AC262" s="28"/>
      <c r="AD262" s="28"/>
    </row>
    <row r="263" spans="3:30">
      <c r="C263" s="3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AB263" s="28"/>
      <c r="AC263" s="28"/>
      <c r="AD263" s="28"/>
    </row>
    <row r="264" spans="3:30">
      <c r="C264" s="3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AB264" s="28"/>
      <c r="AC264" s="28"/>
      <c r="AD264" s="28"/>
    </row>
    <row r="265" spans="3:30">
      <c r="C265" s="3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AB265" s="28"/>
      <c r="AC265" s="28"/>
      <c r="AD265" s="28"/>
    </row>
    <row r="266" spans="3:30">
      <c r="C266" s="3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AB266" s="28"/>
      <c r="AC266" s="28"/>
      <c r="AD266" s="28"/>
    </row>
    <row r="267" spans="3:30">
      <c r="C267" s="3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AB267" s="28"/>
      <c r="AC267" s="28"/>
      <c r="AD267" s="28"/>
    </row>
    <row r="268" spans="3:30">
      <c r="C268" s="3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AB268" s="28"/>
      <c r="AC268" s="28"/>
      <c r="AD268" s="28"/>
    </row>
    <row r="269" spans="3:30">
      <c r="C269" s="3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AB269" s="28"/>
      <c r="AC269" s="28"/>
      <c r="AD269" s="28"/>
    </row>
    <row r="270" spans="3:30">
      <c r="C270" s="3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AB270" s="28"/>
      <c r="AC270" s="28"/>
      <c r="AD270" s="28"/>
    </row>
    <row r="271" spans="3:30">
      <c r="C271" s="3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AB271" s="28"/>
      <c r="AC271" s="28"/>
      <c r="AD271" s="28"/>
    </row>
    <row r="272" spans="3:30">
      <c r="C272" s="3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AB272" s="28"/>
      <c r="AC272" s="28"/>
      <c r="AD272" s="28"/>
    </row>
    <row r="273" spans="3:30">
      <c r="C273" s="3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AB273" s="28"/>
      <c r="AC273" s="28"/>
      <c r="AD273" s="28"/>
    </row>
    <row r="274" spans="3:30">
      <c r="C274" s="3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AB274" s="28"/>
      <c r="AC274" s="28"/>
      <c r="AD274" s="28"/>
    </row>
    <row r="275" spans="3:30">
      <c r="C275" s="3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AB275" s="28"/>
      <c r="AC275" s="28"/>
      <c r="AD275" s="28"/>
    </row>
    <row r="276" spans="3:30">
      <c r="C276" s="3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AB276" s="28"/>
      <c r="AC276" s="28"/>
      <c r="AD276" s="28"/>
    </row>
    <row r="277" spans="3:30">
      <c r="C277" s="3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AB277" s="28"/>
      <c r="AC277" s="28"/>
      <c r="AD277" s="28"/>
    </row>
    <row r="278" spans="3:30">
      <c r="C278" s="3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AB278" s="28"/>
      <c r="AC278" s="28"/>
      <c r="AD278" s="28"/>
    </row>
    <row r="279" spans="3:30">
      <c r="C279" s="3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AB279" s="28"/>
      <c r="AC279" s="28"/>
      <c r="AD279" s="28"/>
    </row>
    <row r="280" spans="3:30">
      <c r="C280" s="3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AB280" s="28"/>
      <c r="AC280" s="28"/>
      <c r="AD280" s="28"/>
    </row>
    <row r="281" spans="3:30">
      <c r="C281" s="3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AB281" s="28"/>
      <c r="AC281" s="28"/>
      <c r="AD281" s="28"/>
    </row>
    <row r="282" spans="3:30">
      <c r="C282" s="3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AB282" s="28"/>
      <c r="AC282" s="28"/>
      <c r="AD282" s="28"/>
    </row>
    <row r="283" spans="3:30">
      <c r="C283" s="3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AB283" s="28"/>
      <c r="AC283" s="28"/>
      <c r="AD283" s="28"/>
    </row>
    <row r="284" spans="3:30">
      <c r="C284" s="3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AB284" s="28"/>
      <c r="AC284" s="28"/>
      <c r="AD284" s="28"/>
    </row>
    <row r="285" spans="3:30">
      <c r="C285" s="3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AB285" s="28"/>
      <c r="AC285" s="28"/>
      <c r="AD285" s="28"/>
    </row>
    <row r="286" spans="3:30">
      <c r="C286" s="3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AB286" s="28"/>
      <c r="AC286" s="28"/>
      <c r="AD286" s="28"/>
    </row>
    <row r="287" spans="3:30">
      <c r="C287" s="3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AB287" s="28"/>
      <c r="AC287" s="28"/>
      <c r="AD287" s="28"/>
    </row>
    <row r="288" spans="3:30">
      <c r="C288" s="3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AB288" s="28"/>
      <c r="AC288" s="28"/>
      <c r="AD288" s="28"/>
    </row>
    <row r="289" spans="3:30">
      <c r="C289" s="3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AB289" s="28"/>
      <c r="AC289" s="28"/>
      <c r="AD289" s="28"/>
    </row>
    <row r="290" spans="3:30">
      <c r="C290" s="3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AB290" s="28"/>
      <c r="AC290" s="28"/>
      <c r="AD290" s="28"/>
    </row>
    <row r="291" spans="3:30">
      <c r="C291" s="3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AB291" s="28"/>
      <c r="AC291" s="28"/>
      <c r="AD291" s="28"/>
    </row>
    <row r="292" spans="3:30">
      <c r="C292" s="3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AB292" s="28"/>
      <c r="AC292" s="28"/>
      <c r="AD292" s="28"/>
    </row>
    <row r="293" spans="3:30">
      <c r="C293" s="3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AB293" s="28"/>
      <c r="AC293" s="28"/>
      <c r="AD293" s="28"/>
    </row>
    <row r="294" spans="3:30">
      <c r="C294" s="3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AB294" s="28"/>
      <c r="AC294" s="28"/>
      <c r="AD294" s="28"/>
    </row>
    <row r="295" spans="3:30">
      <c r="C295" s="3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AB295" s="28"/>
      <c r="AC295" s="28"/>
      <c r="AD295" s="28"/>
    </row>
    <row r="296" spans="3:30">
      <c r="C296" s="3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AB296" s="28"/>
      <c r="AC296" s="28"/>
      <c r="AD296" s="28"/>
    </row>
    <row r="297" spans="3:30">
      <c r="C297" s="3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AB297" s="28"/>
      <c r="AC297" s="28"/>
      <c r="AD297" s="28"/>
    </row>
    <row r="298" spans="3:30">
      <c r="C298" s="3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AB298" s="28"/>
      <c r="AC298" s="28"/>
      <c r="AD298" s="28"/>
    </row>
    <row r="299" spans="3:30">
      <c r="C299" s="3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AB299" s="28"/>
      <c r="AC299" s="28"/>
      <c r="AD299" s="28"/>
    </row>
    <row r="300" spans="3:30">
      <c r="C300" s="3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AB300" s="28"/>
      <c r="AC300" s="28"/>
      <c r="AD300" s="28"/>
    </row>
    <row r="301" spans="3:30">
      <c r="C301" s="3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AB301" s="28"/>
      <c r="AC301" s="28"/>
      <c r="AD301" s="28"/>
    </row>
    <row r="302" spans="3:30">
      <c r="C302" s="3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AB302" s="28"/>
      <c r="AC302" s="28"/>
      <c r="AD302" s="28"/>
    </row>
    <row r="303" spans="3:30">
      <c r="C303" s="3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AB303" s="28"/>
      <c r="AC303" s="28"/>
      <c r="AD303" s="28"/>
    </row>
    <row r="304" spans="3:30">
      <c r="C304" s="3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AB304" s="28"/>
      <c r="AC304" s="28"/>
      <c r="AD304" s="28"/>
    </row>
    <row r="305" spans="3:30">
      <c r="C305" s="3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AB305" s="28"/>
      <c r="AC305" s="28"/>
      <c r="AD305" s="28"/>
    </row>
    <row r="306" spans="3:30">
      <c r="C306" s="3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AB306" s="28"/>
      <c r="AC306" s="28"/>
      <c r="AD306" s="28"/>
    </row>
    <row r="307" spans="3:30">
      <c r="C307" s="3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AB307" s="28"/>
      <c r="AC307" s="28"/>
      <c r="AD307" s="28"/>
    </row>
    <row r="308" spans="3:30">
      <c r="C308" s="3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AB308" s="28"/>
      <c r="AC308" s="28"/>
      <c r="AD308" s="28"/>
    </row>
    <row r="309" spans="3:30">
      <c r="C309" s="3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AB309" s="28"/>
      <c r="AC309" s="28"/>
      <c r="AD309" s="28"/>
    </row>
    <row r="310" spans="3:30">
      <c r="C310" s="3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AB310" s="28"/>
      <c r="AC310" s="28"/>
      <c r="AD310" s="28"/>
    </row>
    <row r="311" spans="3:30">
      <c r="C311" s="3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AB311" s="28"/>
      <c r="AC311" s="28"/>
      <c r="AD311" s="28"/>
    </row>
    <row r="312" spans="3:30">
      <c r="C312" s="3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AB312" s="28"/>
      <c r="AC312" s="28"/>
      <c r="AD312" s="28"/>
    </row>
    <row r="313" spans="3:30">
      <c r="C313" s="3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AB313" s="28"/>
      <c r="AC313" s="28"/>
      <c r="AD313" s="28"/>
    </row>
    <row r="314" spans="3:30">
      <c r="C314" s="3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AB314" s="28"/>
      <c r="AC314" s="28"/>
      <c r="AD314" s="28"/>
    </row>
    <row r="315" spans="3:30">
      <c r="C315" s="3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AB315" s="28"/>
      <c r="AC315" s="28"/>
      <c r="AD315" s="28"/>
    </row>
    <row r="316" spans="3:30">
      <c r="C316" s="3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AB316" s="28"/>
      <c r="AC316" s="28"/>
      <c r="AD316" s="28"/>
    </row>
    <row r="317" spans="3:30">
      <c r="C317" s="3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AB317" s="28"/>
      <c r="AC317" s="28"/>
      <c r="AD317" s="28"/>
    </row>
    <row r="318" spans="3:30">
      <c r="C318" s="3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AB318" s="28"/>
      <c r="AC318" s="28"/>
      <c r="AD318" s="28"/>
    </row>
    <row r="319" spans="3:30">
      <c r="C319" s="3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AB319" s="28"/>
      <c r="AC319" s="28"/>
      <c r="AD319" s="28"/>
    </row>
    <row r="320" spans="3:30">
      <c r="C320" s="3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AB320" s="28"/>
      <c r="AC320" s="28"/>
      <c r="AD320" s="28"/>
    </row>
    <row r="321" spans="3:30">
      <c r="C321" s="3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AB321" s="28"/>
      <c r="AC321" s="28"/>
      <c r="AD321" s="28"/>
    </row>
    <row r="322" spans="3:30">
      <c r="C322" s="3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AB322" s="28"/>
      <c r="AC322" s="28"/>
      <c r="AD322" s="28"/>
    </row>
    <row r="323" spans="3:30">
      <c r="C323" s="3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AB323" s="28"/>
      <c r="AC323" s="28"/>
      <c r="AD323" s="28"/>
    </row>
    <row r="324" spans="3:30">
      <c r="C324" s="3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AB324" s="28"/>
      <c r="AC324" s="28"/>
      <c r="AD324" s="28"/>
    </row>
    <row r="325" spans="3:30">
      <c r="C325" s="3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AB325" s="28"/>
      <c r="AC325" s="28"/>
      <c r="AD325" s="28"/>
    </row>
    <row r="326" spans="3:30">
      <c r="C326" s="3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AB326" s="28"/>
      <c r="AC326" s="28"/>
      <c r="AD326" s="28"/>
    </row>
    <row r="327" spans="3:30">
      <c r="C327" s="3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AB327" s="28"/>
      <c r="AC327" s="28"/>
      <c r="AD327" s="28"/>
    </row>
    <row r="328" spans="3:30">
      <c r="C328" s="3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AB328" s="28"/>
      <c r="AC328" s="28"/>
      <c r="AD328" s="28"/>
    </row>
    <row r="329" spans="3:30">
      <c r="C329" s="3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AB329" s="28"/>
      <c r="AC329" s="28"/>
      <c r="AD329" s="28"/>
    </row>
    <row r="330" spans="3:30">
      <c r="C330" s="3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AB330" s="28"/>
      <c r="AC330" s="28"/>
      <c r="AD330" s="28"/>
    </row>
    <row r="331" spans="3:30">
      <c r="C331" s="3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AB331" s="28"/>
      <c r="AC331" s="28"/>
      <c r="AD331" s="28"/>
    </row>
    <row r="332" spans="3:30">
      <c r="C332" s="3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AB332" s="28"/>
      <c r="AC332" s="28"/>
      <c r="AD332" s="28"/>
    </row>
    <row r="333" spans="3:30">
      <c r="C333" s="3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AB333" s="28"/>
      <c r="AC333" s="28"/>
      <c r="AD333" s="28"/>
    </row>
    <row r="334" spans="3:30">
      <c r="C334" s="3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AB334" s="28"/>
      <c r="AC334" s="28"/>
      <c r="AD334" s="28"/>
    </row>
    <row r="335" spans="3:30">
      <c r="C335" s="3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AB335" s="28"/>
      <c r="AC335" s="28"/>
      <c r="AD335" s="28"/>
    </row>
    <row r="336" spans="3:30">
      <c r="C336" s="3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AB336" s="28"/>
      <c r="AC336" s="28"/>
      <c r="AD336" s="28"/>
    </row>
    <row r="337" spans="3:30">
      <c r="C337" s="3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AB337" s="28"/>
      <c r="AC337" s="28"/>
      <c r="AD337" s="28"/>
    </row>
    <row r="338" spans="3:30">
      <c r="C338" s="3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AB338" s="28"/>
      <c r="AC338" s="28"/>
      <c r="AD338" s="28"/>
    </row>
    <row r="339" spans="3:30">
      <c r="C339" s="3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AB339" s="28"/>
      <c r="AC339" s="28"/>
      <c r="AD339" s="28"/>
    </row>
    <row r="340" spans="3:30">
      <c r="C340" s="3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AB340" s="28"/>
      <c r="AC340" s="28"/>
      <c r="AD340" s="28"/>
    </row>
    <row r="341" spans="3:30">
      <c r="C341" s="3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AB341" s="28"/>
      <c r="AC341" s="28"/>
      <c r="AD341" s="28"/>
    </row>
    <row r="342" spans="3:30">
      <c r="C342" s="3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AB342" s="28"/>
      <c r="AC342" s="28"/>
      <c r="AD342" s="28"/>
    </row>
    <row r="343" spans="3:30">
      <c r="C343" s="3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AB343" s="28"/>
      <c r="AC343" s="28"/>
      <c r="AD343" s="28"/>
    </row>
    <row r="344" spans="3:30">
      <c r="C344" s="3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AB344" s="28"/>
      <c r="AC344" s="28"/>
      <c r="AD344" s="28"/>
    </row>
    <row r="345" spans="3:30">
      <c r="C345" s="3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AB345" s="28"/>
      <c r="AC345" s="28"/>
      <c r="AD345" s="28"/>
    </row>
    <row r="346" spans="3:30">
      <c r="C346" s="3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AB346" s="28"/>
      <c r="AC346" s="28"/>
      <c r="AD346" s="28"/>
    </row>
    <row r="347" spans="3:30">
      <c r="C347" s="3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AB347" s="28"/>
      <c r="AC347" s="28"/>
      <c r="AD347" s="28"/>
    </row>
    <row r="348" spans="3:30">
      <c r="C348" s="3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AB348" s="28"/>
      <c r="AC348" s="28"/>
      <c r="AD348" s="28"/>
    </row>
    <row r="349" spans="3:30">
      <c r="C349" s="3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AB349" s="28"/>
      <c r="AC349" s="28"/>
      <c r="AD349" s="28"/>
    </row>
    <row r="350" spans="3:30">
      <c r="C350" s="3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AB350" s="28"/>
      <c r="AC350" s="28"/>
      <c r="AD350" s="28"/>
    </row>
    <row r="351" spans="3:30">
      <c r="C351" s="3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AB351" s="28"/>
      <c r="AC351" s="28"/>
      <c r="AD351" s="28"/>
    </row>
    <row r="352" spans="3:30">
      <c r="C352" s="3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AB352" s="28"/>
      <c r="AC352" s="28"/>
      <c r="AD352" s="28"/>
    </row>
    <row r="353" spans="3:30">
      <c r="C353" s="3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AB353" s="28"/>
      <c r="AC353" s="28"/>
      <c r="AD353" s="28"/>
    </row>
    <row r="354" spans="3:30">
      <c r="C354" s="3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AB354" s="28"/>
      <c r="AC354" s="28"/>
      <c r="AD354" s="28"/>
    </row>
    <row r="355" spans="3:30">
      <c r="C355" s="3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AB355" s="28"/>
      <c r="AC355" s="28"/>
      <c r="AD355" s="28"/>
    </row>
    <row r="356" spans="3:30">
      <c r="C356" s="3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AB356" s="28"/>
      <c r="AC356" s="28"/>
      <c r="AD356" s="28"/>
    </row>
    <row r="357" spans="3:30">
      <c r="C357" s="3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AB357" s="28"/>
      <c r="AC357" s="28"/>
      <c r="AD357" s="28"/>
    </row>
    <row r="358" spans="3:30">
      <c r="C358" s="3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AB358" s="28"/>
      <c r="AC358" s="28"/>
      <c r="AD358" s="28"/>
    </row>
    <row r="359" spans="3:30">
      <c r="C359" s="3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AB359" s="28"/>
      <c r="AC359" s="28"/>
      <c r="AD359" s="28"/>
    </row>
    <row r="360" spans="3:30">
      <c r="C360" s="3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AB360" s="28"/>
      <c r="AC360" s="28"/>
      <c r="AD360" s="28"/>
    </row>
    <row r="361" spans="3:30">
      <c r="C361" s="3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AB361" s="28"/>
      <c r="AC361" s="28"/>
      <c r="AD361" s="28"/>
    </row>
    <row r="362" spans="3:30">
      <c r="C362" s="3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AB362" s="28"/>
      <c r="AC362" s="28"/>
      <c r="AD362" s="28"/>
    </row>
    <row r="363" spans="3:30">
      <c r="C363" s="3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AB363" s="28"/>
      <c r="AC363" s="28"/>
      <c r="AD363" s="28"/>
    </row>
    <row r="364" spans="3:30">
      <c r="C364" s="3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AB364" s="28"/>
      <c r="AC364" s="28"/>
      <c r="AD364" s="28"/>
    </row>
    <row r="365" spans="3:30">
      <c r="C365" s="3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AB365" s="28"/>
      <c r="AC365" s="28"/>
      <c r="AD365" s="28"/>
    </row>
    <row r="366" spans="3:30">
      <c r="C366" s="3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AB366" s="28"/>
      <c r="AC366" s="28"/>
      <c r="AD366" s="28"/>
    </row>
    <row r="367" spans="3:30">
      <c r="C367" s="3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AB367" s="28"/>
      <c r="AC367" s="28"/>
      <c r="AD367" s="28"/>
    </row>
    <row r="368" spans="3:30">
      <c r="C368" s="3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AB368" s="28"/>
      <c r="AC368" s="28"/>
      <c r="AD368" s="28"/>
    </row>
    <row r="369" spans="3:30">
      <c r="C369" s="3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AB369" s="28"/>
      <c r="AC369" s="28"/>
      <c r="AD369" s="28"/>
    </row>
    <row r="370" spans="3:30">
      <c r="C370" s="3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AB370" s="28"/>
      <c r="AC370" s="28"/>
      <c r="AD370" s="28"/>
    </row>
    <row r="371" spans="3:30">
      <c r="C371" s="3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AB371" s="28"/>
      <c r="AC371" s="28"/>
      <c r="AD371" s="28"/>
    </row>
    <row r="372" spans="3:30">
      <c r="C372" s="3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AB372" s="28"/>
      <c r="AC372" s="28"/>
      <c r="AD372" s="28"/>
    </row>
    <row r="373" spans="3:30">
      <c r="C373" s="3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AB373" s="28"/>
      <c r="AC373" s="28"/>
      <c r="AD373" s="28"/>
    </row>
    <row r="374" spans="3:30">
      <c r="C374" s="3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AB374" s="28"/>
      <c r="AC374" s="28"/>
      <c r="AD374" s="28"/>
    </row>
    <row r="375" spans="3:30">
      <c r="C375" s="3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AB375" s="28"/>
      <c r="AC375" s="28"/>
      <c r="AD375" s="28"/>
    </row>
    <row r="376" spans="3:30">
      <c r="C376" s="3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AB376" s="28"/>
      <c r="AC376" s="28"/>
      <c r="AD376" s="28"/>
    </row>
    <row r="377" spans="3:30">
      <c r="C377" s="3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AB377" s="28"/>
      <c r="AC377" s="28"/>
      <c r="AD377" s="28"/>
    </row>
    <row r="378" spans="3:30">
      <c r="C378" s="3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AB378" s="28"/>
      <c r="AC378" s="28"/>
      <c r="AD378" s="28"/>
    </row>
    <row r="379" spans="3:30">
      <c r="C379" s="3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AB379" s="28"/>
      <c r="AC379" s="28"/>
      <c r="AD379" s="28"/>
    </row>
    <row r="380" spans="3:30">
      <c r="C380" s="3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AB380" s="28"/>
      <c r="AC380" s="28"/>
      <c r="AD380" s="28"/>
    </row>
    <row r="381" spans="3:30">
      <c r="C381" s="3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AB381" s="28"/>
      <c r="AC381" s="28"/>
      <c r="AD381" s="28"/>
    </row>
    <row r="382" spans="3:30">
      <c r="C382" s="3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AB382" s="28"/>
      <c r="AC382" s="28"/>
      <c r="AD382" s="28"/>
    </row>
    <row r="383" spans="3:30">
      <c r="C383" s="3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AB383" s="28"/>
      <c r="AC383" s="28"/>
      <c r="AD383" s="28"/>
    </row>
    <row r="384" spans="3:30">
      <c r="C384" s="3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AB384" s="28"/>
      <c r="AC384" s="28"/>
      <c r="AD384" s="28"/>
    </row>
    <row r="385" spans="3:30">
      <c r="C385" s="3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AB385" s="28"/>
      <c r="AC385" s="28"/>
      <c r="AD385" s="28"/>
    </row>
    <row r="386" spans="3:30">
      <c r="C386" s="3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AB386" s="28"/>
      <c r="AC386" s="28"/>
      <c r="AD386" s="28"/>
    </row>
    <row r="387" spans="3:30">
      <c r="C387" s="3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AB387" s="28"/>
      <c r="AC387" s="28"/>
      <c r="AD387" s="28"/>
    </row>
    <row r="388" spans="3:30">
      <c r="C388" s="3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AB388" s="28"/>
      <c r="AC388" s="28"/>
      <c r="AD388" s="28"/>
    </row>
    <row r="389" spans="3:30">
      <c r="C389" s="3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AB389" s="28"/>
      <c r="AC389" s="28"/>
      <c r="AD389" s="28"/>
    </row>
    <row r="390" spans="3:30">
      <c r="C390" s="3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AB390" s="28"/>
      <c r="AC390" s="28"/>
      <c r="AD390" s="28"/>
    </row>
    <row r="391" spans="3:30">
      <c r="C391" s="3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AB391" s="28"/>
      <c r="AC391" s="28"/>
      <c r="AD391" s="28"/>
    </row>
    <row r="392" spans="3:30">
      <c r="C392" s="3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AB392" s="28"/>
      <c r="AC392" s="28"/>
      <c r="AD392" s="28"/>
    </row>
    <row r="393" spans="3:30">
      <c r="C393" s="3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AB393" s="28"/>
      <c r="AC393" s="28"/>
      <c r="AD393" s="28"/>
    </row>
    <row r="394" spans="3:30">
      <c r="C394" s="3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AB394" s="28"/>
      <c r="AC394" s="28"/>
      <c r="AD394" s="28"/>
    </row>
    <row r="395" spans="3:30">
      <c r="C395" s="3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AB395" s="28"/>
      <c r="AC395" s="28"/>
      <c r="AD395" s="28"/>
    </row>
    <row r="396" spans="3:30">
      <c r="C396" s="3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AB396" s="28"/>
      <c r="AC396" s="28"/>
      <c r="AD396" s="28"/>
    </row>
    <row r="397" spans="3:30">
      <c r="C397" s="3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AB397" s="28"/>
      <c r="AC397" s="28"/>
      <c r="AD397" s="28"/>
    </row>
    <row r="398" spans="3:30">
      <c r="C398" s="3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AB398" s="28"/>
      <c r="AC398" s="28"/>
      <c r="AD398" s="28"/>
    </row>
    <row r="399" spans="3:30">
      <c r="C399" s="3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AB399" s="28"/>
      <c r="AC399" s="28"/>
      <c r="AD399" s="28"/>
    </row>
    <row r="400" spans="3:30">
      <c r="C400" s="3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AB400" s="28"/>
      <c r="AC400" s="28"/>
      <c r="AD400" s="28"/>
    </row>
    <row r="401" spans="3:30">
      <c r="C401" s="3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AB401" s="28"/>
      <c r="AC401" s="28"/>
      <c r="AD401" s="28"/>
    </row>
    <row r="402" spans="3:30">
      <c r="C402" s="3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AB402" s="28"/>
      <c r="AC402" s="28"/>
      <c r="AD402" s="28"/>
    </row>
    <row r="403" spans="3:30">
      <c r="C403" s="3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AB403" s="28"/>
      <c r="AC403" s="28"/>
      <c r="AD403" s="28"/>
    </row>
    <row r="404" spans="3:30">
      <c r="C404" s="3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AB404" s="28"/>
      <c r="AC404" s="28"/>
      <c r="AD404" s="28"/>
    </row>
    <row r="405" spans="3:30">
      <c r="C405" s="3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AB405" s="28"/>
      <c r="AC405" s="28"/>
      <c r="AD405" s="28"/>
    </row>
    <row r="406" spans="3:30">
      <c r="C406" s="3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AB406" s="28"/>
      <c r="AC406" s="28"/>
      <c r="AD406" s="28"/>
    </row>
    <row r="407" spans="3:30">
      <c r="C407" s="3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AB407" s="28"/>
      <c r="AC407" s="28"/>
      <c r="AD407" s="28"/>
    </row>
    <row r="408" spans="3:30">
      <c r="C408" s="3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AB408" s="28"/>
      <c r="AC408" s="28"/>
      <c r="AD408" s="28"/>
    </row>
    <row r="409" spans="3:30">
      <c r="C409" s="3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AB409" s="28"/>
      <c r="AC409" s="28"/>
      <c r="AD409" s="28"/>
    </row>
    <row r="410" spans="3:30">
      <c r="C410" s="3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AB410" s="28"/>
      <c r="AC410" s="28"/>
      <c r="AD410" s="28"/>
    </row>
    <row r="411" spans="3:30">
      <c r="C411" s="3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AB411" s="28"/>
      <c r="AC411" s="28"/>
      <c r="AD411" s="28"/>
    </row>
    <row r="412" spans="3:30">
      <c r="C412" s="3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AB412" s="28"/>
      <c r="AC412" s="28"/>
      <c r="AD412" s="28"/>
    </row>
    <row r="413" spans="3:30">
      <c r="C413" s="3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AB413" s="28"/>
      <c r="AC413" s="28"/>
      <c r="AD413" s="28"/>
    </row>
    <row r="414" spans="3:30">
      <c r="C414" s="3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AB414" s="28"/>
      <c r="AC414" s="28"/>
      <c r="AD414" s="28"/>
    </row>
    <row r="415" spans="3:30">
      <c r="C415" s="3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AB415" s="28"/>
      <c r="AC415" s="28"/>
      <c r="AD415" s="28"/>
    </row>
    <row r="416" spans="3:30">
      <c r="C416" s="3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AB416" s="28"/>
      <c r="AC416" s="28"/>
      <c r="AD416" s="28"/>
    </row>
    <row r="417" spans="3:30">
      <c r="C417" s="3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AB417" s="28"/>
      <c r="AC417" s="28"/>
      <c r="AD417" s="28"/>
    </row>
    <row r="418" spans="3:30">
      <c r="C418" s="3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AB418" s="28"/>
      <c r="AC418" s="28"/>
      <c r="AD418" s="28"/>
    </row>
    <row r="419" spans="3:30">
      <c r="C419" s="3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AB419" s="28"/>
      <c r="AC419" s="28"/>
      <c r="AD419" s="28"/>
    </row>
    <row r="420" spans="3:30">
      <c r="C420" s="3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AB420" s="28"/>
      <c r="AC420" s="28"/>
      <c r="AD420" s="28"/>
    </row>
    <row r="421" spans="3:30">
      <c r="C421" s="3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AB421" s="28"/>
      <c r="AC421" s="28"/>
      <c r="AD421" s="28"/>
    </row>
    <row r="422" spans="3:30">
      <c r="C422" s="3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AB422" s="28"/>
      <c r="AC422" s="28"/>
      <c r="AD422" s="28"/>
    </row>
    <row r="423" spans="3:30">
      <c r="C423" s="3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AB423" s="28"/>
      <c r="AC423" s="28"/>
      <c r="AD423" s="28"/>
    </row>
    <row r="424" spans="3:30">
      <c r="C424" s="3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AB424" s="28"/>
      <c r="AC424" s="28"/>
      <c r="AD424" s="28"/>
    </row>
    <row r="425" spans="3:30">
      <c r="C425" s="3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AB425" s="28"/>
      <c r="AC425" s="28"/>
      <c r="AD425" s="28"/>
    </row>
    <row r="426" spans="3:30">
      <c r="C426" s="3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AB426" s="28"/>
      <c r="AC426" s="28"/>
      <c r="AD426" s="28"/>
    </row>
    <row r="427" spans="3:30">
      <c r="C427" s="3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AB427" s="28"/>
      <c r="AC427" s="28"/>
      <c r="AD427" s="28"/>
    </row>
    <row r="428" spans="3:30">
      <c r="C428" s="3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AB428" s="28"/>
      <c r="AC428" s="28"/>
      <c r="AD428" s="28"/>
    </row>
    <row r="429" spans="3:30">
      <c r="C429" s="3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AB429" s="28"/>
      <c r="AC429" s="28"/>
      <c r="AD429" s="28"/>
    </row>
    <row r="430" spans="3:30">
      <c r="C430" s="3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AB430" s="28"/>
      <c r="AC430" s="28"/>
      <c r="AD430" s="28"/>
    </row>
    <row r="431" spans="3:30">
      <c r="C431" s="3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AB431" s="28"/>
      <c r="AC431" s="28"/>
      <c r="AD431" s="28"/>
    </row>
    <row r="432" spans="3:30">
      <c r="C432" s="3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AB432" s="28"/>
      <c r="AC432" s="28"/>
      <c r="AD432" s="28"/>
    </row>
    <row r="433" spans="3:30">
      <c r="C433" s="3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AB433" s="28"/>
      <c r="AC433" s="28"/>
      <c r="AD433" s="28"/>
    </row>
    <row r="434" spans="3:30">
      <c r="C434" s="3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AB434" s="28"/>
      <c r="AC434" s="28"/>
      <c r="AD434" s="28"/>
    </row>
    <row r="435" spans="3:30">
      <c r="C435" s="3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AB435" s="28"/>
      <c r="AC435" s="28"/>
      <c r="AD435" s="28"/>
    </row>
    <row r="436" spans="3:30">
      <c r="C436" s="3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AB436" s="28"/>
      <c r="AC436" s="28"/>
      <c r="AD436" s="28"/>
    </row>
    <row r="437" spans="3:30">
      <c r="C437" s="3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AB437" s="28"/>
      <c r="AC437" s="28"/>
      <c r="AD437" s="28"/>
    </row>
    <row r="438" spans="3:30">
      <c r="C438" s="3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AB438" s="28"/>
      <c r="AC438" s="28"/>
      <c r="AD438" s="28"/>
    </row>
    <row r="439" spans="3:30">
      <c r="C439" s="3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AB439" s="28"/>
      <c r="AC439" s="28"/>
      <c r="AD439" s="28"/>
    </row>
    <row r="440" spans="3:30">
      <c r="C440" s="3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AB440" s="28"/>
      <c r="AC440" s="28"/>
      <c r="AD440" s="28"/>
    </row>
    <row r="441" spans="3:30">
      <c r="C441" s="3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AB441" s="28"/>
      <c r="AC441" s="28"/>
      <c r="AD441" s="28"/>
    </row>
    <row r="442" spans="3:30">
      <c r="C442" s="3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AB442" s="28"/>
      <c r="AC442" s="28"/>
      <c r="AD442" s="28"/>
    </row>
    <row r="443" spans="3:30">
      <c r="C443" s="3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AB443" s="28"/>
      <c r="AC443" s="28"/>
      <c r="AD443" s="28"/>
    </row>
    <row r="444" spans="3:30">
      <c r="C444" s="3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AB444" s="28"/>
      <c r="AC444" s="28"/>
      <c r="AD444" s="28"/>
    </row>
    <row r="445" spans="3:30">
      <c r="C445" s="3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AB445" s="28"/>
      <c r="AC445" s="28"/>
      <c r="AD445" s="28"/>
    </row>
    <row r="446" spans="3:30">
      <c r="C446" s="3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AB446" s="28"/>
      <c r="AC446" s="28"/>
      <c r="AD446" s="28"/>
    </row>
    <row r="447" spans="3:30">
      <c r="C447" s="3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AB447" s="28"/>
      <c r="AC447" s="28"/>
      <c r="AD447" s="28"/>
    </row>
    <row r="448" spans="3:30">
      <c r="C448" s="3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AB448" s="28"/>
      <c r="AC448" s="28"/>
      <c r="AD448" s="28"/>
    </row>
    <row r="449" spans="3:30">
      <c r="C449" s="3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AB449" s="28"/>
      <c r="AC449" s="28"/>
      <c r="AD449" s="28"/>
    </row>
    <row r="450" spans="3:30">
      <c r="C450" s="3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AB450" s="28"/>
      <c r="AC450" s="28"/>
      <c r="AD450" s="28"/>
    </row>
    <row r="451" spans="3:30">
      <c r="C451" s="3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AB451" s="28"/>
      <c r="AC451" s="28"/>
      <c r="AD451" s="28"/>
    </row>
    <row r="452" spans="3:30">
      <c r="C452" s="3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AB452" s="28"/>
      <c r="AC452" s="28"/>
      <c r="AD452" s="28"/>
    </row>
    <row r="453" spans="3:30">
      <c r="C453" s="3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AB453" s="28"/>
      <c r="AC453" s="28"/>
      <c r="AD453" s="28"/>
    </row>
    <row r="454" spans="3:30">
      <c r="C454" s="3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AB454" s="28"/>
      <c r="AC454" s="28"/>
      <c r="AD454" s="28"/>
    </row>
    <row r="455" spans="3:30">
      <c r="C455" s="3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AB455" s="28"/>
      <c r="AC455" s="28"/>
      <c r="AD455" s="28"/>
    </row>
    <row r="456" spans="3:30">
      <c r="C456" s="3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AB456" s="28"/>
      <c r="AC456" s="28"/>
      <c r="AD456" s="28"/>
    </row>
    <row r="457" spans="3:30">
      <c r="C457" s="3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AB457" s="28"/>
      <c r="AC457" s="28"/>
      <c r="AD457" s="28"/>
    </row>
    <row r="458" spans="3:30">
      <c r="C458" s="3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AB458" s="28"/>
      <c r="AC458" s="28"/>
      <c r="AD458" s="28"/>
    </row>
    <row r="459" spans="3:30">
      <c r="C459" s="3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AB459" s="28"/>
      <c r="AC459" s="28"/>
      <c r="AD459" s="28"/>
    </row>
    <row r="460" spans="3:30">
      <c r="C460" s="3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AB460" s="28"/>
      <c r="AC460" s="28"/>
      <c r="AD460" s="28"/>
    </row>
    <row r="461" spans="3:30">
      <c r="C461" s="3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AB461" s="28"/>
      <c r="AC461" s="28"/>
      <c r="AD461" s="28"/>
    </row>
    <row r="462" spans="3:30">
      <c r="C462" s="3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AB462" s="28"/>
      <c r="AC462" s="28"/>
      <c r="AD462" s="28"/>
    </row>
    <row r="463" spans="3:30">
      <c r="C463" s="3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AB463" s="28"/>
      <c r="AC463" s="28"/>
      <c r="AD463" s="28"/>
    </row>
    <row r="464" spans="3:30">
      <c r="C464" s="3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AB464" s="28"/>
      <c r="AC464" s="28"/>
      <c r="AD464" s="28"/>
    </row>
    <row r="465" spans="3:30">
      <c r="C465" s="3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AB465" s="28"/>
      <c r="AC465" s="28"/>
      <c r="AD465" s="28"/>
    </row>
    <row r="466" spans="3:30">
      <c r="C466" s="3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AB466" s="28"/>
      <c r="AC466" s="28"/>
      <c r="AD466" s="28"/>
    </row>
    <row r="467" spans="3:30">
      <c r="C467" s="3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AB467" s="28"/>
      <c r="AC467" s="28"/>
      <c r="AD467" s="28"/>
    </row>
    <row r="468" spans="3:30">
      <c r="C468" s="3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AB468" s="28"/>
      <c r="AC468" s="28"/>
      <c r="AD468" s="28"/>
    </row>
    <row r="469" spans="3:30">
      <c r="C469" s="3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AB469" s="28"/>
      <c r="AC469" s="28"/>
      <c r="AD469" s="28"/>
    </row>
    <row r="470" spans="3:30">
      <c r="C470" s="3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AB470" s="28"/>
      <c r="AC470" s="28"/>
      <c r="AD470" s="28"/>
    </row>
    <row r="471" spans="3:30">
      <c r="C471" s="3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AB471" s="28"/>
      <c r="AC471" s="28"/>
      <c r="AD471" s="28"/>
    </row>
    <row r="472" spans="3:30">
      <c r="C472" s="3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AB472" s="28"/>
      <c r="AC472" s="28"/>
      <c r="AD472" s="28"/>
    </row>
    <row r="473" spans="3:30">
      <c r="C473" s="3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AB473" s="28"/>
      <c r="AC473" s="28"/>
      <c r="AD473" s="28"/>
    </row>
    <row r="474" spans="3:30">
      <c r="C474" s="3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AB474" s="28"/>
      <c r="AC474" s="28"/>
      <c r="AD474" s="28"/>
    </row>
    <row r="475" spans="3:30">
      <c r="C475" s="3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AB475" s="28"/>
      <c r="AC475" s="28"/>
      <c r="AD475" s="28"/>
    </row>
    <row r="476" spans="3:30">
      <c r="C476" s="3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AB476" s="28"/>
      <c r="AC476" s="28"/>
      <c r="AD476" s="28"/>
    </row>
    <row r="477" spans="3:30">
      <c r="C477" s="3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AB477" s="28"/>
      <c r="AC477" s="28"/>
      <c r="AD477" s="28"/>
    </row>
    <row r="478" spans="3:30">
      <c r="C478" s="3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AB478" s="28"/>
      <c r="AC478" s="28"/>
      <c r="AD478" s="28"/>
    </row>
    <row r="479" spans="3:30">
      <c r="C479" s="3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AB479" s="28"/>
      <c r="AC479" s="28"/>
      <c r="AD479" s="28"/>
    </row>
    <row r="480" spans="3:30">
      <c r="C480" s="3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AB480" s="28"/>
      <c r="AC480" s="28"/>
      <c r="AD480" s="28"/>
    </row>
    <row r="481" spans="3:30">
      <c r="C481" s="3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AB481" s="28"/>
      <c r="AC481" s="28"/>
      <c r="AD481" s="28"/>
    </row>
    <row r="482" spans="3:30">
      <c r="C482" s="3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AB482" s="28"/>
      <c r="AC482" s="28"/>
      <c r="AD482" s="28"/>
    </row>
    <row r="483" spans="3:30">
      <c r="C483" s="3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AB483" s="28"/>
      <c r="AC483" s="28"/>
      <c r="AD483" s="28"/>
    </row>
    <row r="484" spans="3:30">
      <c r="C484" s="3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AB484" s="28"/>
      <c r="AC484" s="28"/>
      <c r="AD484" s="28"/>
    </row>
    <row r="485" spans="3:30">
      <c r="C485" s="3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AB485" s="28"/>
      <c r="AC485" s="28"/>
      <c r="AD485" s="28"/>
    </row>
    <row r="486" spans="3:30">
      <c r="C486" s="3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AB486" s="28"/>
      <c r="AC486" s="28"/>
      <c r="AD486" s="28"/>
    </row>
    <row r="487" spans="3:30">
      <c r="C487" s="3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AB487" s="28"/>
      <c r="AC487" s="28"/>
      <c r="AD487" s="28"/>
    </row>
    <row r="488" spans="3:30">
      <c r="C488" s="3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AB488" s="28"/>
      <c r="AC488" s="28"/>
      <c r="AD488" s="28"/>
    </row>
    <row r="489" spans="3:30">
      <c r="C489" s="3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AB489" s="28"/>
      <c r="AC489" s="28"/>
      <c r="AD489" s="28"/>
    </row>
    <row r="490" spans="3:30">
      <c r="C490" s="3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AB490" s="28"/>
      <c r="AC490" s="28"/>
      <c r="AD490" s="28"/>
    </row>
    <row r="491" spans="3:30">
      <c r="C491" s="3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AB491" s="28"/>
      <c r="AC491" s="28"/>
      <c r="AD491" s="28"/>
    </row>
    <row r="492" spans="3:30">
      <c r="C492" s="3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AB492" s="28"/>
      <c r="AC492" s="28"/>
      <c r="AD492" s="28"/>
    </row>
    <row r="493" spans="3:30">
      <c r="C493" s="3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AB493" s="28"/>
      <c r="AC493" s="28"/>
      <c r="AD493" s="28"/>
    </row>
    <row r="494" spans="3:30">
      <c r="C494" s="3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AB494" s="28"/>
      <c r="AC494" s="28"/>
      <c r="AD494" s="28"/>
    </row>
    <row r="495" spans="3:30">
      <c r="C495" s="3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AB495" s="28"/>
      <c r="AC495" s="28"/>
      <c r="AD495" s="28"/>
    </row>
    <row r="496" spans="3:30">
      <c r="C496" s="3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AB496" s="28"/>
      <c r="AC496" s="28"/>
      <c r="AD496" s="28"/>
    </row>
    <row r="497" spans="3:30">
      <c r="C497" s="3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AB497" s="28"/>
      <c r="AC497" s="28"/>
      <c r="AD497" s="28"/>
    </row>
    <row r="498" spans="3:30">
      <c r="C498" s="3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AB498" s="28"/>
      <c r="AC498" s="28"/>
      <c r="AD498" s="28"/>
    </row>
    <row r="499" spans="3:30">
      <c r="C499" s="3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AB499" s="28"/>
      <c r="AC499" s="28"/>
      <c r="AD499" s="28"/>
    </row>
    <row r="500" spans="3:30">
      <c r="C500" s="3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AB500" s="28"/>
      <c r="AC500" s="28"/>
      <c r="AD500" s="28"/>
    </row>
    <row r="501" spans="3:30">
      <c r="C501" s="3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AB501" s="28"/>
      <c r="AC501" s="28"/>
      <c r="AD501" s="28"/>
    </row>
    <row r="502" spans="3:30">
      <c r="C502" s="3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AB502" s="28"/>
      <c r="AC502" s="28"/>
      <c r="AD502" s="28"/>
    </row>
    <row r="503" spans="3:30">
      <c r="C503" s="3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AB503" s="28"/>
      <c r="AC503" s="28"/>
      <c r="AD503" s="28"/>
    </row>
    <row r="504" spans="3:30">
      <c r="C504" s="3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AB504" s="28"/>
      <c r="AC504" s="28"/>
      <c r="AD504" s="28"/>
    </row>
    <row r="505" spans="3:30">
      <c r="C505" s="3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AB505" s="28"/>
      <c r="AC505" s="28"/>
      <c r="AD505" s="28"/>
    </row>
    <row r="506" spans="3:30">
      <c r="C506" s="3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AB506" s="28"/>
      <c r="AC506" s="28"/>
      <c r="AD506" s="28"/>
    </row>
    <row r="507" spans="3:30">
      <c r="C507" s="3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AB507" s="28"/>
      <c r="AC507" s="28"/>
      <c r="AD507" s="28"/>
    </row>
    <row r="508" spans="3:30">
      <c r="C508" s="3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AB508" s="28"/>
      <c r="AC508" s="28"/>
      <c r="AD508" s="28"/>
    </row>
    <row r="509" spans="3:30">
      <c r="C509" s="3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AB509" s="28"/>
      <c r="AC509" s="28"/>
      <c r="AD509" s="28"/>
    </row>
    <row r="510" spans="3:30">
      <c r="C510" s="3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AB510" s="28"/>
      <c r="AC510" s="28"/>
      <c r="AD510" s="28"/>
    </row>
    <row r="511" spans="3:30">
      <c r="C511" s="3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AB511" s="28"/>
      <c r="AC511" s="28"/>
      <c r="AD511" s="28"/>
    </row>
    <row r="512" spans="3:30">
      <c r="C512" s="3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AB512" s="28"/>
      <c r="AC512" s="28"/>
      <c r="AD512" s="28"/>
    </row>
    <row r="513" spans="3:30">
      <c r="C513" s="3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AB513" s="28"/>
      <c r="AC513" s="28"/>
      <c r="AD513" s="28"/>
    </row>
    <row r="514" spans="3:30">
      <c r="C514" s="3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AB514" s="28"/>
      <c r="AC514" s="28"/>
      <c r="AD514" s="28"/>
    </row>
    <row r="515" spans="3:30">
      <c r="C515" s="3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AB515" s="28"/>
      <c r="AC515" s="28"/>
      <c r="AD515" s="28"/>
    </row>
    <row r="516" spans="3:30">
      <c r="C516" s="3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AB516" s="28"/>
      <c r="AC516" s="28"/>
      <c r="AD516" s="28"/>
    </row>
    <row r="517" spans="3:30">
      <c r="C517" s="3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AB517" s="28"/>
      <c r="AC517" s="28"/>
      <c r="AD517" s="28"/>
    </row>
    <row r="518" spans="3:30">
      <c r="C518" s="3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AB518" s="28"/>
      <c r="AC518" s="28"/>
      <c r="AD518" s="28"/>
    </row>
    <row r="519" spans="3:30">
      <c r="C519" s="3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AB519" s="28"/>
      <c r="AC519" s="28"/>
      <c r="AD519" s="28"/>
    </row>
    <row r="520" spans="3:30">
      <c r="C520" s="3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AB520" s="28"/>
      <c r="AC520" s="28"/>
      <c r="AD520" s="28"/>
    </row>
    <row r="521" spans="3:30">
      <c r="C521" s="3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AB521" s="28"/>
      <c r="AC521" s="28"/>
      <c r="AD521" s="28"/>
    </row>
    <row r="522" spans="3:30">
      <c r="C522" s="3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AB522" s="28"/>
      <c r="AC522" s="28"/>
      <c r="AD522" s="28"/>
    </row>
    <row r="523" spans="3:30">
      <c r="C523" s="3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AB523" s="28"/>
      <c r="AC523" s="28"/>
      <c r="AD523" s="28"/>
    </row>
    <row r="524" spans="3:30">
      <c r="C524" s="3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AB524" s="28"/>
      <c r="AC524" s="28"/>
      <c r="AD524" s="28"/>
    </row>
    <row r="525" spans="3:30">
      <c r="C525" s="3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AB525" s="28"/>
      <c r="AC525" s="28"/>
      <c r="AD525" s="28"/>
    </row>
    <row r="526" spans="3:30">
      <c r="C526" s="3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AB526" s="28"/>
      <c r="AC526" s="28"/>
      <c r="AD526" s="28"/>
    </row>
    <row r="527" spans="3:30">
      <c r="C527" s="3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AB527" s="28"/>
      <c r="AC527" s="28"/>
      <c r="AD527" s="28"/>
    </row>
    <row r="528" spans="3:30">
      <c r="C528" s="3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AB528" s="28"/>
      <c r="AC528" s="28"/>
      <c r="AD528" s="28"/>
    </row>
    <row r="529" spans="3:30">
      <c r="C529" s="3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AB529" s="28"/>
      <c r="AC529" s="28"/>
      <c r="AD529" s="28"/>
    </row>
    <row r="530" spans="3:30">
      <c r="C530" s="3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AB530" s="28"/>
      <c r="AC530" s="28"/>
      <c r="AD530" s="28"/>
    </row>
    <row r="531" spans="3:30">
      <c r="C531" s="3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AB531" s="28"/>
      <c r="AC531" s="28"/>
      <c r="AD531" s="28"/>
    </row>
    <row r="532" spans="3:30">
      <c r="C532" s="3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AB532" s="28"/>
      <c r="AC532" s="28"/>
      <c r="AD532" s="28"/>
    </row>
    <row r="533" spans="3:30">
      <c r="C533" s="3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AB533" s="28"/>
      <c r="AC533" s="28"/>
      <c r="AD533" s="28"/>
    </row>
    <row r="534" spans="3:30">
      <c r="C534" s="3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AB534" s="28"/>
      <c r="AC534" s="28"/>
      <c r="AD534" s="28"/>
    </row>
    <row r="535" spans="3:30">
      <c r="C535" s="3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AB535" s="28"/>
      <c r="AC535" s="28"/>
      <c r="AD535" s="28"/>
    </row>
    <row r="536" spans="3:30">
      <c r="C536" s="3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AB536" s="28"/>
      <c r="AC536" s="28"/>
      <c r="AD536" s="28"/>
    </row>
    <row r="537" spans="3:30">
      <c r="C537" s="3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AB537" s="28"/>
      <c r="AC537" s="28"/>
      <c r="AD537" s="28"/>
    </row>
    <row r="538" spans="3:30">
      <c r="C538" s="3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AB538" s="28"/>
      <c r="AC538" s="28"/>
      <c r="AD538" s="28"/>
    </row>
    <row r="539" spans="3:30">
      <c r="C539" s="3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AB539" s="28"/>
      <c r="AC539" s="28"/>
      <c r="AD539" s="28"/>
    </row>
    <row r="540" spans="3:30">
      <c r="C540" s="3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AB540" s="28"/>
      <c r="AC540" s="28"/>
      <c r="AD540" s="28"/>
    </row>
    <row r="541" spans="3:30">
      <c r="C541" s="3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AB541" s="28"/>
      <c r="AC541" s="28"/>
      <c r="AD541" s="28"/>
    </row>
    <row r="542" spans="3:30">
      <c r="C542" s="3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AB542" s="28"/>
      <c r="AC542" s="28"/>
      <c r="AD542" s="28"/>
    </row>
    <row r="543" spans="3:30">
      <c r="C543" s="3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AB543" s="28"/>
      <c r="AC543" s="28"/>
      <c r="AD543" s="28"/>
    </row>
    <row r="544" spans="3:30">
      <c r="C544" s="3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AB544" s="28"/>
      <c r="AC544" s="28"/>
      <c r="AD544" s="28"/>
    </row>
    <row r="545" spans="3:30">
      <c r="C545" s="3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AB545" s="28"/>
      <c r="AC545" s="28"/>
      <c r="AD545" s="28"/>
    </row>
    <row r="546" spans="3:30">
      <c r="C546" s="3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AB546" s="28"/>
      <c r="AC546" s="28"/>
      <c r="AD546" s="28"/>
    </row>
    <row r="547" spans="3:30">
      <c r="C547" s="3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AB547" s="28"/>
      <c r="AC547" s="28"/>
      <c r="AD547" s="28"/>
    </row>
    <row r="548" spans="3:30">
      <c r="C548" s="3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AB548" s="28"/>
      <c r="AC548" s="28"/>
      <c r="AD548" s="28"/>
    </row>
    <row r="549" spans="3:30">
      <c r="C549" s="3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AB549" s="28"/>
      <c r="AC549" s="28"/>
      <c r="AD549" s="28"/>
    </row>
    <row r="550" spans="3:30">
      <c r="C550" s="3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AB550" s="28"/>
      <c r="AC550" s="28"/>
      <c r="AD550" s="28"/>
    </row>
    <row r="551" spans="3:30">
      <c r="C551" s="3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AB551" s="28"/>
      <c r="AC551" s="28"/>
      <c r="AD551" s="28"/>
    </row>
    <row r="552" spans="3:30">
      <c r="C552" s="3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AB552" s="28"/>
      <c r="AC552" s="28"/>
      <c r="AD552" s="28"/>
    </row>
    <row r="553" spans="3:30">
      <c r="C553" s="3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AB553" s="28"/>
      <c r="AC553" s="28"/>
      <c r="AD553" s="28"/>
    </row>
    <row r="554" spans="3:30">
      <c r="C554" s="3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AB554" s="28"/>
      <c r="AC554" s="28"/>
      <c r="AD554" s="28"/>
    </row>
    <row r="555" spans="3:30">
      <c r="C555" s="3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AB555" s="28"/>
      <c r="AC555" s="28"/>
      <c r="AD555" s="28"/>
    </row>
    <row r="556" spans="3:30">
      <c r="C556" s="3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AB556" s="28"/>
      <c r="AC556" s="28"/>
      <c r="AD556" s="28"/>
    </row>
    <row r="557" spans="3:30">
      <c r="C557" s="3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AB557" s="28"/>
      <c r="AC557" s="28"/>
      <c r="AD557" s="28"/>
    </row>
    <row r="558" spans="3:30">
      <c r="C558" s="3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AB558" s="28"/>
      <c r="AC558" s="28"/>
      <c r="AD558" s="28"/>
    </row>
    <row r="559" spans="3:30">
      <c r="C559" s="3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AB559" s="28"/>
      <c r="AC559" s="28"/>
      <c r="AD559" s="28"/>
    </row>
    <row r="560" spans="3:30">
      <c r="C560" s="3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AB560" s="28"/>
      <c r="AC560" s="28"/>
      <c r="AD560" s="28"/>
    </row>
    <row r="561" spans="3:30">
      <c r="C561" s="3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AB561" s="28"/>
      <c r="AC561" s="28"/>
      <c r="AD561" s="28"/>
    </row>
    <row r="562" spans="3:30">
      <c r="C562" s="3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AB562" s="28"/>
      <c r="AC562" s="28"/>
      <c r="AD562" s="28"/>
    </row>
    <row r="563" spans="3:30">
      <c r="C563" s="3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AB563" s="28"/>
      <c r="AC563" s="28"/>
      <c r="AD563" s="28"/>
    </row>
    <row r="564" spans="3:30">
      <c r="C564" s="3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AB564" s="28"/>
      <c r="AC564" s="28"/>
      <c r="AD564" s="28"/>
    </row>
    <row r="565" spans="3:30">
      <c r="C565" s="3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AB565" s="28"/>
      <c r="AC565" s="28"/>
      <c r="AD565" s="28"/>
    </row>
    <row r="566" spans="3:30">
      <c r="C566" s="3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AB566" s="28"/>
      <c r="AC566" s="28"/>
      <c r="AD566" s="28"/>
    </row>
    <row r="567" spans="3:30">
      <c r="C567" s="3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AB567" s="28"/>
      <c r="AC567" s="28"/>
      <c r="AD567" s="28"/>
    </row>
    <row r="568" spans="3:30">
      <c r="C568" s="3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AB568" s="28"/>
      <c r="AC568" s="28"/>
      <c r="AD568" s="28"/>
    </row>
    <row r="569" spans="3:30">
      <c r="C569" s="3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AB569" s="28"/>
      <c r="AC569" s="28"/>
      <c r="AD569" s="28"/>
    </row>
    <row r="570" spans="3:30">
      <c r="C570" s="3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AB570" s="28"/>
      <c r="AC570" s="28"/>
      <c r="AD570" s="28"/>
    </row>
    <row r="571" spans="3:30">
      <c r="C571" s="3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AB571" s="28"/>
      <c r="AC571" s="28"/>
      <c r="AD571" s="28"/>
    </row>
    <row r="572" spans="3:30">
      <c r="C572" s="3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AB572" s="28"/>
      <c r="AC572" s="28"/>
      <c r="AD572" s="28"/>
    </row>
    <row r="573" spans="3:30">
      <c r="C573" s="3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AB573" s="28"/>
      <c r="AC573" s="28"/>
      <c r="AD573" s="28"/>
    </row>
    <row r="574" spans="3:30">
      <c r="C574" s="3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AB574" s="28"/>
      <c r="AC574" s="28"/>
      <c r="AD574" s="28"/>
    </row>
    <row r="575" spans="3:30">
      <c r="C575" s="3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AB575" s="28"/>
      <c r="AC575" s="28"/>
      <c r="AD575" s="28"/>
    </row>
    <row r="576" spans="3:30">
      <c r="C576" s="3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AB576" s="28"/>
      <c r="AC576" s="28"/>
      <c r="AD576" s="28"/>
    </row>
    <row r="577" spans="3:30">
      <c r="C577" s="3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AB577" s="28"/>
      <c r="AC577" s="28"/>
      <c r="AD577" s="28"/>
    </row>
    <row r="578" spans="3:30">
      <c r="C578" s="3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AB578" s="28"/>
      <c r="AC578" s="28"/>
      <c r="AD578" s="28"/>
    </row>
    <row r="579" spans="3:30">
      <c r="C579" s="3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AB579" s="28"/>
      <c r="AC579" s="28"/>
      <c r="AD579" s="28"/>
    </row>
    <row r="580" spans="3:30">
      <c r="C580" s="3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AB580" s="28"/>
      <c r="AC580" s="28"/>
      <c r="AD580" s="28"/>
    </row>
    <row r="581" spans="3:30">
      <c r="C581" s="3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AB581" s="28"/>
      <c r="AC581" s="28"/>
      <c r="AD581" s="28"/>
    </row>
    <row r="582" spans="3:30">
      <c r="C582" s="3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AB582" s="28"/>
      <c r="AC582" s="28"/>
      <c r="AD582" s="28"/>
    </row>
    <row r="583" spans="3:30">
      <c r="C583" s="3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AB583" s="28"/>
      <c r="AC583" s="28"/>
      <c r="AD583" s="28"/>
    </row>
    <row r="584" spans="3:30">
      <c r="C584" s="3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AB584" s="28"/>
      <c r="AC584" s="28"/>
      <c r="AD584" s="28"/>
    </row>
    <row r="585" spans="3:30">
      <c r="C585" s="3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AB585" s="28"/>
      <c r="AC585" s="28"/>
      <c r="AD585" s="28"/>
    </row>
    <row r="586" spans="3:30">
      <c r="C586" s="3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AB586" s="28"/>
      <c r="AC586" s="28"/>
      <c r="AD586" s="28"/>
    </row>
    <row r="587" spans="3:30">
      <c r="C587" s="3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AB587" s="28"/>
      <c r="AC587" s="28"/>
      <c r="AD587" s="28"/>
    </row>
    <row r="588" spans="3:30">
      <c r="C588" s="3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AB588" s="28"/>
      <c r="AC588" s="28"/>
      <c r="AD588" s="28"/>
    </row>
    <row r="589" spans="3:30">
      <c r="C589" s="3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AB589" s="28"/>
      <c r="AC589" s="28"/>
      <c r="AD589" s="28"/>
    </row>
    <row r="590" spans="3:30">
      <c r="C590" s="3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AB590" s="28"/>
      <c r="AC590" s="28"/>
      <c r="AD590" s="28"/>
    </row>
    <row r="591" spans="3:30">
      <c r="C591" s="3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AB591" s="28"/>
      <c r="AC591" s="28"/>
      <c r="AD591" s="28"/>
    </row>
    <row r="592" spans="3:30">
      <c r="C592" s="3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AB592" s="28"/>
      <c r="AC592" s="28"/>
      <c r="AD592" s="28"/>
    </row>
    <row r="593" spans="3:30">
      <c r="C593" s="3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AB593" s="28"/>
      <c r="AC593" s="28"/>
      <c r="AD593" s="28"/>
    </row>
    <row r="594" spans="3:30">
      <c r="C594" s="3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AB594" s="28"/>
      <c r="AC594" s="28"/>
      <c r="AD594" s="28"/>
    </row>
    <row r="595" spans="3:30">
      <c r="C595" s="3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AB595" s="28"/>
      <c r="AC595" s="28"/>
      <c r="AD595" s="28"/>
    </row>
    <row r="596" spans="3:30">
      <c r="C596" s="3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AB596" s="28"/>
      <c r="AC596" s="28"/>
      <c r="AD596" s="28"/>
    </row>
    <row r="597" spans="3:30">
      <c r="C597" s="3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AB597" s="28"/>
      <c r="AC597" s="28"/>
      <c r="AD597" s="28"/>
    </row>
    <row r="598" spans="3:30">
      <c r="C598" s="3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AB598" s="28"/>
      <c r="AC598" s="28"/>
      <c r="AD598" s="28"/>
    </row>
    <row r="599" spans="3:30">
      <c r="C599" s="3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AB599" s="28"/>
      <c r="AC599" s="28"/>
      <c r="AD599" s="28"/>
    </row>
    <row r="600" spans="3:30">
      <c r="C600" s="3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AB600" s="28"/>
      <c r="AC600" s="28"/>
      <c r="AD600" s="28"/>
    </row>
    <row r="601" spans="3:30">
      <c r="C601" s="3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AB601" s="28"/>
      <c r="AC601" s="28"/>
      <c r="AD601" s="28"/>
    </row>
    <row r="602" spans="3:30">
      <c r="C602" s="3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AB602" s="28"/>
      <c r="AC602" s="28"/>
      <c r="AD602" s="28"/>
    </row>
    <row r="603" spans="3:30">
      <c r="C603" s="3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AB603" s="28"/>
      <c r="AC603" s="28"/>
      <c r="AD603" s="28"/>
    </row>
    <row r="604" spans="3:30">
      <c r="C604" s="3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AB604" s="28"/>
      <c r="AC604" s="28"/>
      <c r="AD604" s="28"/>
    </row>
    <row r="605" spans="3:30">
      <c r="C605" s="3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AB605" s="28"/>
      <c r="AC605" s="28"/>
      <c r="AD605" s="28"/>
    </row>
    <row r="606" spans="3:30">
      <c r="C606" s="3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AB606" s="28"/>
      <c r="AC606" s="28"/>
      <c r="AD606" s="28"/>
    </row>
    <row r="607" spans="3:30">
      <c r="C607" s="3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AB607" s="28"/>
      <c r="AC607" s="28"/>
      <c r="AD607" s="28"/>
    </row>
    <row r="608" spans="3:30">
      <c r="C608" s="3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AB608" s="28"/>
      <c r="AC608" s="28"/>
      <c r="AD608" s="28"/>
    </row>
    <row r="609" spans="3:30">
      <c r="C609" s="3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AB609" s="28"/>
      <c r="AC609" s="28"/>
      <c r="AD609" s="28"/>
    </row>
    <row r="610" spans="3:30">
      <c r="C610" s="3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AB610" s="28"/>
      <c r="AC610" s="28"/>
      <c r="AD610" s="28"/>
    </row>
    <row r="611" spans="3:30">
      <c r="C611" s="3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AB611" s="28"/>
      <c r="AC611" s="28"/>
      <c r="AD611" s="28"/>
    </row>
    <row r="612" spans="3:30">
      <c r="C612" s="3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AB612" s="28"/>
      <c r="AC612" s="28"/>
      <c r="AD612" s="28"/>
    </row>
    <row r="613" spans="3:30">
      <c r="C613" s="3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AB613" s="28"/>
      <c r="AC613" s="28"/>
      <c r="AD613" s="28"/>
    </row>
    <row r="614" spans="3:30">
      <c r="C614" s="3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AB614" s="28"/>
      <c r="AC614" s="28"/>
      <c r="AD614" s="28"/>
    </row>
    <row r="615" spans="3:30">
      <c r="C615" s="3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AB615" s="28"/>
      <c r="AC615" s="28"/>
      <c r="AD615" s="28"/>
    </row>
    <row r="616" spans="3:30">
      <c r="C616" s="3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AB616" s="28"/>
      <c r="AC616" s="28"/>
      <c r="AD616" s="28"/>
    </row>
    <row r="617" spans="3:30">
      <c r="C617" s="3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AB617" s="28"/>
      <c r="AC617" s="28"/>
      <c r="AD617" s="28"/>
    </row>
    <row r="618" spans="3:30">
      <c r="C618" s="3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AB618" s="28"/>
      <c r="AC618" s="28"/>
      <c r="AD618" s="28"/>
    </row>
    <row r="619" spans="3:30">
      <c r="C619" s="3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AB619" s="28"/>
      <c r="AC619" s="28"/>
      <c r="AD619" s="28"/>
    </row>
    <row r="620" spans="3:30">
      <c r="C620" s="3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AB620" s="28"/>
      <c r="AC620" s="28"/>
      <c r="AD620" s="28"/>
    </row>
    <row r="621" spans="3:30">
      <c r="C621" s="3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AB621" s="28"/>
      <c r="AC621" s="28"/>
      <c r="AD621" s="28"/>
    </row>
    <row r="622" spans="3:30">
      <c r="C622" s="3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AB622" s="28"/>
      <c r="AC622" s="28"/>
      <c r="AD622" s="28"/>
    </row>
    <row r="623" spans="3:30">
      <c r="C623" s="3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AB623" s="28"/>
      <c r="AC623" s="28"/>
      <c r="AD623" s="28"/>
    </row>
    <row r="624" spans="3:30">
      <c r="C624" s="3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AB624" s="28"/>
      <c r="AC624" s="28"/>
      <c r="AD624" s="28"/>
    </row>
    <row r="625" spans="3:30">
      <c r="C625" s="3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AB625" s="28"/>
      <c r="AC625" s="28"/>
      <c r="AD625" s="28"/>
    </row>
    <row r="626" spans="3:30">
      <c r="C626" s="3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AB626" s="28"/>
      <c r="AC626" s="28"/>
      <c r="AD626" s="28"/>
    </row>
    <row r="627" spans="3:30">
      <c r="C627" s="3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AB627" s="28"/>
      <c r="AC627" s="28"/>
      <c r="AD627" s="28"/>
    </row>
    <row r="628" spans="3:30">
      <c r="C628" s="3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AB628" s="28"/>
      <c r="AC628" s="28"/>
      <c r="AD628" s="28"/>
    </row>
    <row r="629" spans="3:30">
      <c r="C629" s="3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AB629" s="28"/>
      <c r="AC629" s="28"/>
      <c r="AD629" s="28"/>
    </row>
    <row r="630" spans="3:30">
      <c r="C630" s="3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AB630" s="28"/>
      <c r="AC630" s="28"/>
      <c r="AD630" s="28"/>
    </row>
    <row r="631" spans="3:30">
      <c r="C631" s="3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AB631" s="28"/>
      <c r="AC631" s="28"/>
      <c r="AD631" s="28"/>
    </row>
    <row r="632" spans="3:30">
      <c r="C632" s="3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AB632" s="28"/>
      <c r="AC632" s="28"/>
      <c r="AD632" s="28"/>
    </row>
    <row r="633" spans="3:30">
      <c r="C633" s="3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AB633" s="28"/>
      <c r="AC633" s="28"/>
      <c r="AD633" s="28"/>
    </row>
    <row r="634" spans="3:30">
      <c r="C634" s="3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AB634" s="28"/>
      <c r="AC634" s="28"/>
      <c r="AD634" s="28"/>
    </row>
    <row r="635" spans="3:30">
      <c r="C635" s="3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AB635" s="28"/>
      <c r="AC635" s="28"/>
      <c r="AD635" s="28"/>
    </row>
    <row r="636" spans="3:30">
      <c r="C636" s="3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AB636" s="28"/>
      <c r="AC636" s="28"/>
      <c r="AD636" s="28"/>
    </row>
    <row r="637" spans="3:30">
      <c r="C637" s="3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AB637" s="28"/>
      <c r="AC637" s="28"/>
      <c r="AD637" s="28"/>
    </row>
    <row r="638" spans="3:30">
      <c r="C638" s="3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AB638" s="28"/>
      <c r="AC638" s="28"/>
      <c r="AD638" s="28"/>
    </row>
    <row r="639" spans="3:30">
      <c r="C639" s="3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AB639" s="28"/>
      <c r="AC639" s="28"/>
      <c r="AD639" s="28"/>
    </row>
    <row r="640" spans="3:30">
      <c r="C640" s="3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AB640" s="28"/>
      <c r="AC640" s="28"/>
      <c r="AD640" s="28"/>
    </row>
    <row r="641" spans="3:30">
      <c r="C641" s="3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AB641" s="28"/>
      <c r="AC641" s="28"/>
      <c r="AD641" s="28"/>
    </row>
    <row r="642" spans="3:30">
      <c r="C642" s="3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AB642" s="28"/>
      <c r="AC642" s="28"/>
      <c r="AD642" s="28"/>
    </row>
    <row r="643" spans="3:30">
      <c r="C643" s="3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AB643" s="28"/>
      <c r="AC643" s="28"/>
      <c r="AD643" s="28"/>
    </row>
    <row r="644" spans="3:30">
      <c r="C644" s="3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AB644" s="28"/>
      <c r="AC644" s="28"/>
      <c r="AD644" s="28"/>
    </row>
    <row r="645" spans="3:30">
      <c r="C645" s="3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AB645" s="28"/>
      <c r="AC645" s="28"/>
      <c r="AD645" s="28"/>
    </row>
    <row r="646" spans="3:30">
      <c r="C646" s="3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AB646" s="28"/>
      <c r="AC646" s="28"/>
      <c r="AD646" s="28"/>
    </row>
    <row r="647" spans="3:30">
      <c r="C647" s="3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AB647" s="28"/>
      <c r="AC647" s="28"/>
      <c r="AD647" s="28"/>
    </row>
    <row r="648" spans="3:30">
      <c r="C648" s="3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AB648" s="28"/>
      <c r="AC648" s="28"/>
      <c r="AD648" s="28"/>
    </row>
    <row r="649" spans="3:30">
      <c r="C649" s="3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AB649" s="28"/>
      <c r="AC649" s="28"/>
      <c r="AD649" s="28"/>
    </row>
    <row r="650" spans="3:30">
      <c r="C650" s="3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AB650" s="28"/>
      <c r="AC650" s="28"/>
      <c r="AD650" s="28"/>
    </row>
    <row r="651" spans="3:30">
      <c r="C651" s="3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AB651" s="28"/>
      <c r="AC651" s="28"/>
      <c r="AD651" s="28"/>
    </row>
    <row r="652" spans="3:30">
      <c r="C652" s="3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AB652" s="28"/>
      <c r="AC652" s="28"/>
      <c r="AD652" s="28"/>
    </row>
    <row r="653" spans="3:30">
      <c r="C653" s="3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AB653" s="28"/>
      <c r="AC653" s="28"/>
      <c r="AD653" s="28"/>
    </row>
    <row r="654" spans="3:30">
      <c r="C654" s="3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AB654" s="28"/>
      <c r="AC654" s="28"/>
      <c r="AD654" s="28"/>
    </row>
    <row r="655" spans="3:30">
      <c r="C655" s="3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AB655" s="28"/>
      <c r="AC655" s="28"/>
      <c r="AD655" s="28"/>
    </row>
    <row r="656" spans="3:30">
      <c r="C656" s="3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AB656" s="28"/>
      <c r="AC656" s="28"/>
      <c r="AD656" s="28"/>
    </row>
    <row r="657" spans="3:30">
      <c r="C657" s="3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AB657" s="28"/>
      <c r="AC657" s="28"/>
      <c r="AD657" s="28"/>
    </row>
    <row r="658" spans="3:30">
      <c r="C658" s="3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AB658" s="28"/>
      <c r="AC658" s="28"/>
      <c r="AD658" s="28"/>
    </row>
    <row r="659" spans="3:30">
      <c r="C659" s="3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AB659" s="28"/>
      <c r="AC659" s="28"/>
      <c r="AD659" s="28"/>
    </row>
    <row r="660" spans="3:30">
      <c r="C660" s="3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AB660" s="28"/>
      <c r="AC660" s="28"/>
      <c r="AD660" s="28"/>
    </row>
    <row r="661" spans="3:30">
      <c r="C661" s="3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AB661" s="28"/>
      <c r="AC661" s="28"/>
      <c r="AD661" s="28"/>
    </row>
    <row r="662" spans="3:30">
      <c r="C662" s="3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AB662" s="28"/>
      <c r="AC662" s="28"/>
      <c r="AD662" s="28"/>
    </row>
    <row r="663" spans="3:30">
      <c r="C663" s="3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AB663" s="28"/>
      <c r="AC663" s="28"/>
      <c r="AD663" s="28"/>
    </row>
    <row r="664" spans="3:30">
      <c r="C664" s="3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AB664" s="28"/>
      <c r="AC664" s="28"/>
      <c r="AD664" s="28"/>
    </row>
    <row r="665" spans="3:30">
      <c r="C665" s="3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AB665" s="28"/>
      <c r="AC665" s="28"/>
      <c r="AD665" s="28"/>
    </row>
    <row r="666" spans="3:30">
      <c r="C666" s="3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AB666" s="28"/>
      <c r="AC666" s="28"/>
      <c r="AD666" s="28"/>
    </row>
    <row r="667" spans="3:30">
      <c r="C667" s="3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AB667" s="28"/>
      <c r="AC667" s="28"/>
      <c r="AD667" s="28"/>
    </row>
    <row r="668" spans="3:30">
      <c r="C668" s="3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AB668" s="28"/>
      <c r="AC668" s="28"/>
      <c r="AD668" s="28"/>
    </row>
    <row r="669" spans="3:30">
      <c r="C669" s="3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AB669" s="28"/>
      <c r="AC669" s="28"/>
      <c r="AD669" s="28"/>
    </row>
    <row r="670" spans="3:30">
      <c r="C670" s="3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AB670" s="28"/>
      <c r="AC670" s="28"/>
      <c r="AD670" s="28"/>
    </row>
    <row r="671" spans="3:30">
      <c r="C671" s="3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AB671" s="28"/>
      <c r="AC671" s="28"/>
      <c r="AD671" s="28"/>
    </row>
    <row r="672" spans="3:30">
      <c r="C672" s="3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AB672" s="28"/>
      <c r="AC672" s="28"/>
      <c r="AD672" s="28"/>
    </row>
    <row r="673" spans="3:30">
      <c r="C673" s="3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AB673" s="28"/>
      <c r="AC673" s="28"/>
      <c r="AD673" s="28"/>
    </row>
    <row r="674" spans="3:30">
      <c r="C674" s="3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AB674" s="28"/>
      <c r="AC674" s="28"/>
      <c r="AD674" s="28"/>
    </row>
    <row r="675" spans="3:30">
      <c r="C675" s="3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AB675" s="28"/>
      <c r="AC675" s="28"/>
      <c r="AD675" s="28"/>
    </row>
    <row r="676" spans="3:30">
      <c r="C676" s="3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AB676" s="28"/>
      <c r="AC676" s="28"/>
      <c r="AD676" s="28"/>
    </row>
    <row r="677" spans="3:30">
      <c r="C677" s="3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AB677" s="28"/>
      <c r="AC677" s="28"/>
      <c r="AD677" s="28"/>
    </row>
    <row r="678" spans="3:30">
      <c r="C678" s="3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AB678" s="28"/>
      <c r="AC678" s="28"/>
      <c r="AD678" s="28"/>
    </row>
    <row r="679" spans="3:30">
      <c r="C679" s="3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AB679" s="28"/>
      <c r="AC679" s="28"/>
      <c r="AD679" s="28"/>
    </row>
    <row r="680" spans="3:30">
      <c r="C680" s="3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AB680" s="28"/>
      <c r="AC680" s="28"/>
      <c r="AD680" s="28"/>
    </row>
    <row r="681" spans="3:30">
      <c r="C681" s="3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AB681" s="28"/>
      <c r="AC681" s="28"/>
      <c r="AD681" s="28"/>
    </row>
    <row r="682" spans="3:30">
      <c r="C682" s="3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AB682" s="28"/>
      <c r="AC682" s="28"/>
      <c r="AD682" s="28"/>
    </row>
    <row r="683" spans="3:30">
      <c r="C683" s="3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AB683" s="28"/>
      <c r="AC683" s="28"/>
      <c r="AD683" s="28"/>
    </row>
    <row r="684" spans="3:30">
      <c r="C684" s="3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AB684" s="28"/>
      <c r="AC684" s="28"/>
      <c r="AD684" s="28"/>
    </row>
    <row r="685" spans="3:30">
      <c r="C685" s="3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AB685" s="28"/>
      <c r="AC685" s="28"/>
      <c r="AD685" s="28"/>
    </row>
    <row r="686" spans="3:30">
      <c r="C686" s="3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AB686" s="28"/>
      <c r="AC686" s="28"/>
      <c r="AD686" s="28"/>
    </row>
    <row r="687" spans="3:30">
      <c r="C687" s="3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AB687" s="28"/>
      <c r="AC687" s="28"/>
      <c r="AD687" s="28"/>
    </row>
    <row r="688" spans="3:30">
      <c r="C688" s="3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AB688" s="28"/>
      <c r="AC688" s="28"/>
      <c r="AD688" s="28"/>
    </row>
    <row r="689" spans="3:30">
      <c r="C689" s="3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AB689" s="28"/>
      <c r="AC689" s="28"/>
      <c r="AD689" s="28"/>
    </row>
    <row r="690" spans="3:30">
      <c r="C690" s="3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AB690" s="28"/>
      <c r="AC690" s="28"/>
      <c r="AD690" s="28"/>
    </row>
    <row r="691" spans="3:30">
      <c r="C691" s="3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AB691" s="28"/>
      <c r="AC691" s="28"/>
      <c r="AD691" s="28"/>
    </row>
    <row r="692" spans="3:30">
      <c r="C692" s="3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AB692" s="28"/>
      <c r="AC692" s="28"/>
      <c r="AD692" s="28"/>
    </row>
    <row r="693" spans="3:30">
      <c r="C693" s="3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AB693" s="28"/>
      <c r="AC693" s="28"/>
      <c r="AD693" s="28"/>
    </row>
    <row r="694" spans="3:30">
      <c r="C694" s="3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AB694" s="28"/>
      <c r="AC694" s="28"/>
      <c r="AD694" s="28"/>
    </row>
    <row r="695" spans="3:30">
      <c r="C695" s="3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AB695" s="28"/>
      <c r="AC695" s="28"/>
      <c r="AD695" s="28"/>
    </row>
    <row r="696" spans="3:30">
      <c r="C696" s="3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AB696" s="28"/>
      <c r="AC696" s="28"/>
      <c r="AD696" s="28"/>
    </row>
    <row r="697" spans="3:30">
      <c r="C697" s="3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AB697" s="28"/>
      <c r="AC697" s="28"/>
      <c r="AD697" s="28"/>
    </row>
    <row r="698" spans="3:30">
      <c r="C698" s="3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AB698" s="28"/>
      <c r="AC698" s="28"/>
      <c r="AD698" s="28"/>
    </row>
    <row r="699" spans="3:30">
      <c r="C699" s="3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AB699" s="28"/>
      <c r="AC699" s="28"/>
      <c r="AD699" s="28"/>
    </row>
    <row r="700" spans="3:30">
      <c r="C700" s="3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AB700" s="28"/>
      <c r="AC700" s="28"/>
      <c r="AD700" s="28"/>
    </row>
    <row r="701" spans="3:30">
      <c r="C701" s="3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AB701" s="28"/>
      <c r="AC701" s="28"/>
      <c r="AD701" s="28"/>
    </row>
    <row r="702" spans="3:30">
      <c r="C702" s="3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AB702" s="28"/>
      <c r="AC702" s="28"/>
      <c r="AD702" s="28"/>
    </row>
    <row r="703" spans="3:30">
      <c r="C703" s="3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AB703" s="28"/>
      <c r="AC703" s="28"/>
      <c r="AD703" s="28"/>
    </row>
    <row r="704" spans="3:30">
      <c r="C704" s="3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AB704" s="28"/>
      <c r="AC704" s="28"/>
      <c r="AD704" s="28"/>
    </row>
    <row r="705" spans="3:30">
      <c r="C705" s="3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AB705" s="28"/>
      <c r="AC705" s="28"/>
      <c r="AD705" s="28"/>
    </row>
    <row r="706" spans="3:30">
      <c r="C706" s="3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AB706" s="28"/>
      <c r="AC706" s="28"/>
      <c r="AD706" s="28"/>
    </row>
    <row r="707" spans="3:30">
      <c r="C707" s="3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AB707" s="28"/>
      <c r="AC707" s="28"/>
      <c r="AD707" s="28"/>
    </row>
    <row r="708" spans="3:30">
      <c r="C708" s="3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AB708" s="28"/>
      <c r="AC708" s="28"/>
      <c r="AD708" s="28"/>
    </row>
    <row r="709" spans="3:30">
      <c r="C709" s="3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AB709" s="28"/>
      <c r="AC709" s="28"/>
      <c r="AD709" s="28"/>
    </row>
    <row r="710" spans="3:30">
      <c r="C710" s="3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AB710" s="28"/>
      <c r="AC710" s="28"/>
      <c r="AD710" s="28"/>
    </row>
    <row r="711" spans="3:30">
      <c r="C711" s="3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AB711" s="28"/>
      <c r="AC711" s="28"/>
      <c r="AD711" s="28"/>
    </row>
    <row r="712" spans="3:30">
      <c r="C712" s="3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AB712" s="28"/>
      <c r="AC712" s="28"/>
      <c r="AD712" s="28"/>
    </row>
    <row r="713" spans="3:30">
      <c r="C713" s="3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AB713" s="28"/>
      <c r="AC713" s="28"/>
      <c r="AD713" s="28"/>
    </row>
    <row r="714" spans="3:30">
      <c r="C714" s="3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AB714" s="28"/>
      <c r="AC714" s="28"/>
      <c r="AD714" s="28"/>
    </row>
    <row r="715" spans="3:30">
      <c r="C715" s="3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AB715" s="28"/>
      <c r="AC715" s="28"/>
      <c r="AD715" s="28"/>
    </row>
    <row r="716" spans="3:30">
      <c r="C716" s="3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AB716" s="28"/>
      <c r="AC716" s="28"/>
      <c r="AD716" s="28"/>
    </row>
    <row r="717" spans="3:30">
      <c r="C717" s="3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AB717" s="28"/>
      <c r="AC717" s="28"/>
      <c r="AD717" s="28"/>
    </row>
    <row r="718" spans="3:30">
      <c r="C718" s="3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AB718" s="28"/>
      <c r="AC718" s="28"/>
      <c r="AD718" s="28"/>
    </row>
    <row r="719" spans="3:30">
      <c r="C719" s="3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AB719" s="28"/>
      <c r="AC719" s="28"/>
      <c r="AD719" s="28"/>
    </row>
    <row r="720" spans="3:30">
      <c r="C720" s="3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AB720" s="28"/>
      <c r="AC720" s="28"/>
      <c r="AD720" s="28"/>
    </row>
    <row r="721" spans="3:30">
      <c r="C721" s="3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AB721" s="28"/>
      <c r="AC721" s="28"/>
      <c r="AD721" s="28"/>
    </row>
    <row r="722" spans="3:30">
      <c r="C722" s="3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AB722" s="28"/>
      <c r="AC722" s="28"/>
      <c r="AD722" s="28"/>
    </row>
    <row r="723" spans="3:30">
      <c r="C723" s="3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AB723" s="28"/>
      <c r="AC723" s="28"/>
      <c r="AD723" s="28"/>
    </row>
    <row r="724" spans="3:30">
      <c r="C724" s="3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AB724" s="28"/>
      <c r="AC724" s="28"/>
      <c r="AD724" s="28"/>
    </row>
    <row r="725" spans="3:30">
      <c r="C725" s="3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AB725" s="28"/>
      <c r="AC725" s="28"/>
      <c r="AD725" s="28"/>
    </row>
    <row r="726" spans="3:30">
      <c r="C726" s="3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AB726" s="28"/>
      <c r="AC726" s="28"/>
      <c r="AD726" s="28"/>
    </row>
    <row r="727" spans="3:30">
      <c r="C727" s="3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AB727" s="28"/>
      <c r="AC727" s="28"/>
      <c r="AD727" s="28"/>
    </row>
    <row r="728" spans="3:30">
      <c r="C728" s="3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AB728" s="28"/>
      <c r="AC728" s="28"/>
      <c r="AD728" s="28"/>
    </row>
    <row r="729" spans="3:30">
      <c r="C729" s="3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AB729" s="28"/>
      <c r="AC729" s="28"/>
      <c r="AD729" s="28"/>
    </row>
    <row r="730" spans="3:30">
      <c r="C730" s="3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AB730" s="28"/>
      <c r="AC730" s="28"/>
      <c r="AD730" s="28"/>
    </row>
    <row r="731" spans="3:30">
      <c r="C731" s="3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AB731" s="28"/>
      <c r="AC731" s="28"/>
      <c r="AD731" s="28"/>
    </row>
    <row r="732" spans="3:30">
      <c r="C732" s="3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AB732" s="28"/>
      <c r="AC732" s="28"/>
      <c r="AD732" s="28"/>
    </row>
    <row r="733" spans="3:30">
      <c r="C733" s="3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AB733" s="28"/>
      <c r="AC733" s="28"/>
      <c r="AD733" s="28"/>
    </row>
    <row r="734" spans="3:30">
      <c r="C734" s="3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AB734" s="28"/>
      <c r="AC734" s="28"/>
      <c r="AD734" s="28"/>
    </row>
    <row r="735" spans="3:30">
      <c r="C735" s="3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AB735" s="28"/>
      <c r="AC735" s="28"/>
      <c r="AD735" s="28"/>
    </row>
    <row r="736" spans="3:30">
      <c r="C736" s="3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AB736" s="28"/>
      <c r="AC736" s="28"/>
      <c r="AD736" s="28"/>
    </row>
    <row r="737" spans="3:30">
      <c r="C737" s="3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AB737" s="28"/>
      <c r="AC737" s="28"/>
      <c r="AD737" s="28"/>
    </row>
    <row r="738" spans="3:30">
      <c r="C738" s="3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AB738" s="28"/>
      <c r="AC738" s="28"/>
      <c r="AD738" s="28"/>
    </row>
    <row r="739" spans="3:30">
      <c r="C739" s="3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AB739" s="28"/>
      <c r="AC739" s="28"/>
      <c r="AD739" s="28"/>
    </row>
    <row r="740" spans="3:30">
      <c r="C740" s="3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AB740" s="28"/>
      <c r="AC740" s="28"/>
      <c r="AD740" s="28"/>
    </row>
    <row r="741" spans="3:30">
      <c r="C741" s="3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AB741" s="28"/>
      <c r="AC741" s="28"/>
      <c r="AD741" s="28"/>
    </row>
    <row r="742" spans="3:30">
      <c r="C742" s="3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AB742" s="28"/>
      <c r="AC742" s="28"/>
      <c r="AD742" s="28"/>
    </row>
    <row r="743" spans="3:30">
      <c r="C743" s="3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AB743" s="28"/>
      <c r="AC743" s="28"/>
      <c r="AD743" s="28"/>
    </row>
    <row r="744" spans="3:30">
      <c r="C744" s="3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AB744" s="28"/>
      <c r="AC744" s="28"/>
      <c r="AD744" s="28"/>
    </row>
    <row r="745" spans="3:30">
      <c r="C745" s="3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AB745" s="28"/>
      <c r="AC745" s="28"/>
      <c r="AD745" s="28"/>
    </row>
    <row r="746" spans="3:30">
      <c r="C746" s="3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AB746" s="28"/>
      <c r="AC746" s="28"/>
      <c r="AD746" s="28"/>
    </row>
    <row r="747" spans="3:30">
      <c r="C747" s="3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AB747" s="28"/>
      <c r="AC747" s="28"/>
      <c r="AD747" s="28"/>
    </row>
    <row r="748" spans="3:30">
      <c r="C748" s="3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AB748" s="28"/>
      <c r="AC748" s="28"/>
      <c r="AD748" s="28"/>
    </row>
    <row r="749" spans="3:30">
      <c r="C749" s="3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AB749" s="28"/>
      <c r="AC749" s="28"/>
      <c r="AD749" s="28"/>
    </row>
    <row r="750" spans="3:30">
      <c r="C750" s="3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AB750" s="28"/>
      <c r="AC750" s="28"/>
      <c r="AD750" s="28"/>
    </row>
    <row r="751" spans="3:30">
      <c r="C751" s="3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AB751" s="28"/>
      <c r="AC751" s="28"/>
      <c r="AD751" s="28"/>
    </row>
    <row r="752" spans="3:30">
      <c r="C752" s="3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AB752" s="28"/>
      <c r="AC752" s="28"/>
      <c r="AD752" s="28"/>
    </row>
    <row r="753" spans="3:30">
      <c r="C753" s="3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AB753" s="28"/>
      <c r="AC753" s="28"/>
      <c r="AD753" s="28"/>
    </row>
    <row r="754" spans="3:30">
      <c r="C754" s="3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AB754" s="28"/>
      <c r="AC754" s="28"/>
      <c r="AD754" s="28"/>
    </row>
    <row r="755" spans="3:30">
      <c r="C755" s="3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AB755" s="28"/>
      <c r="AC755" s="28"/>
      <c r="AD755" s="28"/>
    </row>
    <row r="756" spans="3:30">
      <c r="C756" s="3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AB756" s="28"/>
      <c r="AC756" s="28"/>
      <c r="AD756" s="28"/>
    </row>
    <row r="757" spans="3:30">
      <c r="C757" s="3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AB757" s="28"/>
      <c r="AC757" s="28"/>
      <c r="AD757" s="28"/>
    </row>
    <row r="758" spans="3:30">
      <c r="C758" s="3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AB758" s="28"/>
      <c r="AC758" s="28"/>
      <c r="AD758" s="28"/>
    </row>
    <row r="759" spans="3:30">
      <c r="C759" s="3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AB759" s="28"/>
      <c r="AC759" s="28"/>
      <c r="AD759" s="28"/>
    </row>
    <row r="760" spans="3:30">
      <c r="C760" s="3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AB760" s="28"/>
      <c r="AC760" s="28"/>
      <c r="AD760" s="28"/>
    </row>
    <row r="761" spans="3:30">
      <c r="C761" s="3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AB761" s="28"/>
      <c r="AC761" s="28"/>
      <c r="AD761" s="28"/>
    </row>
    <row r="762" spans="3:30">
      <c r="C762" s="3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AB762" s="28"/>
      <c r="AC762" s="28"/>
      <c r="AD762" s="28"/>
    </row>
    <row r="763" spans="3:30">
      <c r="C763" s="3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AB763" s="28"/>
      <c r="AC763" s="28"/>
      <c r="AD763" s="28"/>
    </row>
    <row r="764" spans="3:30">
      <c r="C764" s="3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AB764" s="28"/>
      <c r="AC764" s="28"/>
      <c r="AD764" s="28"/>
    </row>
    <row r="765" spans="3:30">
      <c r="C765" s="3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AB765" s="28"/>
      <c r="AC765" s="28"/>
      <c r="AD765" s="28"/>
    </row>
    <row r="766" spans="3:30">
      <c r="C766" s="3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AB766" s="28"/>
      <c r="AC766" s="28"/>
      <c r="AD766" s="28"/>
    </row>
    <row r="767" spans="3:30">
      <c r="C767" s="3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AB767" s="28"/>
      <c r="AC767" s="28"/>
      <c r="AD767" s="28"/>
    </row>
    <row r="768" spans="3:30">
      <c r="C768" s="3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AB768" s="28"/>
      <c r="AC768" s="28"/>
      <c r="AD768" s="28"/>
    </row>
    <row r="769" spans="3:30">
      <c r="C769" s="3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AB769" s="28"/>
      <c r="AC769" s="28"/>
      <c r="AD769" s="28"/>
    </row>
    <row r="770" spans="3:30">
      <c r="C770" s="3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AB770" s="28"/>
      <c r="AC770" s="28"/>
      <c r="AD770" s="28"/>
    </row>
    <row r="771" spans="3:30">
      <c r="C771" s="3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AB771" s="28"/>
      <c r="AC771" s="28"/>
      <c r="AD771" s="28"/>
    </row>
    <row r="772" spans="3:30">
      <c r="C772" s="3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AB772" s="28"/>
      <c r="AC772" s="28"/>
      <c r="AD772" s="28"/>
    </row>
    <row r="773" spans="3:30">
      <c r="C773" s="3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AB773" s="28"/>
      <c r="AC773" s="28"/>
      <c r="AD773" s="28"/>
    </row>
    <row r="774" spans="3:30">
      <c r="C774" s="3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AB774" s="28"/>
      <c r="AC774" s="28"/>
      <c r="AD774" s="28"/>
    </row>
    <row r="775" spans="3:30">
      <c r="C775" s="3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AB775" s="28"/>
      <c r="AC775" s="28"/>
      <c r="AD775" s="28"/>
    </row>
    <row r="776" spans="3:30">
      <c r="C776" s="3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AB776" s="28"/>
      <c r="AC776" s="28"/>
      <c r="AD776" s="28"/>
    </row>
    <row r="777" spans="3:30">
      <c r="C777" s="3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AB777" s="28"/>
      <c r="AC777" s="28"/>
      <c r="AD777" s="28"/>
    </row>
    <row r="778" spans="3:30">
      <c r="C778" s="3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AB778" s="28"/>
      <c r="AC778" s="28"/>
      <c r="AD778" s="28"/>
    </row>
    <row r="779" spans="3:30">
      <c r="C779" s="3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AB779" s="28"/>
      <c r="AC779" s="28"/>
      <c r="AD779" s="28"/>
    </row>
    <row r="780" spans="3:30">
      <c r="C780" s="3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AB780" s="28"/>
      <c r="AC780" s="28"/>
      <c r="AD780" s="28"/>
    </row>
    <row r="781" spans="3:30">
      <c r="C781" s="3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AB781" s="28"/>
      <c r="AC781" s="28"/>
      <c r="AD781" s="28"/>
    </row>
    <row r="782" spans="3:30">
      <c r="C782" s="3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AB782" s="28"/>
      <c r="AC782" s="28"/>
      <c r="AD782" s="28"/>
    </row>
    <row r="783" spans="3:30">
      <c r="C783" s="3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AB783" s="28"/>
      <c r="AC783" s="28"/>
      <c r="AD783" s="28"/>
    </row>
    <row r="784" spans="3:30">
      <c r="C784" s="3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AB784" s="28"/>
      <c r="AC784" s="28"/>
      <c r="AD784" s="28"/>
    </row>
    <row r="785" spans="3:30">
      <c r="C785" s="3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AB785" s="28"/>
      <c r="AC785" s="28"/>
      <c r="AD785" s="28"/>
    </row>
    <row r="786" spans="3:30">
      <c r="C786" s="3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AB786" s="28"/>
      <c r="AC786" s="28"/>
      <c r="AD786" s="28"/>
    </row>
    <row r="787" spans="3:30">
      <c r="C787" s="3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AB787" s="28"/>
      <c r="AC787" s="28"/>
      <c r="AD787" s="28"/>
    </row>
    <row r="788" spans="3:30">
      <c r="C788" s="3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AB788" s="28"/>
      <c r="AC788" s="28"/>
      <c r="AD788" s="28"/>
    </row>
    <row r="789" spans="3:30">
      <c r="C789" s="3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AB789" s="28"/>
      <c r="AC789" s="28"/>
      <c r="AD789" s="28"/>
    </row>
    <row r="790" spans="3:30">
      <c r="C790" s="3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AB790" s="28"/>
      <c r="AC790" s="28"/>
      <c r="AD790" s="28"/>
    </row>
    <row r="791" spans="3:30">
      <c r="C791" s="3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AB791" s="28"/>
      <c r="AC791" s="28"/>
      <c r="AD791" s="28"/>
    </row>
    <row r="792" spans="3:30">
      <c r="C792" s="3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AB792" s="28"/>
      <c r="AC792" s="28"/>
      <c r="AD792" s="28"/>
    </row>
    <row r="793" spans="3:30">
      <c r="C793" s="3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AB793" s="28"/>
      <c r="AC793" s="28"/>
      <c r="AD793" s="28"/>
    </row>
    <row r="794" spans="3:30">
      <c r="C794" s="3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AB794" s="28"/>
      <c r="AC794" s="28"/>
      <c r="AD794" s="28"/>
    </row>
    <row r="795" spans="3:30">
      <c r="C795" s="3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AB795" s="28"/>
      <c r="AC795" s="28"/>
      <c r="AD795" s="28"/>
    </row>
    <row r="796" spans="3:30">
      <c r="C796" s="3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AB796" s="28"/>
      <c r="AC796" s="28"/>
      <c r="AD796" s="28"/>
    </row>
    <row r="797" spans="3:30">
      <c r="C797" s="3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AB797" s="28"/>
      <c r="AC797" s="28"/>
      <c r="AD797" s="28"/>
    </row>
    <row r="798" spans="3:30">
      <c r="C798" s="3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AB798" s="28"/>
      <c r="AC798" s="28"/>
      <c r="AD798" s="28"/>
    </row>
    <row r="799" spans="3:30">
      <c r="C799" s="3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AB799" s="28"/>
      <c r="AC799" s="28"/>
      <c r="AD799" s="28"/>
    </row>
    <row r="800" spans="3:30">
      <c r="C800" s="3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AB800" s="28"/>
      <c r="AC800" s="28"/>
      <c r="AD800" s="28"/>
    </row>
    <row r="801" spans="3:30">
      <c r="C801" s="3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AB801" s="28"/>
      <c r="AC801" s="28"/>
      <c r="AD801" s="28"/>
    </row>
    <row r="802" spans="3:30">
      <c r="C802" s="3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AB802" s="28"/>
      <c r="AC802" s="28"/>
      <c r="AD802" s="28"/>
    </row>
    <row r="803" spans="3:30">
      <c r="C803" s="3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AB803" s="28"/>
      <c r="AC803" s="28"/>
      <c r="AD803" s="28"/>
    </row>
    <row r="804" spans="3:30">
      <c r="C804" s="3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AB804" s="28"/>
      <c r="AC804" s="28"/>
      <c r="AD804" s="28"/>
    </row>
    <row r="805" spans="3:30">
      <c r="C805" s="3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AB805" s="28"/>
      <c r="AC805" s="28"/>
      <c r="AD805" s="28"/>
    </row>
    <row r="806" spans="3:30">
      <c r="C806" s="3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AB806" s="28"/>
      <c r="AC806" s="28"/>
      <c r="AD806" s="28"/>
    </row>
    <row r="807" spans="3:30">
      <c r="C807" s="3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AB807" s="28"/>
      <c r="AC807" s="28"/>
      <c r="AD807" s="28"/>
    </row>
    <row r="808" spans="3:30">
      <c r="C808" s="3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AB808" s="28"/>
      <c r="AC808" s="28"/>
      <c r="AD808" s="28"/>
    </row>
    <row r="809" spans="3:30">
      <c r="C809" s="3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AB809" s="28"/>
      <c r="AC809" s="28"/>
      <c r="AD809" s="28"/>
    </row>
    <row r="810" spans="3:30">
      <c r="C810" s="3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AB810" s="28"/>
      <c r="AC810" s="28"/>
      <c r="AD810" s="28"/>
    </row>
    <row r="811" spans="3:30">
      <c r="C811" s="3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AB811" s="28"/>
      <c r="AC811" s="28"/>
      <c r="AD811" s="28"/>
    </row>
    <row r="812" spans="3:30">
      <c r="C812" s="3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AB812" s="28"/>
      <c r="AC812" s="28"/>
      <c r="AD812" s="28"/>
    </row>
    <row r="813" spans="3:30">
      <c r="C813" s="3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AB813" s="28"/>
      <c r="AC813" s="28"/>
      <c r="AD813" s="28"/>
    </row>
    <row r="814" spans="3:30">
      <c r="C814" s="3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AB814" s="28"/>
      <c r="AC814" s="28"/>
      <c r="AD814" s="28"/>
    </row>
    <row r="815" spans="3:30">
      <c r="C815" s="3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AB815" s="28"/>
      <c r="AC815" s="28"/>
      <c r="AD815" s="28"/>
    </row>
    <row r="816" spans="3:30">
      <c r="C816" s="3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AB816" s="28"/>
      <c r="AC816" s="28"/>
      <c r="AD816" s="28"/>
    </row>
    <row r="817" spans="3:30">
      <c r="C817" s="3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AB817" s="28"/>
      <c r="AC817" s="28"/>
      <c r="AD817" s="28"/>
    </row>
    <row r="818" spans="3:30">
      <c r="C818" s="3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AB818" s="28"/>
      <c r="AC818" s="28"/>
      <c r="AD818" s="28"/>
    </row>
    <row r="819" spans="3:30">
      <c r="C819" s="3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AB819" s="28"/>
      <c r="AC819" s="28"/>
      <c r="AD819" s="28"/>
    </row>
    <row r="820" spans="3:30">
      <c r="C820" s="3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AB820" s="28"/>
      <c r="AC820" s="28"/>
      <c r="AD820" s="28"/>
    </row>
    <row r="821" spans="3:30">
      <c r="C821" s="3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AB821" s="28"/>
      <c r="AC821" s="28"/>
      <c r="AD821" s="28"/>
    </row>
    <row r="822" spans="3:30">
      <c r="C822" s="3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AB822" s="28"/>
      <c r="AC822" s="28"/>
      <c r="AD822" s="28"/>
    </row>
    <row r="823" spans="3:30">
      <c r="C823" s="3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AB823" s="28"/>
      <c r="AC823" s="28"/>
      <c r="AD823" s="28"/>
    </row>
    <row r="824" spans="3:30">
      <c r="C824" s="3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AB824" s="28"/>
      <c r="AC824" s="28"/>
      <c r="AD824" s="28"/>
    </row>
    <row r="825" spans="3:30">
      <c r="C825" s="3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AB825" s="28"/>
      <c r="AC825" s="28"/>
      <c r="AD825" s="28"/>
    </row>
    <row r="826" spans="3:30">
      <c r="C826" s="3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AB826" s="28"/>
      <c r="AC826" s="28"/>
      <c r="AD826" s="28"/>
    </row>
    <row r="827" spans="3:30">
      <c r="C827" s="3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AB827" s="28"/>
      <c r="AC827" s="28"/>
      <c r="AD827" s="28"/>
    </row>
    <row r="828" spans="3:30">
      <c r="C828" s="3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AB828" s="28"/>
      <c r="AC828" s="28"/>
      <c r="AD828" s="28"/>
    </row>
    <row r="829" spans="3:30">
      <c r="C829" s="3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AB829" s="28"/>
      <c r="AC829" s="28"/>
      <c r="AD829" s="28"/>
    </row>
    <row r="830" spans="3:30">
      <c r="C830" s="3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AB830" s="28"/>
      <c r="AC830" s="28"/>
      <c r="AD830" s="28"/>
    </row>
    <row r="831" spans="3:30">
      <c r="C831" s="3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AB831" s="28"/>
      <c r="AC831" s="28"/>
      <c r="AD831" s="28"/>
    </row>
    <row r="832" spans="3:30">
      <c r="C832" s="3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AB832" s="28"/>
      <c r="AC832" s="28"/>
      <c r="AD832" s="28"/>
    </row>
    <row r="833" spans="3:30">
      <c r="C833" s="3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AB833" s="28"/>
      <c r="AC833" s="28"/>
      <c r="AD833" s="28"/>
    </row>
    <row r="834" spans="3:30">
      <c r="C834" s="3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AB834" s="28"/>
      <c r="AC834" s="28"/>
      <c r="AD834" s="28"/>
    </row>
    <row r="835" spans="3:30">
      <c r="C835" s="3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AB835" s="28"/>
      <c r="AC835" s="28"/>
      <c r="AD835" s="28"/>
    </row>
    <row r="836" spans="3:30">
      <c r="C836" s="3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AB836" s="28"/>
      <c r="AC836" s="28"/>
      <c r="AD836" s="28"/>
    </row>
    <row r="837" spans="3:30">
      <c r="C837" s="3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AB837" s="28"/>
      <c r="AC837" s="28"/>
      <c r="AD837" s="28"/>
    </row>
    <row r="838" spans="3:30">
      <c r="C838" s="3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AB838" s="28"/>
      <c r="AC838" s="28"/>
      <c r="AD838" s="28"/>
    </row>
    <row r="839" spans="3:30">
      <c r="C839" s="3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AB839" s="28"/>
      <c r="AC839" s="28"/>
      <c r="AD839" s="28"/>
    </row>
    <row r="840" spans="3:30">
      <c r="C840" s="3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AB840" s="28"/>
      <c r="AC840" s="28"/>
      <c r="AD840" s="28"/>
    </row>
    <row r="841" spans="3:30">
      <c r="C841" s="3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AB841" s="28"/>
      <c r="AC841" s="28"/>
      <c r="AD841" s="28"/>
    </row>
    <row r="842" spans="3:30">
      <c r="C842" s="3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AB842" s="28"/>
      <c r="AC842" s="28"/>
      <c r="AD842" s="28"/>
    </row>
    <row r="843" spans="3:30">
      <c r="C843" s="3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AB843" s="28"/>
      <c r="AC843" s="28"/>
      <c r="AD843" s="28"/>
    </row>
    <row r="844" spans="3:30">
      <c r="C844" s="3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AB844" s="28"/>
      <c r="AC844" s="28"/>
      <c r="AD844" s="28"/>
    </row>
    <row r="845" spans="3:30">
      <c r="C845" s="3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AB845" s="28"/>
      <c r="AC845" s="28"/>
      <c r="AD845" s="28"/>
    </row>
    <row r="846" spans="3:30">
      <c r="C846" s="3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AB846" s="28"/>
      <c r="AC846" s="28"/>
      <c r="AD846" s="28"/>
    </row>
    <row r="847" spans="3:30">
      <c r="C847" s="3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AB847" s="28"/>
      <c r="AC847" s="28"/>
      <c r="AD847" s="28"/>
    </row>
    <row r="848" spans="3:30">
      <c r="C848" s="3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AB848" s="28"/>
      <c r="AC848" s="28"/>
      <c r="AD848" s="28"/>
    </row>
    <row r="849" spans="3:30">
      <c r="C849" s="3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AB849" s="28"/>
      <c r="AC849" s="28"/>
      <c r="AD849" s="28"/>
    </row>
    <row r="850" spans="3:30">
      <c r="C850" s="3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AB850" s="28"/>
      <c r="AC850" s="28"/>
      <c r="AD850" s="28"/>
    </row>
    <row r="851" spans="3:30">
      <c r="C851" s="3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AB851" s="28"/>
      <c r="AC851" s="28"/>
      <c r="AD851" s="28"/>
    </row>
    <row r="852" spans="3:30">
      <c r="C852" s="3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AB852" s="28"/>
      <c r="AC852" s="28"/>
      <c r="AD852" s="28"/>
    </row>
    <row r="853" spans="3:30">
      <c r="C853" s="3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AB853" s="28"/>
      <c r="AC853" s="28"/>
      <c r="AD853" s="28"/>
    </row>
    <row r="854" spans="3:30">
      <c r="C854" s="3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AB854" s="28"/>
      <c r="AC854" s="28"/>
      <c r="AD854" s="28"/>
    </row>
    <row r="855" spans="3:30">
      <c r="C855" s="3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AB855" s="28"/>
      <c r="AC855" s="28"/>
      <c r="AD855" s="28"/>
    </row>
    <row r="856" spans="3:30">
      <c r="C856" s="3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AB856" s="28"/>
      <c r="AC856" s="28"/>
      <c r="AD856" s="28"/>
    </row>
    <row r="857" spans="3:30">
      <c r="C857" s="3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AB857" s="28"/>
      <c r="AC857" s="28"/>
      <c r="AD857" s="28"/>
    </row>
    <row r="858" spans="3:30">
      <c r="C858" s="3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AB858" s="28"/>
      <c r="AC858" s="28"/>
      <c r="AD858" s="28"/>
    </row>
    <row r="859" spans="3:30">
      <c r="C859" s="3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AB859" s="28"/>
      <c r="AC859" s="28"/>
      <c r="AD859" s="28"/>
    </row>
    <row r="860" spans="3:30">
      <c r="C860" s="3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AB860" s="28"/>
      <c r="AC860" s="28"/>
      <c r="AD860" s="28"/>
    </row>
    <row r="861" spans="3:30">
      <c r="C861" s="3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AB861" s="28"/>
      <c r="AC861" s="28"/>
      <c r="AD861" s="28"/>
    </row>
    <row r="862" spans="3:30">
      <c r="C862" s="3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AB862" s="28"/>
      <c r="AC862" s="28"/>
      <c r="AD862" s="28"/>
    </row>
    <row r="863" spans="3:30">
      <c r="C863" s="3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AB863" s="28"/>
      <c r="AC863" s="28"/>
      <c r="AD863" s="28"/>
    </row>
    <row r="864" spans="3:30">
      <c r="C864" s="3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AB864" s="28"/>
      <c r="AC864" s="28"/>
      <c r="AD864" s="28"/>
    </row>
    <row r="865" spans="3:30">
      <c r="C865" s="3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AB865" s="28"/>
      <c r="AC865" s="28"/>
      <c r="AD865" s="28"/>
    </row>
    <row r="866" spans="3:30">
      <c r="C866" s="3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AB866" s="28"/>
      <c r="AC866" s="28"/>
      <c r="AD866" s="28"/>
    </row>
    <row r="867" spans="3:30">
      <c r="C867" s="3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AB867" s="28"/>
      <c r="AC867" s="28"/>
      <c r="AD867" s="28"/>
    </row>
    <row r="868" spans="3:30">
      <c r="C868" s="3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AB868" s="28"/>
      <c r="AC868" s="28"/>
      <c r="AD868" s="28"/>
    </row>
    <row r="869" spans="3:30">
      <c r="C869" s="3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AB869" s="28"/>
      <c r="AC869" s="28"/>
      <c r="AD869" s="28"/>
    </row>
    <row r="870" spans="3:30">
      <c r="C870" s="3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AB870" s="28"/>
      <c r="AC870" s="28"/>
      <c r="AD870" s="28"/>
    </row>
    <row r="871" spans="3:30">
      <c r="C871" s="3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AB871" s="28"/>
      <c r="AC871" s="28"/>
      <c r="AD871" s="28"/>
    </row>
    <row r="872" spans="3:30">
      <c r="C872" s="3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AB872" s="28"/>
      <c r="AC872" s="28"/>
      <c r="AD872" s="28"/>
    </row>
    <row r="873" spans="3:30">
      <c r="C873" s="3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AB873" s="28"/>
      <c r="AC873" s="28"/>
      <c r="AD873" s="28"/>
    </row>
    <row r="874" spans="3:30">
      <c r="C874" s="3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AB874" s="28"/>
      <c r="AC874" s="28"/>
      <c r="AD874" s="28"/>
    </row>
    <row r="875" spans="3:30">
      <c r="C875" s="3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AB875" s="28"/>
      <c r="AC875" s="28"/>
      <c r="AD875" s="28"/>
    </row>
    <row r="876" spans="3:30">
      <c r="C876" s="3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AB876" s="28"/>
      <c r="AC876" s="28"/>
      <c r="AD876" s="28"/>
    </row>
    <row r="877" spans="3:30">
      <c r="C877" s="3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AB877" s="28"/>
      <c r="AC877" s="28"/>
      <c r="AD877" s="28"/>
    </row>
    <row r="878" spans="3:30">
      <c r="C878" s="3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AB878" s="28"/>
      <c r="AC878" s="28"/>
      <c r="AD878" s="28"/>
    </row>
    <row r="879" spans="3:30">
      <c r="C879" s="3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AB879" s="28"/>
      <c r="AC879" s="28"/>
      <c r="AD879" s="28"/>
    </row>
    <row r="880" spans="3:30">
      <c r="C880" s="3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AB880" s="28"/>
      <c r="AC880" s="28"/>
      <c r="AD880" s="28"/>
    </row>
    <row r="881" spans="3:30">
      <c r="C881" s="3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AB881" s="28"/>
      <c r="AC881" s="28"/>
      <c r="AD881" s="28"/>
    </row>
    <row r="882" spans="3:30">
      <c r="C882" s="3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AB882" s="28"/>
      <c r="AC882" s="28"/>
      <c r="AD882" s="28"/>
    </row>
    <row r="883" spans="3:30">
      <c r="C883" s="3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AB883" s="28"/>
      <c r="AC883" s="28"/>
      <c r="AD883" s="28"/>
    </row>
    <row r="884" spans="3:30">
      <c r="C884" s="3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AB884" s="28"/>
      <c r="AC884" s="28"/>
      <c r="AD884" s="28"/>
    </row>
    <row r="885" spans="3:30">
      <c r="C885" s="3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AB885" s="28"/>
      <c r="AC885" s="28"/>
      <c r="AD885" s="28"/>
    </row>
    <row r="886" spans="3:30">
      <c r="C886" s="3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AB886" s="28"/>
      <c r="AC886" s="28"/>
      <c r="AD886" s="28"/>
    </row>
    <row r="887" spans="3:30">
      <c r="C887" s="3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AB887" s="28"/>
      <c r="AC887" s="28"/>
      <c r="AD887" s="28"/>
    </row>
    <row r="888" spans="3:30">
      <c r="C888" s="3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AB888" s="28"/>
      <c r="AC888" s="28"/>
      <c r="AD888" s="28"/>
    </row>
    <row r="889" spans="3:30">
      <c r="C889" s="3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AB889" s="28"/>
      <c r="AC889" s="28"/>
      <c r="AD889" s="28"/>
    </row>
    <row r="890" spans="3:30">
      <c r="C890" s="3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AB890" s="28"/>
      <c r="AC890" s="28"/>
      <c r="AD890" s="28"/>
    </row>
    <row r="891" spans="3:30">
      <c r="C891" s="3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AB891" s="28"/>
      <c r="AC891" s="28"/>
      <c r="AD891" s="28"/>
    </row>
    <row r="892" spans="3:30">
      <c r="C892" s="3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AB892" s="28"/>
      <c r="AC892" s="28"/>
      <c r="AD892" s="28"/>
    </row>
    <row r="893" spans="3:30">
      <c r="C893" s="3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AB893" s="28"/>
      <c r="AC893" s="28"/>
      <c r="AD893" s="28"/>
    </row>
    <row r="894" spans="3:30">
      <c r="C894" s="3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AB894" s="28"/>
      <c r="AC894" s="28"/>
      <c r="AD894" s="28"/>
    </row>
    <row r="895" spans="3:30">
      <c r="C895" s="3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AB895" s="28"/>
      <c r="AC895" s="28"/>
      <c r="AD895" s="28"/>
    </row>
    <row r="896" spans="3:30">
      <c r="C896" s="3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AB896" s="28"/>
      <c r="AC896" s="28"/>
      <c r="AD896" s="28"/>
    </row>
    <row r="897" spans="3:30">
      <c r="C897" s="3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AB897" s="28"/>
      <c r="AC897" s="28"/>
      <c r="AD897" s="28"/>
    </row>
    <row r="898" spans="3:30">
      <c r="C898" s="3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AB898" s="28"/>
      <c r="AC898" s="28"/>
      <c r="AD898" s="28"/>
    </row>
    <row r="899" spans="3:30">
      <c r="C899" s="3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AB899" s="28"/>
      <c r="AC899" s="28"/>
      <c r="AD899" s="28"/>
    </row>
    <row r="900" spans="3:30">
      <c r="C900" s="3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AB900" s="28"/>
      <c r="AC900" s="28"/>
      <c r="AD900" s="28"/>
    </row>
    <row r="901" spans="3:30">
      <c r="C901" s="3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AB901" s="28"/>
      <c r="AC901" s="28"/>
      <c r="AD901" s="28"/>
    </row>
    <row r="902" spans="3:30">
      <c r="C902" s="3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AB902" s="28"/>
      <c r="AC902" s="28"/>
      <c r="AD902" s="28"/>
    </row>
    <row r="903" spans="3:30">
      <c r="C903" s="3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AB903" s="28"/>
      <c r="AC903" s="28"/>
      <c r="AD903" s="28"/>
    </row>
    <row r="904" spans="3:30">
      <c r="C904" s="3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AB904" s="28"/>
      <c r="AC904" s="28"/>
      <c r="AD904" s="28"/>
    </row>
    <row r="905" spans="3:30">
      <c r="C905" s="3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AB905" s="28"/>
      <c r="AC905" s="28"/>
      <c r="AD905" s="28"/>
    </row>
    <row r="906" spans="3:30">
      <c r="C906" s="3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AB906" s="28"/>
      <c r="AC906" s="28"/>
      <c r="AD906" s="28"/>
    </row>
    <row r="907" spans="3:30">
      <c r="C907" s="3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AB907" s="28"/>
      <c r="AC907" s="28"/>
      <c r="AD907" s="28"/>
    </row>
    <row r="908" spans="3:30">
      <c r="C908" s="3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AB908" s="28"/>
      <c r="AC908" s="28"/>
      <c r="AD908" s="28"/>
    </row>
    <row r="909" spans="3:30">
      <c r="C909" s="3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AB909" s="28"/>
      <c r="AC909" s="28"/>
      <c r="AD909" s="28"/>
    </row>
    <row r="910" spans="3:30">
      <c r="C910" s="3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AB910" s="28"/>
      <c r="AC910" s="28"/>
      <c r="AD910" s="28"/>
    </row>
    <row r="911" spans="3:30">
      <c r="C911" s="3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AB911" s="28"/>
      <c r="AC911" s="28"/>
      <c r="AD911" s="28"/>
    </row>
    <row r="912" spans="3:30">
      <c r="C912" s="3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AB912" s="28"/>
      <c r="AC912" s="28"/>
      <c r="AD912" s="28"/>
    </row>
    <row r="913" spans="3:30">
      <c r="C913" s="3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AB913" s="28"/>
      <c r="AC913" s="28"/>
      <c r="AD913" s="28"/>
    </row>
    <row r="914" spans="3:30">
      <c r="C914" s="3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AB914" s="28"/>
      <c r="AC914" s="28"/>
      <c r="AD914" s="28"/>
    </row>
    <row r="915" spans="3:30">
      <c r="C915" s="3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AB915" s="28"/>
      <c r="AC915" s="28"/>
      <c r="AD915" s="28"/>
    </row>
    <row r="916" spans="3:30"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AB916" s="28"/>
      <c r="AC916" s="28"/>
      <c r="AD916" s="28"/>
    </row>
    <row r="917" spans="3:30"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AB917" s="28"/>
      <c r="AC917" s="28"/>
      <c r="AD917" s="28"/>
    </row>
    <row r="918" spans="3:30"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AB918" s="28"/>
      <c r="AC918" s="28"/>
      <c r="AD918" s="28"/>
    </row>
    <row r="919" spans="3:30"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AB919" s="28"/>
      <c r="AC919" s="28"/>
      <c r="AD919" s="28"/>
    </row>
    <row r="920" spans="3:30"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AB920" s="28"/>
      <c r="AC920" s="28"/>
      <c r="AD920" s="28"/>
    </row>
    <row r="921" spans="3:30"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AB921" s="28"/>
      <c r="AC921" s="28"/>
      <c r="AD921" s="28"/>
    </row>
    <row r="922" spans="3:30"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AB922" s="28"/>
      <c r="AC922" s="28"/>
      <c r="AD922" s="28"/>
    </row>
    <row r="923" spans="3:30"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AB923" s="28"/>
      <c r="AC923" s="28"/>
      <c r="AD923" s="28"/>
    </row>
    <row r="924" spans="3:30"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AB924" s="28"/>
      <c r="AC924" s="28"/>
      <c r="AD924" s="28"/>
    </row>
    <row r="925" spans="3:30"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AB925" s="28"/>
      <c r="AC925" s="28"/>
      <c r="AD925" s="28"/>
    </row>
    <row r="926" spans="3:30"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AB926" s="28"/>
      <c r="AC926" s="28"/>
      <c r="AD926" s="28"/>
    </row>
    <row r="927" spans="3:30"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AB927" s="28"/>
      <c r="AC927" s="28"/>
      <c r="AD927" s="28"/>
    </row>
    <row r="928" spans="3:30"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AB928" s="28"/>
      <c r="AC928" s="28"/>
      <c r="AD928" s="28"/>
    </row>
    <row r="929" spans="4:30"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AB929" s="28"/>
      <c r="AC929" s="28"/>
      <c r="AD929" s="28"/>
    </row>
    <row r="930" spans="4:30"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AB930" s="28"/>
      <c r="AC930" s="28"/>
      <c r="AD930" s="28"/>
    </row>
    <row r="931" spans="4:30"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AB931" s="28"/>
      <c r="AC931" s="28"/>
      <c r="AD931" s="28"/>
    </row>
    <row r="932" spans="4:30"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AB932" s="28"/>
      <c r="AC932" s="28"/>
      <c r="AD932" s="28"/>
    </row>
    <row r="933" spans="4:30"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AB933" s="28"/>
      <c r="AC933" s="28"/>
      <c r="AD933" s="28"/>
    </row>
    <row r="934" spans="4:30"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AB934" s="28"/>
      <c r="AC934" s="28"/>
      <c r="AD934" s="28"/>
    </row>
    <row r="935" spans="4:30"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AB935" s="28"/>
      <c r="AC935" s="28"/>
      <c r="AD935" s="28"/>
    </row>
    <row r="936" spans="4:30"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AB936" s="28"/>
      <c r="AC936" s="28"/>
      <c r="AD936" s="28"/>
    </row>
    <row r="937" spans="4:30"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AB937" s="28"/>
      <c r="AC937" s="28"/>
      <c r="AD937" s="28"/>
    </row>
    <row r="938" spans="4:30"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AB938" s="28"/>
      <c r="AC938" s="28"/>
      <c r="AD938" s="28"/>
    </row>
    <row r="939" spans="4:30"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AB939" s="28"/>
      <c r="AC939" s="28"/>
      <c r="AD939" s="28"/>
    </row>
    <row r="940" spans="4:30"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AB940" s="28"/>
      <c r="AC940" s="28"/>
      <c r="AD940" s="28"/>
    </row>
    <row r="941" spans="4:30"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AB941" s="28"/>
      <c r="AC941" s="28"/>
      <c r="AD941" s="28"/>
    </row>
  </sheetData>
  <mergeCells count="3">
    <mergeCell ref="B4:C4"/>
    <mergeCell ref="B2:C2"/>
    <mergeCell ref="D2:G2"/>
  </mergeCells>
  <dataValidations count="1">
    <dataValidation type="list" allowBlank="1" showInputMessage="1" showErrorMessage="1" sqref="D2" xr:uid="{00000000-0002-0000-0100-000000000000}">
      <formula1>Nombre</formula1>
    </dataValidation>
  </dataValidations>
  <pageMargins left="0.7" right="0.7" top="0.75" bottom="0.75" header="0" footer="0"/>
  <pageSetup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Filas_profesor">
                <anchor moveWithCells="1" sizeWithCells="1">
                  <from>
                    <xdr:col>7</xdr:col>
                    <xdr:colOff>457200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AW941"/>
  <sheetViews>
    <sheetView topLeftCell="K12" zoomScale="69" zoomScaleNormal="69" workbookViewId="0">
      <selection activeCell="D32" sqref="D32"/>
    </sheetView>
  </sheetViews>
  <sheetFormatPr baseColWidth="10" defaultColWidth="14.5" defaultRowHeight="14"/>
  <cols>
    <col min="1" max="1" width="5" style="1" customWidth="1"/>
    <col min="2" max="3" width="7.5" style="2" customWidth="1"/>
    <col min="4" max="4" width="32.5" style="1" customWidth="1"/>
    <col min="5" max="5" width="8" style="1" customWidth="1"/>
    <col min="6" max="6" width="11.5" style="1" customWidth="1"/>
    <col min="7" max="7" width="32.5" style="1" customWidth="1"/>
    <col min="8" max="8" width="10.5" style="1" customWidth="1"/>
    <col min="9" max="9" width="13.1640625" style="1" customWidth="1"/>
    <col min="10" max="10" width="32.5" style="1" customWidth="1"/>
    <col min="11" max="11" width="8" style="1" customWidth="1"/>
    <col min="12" max="12" width="13.5" style="1" customWidth="1"/>
    <col min="13" max="13" width="32.5" style="1" customWidth="1"/>
    <col min="14" max="14" width="8" style="1" customWidth="1"/>
    <col min="15" max="15" width="11.83203125" style="1" customWidth="1"/>
    <col min="16" max="16" width="32.5" style="1" customWidth="1"/>
    <col min="17" max="17" width="8" style="1" customWidth="1"/>
    <col min="18" max="18" width="13.83203125" style="1" bestFit="1" customWidth="1"/>
    <col min="19" max="19" width="10.1640625" style="1" bestFit="1" customWidth="1"/>
    <col min="20" max="20" width="8" style="1" hidden="1" customWidth="1"/>
    <col min="21" max="21" width="11.33203125" style="1" hidden="1" customWidth="1"/>
    <col min="22" max="22" width="10.6640625" style="1" customWidth="1"/>
    <col min="23" max="23" width="45.1640625" style="3" customWidth="1"/>
    <col min="24" max="24" width="13.6640625" style="3" customWidth="1"/>
    <col min="25" max="25" width="10.6640625" style="3" customWidth="1"/>
    <col min="26" max="27" width="10.6640625" style="1" customWidth="1"/>
    <col min="28" max="48" width="14.5" style="1" customWidth="1"/>
    <col min="49" max="16384" width="14.5" style="1"/>
  </cols>
  <sheetData>
    <row r="1" spans="1:49">
      <c r="A1" s="35"/>
    </row>
    <row r="2" spans="1:49" ht="17">
      <c r="A2" s="27"/>
      <c r="B2" s="232" t="s">
        <v>12</v>
      </c>
      <c r="C2" s="233"/>
      <c r="D2" s="208" t="s">
        <v>13</v>
      </c>
      <c r="E2" s="232" t="s">
        <v>14</v>
      </c>
      <c r="F2" s="233"/>
      <c r="G2" s="204">
        <v>7</v>
      </c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05">
        <f>Semestre</f>
        <v>7</v>
      </c>
      <c r="Y2" s="130"/>
      <c r="Z2" s="27"/>
      <c r="AA2" s="27"/>
      <c r="AB2" s="27"/>
      <c r="AC2" s="27"/>
    </row>
    <row r="4" spans="1:49" ht="16">
      <c r="B4" s="237" t="s">
        <v>2</v>
      </c>
      <c r="C4" s="238"/>
      <c r="D4" s="203" t="s">
        <v>3</v>
      </c>
      <c r="E4" s="203" t="s">
        <v>0</v>
      </c>
      <c r="F4" s="203" t="s">
        <v>4</v>
      </c>
      <c r="G4" s="205" t="s">
        <v>5</v>
      </c>
      <c r="H4" s="203" t="s">
        <v>0</v>
      </c>
      <c r="I4" s="203" t="s">
        <v>4</v>
      </c>
      <c r="J4" s="205" t="s">
        <v>6</v>
      </c>
      <c r="K4" s="203" t="s">
        <v>0</v>
      </c>
      <c r="L4" s="203" t="s">
        <v>4</v>
      </c>
      <c r="M4" s="205" t="s">
        <v>7</v>
      </c>
      <c r="N4" s="203" t="s">
        <v>0</v>
      </c>
      <c r="O4" s="203" t="s">
        <v>4</v>
      </c>
      <c r="P4" s="205" t="s">
        <v>8</v>
      </c>
      <c r="Q4" s="203" t="s">
        <v>0</v>
      </c>
      <c r="R4" s="203" t="s">
        <v>4</v>
      </c>
      <c r="S4" s="205" t="s">
        <v>15</v>
      </c>
      <c r="T4" s="203" t="s">
        <v>0</v>
      </c>
      <c r="U4" s="203" t="s">
        <v>4</v>
      </c>
      <c r="V4" s="28"/>
      <c r="W4" s="205" t="s">
        <v>16</v>
      </c>
      <c r="X4" s="205" t="s">
        <v>17</v>
      </c>
      <c r="Z4" s="28"/>
      <c r="AA4" s="28"/>
    </row>
    <row r="5" spans="1:49" ht="15">
      <c r="B5" s="206">
        <v>0.29166666666666669</v>
      </c>
      <c r="C5" s="207">
        <v>0.3125</v>
      </c>
      <c r="D5" s="29" t="str" cm="1">
        <f t="array" aca="1" ref="D5" ca="1">_xlfn.TEXTJOIN(CHAR(10),TRUE,IF(Semestre=INDIRECT("base_de_datos["&amp;Carrera&amp;"]"),IF("x"=base_de_datos[Lunes],IF(base_de_datos[Hora inicio]&lt;=$B5,IF(base_de_datos[Hora fin]&gt;=$C5,base_de_datos[Materia]&amp;" "&amp;base_de_datos[[Número de grupo ]]&amp;" "&amp;base_de_datos[Profesor],""),""),""),""),"")</f>
        <v/>
      </c>
      <c r="E5" s="29" t="str" cm="1">
        <f t="array" aca="1" ref="E5" ca="1">_xlfn.TEXTJOIN(CHAR(10),TRUE,IF(Semestre=INDIRECT("base_de_datos["&amp;Carrera&amp;"]"),IF("x"=base_de_datos[Lunes],IF(base_de_datos[Hora inicio]&lt;=$B5,IF(base_de_datos[Hora fin]&gt;=$C5,base_de_datos[Aula]&amp;" "&amp;base_de_datos[Examen],""),""),""),""),"")</f>
        <v/>
      </c>
      <c r="F5" s="29" t="str" cm="1">
        <f t="array" aca="1" ref="F5" ca="1">_xlfn.TEXTJOIN(CHAR(10),TRUE,IF(Semestre=INDIRECT("base_de_datos["&amp;Carrera&amp;"]"),IF("x"=base_de_datos[Lunes],IF(base_de_datos[Hora inicio]&lt;=$B5,IF(base_de_datos[Hora fin]&gt;=$C5,base_de_datos[No clase],""),""),""),""),"")</f>
        <v/>
      </c>
      <c r="G5" s="29" t="str" cm="1">
        <f t="array" aca="1" ref="G5" ca="1">_xlfn.TEXTJOIN(CHAR(10),TRUE,IF(Semestre=INDIRECT("base_de_datos["&amp;Carrera&amp;"]"),IF("x"=base_de_datos[Martes],IF(base_de_datos[Hora inicio]&lt;=$B5,IF(base_de_datos[Hora fin]&gt;=$C5,base_de_datos[Materia]&amp;" "&amp;base_de_datos[[Número de grupo ]]&amp;" "&amp;base_de_datos[Profesor],""),""),""),""),"")</f>
        <v/>
      </c>
      <c r="H5" s="29" t="str" cm="1">
        <f t="array" aca="1" ref="H5" ca="1">_xlfn.TEXTJOIN(CHAR(10),TRUE,IF(Semestre=INDIRECT("base_de_datos["&amp;Carrera&amp;"]"),IF("x"=base_de_datos[Martes],IF(base_de_datos[Hora inicio]&lt;=$B5,IF(base_de_datos[Hora fin]&gt;=$C5,base_de_datos[Aula]&amp;" "&amp;base_de_datos[Examen],""),""),""),""),"")</f>
        <v/>
      </c>
      <c r="I5" s="29" t="str" cm="1">
        <f t="array" aca="1" ref="I5" ca="1">_xlfn.TEXTJOIN(CHAR(10),TRUE,IF(Semestre=INDIRECT("base_de_datos["&amp;Carrera&amp;"]"),IF("x"=base_de_datos[Martes],IF(base_de_datos[Hora inicio]&lt;=$B5,IF(base_de_datos[Hora fin]&gt;=$C5,base_de_datos[No clase],""),""),""),""),"")</f>
        <v/>
      </c>
      <c r="J5" s="29" t="str" cm="1">
        <f t="array" aca="1" ref="J5" ca="1">_xlfn.TEXTJOIN(CHAR(10),TRUE,IF(Semestre=INDIRECT("base_de_datos["&amp;Carrera&amp;"]"),IF("x"=base_de_datos[Miércoles],IF(base_de_datos[Hora inicio]&lt;=$B5,IF(base_de_datos[Hora fin]&gt;=$C5,base_de_datos[Materia]&amp;" "&amp;base_de_datos[[Número de grupo ]]&amp;" "&amp;base_de_datos[Profesor],""),""),""),""),"")</f>
        <v/>
      </c>
      <c r="K5" s="29" t="str" cm="1">
        <f t="array" aca="1" ref="K5" ca="1">_xlfn.TEXTJOIN(CHAR(10),TRUE,IF(Semestre=INDIRECT("base_de_datos["&amp;Carrera&amp;"]"),IF("x"=base_de_datos[Miércoles],IF(base_de_datos[Hora inicio]&lt;=$B5,IF(base_de_datos[Hora fin]&gt;=$C5,base_de_datos[Aula]&amp;" "&amp;base_de_datos[Examen],""),""),""),""),"")</f>
        <v/>
      </c>
      <c r="L5" s="29" t="str" cm="1">
        <f t="array" aca="1" ref="L5" ca="1">_xlfn.TEXTJOIN(CHAR(10),TRUE,IF(Semestre=INDIRECT("base_de_datos["&amp;Carrera&amp;"]"),IF("x"=base_de_datos[Miércoles],IF(base_de_datos[Hora inicio]&lt;=$B5,IF(base_de_datos[Hora fin]&gt;=$C5,base_de_datos[No clase],""),""),""),""),"")</f>
        <v/>
      </c>
      <c r="M5" s="29" t="str" cm="1">
        <f t="array" aca="1" ref="M5" ca="1">_xlfn.TEXTJOIN(CHAR(10),TRUE,IF(Semestre=INDIRECT("base_de_datos["&amp;Carrera&amp;"]"),IF("x"=base_de_datos[Jueves],IF(base_de_datos[Hora inicio]&lt;=$B5,IF(base_de_datos[Hora fin]&gt;=$C5,base_de_datos[Materia]&amp;" "&amp;base_de_datos[[Número de grupo ]]&amp;" "&amp;base_de_datos[Profesor],""),""),""),""),"")</f>
        <v/>
      </c>
      <c r="N5" s="29" t="str" cm="1">
        <f t="array" aca="1" ref="N5" ca="1">_xlfn.TEXTJOIN(CHAR(10),TRUE,IF(Semestre=INDIRECT("base_de_datos["&amp;Carrera&amp;"]"),IF("x"=base_de_datos[Jueves],IF(base_de_datos[Hora inicio]&lt;=$B5,IF(base_de_datos[Hora fin]&gt;=$C5,base_de_datos[Aula]&amp;" "&amp;base_de_datos[Examen],""),""),""),""),"")</f>
        <v/>
      </c>
      <c r="O5" s="29" t="str" cm="1">
        <f t="array" aca="1" ref="O5" ca="1">_xlfn.TEXTJOIN(CHAR(10),TRUE,IF(Semestre=INDIRECT("base_de_datos["&amp;Carrera&amp;"]"),IF("x"=base_de_datos[Jueves],IF(base_de_datos[Hora inicio]&lt;=$B5,IF(base_de_datos[Hora fin]&gt;=$C5,base_de_datos[No clase],""),""),""),""),"")</f>
        <v/>
      </c>
      <c r="P5" s="29" t="str" cm="1">
        <f t="array" aca="1" ref="P5" ca="1">_xlfn.TEXTJOIN(CHAR(10),TRUE,IF(Semestre=INDIRECT("base_de_datos["&amp;Carrera&amp;"]"),IF("x"=base_de_datos[Viernes],IF(base_de_datos[Hora inicio]&lt;=$B5,IF(base_de_datos[Hora fin]&gt;=$C5,base_de_datos[Materia]&amp;" "&amp;base_de_datos[[Número de grupo ]]&amp;" "&amp;base_de_datos[Profesor],""),""),""),""),"")</f>
        <v/>
      </c>
      <c r="Q5" s="29" t="str" cm="1">
        <f t="array" aca="1" ref="Q5" ca="1">_xlfn.TEXTJOIN(CHAR(10),TRUE,IF(Semestre=INDIRECT("base_de_datos["&amp;Carrera&amp;"]"),IF("x"=base_de_datos[Viernes],IF(base_de_datos[Hora inicio]&lt;=$B5,IF(base_de_datos[Hora fin]&gt;=$C5,base_de_datos[Aula]&amp;" "&amp;base_de_datos[Examen],""),""),""),""),"")</f>
        <v/>
      </c>
      <c r="R5" s="29" t="str" cm="1">
        <f t="array" aca="1" ref="R5" ca="1">_xlfn.TEXTJOIN(CHAR(10),TRUE,IF(Semestre=INDIRECT("base_de_datos["&amp;Carrera&amp;"]"),IF("x"=base_de_datos[Viernes],IF(base_de_datos[Hora inicio]&lt;=$B5,IF(base_de_datos[Hora fin]&gt;=$C5,base_de_datos[No clase],""),""),""),""),"")</f>
        <v/>
      </c>
      <c r="S5" s="29" t="str" cm="1">
        <f t="array" aca="1" ref="S5" ca="1">_xlfn.TEXTJOIN(CHAR(10),TRUE,IF(Semestre=INDIRECT("base_de_datos["&amp;Carrera&amp;"]"),IF("x"=base_de_datos[Sábado],IF(base_de_datos[Hora inicio]&lt;=$B5,IF(base_de_datos[Hora fin]&gt;=$C5,base_de_datos[Materia]&amp;" "&amp;base_de_datos[[Número de grupo ]]&amp;" "&amp;base_de_datos[Profesor],""),""),""),""),"")</f>
        <v/>
      </c>
      <c r="T5" s="29" t="str" cm="1">
        <f t="array" aca="1" ref="T5" ca="1">_xlfn.TEXTJOIN(CHAR(10),TRUE,IF(Semestre=INDIRECT("base_de_datos["&amp;Carrera&amp;"]"),IF("x"=base_de_datos[Sábado],IF(base_de_datos[Hora inicio]&lt;=$B5,IF(base_de_datos[Hora fin]&gt;=$C5,base_de_datos[Aula]&amp;" "&amp;#REF!,""),""),""),""),"")</f>
        <v/>
      </c>
      <c r="U5" s="29" t="str" cm="1">
        <f t="array" aca="1" ref="U5" ca="1">_xlfn.TEXTJOIN(CHAR(10),TRUE,IF(Semestre=INDIRECT("base_de_datos["&amp;Carrera&amp;"]"),IF("x"=base_de_datos[Sábado],IF(base_de_datos[Hora inicio]&lt;=$B5,IF(base_de_datos[Hora fin]&gt;=$C5,base_de_datos[No clase],""),""),""),""),"")</f>
        <v/>
      </c>
      <c r="V5" s="28"/>
      <c r="W5" s="131" t="str" cm="1">
        <f t="array" aca="1" ref="W5:AU11" ca="1">_xlfn._xlws.SORT(_xlfn._xlws.FILTER(Planes_de_estudio[],(INDIRECT(IF(Carrera="Inteligencia Artificial","Inteligencia_Artificial",IF(Carrera="Tecnologías Energéticas","Tecnologías_Energéticas",IF(Carrera="Civil y Administración","Civil_y_Administración",IF(Carrera="Innovación y Diseño","Innovación_y_Diseño",Carrera)))))=W2)),2,1)</f>
        <v>Biosensores</v>
      </c>
      <c r="X5" s="129" t="str">
        <f ca="1"/>
        <v>BIO</v>
      </c>
      <c r="Y5" s="115">
        <f ca="1"/>
        <v>0</v>
      </c>
      <c r="Z5" s="31">
        <f ca="1"/>
        <v>0</v>
      </c>
      <c r="AA5" s="31">
        <f ca="1"/>
        <v>0</v>
      </c>
      <c r="AB5" s="52">
        <f ca="1"/>
        <v>0</v>
      </c>
      <c r="AC5" s="52">
        <f ca="1"/>
        <v>0</v>
      </c>
      <c r="AD5" s="52">
        <f ca="1"/>
        <v>0</v>
      </c>
      <c r="AE5" s="52">
        <f ca="1"/>
        <v>7</v>
      </c>
      <c r="AF5" s="52">
        <f ca="1"/>
        <v>64</v>
      </c>
      <c r="AG5" s="52">
        <f ca="1"/>
        <v>0</v>
      </c>
      <c r="AH5" s="52">
        <f ca="1"/>
        <v>0</v>
      </c>
      <c r="AI5" s="52">
        <f ca="1"/>
        <v>0</v>
      </c>
      <c r="AJ5" s="52">
        <f ca="1"/>
        <v>0</v>
      </c>
      <c r="AK5" s="52">
        <f ca="1"/>
        <v>0</v>
      </c>
      <c r="AL5" s="52">
        <f ca="1"/>
        <v>0</v>
      </c>
      <c r="AM5" s="52">
        <f ca="1"/>
        <v>0</v>
      </c>
      <c r="AN5" s="52" t="str">
        <f ca="1"/>
        <v>028908</v>
      </c>
      <c r="AO5" s="52">
        <f ca="1"/>
        <v>0</v>
      </c>
      <c r="AP5" s="52">
        <f ca="1"/>
        <v>0</v>
      </c>
      <c r="AQ5" s="52">
        <f ca="1"/>
        <v>0</v>
      </c>
      <c r="AR5" s="52">
        <f ca="1"/>
        <v>0</v>
      </c>
      <c r="AS5" s="52">
        <f ca="1"/>
        <v>0</v>
      </c>
      <c r="AT5" s="52">
        <f ca="1"/>
        <v>0</v>
      </c>
      <c r="AU5" s="52">
        <f ca="1"/>
        <v>6</v>
      </c>
      <c r="AV5" s="52"/>
      <c r="AW5" s="1" t="str">
        <f t="shared" ref="AW5:AW22" ca="1" si="0">IF(W5="","",(IFERROR(VLOOKUP(W5,Materia_programada,1,0),0)))</f>
        <v>Biosensores</v>
      </c>
    </row>
    <row r="6" spans="1:49" ht="60">
      <c r="B6" s="206">
        <v>0.3125</v>
      </c>
      <c r="C6" s="206">
        <v>0.33333333333333298</v>
      </c>
      <c r="D6" s="29" t="str" cm="1">
        <f t="array" aca="1" ref="D6" ca="1">_xlfn.TEXTJOIN(CHAR(10),TRUE,IF(Semestre=INDIRECT("base_de_datos["&amp;Carrera&amp;"]"),IF("x"=base_de_datos[Lunes],IF(base_de_datos[Hora inicio]&lt;=$B6,IF(base_de_datos[Hora fin]&gt;=$C6,base_de_datos[Materia]&amp;" "&amp;base_de_datos[[Número de grupo ]]&amp;" "&amp;base_de_datos[Profesor],""),""),""),""),"")</f>
        <v/>
      </c>
      <c r="E6" s="29" t="str" cm="1">
        <f t="array" aca="1" ref="E6" ca="1">_xlfn.TEXTJOIN(CHAR(10),TRUE,IF(Semestre=INDIRECT("base_de_datos["&amp;Carrera&amp;"]"),IF("x"=base_de_datos[Lunes],IF(base_de_datos[Hora inicio]&lt;=$B6,IF(base_de_datos[Hora fin]&gt;=$C6,base_de_datos[Aula]&amp;" "&amp;base_de_datos[Examen],""),""),""),""),"")</f>
        <v/>
      </c>
      <c r="F6" s="29" t="str" cm="1">
        <f t="array" aca="1" ref="F6" ca="1">_xlfn.TEXTJOIN(CHAR(10),TRUE,IF(Semestre=INDIRECT("base_de_datos["&amp;Carrera&amp;"]"),IF("x"=base_de_datos[Lunes],IF(base_de_datos[Hora inicio]&lt;=$B6,IF(base_de_datos[Hora fin]&gt;=$C6,base_de_datos[No clase],""),""),""),""),"")</f>
        <v/>
      </c>
      <c r="G6" s="29" t="str" cm="1">
        <f t="array" aca="1" ref="G6" ca="1">_xlfn.TEXTJOIN(CHAR(10),TRUE,IF(Semestre=INDIRECT("base_de_datos["&amp;Carrera&amp;"]"),IF("x"=base_de_datos[Martes],IF(base_de_datos[Hora inicio]&lt;=$B6,IF(base_de_datos[Hora fin]&gt;=$C6,base_de_datos[Materia]&amp;" "&amp;base_de_datos[[Número de grupo ]]&amp;" "&amp;base_de_datos[Profesor],""),""),""),""),"")</f>
        <v/>
      </c>
      <c r="H6" s="29" t="str" cm="1">
        <f t="array" aca="1" ref="H6" ca="1">_xlfn.TEXTJOIN(CHAR(10),TRUE,IF(Semestre=INDIRECT("base_de_datos["&amp;Carrera&amp;"]"),IF("x"=base_de_datos[Martes],IF(base_de_datos[Hora inicio]&lt;=$B6,IF(base_de_datos[Hora fin]&gt;=$C6,base_de_datos[Aula]&amp;" "&amp;base_de_datos[Examen],""),""),""),""),"")</f>
        <v/>
      </c>
      <c r="I6" s="29" t="str" cm="1">
        <f t="array" aca="1" ref="I6" ca="1">_xlfn.TEXTJOIN(CHAR(10),TRUE,IF(Semestre=INDIRECT("base_de_datos["&amp;Carrera&amp;"]"),IF("x"=base_de_datos[Martes],IF(base_de_datos[Hora inicio]&lt;=$B6,IF(base_de_datos[Hora fin]&gt;=$C6,base_de_datos[No clase],""),""),""),""),"")</f>
        <v/>
      </c>
      <c r="J6" s="29" t="str" cm="1">
        <f t="array" aca="1" ref="J6" ca="1">_xlfn.TEXTJOIN(CHAR(10),TRUE,IF(Semestre=INDIRECT("base_de_datos["&amp;Carrera&amp;"]"),IF("x"=base_de_datos[Miércoles],IF(base_de_datos[Hora inicio]&lt;=$B6,IF(base_de_datos[Hora fin]&gt;=$C6,base_de_datos[Materia]&amp;" "&amp;base_de_datos[[Número de grupo ]]&amp;" "&amp;base_de_datos[Profesor],""),""),""),""),"")</f>
        <v/>
      </c>
      <c r="K6" s="29" t="str" cm="1">
        <f t="array" aca="1" ref="K6" ca="1">_xlfn.TEXTJOIN(CHAR(10),TRUE,IF(Semestre=INDIRECT("base_de_datos["&amp;Carrera&amp;"]"),IF("x"=base_de_datos[Miércoles],IF(base_de_datos[Hora inicio]&lt;=$B6,IF(base_de_datos[Hora fin]&gt;=$C6,base_de_datos[Aula]&amp;" "&amp;base_de_datos[Examen],""),""),""),""),"")</f>
        <v/>
      </c>
      <c r="L6" s="29" t="str" cm="1">
        <f t="array" aca="1" ref="L6" ca="1">_xlfn.TEXTJOIN(CHAR(10),TRUE,IF(Semestre=INDIRECT("base_de_datos["&amp;Carrera&amp;"]"),IF("x"=base_de_datos[Miércoles],IF(base_de_datos[Hora inicio]&lt;=$B6,IF(base_de_datos[Hora fin]&gt;=$C6,base_de_datos[No clase],""),""),""),""),"")</f>
        <v/>
      </c>
      <c r="M6" s="29" t="str" cm="1">
        <f t="array" aca="1" ref="M6" ca="1">_xlfn.TEXTJOIN(CHAR(10),TRUE,IF(Semestre=INDIRECT("base_de_datos["&amp;Carrera&amp;"]"),IF("x"=base_de_datos[Jueves],IF(base_de_datos[Hora inicio]&lt;=$B6,IF(base_de_datos[Hora fin]&gt;=$C6,base_de_datos[Materia]&amp;" "&amp;base_de_datos[[Número de grupo ]]&amp;" "&amp;base_de_datos[Profesor],""),""),""),""),"")</f>
        <v/>
      </c>
      <c r="N6" s="29" t="str" cm="1">
        <f t="array" aca="1" ref="N6" ca="1">_xlfn.TEXTJOIN(CHAR(10),TRUE,IF(Semestre=INDIRECT("base_de_datos["&amp;Carrera&amp;"]"),IF("x"=base_de_datos[Jueves],IF(base_de_datos[Hora inicio]&lt;=$B6,IF(base_de_datos[Hora fin]&gt;=$C6,base_de_datos[Aula]&amp;" "&amp;base_de_datos[Examen],""),""),""),""),"")</f>
        <v/>
      </c>
      <c r="O6" s="29" t="str" cm="1">
        <f t="array" aca="1" ref="O6" ca="1">_xlfn.TEXTJOIN(CHAR(10),TRUE,IF(Semestre=INDIRECT("base_de_datos["&amp;Carrera&amp;"]"),IF("x"=base_de_datos[Jueves],IF(base_de_datos[Hora inicio]&lt;=$B6,IF(base_de_datos[Hora fin]&gt;=$C6,base_de_datos[No clase],""),""),""),""),"")</f>
        <v/>
      </c>
      <c r="P6" s="29" t="str" cm="1">
        <f t="array" aca="1" ref="P6" ca="1">_xlfn.TEXTJOIN(CHAR(10),TRUE,IF(Semestre=INDIRECT("base_de_datos["&amp;Carrera&amp;"]"),IF("x"=base_de_datos[Viernes],IF(base_de_datos[Hora inicio]&lt;=$B6,IF(base_de_datos[Hora fin]&gt;=$C6,base_de_datos[Materia]&amp;" "&amp;base_de_datos[[Número de grupo ]]&amp;" "&amp;base_de_datos[Profesor],""),""),""),""),"")</f>
        <v/>
      </c>
      <c r="Q6" s="29" t="str" cm="1">
        <f t="array" aca="1" ref="Q6" ca="1">_xlfn.TEXTJOIN(CHAR(10),TRUE,IF(Semestre=INDIRECT("base_de_datos["&amp;Carrera&amp;"]"),IF("x"=base_de_datos[Viernes],IF(base_de_datos[Hora inicio]&lt;=$B6,IF(base_de_datos[Hora fin]&gt;=$C6,base_de_datos[Aula]&amp;" "&amp;base_de_datos[Examen],""),""),""),""),"")</f>
        <v/>
      </c>
      <c r="R6" s="29" t="str" cm="1">
        <f t="array" aca="1" ref="R6" ca="1">_xlfn.TEXTJOIN(CHAR(10),TRUE,IF(Semestre=INDIRECT("base_de_datos["&amp;Carrera&amp;"]"),IF("x"=base_de_datos[Viernes],IF(base_de_datos[Hora inicio]&lt;=$B6,IF(base_de_datos[Hora fin]&gt;=$C6,base_de_datos[No clase],""),""),""),""),"")</f>
        <v/>
      </c>
      <c r="S6" s="29" t="str" cm="1">
        <f t="array" aca="1" ref="S6" ca="1">_xlfn.TEXTJOIN(CHAR(10),TRUE,IF(Semestre=INDIRECT("base_de_datos["&amp;Carrera&amp;"]"),IF("x"=base_de_datos[Sábado],IF(base_de_datos[Hora inicio]&lt;=$B6,IF(base_de_datos[Hora fin]&gt;=$C6,base_de_datos[Materia]&amp;" "&amp;base_de_datos[[Número de grupo ]]&amp;" "&amp;base_de_datos[Profesor],""),""),""),""),"")</f>
        <v/>
      </c>
      <c r="T6" s="29" t="str" cm="1">
        <f t="array" aca="1" ref="T6" ca="1">_xlfn.TEXTJOIN(CHAR(10),TRUE,IF(Semestre=INDIRECT("base_de_datos["&amp;Carrera&amp;"]"),IF("x"=base_de_datos[Sábado],IF(base_de_datos[Hora inicio]&lt;=$B6,IF(base_de_datos[Hora fin]&gt;=$C6,base_de_datos[Aula]&amp;" "&amp;#REF!,""),""),""),""),"")</f>
        <v/>
      </c>
      <c r="U6" s="29" t="str" cm="1">
        <f t="array" aca="1" ref="U6" ca="1">_xlfn.TEXTJOIN(CHAR(10),TRUE,IF(Semestre=INDIRECT("base_de_datos["&amp;Carrera&amp;"]"),IF("x"=base_de_datos[Sábado],IF(base_de_datos[Hora inicio]&lt;=$B6,IF(base_de_datos[Hora fin]&gt;=$C6,base_de_datos[No clase],""),""),""),""),"")</f>
        <v/>
      </c>
      <c r="V6" s="28"/>
      <c r="W6" s="131" t="str">
        <f ca="1"/>
        <v>Desarrollo de aplicaciones para dispositivos inteligentes</v>
      </c>
      <c r="X6" s="129" t="str">
        <f ca="1"/>
        <v>COM</v>
      </c>
      <c r="Y6" s="115">
        <f ca="1"/>
        <v>0</v>
      </c>
      <c r="Z6" s="31">
        <f ca="1"/>
        <v>0</v>
      </c>
      <c r="AA6" s="31">
        <f ca="1"/>
        <v>0</v>
      </c>
      <c r="AB6" s="52">
        <f ca="1"/>
        <v>7</v>
      </c>
      <c r="AC6" s="52">
        <f ca="1"/>
        <v>0</v>
      </c>
      <c r="AD6" s="52">
        <f ca="1"/>
        <v>0</v>
      </c>
      <c r="AE6" s="52">
        <f ca="1"/>
        <v>7</v>
      </c>
      <c r="AF6" s="52">
        <f ca="1"/>
        <v>48</v>
      </c>
      <c r="AG6" s="52">
        <f ca="1"/>
        <v>0</v>
      </c>
      <c r="AH6" s="52">
        <f ca="1"/>
        <v>0</v>
      </c>
      <c r="AI6" s="52">
        <f ca="1"/>
        <v>0</v>
      </c>
      <c r="AJ6" s="52">
        <f ca="1"/>
        <v>0</v>
      </c>
      <c r="AK6" s="52" t="str">
        <f ca="1"/>
        <v>028906</v>
      </c>
      <c r="AL6" s="52">
        <f ca="1"/>
        <v>0</v>
      </c>
      <c r="AM6" s="52">
        <f ca="1"/>
        <v>0</v>
      </c>
      <c r="AN6" s="52" t="str">
        <f ca="1"/>
        <v>028906</v>
      </c>
      <c r="AO6" s="52">
        <f ca="1"/>
        <v>0</v>
      </c>
      <c r="AP6" s="52">
        <f ca="1"/>
        <v>0</v>
      </c>
      <c r="AQ6" s="52">
        <f ca="1"/>
        <v>0</v>
      </c>
      <c r="AR6" s="52">
        <f ca="1"/>
        <v>6</v>
      </c>
      <c r="AS6" s="52">
        <f ca="1"/>
        <v>0</v>
      </c>
      <c r="AT6" s="52">
        <f ca="1"/>
        <v>0</v>
      </c>
      <c r="AU6" s="52">
        <f ca="1"/>
        <v>6</v>
      </c>
      <c r="AV6" s="52"/>
      <c r="AW6" s="1" t="str">
        <f t="shared" ca="1" si="0"/>
        <v>Desarrollo de aplicaciones para dispositivos inteligentes</v>
      </c>
    </row>
    <row r="7" spans="1:49" ht="30">
      <c r="B7" s="206">
        <v>0.33333333333333298</v>
      </c>
      <c r="C7" s="206">
        <v>0.35416666666666602</v>
      </c>
      <c r="D7" s="29" t="str" cm="1">
        <f t="array" aca="1" ref="D7" ca="1">_xlfn.TEXTJOIN(CHAR(10),TRUE,IF(Semestre=INDIRECT("base_de_datos["&amp;Carrera&amp;"]"),IF("x"=base_de_datos[Lunes],IF(base_de_datos[Hora inicio]&lt;=$B7,IF(base_de_datos[Hora fin]&gt;=$C7,base_de_datos[Materia]&amp;" "&amp;base_de_datos[[Número de grupo ]]&amp;" "&amp;base_de_datos[Profesor],""),""),""),""),"")</f>
        <v/>
      </c>
      <c r="E7" s="29" t="str" cm="1">
        <f t="array" aca="1" ref="E7" ca="1">_xlfn.TEXTJOIN(CHAR(10),TRUE,IF(Semestre=INDIRECT("base_de_datos["&amp;Carrera&amp;"]"),IF("x"=base_de_datos[Lunes],IF(base_de_datos[Hora inicio]&lt;=$B7,IF(base_de_datos[Hora fin]&gt;=$C7,base_de_datos[Aula]&amp;" "&amp;base_de_datos[Examen],""),""),""),""),"")</f>
        <v/>
      </c>
      <c r="F7" s="29" t="str" cm="1">
        <f t="array" aca="1" ref="F7" ca="1">_xlfn.TEXTJOIN(CHAR(10),TRUE,IF(Semestre=INDIRECT("base_de_datos["&amp;Carrera&amp;"]"),IF("x"=base_de_datos[Lunes],IF(base_de_datos[Hora inicio]&lt;=$B7,IF(base_de_datos[Hora fin]&gt;=$C7,base_de_datos[No clase],""),""),""),""),"")</f>
        <v/>
      </c>
      <c r="G7" s="29" t="str" cm="1">
        <f t="array" aca="1" ref="G7" ca="1">_xlfn.TEXTJOIN(CHAR(10),TRUE,IF(Semestre=INDIRECT("base_de_datos["&amp;Carrera&amp;"]"),IF("x"=base_de_datos[Martes],IF(base_de_datos[Hora inicio]&lt;=$B7,IF(base_de_datos[Hora fin]&gt;=$C7,base_de_datos[Materia]&amp;" "&amp;base_de_datos[[Número de grupo ]]&amp;" "&amp;base_de_datos[Profesor],""),""),""),""),"")</f>
        <v/>
      </c>
      <c r="H7" s="29" t="str" cm="1">
        <f t="array" aca="1" ref="H7" ca="1">_xlfn.TEXTJOIN(CHAR(10),TRUE,IF(Semestre=INDIRECT("base_de_datos["&amp;Carrera&amp;"]"),IF("x"=base_de_datos[Martes],IF(base_de_datos[Hora inicio]&lt;=$B7,IF(base_de_datos[Hora fin]&gt;=$C7,base_de_datos[Aula]&amp;" "&amp;base_de_datos[Examen],""),""),""),""),"")</f>
        <v/>
      </c>
      <c r="I7" s="29" t="str" cm="1">
        <f t="array" aca="1" ref="I7" ca="1">_xlfn.TEXTJOIN(CHAR(10),TRUE,IF(Semestre=INDIRECT("base_de_datos["&amp;Carrera&amp;"]"),IF("x"=base_de_datos[Martes],IF(base_de_datos[Hora inicio]&lt;=$B7,IF(base_de_datos[Hora fin]&gt;=$C7,base_de_datos[No clase],""),""),""),""),"")</f>
        <v/>
      </c>
      <c r="J7" s="29" t="str" cm="1">
        <f t="array" aca="1" ref="J7" ca="1">_xlfn.TEXTJOIN(CHAR(10),TRUE,IF(Semestre=INDIRECT("base_de_datos["&amp;Carrera&amp;"]"),IF("x"=base_de_datos[Miércoles],IF(base_de_datos[Hora inicio]&lt;=$B7,IF(base_de_datos[Hora fin]&gt;=$C7,base_de_datos[Materia]&amp;" "&amp;base_de_datos[[Número de grupo ]]&amp;" "&amp;base_de_datos[Profesor],""),""),""),""),"")</f>
        <v/>
      </c>
      <c r="K7" s="29" t="str" cm="1">
        <f t="array" aca="1" ref="K7" ca="1">_xlfn.TEXTJOIN(CHAR(10),TRUE,IF(Semestre=INDIRECT("base_de_datos["&amp;Carrera&amp;"]"),IF("x"=base_de_datos[Miércoles],IF(base_de_datos[Hora inicio]&lt;=$B7,IF(base_de_datos[Hora fin]&gt;=$C7,base_de_datos[Aula]&amp;" "&amp;base_de_datos[Examen],""),""),""),""),"")</f>
        <v/>
      </c>
      <c r="L7" s="29" t="str" cm="1">
        <f t="array" aca="1" ref="L7" ca="1">_xlfn.TEXTJOIN(CHAR(10),TRUE,IF(Semestre=INDIRECT("base_de_datos["&amp;Carrera&amp;"]"),IF("x"=base_de_datos[Miércoles],IF(base_de_datos[Hora inicio]&lt;=$B7,IF(base_de_datos[Hora fin]&gt;=$C7,base_de_datos[No clase],""),""),""),""),"")</f>
        <v/>
      </c>
      <c r="M7" s="29" t="str" cm="1">
        <f t="array" aca="1" ref="M7" ca="1">_xlfn.TEXTJOIN(CHAR(10),TRUE,IF(Semestre=INDIRECT("base_de_datos["&amp;Carrera&amp;"]"),IF("x"=base_de_datos[Jueves],IF(base_de_datos[Hora inicio]&lt;=$B7,IF(base_de_datos[Hora fin]&gt;=$C7,base_de_datos[Materia]&amp;" "&amp;base_de_datos[[Número de grupo ]]&amp;" "&amp;base_de_datos[Profesor],""),""),""),""),"")</f>
        <v/>
      </c>
      <c r="N7" s="29" t="str" cm="1">
        <f t="array" aca="1" ref="N7" ca="1">_xlfn.TEXTJOIN(CHAR(10),TRUE,IF(Semestre=INDIRECT("base_de_datos["&amp;Carrera&amp;"]"),IF("x"=base_de_datos[Jueves],IF(base_de_datos[Hora inicio]&lt;=$B7,IF(base_de_datos[Hora fin]&gt;=$C7,base_de_datos[Aula]&amp;" "&amp;base_de_datos[Examen],""),""),""),""),"")</f>
        <v/>
      </c>
      <c r="O7" s="29" t="str" cm="1">
        <f t="array" aca="1" ref="O7" ca="1">_xlfn.TEXTJOIN(CHAR(10),TRUE,IF(Semestre=INDIRECT("base_de_datos["&amp;Carrera&amp;"]"),IF("x"=base_de_datos[Jueves],IF(base_de_datos[Hora inicio]&lt;=$B7,IF(base_de_datos[Hora fin]&gt;=$C7,base_de_datos[No clase],""),""),""),""),"")</f>
        <v/>
      </c>
      <c r="P7" s="29" t="str" cm="1">
        <f t="array" aca="1" ref="P7" ca="1">_xlfn.TEXTJOIN(CHAR(10),TRUE,IF(Semestre=INDIRECT("base_de_datos["&amp;Carrera&amp;"]"),IF("x"=base_de_datos[Viernes],IF(base_de_datos[Hora inicio]&lt;=$B7,IF(base_de_datos[Hora fin]&gt;=$C7,base_de_datos[Materia]&amp;" "&amp;base_de_datos[[Número de grupo ]]&amp;" "&amp;base_de_datos[Profesor],""),""),""),""),"")</f>
        <v/>
      </c>
      <c r="Q7" s="29" t="str" cm="1">
        <f t="array" aca="1" ref="Q7" ca="1">_xlfn.TEXTJOIN(CHAR(10),TRUE,IF(Semestre=INDIRECT("base_de_datos["&amp;Carrera&amp;"]"),IF("x"=base_de_datos[Viernes],IF(base_de_datos[Hora inicio]&lt;=$B7,IF(base_de_datos[Hora fin]&gt;=$C7,base_de_datos[Aula]&amp;" "&amp;base_de_datos[Examen],""),""),""),""),"")</f>
        <v/>
      </c>
      <c r="R7" s="29" t="str" cm="1">
        <f t="array" aca="1" ref="R7" ca="1">_xlfn.TEXTJOIN(CHAR(10),TRUE,IF(Semestre=INDIRECT("base_de_datos["&amp;Carrera&amp;"]"),IF("x"=base_de_datos[Viernes],IF(base_de_datos[Hora inicio]&lt;=$B7,IF(base_de_datos[Hora fin]&gt;=$C7,base_de_datos[No clase],""),""),""),""),"")</f>
        <v/>
      </c>
      <c r="S7" s="29" t="str" cm="1">
        <f t="array" aca="1" ref="S7" ca="1">_xlfn.TEXTJOIN(CHAR(10),TRUE,IF(Semestre=INDIRECT("base_de_datos["&amp;Carrera&amp;"]"),IF("x"=base_de_datos[Sábado],IF(base_de_datos[Hora inicio]&lt;=$B7,IF(base_de_datos[Hora fin]&gt;=$C7,base_de_datos[Materia]&amp;" "&amp;base_de_datos[[Número de grupo ]]&amp;" "&amp;base_de_datos[Profesor],""),""),""),""),"")</f>
        <v/>
      </c>
      <c r="T7" s="29" t="str" cm="1">
        <f t="array" aca="1" ref="T7" ca="1">_xlfn.TEXTJOIN(CHAR(10),TRUE,IF(Semestre=INDIRECT("base_de_datos["&amp;Carrera&amp;"]"),IF("x"=base_de_datos[Sábado],IF(base_de_datos[Hora inicio]&lt;=$B7,IF(base_de_datos[Hora fin]&gt;=$C7,base_de_datos[Aula]&amp;" "&amp;#REF!,""),""),""),""),"")</f>
        <v/>
      </c>
      <c r="U7" s="29" t="str" cm="1">
        <f t="array" aca="1" ref="U7" ca="1">_xlfn.TEXTJOIN(CHAR(10),TRUE,IF(Semestre=INDIRECT("base_de_datos["&amp;Carrera&amp;"]"),IF("x"=base_de_datos[Sábado],IF(base_de_datos[Hora inicio]&lt;=$B7,IF(base_de_datos[Hora fin]&gt;=$C7,base_de_datos[No clase],""),""),""),""),"")</f>
        <v/>
      </c>
      <c r="V7" s="28"/>
      <c r="W7" s="131" t="str">
        <f ca="1"/>
        <v>Descripción de hardware</v>
      </c>
      <c r="X7" s="129" t="str">
        <f ca="1"/>
        <v>EEC</v>
      </c>
      <c r="Y7" s="115">
        <f ca="1"/>
        <v>0</v>
      </c>
      <c r="Z7" s="31">
        <f ca="1"/>
        <v>7</v>
      </c>
      <c r="AA7" s="31">
        <f ca="1"/>
        <v>0</v>
      </c>
      <c r="AB7" s="52">
        <f ca="1"/>
        <v>0</v>
      </c>
      <c r="AC7" s="52">
        <f ca="1"/>
        <v>0</v>
      </c>
      <c r="AD7" s="52">
        <f ca="1"/>
        <v>0</v>
      </c>
      <c r="AE7" s="52">
        <f ca="1"/>
        <v>7</v>
      </c>
      <c r="AF7" s="52">
        <f ca="1"/>
        <v>64</v>
      </c>
      <c r="AG7" s="52" t="str">
        <f ca="1"/>
        <v>x</v>
      </c>
      <c r="AH7" s="52">
        <f ca="1"/>
        <v>0</v>
      </c>
      <c r="AI7" s="52" t="str">
        <f ca="1"/>
        <v>027040</v>
      </c>
      <c r="AJ7" s="52">
        <f ca="1"/>
        <v>0</v>
      </c>
      <c r="AK7" s="52">
        <f ca="1"/>
        <v>0</v>
      </c>
      <c r="AL7" s="52">
        <f ca="1"/>
        <v>0</v>
      </c>
      <c r="AM7" s="52">
        <f ca="1"/>
        <v>0</v>
      </c>
      <c r="AN7" s="52" t="str">
        <f ca="1"/>
        <v>028902</v>
      </c>
      <c r="AO7" s="52">
        <f ca="1"/>
        <v>0</v>
      </c>
      <c r="AP7" s="52">
        <f ca="1"/>
        <v>6</v>
      </c>
      <c r="AQ7" s="52">
        <f ca="1"/>
        <v>0</v>
      </c>
      <c r="AR7" s="52">
        <f ca="1"/>
        <v>0</v>
      </c>
      <c r="AS7" s="52">
        <f ca="1"/>
        <v>0</v>
      </c>
      <c r="AT7" s="52">
        <f ca="1"/>
        <v>0</v>
      </c>
      <c r="AU7" s="52">
        <f ca="1"/>
        <v>6</v>
      </c>
      <c r="AV7" s="52"/>
      <c r="AW7" s="1" t="str">
        <f t="shared" ca="1" si="0"/>
        <v>Descripción de hardware</v>
      </c>
    </row>
    <row r="8" spans="1:49" ht="30">
      <c r="B8" s="206">
        <v>0.35416666666666702</v>
      </c>
      <c r="C8" s="206">
        <v>0.374999999999999</v>
      </c>
      <c r="D8" s="29" t="str" cm="1">
        <f t="array" aca="1" ref="D8" ca="1">_xlfn.TEXTJOIN(CHAR(10),TRUE,IF(Semestre=INDIRECT("base_de_datos["&amp;Carrera&amp;"]"),IF("x"=base_de_datos[Lunes],IF(base_de_datos[Hora inicio]&lt;=$B8,IF(base_de_datos[Hora fin]&gt;=$C8,base_de_datos[Materia]&amp;" "&amp;base_de_datos[[Número de grupo ]]&amp;" "&amp;base_de_datos[Profesor],""),""),""),""),"")</f>
        <v/>
      </c>
      <c r="E8" s="29" t="str" cm="1">
        <f t="array" aca="1" ref="E8" ca="1">_xlfn.TEXTJOIN(CHAR(10),TRUE,IF(Semestre=INDIRECT("base_de_datos["&amp;Carrera&amp;"]"),IF("x"=base_de_datos[Lunes],IF(base_de_datos[Hora inicio]&lt;=$B8,IF(base_de_datos[Hora fin]&gt;=$C8,base_de_datos[Aula]&amp;" "&amp;base_de_datos[Examen],""),""),""),""),"")</f>
        <v/>
      </c>
      <c r="F8" s="29" t="str" cm="1">
        <f t="array" aca="1" ref="F8" ca="1">_xlfn.TEXTJOIN(CHAR(10),TRUE,IF(Semestre=INDIRECT("base_de_datos["&amp;Carrera&amp;"]"),IF("x"=base_de_datos[Lunes],IF(base_de_datos[Hora inicio]&lt;=$B8,IF(base_de_datos[Hora fin]&gt;=$C8,base_de_datos[No clase],""),""),""),""),"")</f>
        <v/>
      </c>
      <c r="G8" s="29" t="str" cm="1">
        <f t="array" aca="1" ref="G8" ca="1">_xlfn.TEXTJOIN(CHAR(10),TRUE,IF(Semestre=INDIRECT("base_de_datos["&amp;Carrera&amp;"]"),IF("x"=base_de_datos[Martes],IF(base_de_datos[Hora inicio]&lt;=$B8,IF(base_de_datos[Hora fin]&gt;=$C8,base_de_datos[Materia]&amp;" "&amp;base_de_datos[[Número de grupo ]]&amp;" "&amp;base_de_datos[Profesor],""),""),""),""),"")</f>
        <v/>
      </c>
      <c r="H8" s="29" t="str" cm="1">
        <f t="array" aca="1" ref="H8" ca="1">_xlfn.TEXTJOIN(CHAR(10),TRUE,IF(Semestre=INDIRECT("base_de_datos["&amp;Carrera&amp;"]"),IF("x"=base_de_datos[Martes],IF(base_de_datos[Hora inicio]&lt;=$B8,IF(base_de_datos[Hora fin]&gt;=$C8,base_de_datos[Aula]&amp;" "&amp;base_de_datos[Examen],""),""),""),""),"")</f>
        <v/>
      </c>
      <c r="I8" s="29" t="str" cm="1">
        <f t="array" aca="1" ref="I8" ca="1">_xlfn.TEXTJOIN(CHAR(10),TRUE,IF(Semestre=INDIRECT("base_de_datos["&amp;Carrera&amp;"]"),IF("x"=base_de_datos[Martes],IF(base_de_datos[Hora inicio]&lt;=$B8,IF(base_de_datos[Hora fin]&gt;=$C8,base_de_datos[No clase],""),""),""),""),"")</f>
        <v/>
      </c>
      <c r="J8" s="29" t="str" cm="1">
        <f t="array" aca="1" ref="J8" ca="1">_xlfn.TEXTJOIN(CHAR(10),TRUE,IF(Semestre=INDIRECT("base_de_datos["&amp;Carrera&amp;"]"),IF("x"=base_de_datos[Miércoles],IF(base_de_datos[Hora inicio]&lt;=$B8,IF(base_de_datos[Hora fin]&gt;=$C8,base_de_datos[Materia]&amp;" "&amp;base_de_datos[[Número de grupo ]]&amp;" "&amp;base_de_datos[Profesor],""),""),""),""),"")</f>
        <v/>
      </c>
      <c r="K8" s="29" t="str" cm="1">
        <f t="array" aca="1" ref="K8" ca="1">_xlfn.TEXTJOIN(CHAR(10),TRUE,IF(Semestre=INDIRECT("base_de_datos["&amp;Carrera&amp;"]"),IF("x"=base_de_datos[Miércoles],IF(base_de_datos[Hora inicio]&lt;=$B8,IF(base_de_datos[Hora fin]&gt;=$C8,base_de_datos[Aula]&amp;" "&amp;base_de_datos[Examen],""),""),""),""),"")</f>
        <v/>
      </c>
      <c r="L8" s="29" t="str" cm="1">
        <f t="array" aca="1" ref="L8" ca="1">_xlfn.TEXTJOIN(CHAR(10),TRUE,IF(Semestre=INDIRECT("base_de_datos["&amp;Carrera&amp;"]"),IF("x"=base_de_datos[Miércoles],IF(base_de_datos[Hora inicio]&lt;=$B8,IF(base_de_datos[Hora fin]&gt;=$C8,base_de_datos[No clase],""),""),""),""),"")</f>
        <v/>
      </c>
      <c r="M8" s="29" t="str" cm="1">
        <f t="array" aca="1" ref="M8" ca="1">_xlfn.TEXTJOIN(CHAR(10),TRUE,IF(Semestre=INDIRECT("base_de_datos["&amp;Carrera&amp;"]"),IF("x"=base_de_datos[Jueves],IF(base_de_datos[Hora inicio]&lt;=$B8,IF(base_de_datos[Hora fin]&gt;=$C8,base_de_datos[Materia]&amp;" "&amp;base_de_datos[[Número de grupo ]]&amp;" "&amp;base_de_datos[Profesor],""),""),""),""),"")</f>
        <v/>
      </c>
      <c r="N8" s="29" t="str" cm="1">
        <f t="array" aca="1" ref="N8" ca="1">_xlfn.TEXTJOIN(CHAR(10),TRUE,IF(Semestre=INDIRECT("base_de_datos["&amp;Carrera&amp;"]"),IF("x"=base_de_datos[Jueves],IF(base_de_datos[Hora inicio]&lt;=$B8,IF(base_de_datos[Hora fin]&gt;=$C8,base_de_datos[Aula]&amp;" "&amp;base_de_datos[Examen],""),""),""),""),"")</f>
        <v/>
      </c>
      <c r="O8" s="29" t="str" cm="1">
        <f t="array" aca="1" ref="O8" ca="1">_xlfn.TEXTJOIN(CHAR(10),TRUE,IF(Semestre=INDIRECT("base_de_datos["&amp;Carrera&amp;"]"),IF("x"=base_de_datos[Jueves],IF(base_de_datos[Hora inicio]&lt;=$B8,IF(base_de_datos[Hora fin]&gt;=$C8,base_de_datos[No clase],""),""),""),""),"")</f>
        <v/>
      </c>
      <c r="P8" s="29" t="str" cm="1">
        <f t="array" aca="1" ref="P8" ca="1">_xlfn.TEXTJOIN(CHAR(10),TRUE,IF(Semestre=INDIRECT("base_de_datos["&amp;Carrera&amp;"]"),IF("x"=base_de_datos[Viernes],IF(base_de_datos[Hora inicio]&lt;=$B8,IF(base_de_datos[Hora fin]&gt;=$C8,base_de_datos[Materia]&amp;" "&amp;base_de_datos[[Número de grupo ]]&amp;" "&amp;base_de_datos[Profesor],""),""),""),""),"")</f>
        <v/>
      </c>
      <c r="Q8" s="29" t="str" cm="1">
        <f t="array" aca="1" ref="Q8" ca="1">_xlfn.TEXTJOIN(CHAR(10),TRUE,IF(Semestre=INDIRECT("base_de_datos["&amp;Carrera&amp;"]"),IF("x"=base_de_datos[Viernes],IF(base_de_datos[Hora inicio]&lt;=$B8,IF(base_de_datos[Hora fin]&gt;=$C8,base_de_datos[Aula]&amp;" "&amp;base_de_datos[Examen],""),""),""),""),"")</f>
        <v/>
      </c>
      <c r="R8" s="29" t="str" cm="1">
        <f t="array" aca="1" ref="R8" ca="1">_xlfn.TEXTJOIN(CHAR(10),TRUE,IF(Semestre=INDIRECT("base_de_datos["&amp;Carrera&amp;"]"),IF("x"=base_de_datos[Viernes],IF(base_de_datos[Hora inicio]&lt;=$B8,IF(base_de_datos[Hora fin]&gt;=$C8,base_de_datos[No clase],""),""),""),""),"")</f>
        <v/>
      </c>
      <c r="S8" s="29" t="str" cm="1">
        <f t="array" aca="1" ref="S8" ca="1">_xlfn.TEXTJOIN(CHAR(10),TRUE,IF(Semestre=INDIRECT("base_de_datos["&amp;Carrera&amp;"]"),IF("x"=base_de_datos[Sábado],IF(base_de_datos[Hora inicio]&lt;=$B8,IF(base_de_datos[Hora fin]&gt;=$C8,base_de_datos[Materia]&amp;" "&amp;base_de_datos[[Número de grupo ]]&amp;" "&amp;base_de_datos[Profesor],""),""),""),""),"")</f>
        <v/>
      </c>
      <c r="T8" s="29" t="str" cm="1">
        <f t="array" aca="1" ref="T8" ca="1">_xlfn.TEXTJOIN(CHAR(10),TRUE,IF(Semestre=INDIRECT("base_de_datos["&amp;Carrera&amp;"]"),IF("x"=base_de_datos[Sábado],IF(base_de_datos[Hora inicio]&lt;=$B8,IF(base_de_datos[Hora fin]&gt;=$C8,base_de_datos[Aula]&amp;" "&amp;#REF!,""),""),""),""),"")</f>
        <v/>
      </c>
      <c r="U8" s="29" t="str" cm="1">
        <f t="array" aca="1" ref="U8" ca="1">_xlfn.TEXTJOIN(CHAR(10),TRUE,IF(Semestre=INDIRECT("base_de_datos["&amp;Carrera&amp;"]"),IF("x"=base_de_datos[Sábado],IF(base_de_datos[Hora inicio]&lt;=$B8,IF(base_de_datos[Hora fin]&gt;=$C8,base_de_datos[No clase],""),""),""),""),"")</f>
        <v/>
      </c>
      <c r="V8" s="28"/>
      <c r="W8" s="131" t="str">
        <f ca="1"/>
        <v>Electrónica avanzada</v>
      </c>
      <c r="X8" s="129" t="str">
        <f ca="1"/>
        <v>EEC</v>
      </c>
      <c r="Y8" s="115">
        <f ca="1"/>
        <v>0</v>
      </c>
      <c r="Z8" s="31">
        <f ca="1"/>
        <v>0</v>
      </c>
      <c r="AA8" s="31">
        <f ca="1"/>
        <v>0</v>
      </c>
      <c r="AB8" s="52">
        <f ca="1"/>
        <v>0</v>
      </c>
      <c r="AC8" s="52">
        <f ca="1"/>
        <v>0</v>
      </c>
      <c r="AD8" s="52">
        <f ca="1"/>
        <v>0</v>
      </c>
      <c r="AE8" s="52">
        <f ca="1"/>
        <v>7</v>
      </c>
      <c r="AF8" s="52">
        <f ca="1"/>
        <v>64</v>
      </c>
      <c r="AG8" s="52">
        <f ca="1"/>
        <v>0</v>
      </c>
      <c r="AH8" s="52">
        <f ca="1"/>
        <v>0</v>
      </c>
      <c r="AI8" s="52">
        <f ca="1"/>
        <v>0</v>
      </c>
      <c r="AJ8" s="52">
        <f ca="1"/>
        <v>0</v>
      </c>
      <c r="AK8" s="52">
        <f ca="1"/>
        <v>0</v>
      </c>
      <c r="AL8" s="52">
        <f ca="1"/>
        <v>0</v>
      </c>
      <c r="AM8" s="52">
        <f ca="1"/>
        <v>0</v>
      </c>
      <c r="AN8" s="52" t="str">
        <f ca="1"/>
        <v>028903</v>
      </c>
      <c r="AO8" s="52">
        <f ca="1"/>
        <v>0</v>
      </c>
      <c r="AP8" s="52">
        <f ca="1"/>
        <v>0</v>
      </c>
      <c r="AQ8" s="52">
        <f ca="1"/>
        <v>0</v>
      </c>
      <c r="AR8" s="52">
        <f ca="1"/>
        <v>0</v>
      </c>
      <c r="AS8" s="52">
        <f ca="1"/>
        <v>0</v>
      </c>
      <c r="AT8" s="52">
        <f ca="1"/>
        <v>0</v>
      </c>
      <c r="AU8" s="52">
        <f ca="1"/>
        <v>7</v>
      </c>
      <c r="AV8" s="52"/>
      <c r="AW8" s="1" t="str">
        <f t="shared" ca="1" si="0"/>
        <v>Electrónica avanzada</v>
      </c>
    </row>
    <row r="9" spans="1:49" ht="15">
      <c r="B9" s="206">
        <v>0.375</v>
      </c>
      <c r="C9" s="206">
        <v>0.39583333333333198</v>
      </c>
      <c r="D9" s="29" t="str" cm="1">
        <f t="array" aca="1" ref="D9" ca="1">_xlfn.TEXTJOIN(CHAR(10),TRUE,IF(Semestre=INDIRECT("base_de_datos["&amp;Carrera&amp;"]"),IF("x"=base_de_datos[Lunes],IF(base_de_datos[Hora inicio]&lt;=$B9,IF(base_de_datos[Hora fin]&gt;=$C9,base_de_datos[Materia]&amp;" "&amp;base_de_datos[[Número de grupo ]]&amp;" "&amp;base_de_datos[Profesor],""),""),""),""),"")</f>
        <v/>
      </c>
      <c r="E9" s="29" t="str" cm="1">
        <f t="array" aca="1" ref="E9" ca="1">_xlfn.TEXTJOIN(CHAR(10),TRUE,IF(Semestre=INDIRECT("base_de_datos["&amp;Carrera&amp;"]"),IF("x"=base_de_datos[Lunes],IF(base_de_datos[Hora inicio]&lt;=$B9,IF(base_de_datos[Hora fin]&gt;=$C9,base_de_datos[Aula]&amp;" "&amp;base_de_datos[Examen],""),""),""),""),"")</f>
        <v/>
      </c>
      <c r="F9" s="29" t="str" cm="1">
        <f t="array" aca="1" ref="F9" ca="1">_xlfn.TEXTJOIN(CHAR(10),TRUE,IF(Semestre=INDIRECT("base_de_datos["&amp;Carrera&amp;"]"),IF("x"=base_de_datos[Lunes],IF(base_de_datos[Hora inicio]&lt;=$B9,IF(base_de_datos[Hora fin]&gt;=$C9,base_de_datos[No clase],""),""),""),""),"")</f>
        <v/>
      </c>
      <c r="G9" s="29" t="str" cm="1">
        <f t="array" aca="1" ref="G9" ca="1">_xlfn.TEXTJOIN(CHAR(10),TRUE,IF(Semestre=INDIRECT("base_de_datos["&amp;Carrera&amp;"]"),IF("x"=base_de_datos[Martes],IF(base_de_datos[Hora inicio]&lt;=$B9,IF(base_de_datos[Hora fin]&gt;=$C9,base_de_datos[Materia]&amp;" "&amp;base_de_datos[[Número de grupo ]]&amp;" "&amp;base_de_datos[Profesor],""),""),""),""),"")</f>
        <v/>
      </c>
      <c r="H9" s="29" t="str" cm="1">
        <f t="array" aca="1" ref="H9" ca="1">_xlfn.TEXTJOIN(CHAR(10),TRUE,IF(Semestre=INDIRECT("base_de_datos["&amp;Carrera&amp;"]"),IF("x"=base_de_datos[Martes],IF(base_de_datos[Hora inicio]&lt;=$B9,IF(base_de_datos[Hora fin]&gt;=$C9,base_de_datos[Aula]&amp;" "&amp;base_de_datos[Examen],""),""),""),""),"")</f>
        <v/>
      </c>
      <c r="I9" s="29" t="str" cm="1">
        <f t="array" aca="1" ref="I9" ca="1">_xlfn.TEXTJOIN(CHAR(10),TRUE,IF(Semestre=INDIRECT("base_de_datos["&amp;Carrera&amp;"]"),IF("x"=base_de_datos[Martes],IF(base_de_datos[Hora inicio]&lt;=$B9,IF(base_de_datos[Hora fin]&gt;=$C9,base_de_datos[No clase],""),""),""),""),"")</f>
        <v/>
      </c>
      <c r="J9" s="29" t="str" cm="1">
        <f t="array" aca="1" ref="J9" ca="1">_xlfn.TEXTJOIN(CHAR(10),TRUE,IF(Semestre=INDIRECT("base_de_datos["&amp;Carrera&amp;"]"),IF("x"=base_de_datos[Miércoles],IF(base_de_datos[Hora inicio]&lt;=$B9,IF(base_de_datos[Hora fin]&gt;=$C9,base_de_datos[Materia]&amp;" "&amp;base_de_datos[[Número de grupo ]]&amp;" "&amp;base_de_datos[Profesor],""),""),""),""),"")</f>
        <v/>
      </c>
      <c r="K9" s="29" t="str" cm="1">
        <f t="array" aca="1" ref="K9" ca="1">_xlfn.TEXTJOIN(CHAR(10),TRUE,IF(Semestre=INDIRECT("base_de_datos["&amp;Carrera&amp;"]"),IF("x"=base_de_datos[Miércoles],IF(base_de_datos[Hora inicio]&lt;=$B9,IF(base_de_datos[Hora fin]&gt;=$C9,base_de_datos[Aula]&amp;" "&amp;base_de_datos[Examen],""),""),""),""),"")</f>
        <v/>
      </c>
      <c r="L9" s="29" t="str" cm="1">
        <f t="array" aca="1" ref="L9" ca="1">_xlfn.TEXTJOIN(CHAR(10),TRUE,IF(Semestre=INDIRECT("base_de_datos["&amp;Carrera&amp;"]"),IF("x"=base_de_datos[Miércoles],IF(base_de_datos[Hora inicio]&lt;=$B9,IF(base_de_datos[Hora fin]&gt;=$C9,base_de_datos[No clase],""),""),""),""),"")</f>
        <v/>
      </c>
      <c r="M9" s="29" t="str" cm="1">
        <f t="array" aca="1" ref="M9" ca="1">_xlfn.TEXTJOIN(CHAR(10),TRUE,IF(Semestre=INDIRECT("base_de_datos["&amp;Carrera&amp;"]"),IF("x"=base_de_datos[Jueves],IF(base_de_datos[Hora inicio]&lt;=$B9,IF(base_de_datos[Hora fin]&gt;=$C9,base_de_datos[Materia]&amp;" "&amp;base_de_datos[[Número de grupo ]]&amp;" "&amp;base_de_datos[Profesor],""),""),""),""),"")</f>
        <v/>
      </c>
      <c r="N9" s="29" t="str" cm="1">
        <f t="array" aca="1" ref="N9" ca="1">_xlfn.TEXTJOIN(CHAR(10),TRUE,IF(Semestre=INDIRECT("base_de_datos["&amp;Carrera&amp;"]"),IF("x"=base_de_datos[Jueves],IF(base_de_datos[Hora inicio]&lt;=$B9,IF(base_de_datos[Hora fin]&gt;=$C9,base_de_datos[Aula]&amp;" "&amp;base_de_datos[Examen],""),""),""),""),"")</f>
        <v/>
      </c>
      <c r="O9" s="29" t="str" cm="1">
        <f t="array" aca="1" ref="O9" ca="1">_xlfn.TEXTJOIN(CHAR(10),TRUE,IF(Semestre=INDIRECT("base_de_datos["&amp;Carrera&amp;"]"),IF("x"=base_de_datos[Jueves],IF(base_de_datos[Hora inicio]&lt;=$B9,IF(base_de_datos[Hora fin]&gt;=$C9,base_de_datos[No clase],""),""),""),""),"")</f>
        <v/>
      </c>
      <c r="P9" s="29" t="str" cm="1">
        <f t="array" aca="1" ref="P9" ca="1">_xlfn.TEXTJOIN(CHAR(10),TRUE,IF(Semestre=INDIRECT("base_de_datos["&amp;Carrera&amp;"]"),IF("x"=base_de_datos[Viernes],IF(base_de_datos[Hora inicio]&lt;=$B9,IF(base_de_datos[Hora fin]&gt;=$C9,base_de_datos[Materia]&amp;" "&amp;base_de_datos[[Número de grupo ]]&amp;" "&amp;base_de_datos[Profesor],""),""),""),""),"")</f>
        <v/>
      </c>
      <c r="Q9" s="29" t="str" cm="1">
        <f t="array" aca="1" ref="Q9" ca="1">_xlfn.TEXTJOIN(CHAR(10),TRUE,IF(Semestre=INDIRECT("base_de_datos["&amp;Carrera&amp;"]"),IF("x"=base_de_datos[Viernes],IF(base_de_datos[Hora inicio]&lt;=$B9,IF(base_de_datos[Hora fin]&gt;=$C9,base_de_datos[Aula]&amp;" "&amp;base_de_datos[Examen],""),""),""),""),"")</f>
        <v/>
      </c>
      <c r="R9" s="29" t="str" cm="1">
        <f t="array" aca="1" ref="R9" ca="1">_xlfn.TEXTJOIN(CHAR(10),TRUE,IF(Semestre=INDIRECT("base_de_datos["&amp;Carrera&amp;"]"),IF("x"=base_de_datos[Viernes],IF(base_de_datos[Hora inicio]&lt;=$B9,IF(base_de_datos[Hora fin]&gt;=$C9,base_de_datos[No clase],""),""),""),""),"")</f>
        <v/>
      </c>
      <c r="S9" s="29" t="str" cm="1">
        <f t="array" aca="1" ref="S9" ca="1">_xlfn.TEXTJOIN(CHAR(10),TRUE,IF(Semestre=INDIRECT("base_de_datos["&amp;Carrera&amp;"]"),IF("x"=base_de_datos[Sábado],IF(base_de_datos[Hora inicio]&lt;=$B9,IF(base_de_datos[Hora fin]&gt;=$C9,base_de_datos[Materia]&amp;" "&amp;base_de_datos[[Número de grupo ]]&amp;" "&amp;base_de_datos[Profesor],""),""),""),""),"")</f>
        <v/>
      </c>
      <c r="T9" s="29" t="str" cm="1">
        <f t="array" aca="1" ref="T9" ca="1">_xlfn.TEXTJOIN(CHAR(10),TRUE,IF(Semestre=INDIRECT("base_de_datos["&amp;Carrera&amp;"]"),IF("x"=base_de_datos[Sábado],IF(base_de_datos[Hora inicio]&lt;=$B9,IF(base_de_datos[Hora fin]&gt;=$C9,base_de_datos[Aula]&amp;" "&amp;#REF!,""),""),""),""),"")</f>
        <v/>
      </c>
      <c r="U9" s="29" t="str" cm="1">
        <f t="array" aca="1" ref="U9" ca="1">_xlfn.TEXTJOIN(CHAR(10),TRUE,IF(Semestre=INDIRECT("base_de_datos["&amp;Carrera&amp;"]"),IF("x"=base_de_datos[Sábado],IF(base_de_datos[Hora inicio]&lt;=$B9,IF(base_de_datos[Hora fin]&gt;=$C9,base_de_datos[No clase],""),""),""),""),"")</f>
        <v/>
      </c>
      <c r="V9" s="28"/>
      <c r="W9" s="131" t="str">
        <f ca="1"/>
        <v>Microelectrónica</v>
      </c>
      <c r="X9" s="129" t="str">
        <f ca="1"/>
        <v>EEC</v>
      </c>
      <c r="Y9" s="115">
        <f ca="1"/>
        <v>0</v>
      </c>
      <c r="Z9" s="31">
        <f ca="1"/>
        <v>0</v>
      </c>
      <c r="AA9" s="31">
        <f ca="1"/>
        <v>0</v>
      </c>
      <c r="AB9" s="52">
        <f ca="1"/>
        <v>0</v>
      </c>
      <c r="AC9" s="52">
        <f ca="1"/>
        <v>0</v>
      </c>
      <c r="AD9" s="52">
        <f ca="1"/>
        <v>0</v>
      </c>
      <c r="AE9" s="52">
        <f ca="1"/>
        <v>7</v>
      </c>
      <c r="AF9" s="52">
        <f ca="1"/>
        <v>64</v>
      </c>
      <c r="AG9" s="52">
        <f ca="1"/>
        <v>0</v>
      </c>
      <c r="AH9" s="52">
        <f ca="1"/>
        <v>0</v>
      </c>
      <c r="AI9" s="52">
        <f ca="1"/>
        <v>0</v>
      </c>
      <c r="AJ9" s="52">
        <f ca="1"/>
        <v>0</v>
      </c>
      <c r="AK9" s="52">
        <f ca="1"/>
        <v>0</v>
      </c>
      <c r="AL9" s="52">
        <f ca="1"/>
        <v>0</v>
      </c>
      <c r="AM9" s="52">
        <f ca="1"/>
        <v>0</v>
      </c>
      <c r="AN9" s="52" t="str">
        <f ca="1"/>
        <v>028905</v>
      </c>
      <c r="AO9" s="52">
        <f ca="1"/>
        <v>0</v>
      </c>
      <c r="AP9" s="52">
        <f ca="1"/>
        <v>0</v>
      </c>
      <c r="AQ9" s="52">
        <f ca="1"/>
        <v>0</v>
      </c>
      <c r="AR9" s="52">
        <f ca="1"/>
        <v>0</v>
      </c>
      <c r="AS9" s="52">
        <f ca="1"/>
        <v>0</v>
      </c>
      <c r="AT9" s="52">
        <f ca="1"/>
        <v>0</v>
      </c>
      <c r="AU9" s="52">
        <f ca="1"/>
        <v>6</v>
      </c>
      <c r="AV9" s="52"/>
      <c r="AW9" s="1" t="str">
        <f t="shared" ca="1" si="0"/>
        <v>Microelectrónica</v>
      </c>
    </row>
    <row r="10" spans="1:49" ht="15">
      <c r="B10" s="206">
        <v>0.39583333333333398</v>
      </c>
      <c r="C10" s="206">
        <v>0.41666666666666502</v>
      </c>
      <c r="D10" s="29" t="str" cm="1">
        <f t="array" aca="1" ref="D10" ca="1">_xlfn.TEXTJOIN(CHAR(10),TRUE,IF(Semestre=INDIRECT("base_de_datos["&amp;Carrera&amp;"]"),IF("x"=base_de_datos[Lunes],IF(base_de_datos[Hora inicio]&lt;=$B10,IF(base_de_datos[Hora fin]&gt;=$C10,base_de_datos[Materia]&amp;" "&amp;base_de_datos[[Número de grupo ]]&amp;" "&amp;base_de_datos[Profesor],""),""),""),""),"")</f>
        <v/>
      </c>
      <c r="E10" s="29" t="str" cm="1">
        <f t="array" aca="1" ref="E10" ca="1">_xlfn.TEXTJOIN(CHAR(10),TRUE,IF(Semestre=INDIRECT("base_de_datos["&amp;Carrera&amp;"]"),IF("x"=base_de_datos[Lunes],IF(base_de_datos[Hora inicio]&lt;=$B10,IF(base_de_datos[Hora fin]&gt;=$C10,base_de_datos[Aula]&amp;" "&amp;base_de_datos[Examen],""),""),""),""),"")</f>
        <v/>
      </c>
      <c r="F10" s="29" t="str" cm="1">
        <f t="array" aca="1" ref="F10" ca="1">_xlfn.TEXTJOIN(CHAR(10),TRUE,IF(Semestre=INDIRECT("base_de_datos["&amp;Carrera&amp;"]"),IF("x"=base_de_datos[Lunes],IF(base_de_datos[Hora inicio]&lt;=$B10,IF(base_de_datos[Hora fin]&gt;=$C10,base_de_datos[No clase],""),""),""),""),"")</f>
        <v/>
      </c>
      <c r="G10" s="29" t="str" cm="1">
        <f t="array" aca="1" ref="G10" ca="1">_xlfn.TEXTJOIN(CHAR(10),TRUE,IF(Semestre=INDIRECT("base_de_datos["&amp;Carrera&amp;"]"),IF("x"=base_de_datos[Martes],IF(base_de_datos[Hora inicio]&lt;=$B10,IF(base_de_datos[Hora fin]&gt;=$C10,base_de_datos[Materia]&amp;" "&amp;base_de_datos[[Número de grupo ]]&amp;" "&amp;base_de_datos[Profesor],""),""),""),""),"")</f>
        <v/>
      </c>
      <c r="H10" s="29" t="str" cm="1">
        <f t="array" aca="1" ref="H10" ca="1">_xlfn.TEXTJOIN(CHAR(10),TRUE,IF(Semestre=INDIRECT("base_de_datos["&amp;Carrera&amp;"]"),IF("x"=base_de_datos[Martes],IF(base_de_datos[Hora inicio]&lt;=$B10,IF(base_de_datos[Hora fin]&gt;=$C10,base_de_datos[Aula]&amp;" "&amp;base_de_datos[Examen],""),""),""),""),"")</f>
        <v/>
      </c>
      <c r="I10" s="29" t="str" cm="1">
        <f t="array" aca="1" ref="I10" ca="1">_xlfn.TEXTJOIN(CHAR(10),TRUE,IF(Semestre=INDIRECT("base_de_datos["&amp;Carrera&amp;"]"),IF("x"=base_de_datos[Martes],IF(base_de_datos[Hora inicio]&lt;=$B10,IF(base_de_datos[Hora fin]&gt;=$C10,base_de_datos[No clase],""),""),""),""),"")</f>
        <v/>
      </c>
      <c r="J10" s="29" t="str" cm="1">
        <f t="array" aca="1" ref="J10" ca="1">_xlfn.TEXTJOIN(CHAR(10),TRUE,IF(Semestre=INDIRECT("base_de_datos["&amp;Carrera&amp;"]"),IF("x"=base_de_datos[Miércoles],IF(base_de_datos[Hora inicio]&lt;=$B10,IF(base_de_datos[Hora fin]&gt;=$C10,base_de_datos[Materia]&amp;" "&amp;base_de_datos[[Número de grupo ]]&amp;" "&amp;base_de_datos[Profesor],""),""),""),""),"")</f>
        <v/>
      </c>
      <c r="K10" s="29" t="str" cm="1">
        <f t="array" aca="1" ref="K10" ca="1">_xlfn.TEXTJOIN(CHAR(10),TRUE,IF(Semestre=INDIRECT("base_de_datos["&amp;Carrera&amp;"]"),IF("x"=base_de_datos[Miércoles],IF(base_de_datos[Hora inicio]&lt;=$B10,IF(base_de_datos[Hora fin]&gt;=$C10,base_de_datos[Aula]&amp;" "&amp;base_de_datos[Examen],""),""),""),""),"")</f>
        <v/>
      </c>
      <c r="L10" s="29" t="str" cm="1">
        <f t="array" aca="1" ref="L10" ca="1">_xlfn.TEXTJOIN(CHAR(10),TRUE,IF(Semestre=INDIRECT("base_de_datos["&amp;Carrera&amp;"]"),IF("x"=base_de_datos[Miércoles],IF(base_de_datos[Hora inicio]&lt;=$B10,IF(base_de_datos[Hora fin]&gt;=$C10,base_de_datos[No clase],""),""),""),""),"")</f>
        <v/>
      </c>
      <c r="M10" s="29" t="str" cm="1">
        <f t="array" aca="1" ref="M10" ca="1">_xlfn.TEXTJOIN(CHAR(10),TRUE,IF(Semestre=INDIRECT("base_de_datos["&amp;Carrera&amp;"]"),IF("x"=base_de_datos[Jueves],IF(base_de_datos[Hora inicio]&lt;=$B10,IF(base_de_datos[Hora fin]&gt;=$C10,base_de_datos[Materia]&amp;" "&amp;base_de_datos[[Número de grupo ]]&amp;" "&amp;base_de_datos[Profesor],""),""),""),""),"")</f>
        <v/>
      </c>
      <c r="N10" s="29" t="str" cm="1">
        <f t="array" aca="1" ref="N10" ca="1">_xlfn.TEXTJOIN(CHAR(10),TRUE,IF(Semestre=INDIRECT("base_de_datos["&amp;Carrera&amp;"]"),IF("x"=base_de_datos[Jueves],IF(base_de_datos[Hora inicio]&lt;=$B10,IF(base_de_datos[Hora fin]&gt;=$C10,base_de_datos[Aula]&amp;" "&amp;base_de_datos[Examen],""),""),""),""),"")</f>
        <v/>
      </c>
      <c r="O10" s="29" t="str" cm="1">
        <f t="array" aca="1" ref="O10" ca="1">_xlfn.TEXTJOIN(CHAR(10),TRUE,IF(Semestre=INDIRECT("base_de_datos["&amp;Carrera&amp;"]"),IF("x"=base_de_datos[Jueves],IF(base_de_datos[Hora inicio]&lt;=$B10,IF(base_de_datos[Hora fin]&gt;=$C10,base_de_datos[No clase],""),""),""),""),"")</f>
        <v/>
      </c>
      <c r="P10" s="29" t="str" cm="1">
        <f t="array" aca="1" ref="P10" ca="1">_xlfn.TEXTJOIN(CHAR(10),TRUE,IF(Semestre=INDIRECT("base_de_datos["&amp;Carrera&amp;"]"),IF("x"=base_de_datos[Viernes],IF(base_de_datos[Hora inicio]&lt;=$B10,IF(base_de_datos[Hora fin]&gt;=$C10,base_de_datos[Materia]&amp;" "&amp;base_de_datos[[Número de grupo ]]&amp;" "&amp;base_de_datos[Profesor],""),""),""),""),"")</f>
        <v/>
      </c>
      <c r="Q10" s="29" t="str" cm="1">
        <f t="array" aca="1" ref="Q10" ca="1">_xlfn.TEXTJOIN(CHAR(10),TRUE,IF(Semestre=INDIRECT("base_de_datos["&amp;Carrera&amp;"]"),IF("x"=base_de_datos[Viernes],IF(base_de_datos[Hora inicio]&lt;=$B10,IF(base_de_datos[Hora fin]&gt;=$C10,base_de_datos[Aula]&amp;" "&amp;base_de_datos[Examen],""),""),""),""),"")</f>
        <v/>
      </c>
      <c r="R10" s="29" t="str" cm="1">
        <f t="array" aca="1" ref="R10" ca="1">_xlfn.TEXTJOIN(CHAR(10),TRUE,IF(Semestre=INDIRECT("base_de_datos["&amp;Carrera&amp;"]"),IF("x"=base_de_datos[Viernes],IF(base_de_datos[Hora inicio]&lt;=$B10,IF(base_de_datos[Hora fin]&gt;=$C10,base_de_datos[No clase],""),""),""),""),"")</f>
        <v/>
      </c>
      <c r="S10" s="29" t="str" cm="1">
        <f t="array" aca="1" ref="S10" ca="1">_xlfn.TEXTJOIN(CHAR(10),TRUE,IF(Semestre=INDIRECT("base_de_datos["&amp;Carrera&amp;"]"),IF("x"=base_de_datos[Sábado],IF(base_de_datos[Hora inicio]&lt;=$B10,IF(base_de_datos[Hora fin]&gt;=$C10,base_de_datos[Materia]&amp;" "&amp;base_de_datos[[Número de grupo ]]&amp;" "&amp;base_de_datos[Profesor],""),""),""),""),"")</f>
        <v/>
      </c>
      <c r="T10" s="29" t="str" cm="1">
        <f t="array" aca="1" ref="T10" ca="1">_xlfn.TEXTJOIN(CHAR(10),TRUE,IF(Semestre=INDIRECT("base_de_datos["&amp;Carrera&amp;"]"),IF("x"=base_de_datos[Sábado],IF(base_de_datos[Hora inicio]&lt;=$B10,IF(base_de_datos[Hora fin]&gt;=$C10,base_de_datos[Aula]&amp;" "&amp;#REF!,""),""),""),""),"")</f>
        <v/>
      </c>
      <c r="U10" s="29" t="str" cm="1">
        <f t="array" aca="1" ref="U10" ca="1">_xlfn.TEXTJOIN(CHAR(10),TRUE,IF(Semestre=INDIRECT("base_de_datos["&amp;Carrera&amp;"]"),IF("x"=base_de_datos[Sábado],IF(base_de_datos[Hora inicio]&lt;=$B10,IF(base_de_datos[Hora fin]&gt;=$C10,base_de_datos[No clase],""),""),""),""),"")</f>
        <v/>
      </c>
      <c r="V10" s="28"/>
      <c r="W10" s="131" t="str">
        <f ca="1"/>
        <v>Sistemas de control</v>
      </c>
      <c r="X10" s="129" t="str">
        <f ca="1"/>
        <v>EEC</v>
      </c>
      <c r="Y10" s="115">
        <f ca="1"/>
        <v>0</v>
      </c>
      <c r="Z10" s="31">
        <f ca="1"/>
        <v>7</v>
      </c>
      <c r="AA10" s="31">
        <f ca="1"/>
        <v>0</v>
      </c>
      <c r="AB10" s="52">
        <f ca="1"/>
        <v>0</v>
      </c>
      <c r="AC10" s="52">
        <f ca="1"/>
        <v>0</v>
      </c>
      <c r="AD10" s="52">
        <f ca="1"/>
        <v>0</v>
      </c>
      <c r="AE10" s="52">
        <f ca="1"/>
        <v>7</v>
      </c>
      <c r="AF10" s="52">
        <f ca="1"/>
        <v>64</v>
      </c>
      <c r="AG10" s="52">
        <f ca="1"/>
        <v>0</v>
      </c>
      <c r="AH10" s="52">
        <f ca="1"/>
        <v>0</v>
      </c>
      <c r="AI10" s="52" t="str">
        <f ca="1"/>
        <v>027035</v>
      </c>
      <c r="AJ10" s="52">
        <f ca="1"/>
        <v>0</v>
      </c>
      <c r="AK10" s="52">
        <f ca="1"/>
        <v>0</v>
      </c>
      <c r="AL10" s="52">
        <f ca="1"/>
        <v>0</v>
      </c>
      <c r="AM10" s="52">
        <f ca="1"/>
        <v>0</v>
      </c>
      <c r="AN10" s="52" t="str">
        <f ca="1"/>
        <v>028904</v>
      </c>
      <c r="AO10" s="52">
        <f ca="1"/>
        <v>0</v>
      </c>
      <c r="AP10" s="52">
        <f ca="1"/>
        <v>7</v>
      </c>
      <c r="AQ10" s="52">
        <f ca="1"/>
        <v>0</v>
      </c>
      <c r="AR10" s="52">
        <f ca="1"/>
        <v>0</v>
      </c>
      <c r="AS10" s="52">
        <f ca="1"/>
        <v>0</v>
      </c>
      <c r="AT10" s="52">
        <f ca="1"/>
        <v>0</v>
      </c>
      <c r="AU10" s="52">
        <f ca="1"/>
        <v>7</v>
      </c>
      <c r="AV10" s="52"/>
      <c r="AW10" s="1" t="str">
        <f t="shared" ca="1" si="0"/>
        <v>Sistemas de control</v>
      </c>
    </row>
    <row r="11" spans="1:49" ht="30">
      <c r="B11" s="206">
        <v>0.41666666666666702</v>
      </c>
      <c r="C11" s="206">
        <v>0.437499999999998</v>
      </c>
      <c r="D11" s="29" t="str" cm="1">
        <f t="array" aca="1" ref="D11" ca="1">_xlfn.TEXTJOIN(CHAR(10),TRUE,IF(Semestre=INDIRECT("base_de_datos["&amp;Carrera&amp;"]"),IF("x"=base_de_datos[Lunes],IF(base_de_datos[Hora inicio]&lt;=$B11,IF(base_de_datos[Hora fin]&gt;=$C11,base_de_datos[Materia]&amp;" "&amp;base_de_datos[[Número de grupo ]]&amp;" "&amp;base_de_datos[Profesor],""),""),""),""),"")</f>
        <v/>
      </c>
      <c r="E11" s="29" t="str" cm="1">
        <f t="array" aca="1" ref="E11" ca="1">_xlfn.TEXTJOIN(CHAR(10),TRUE,IF(Semestre=INDIRECT("base_de_datos["&amp;Carrera&amp;"]"),IF("x"=base_de_datos[Lunes],IF(base_de_datos[Hora inicio]&lt;=$B11,IF(base_de_datos[Hora fin]&gt;=$C11,base_de_datos[Aula]&amp;" "&amp;base_de_datos[Examen],""),""),""),""),"")</f>
        <v/>
      </c>
      <c r="F11" s="29" t="str" cm="1">
        <f t="array" aca="1" ref="F11" ca="1">_xlfn.TEXTJOIN(CHAR(10),TRUE,IF(Semestre=INDIRECT("base_de_datos["&amp;Carrera&amp;"]"),IF("x"=base_de_datos[Lunes],IF(base_de_datos[Hora inicio]&lt;=$B11,IF(base_de_datos[Hora fin]&gt;=$C11,base_de_datos[No clase],""),""),""),""),"")</f>
        <v/>
      </c>
      <c r="G11" s="29" t="str" cm="1">
        <f t="array" aca="1" ref="G11" ca="1">_xlfn.TEXTJOIN(CHAR(10),TRUE,IF(Semestre=INDIRECT("base_de_datos["&amp;Carrera&amp;"]"),IF("x"=base_de_datos[Martes],IF(base_de_datos[Hora inicio]&lt;=$B11,IF(base_de_datos[Hora fin]&gt;=$C11,base_de_datos[Materia]&amp;" "&amp;base_de_datos[[Número de grupo ]]&amp;" "&amp;base_de_datos[Profesor],""),""),""),""),"")</f>
        <v/>
      </c>
      <c r="H11" s="29" t="str" cm="1">
        <f t="array" aca="1" ref="H11" ca="1">_xlfn.TEXTJOIN(CHAR(10),TRUE,IF(Semestre=INDIRECT("base_de_datos["&amp;Carrera&amp;"]"),IF("x"=base_de_datos[Martes],IF(base_de_datos[Hora inicio]&lt;=$B11,IF(base_de_datos[Hora fin]&gt;=$C11,base_de_datos[Aula]&amp;" "&amp;base_de_datos[Examen],""),""),""),""),"")</f>
        <v/>
      </c>
      <c r="I11" s="29" t="str" cm="1">
        <f t="array" aca="1" ref="I11" ca="1">_xlfn.TEXTJOIN(CHAR(10),TRUE,IF(Semestre=INDIRECT("base_de_datos["&amp;Carrera&amp;"]"),IF("x"=base_de_datos[Martes],IF(base_de_datos[Hora inicio]&lt;=$B11,IF(base_de_datos[Hora fin]&gt;=$C11,base_de_datos[No clase],""),""),""),""),"")</f>
        <v/>
      </c>
      <c r="J11" s="29" t="str" cm="1">
        <f t="array" aca="1" ref="J11" ca="1">_xlfn.TEXTJOIN(CHAR(10),TRUE,IF(Semestre=INDIRECT("base_de_datos["&amp;Carrera&amp;"]"),IF("x"=base_de_datos[Miércoles],IF(base_de_datos[Hora inicio]&lt;=$B11,IF(base_de_datos[Hora fin]&gt;=$C11,base_de_datos[Materia]&amp;" "&amp;base_de_datos[[Número de grupo ]]&amp;" "&amp;base_de_datos[Profesor],""),""),""),""),"")</f>
        <v/>
      </c>
      <c r="K11" s="29" t="str" cm="1">
        <f t="array" aca="1" ref="K11" ca="1">_xlfn.TEXTJOIN(CHAR(10),TRUE,IF(Semestre=INDIRECT("base_de_datos["&amp;Carrera&amp;"]"),IF("x"=base_de_datos[Miércoles],IF(base_de_datos[Hora inicio]&lt;=$B11,IF(base_de_datos[Hora fin]&gt;=$C11,base_de_datos[Aula]&amp;" "&amp;base_de_datos[Examen],""),""),""),""),"")</f>
        <v/>
      </c>
      <c r="L11" s="29" t="str" cm="1">
        <f t="array" aca="1" ref="L11" ca="1">_xlfn.TEXTJOIN(CHAR(10),TRUE,IF(Semestre=INDIRECT("base_de_datos["&amp;Carrera&amp;"]"),IF("x"=base_de_datos[Miércoles],IF(base_de_datos[Hora inicio]&lt;=$B11,IF(base_de_datos[Hora fin]&gt;=$C11,base_de_datos[No clase],""),""),""),""),"")</f>
        <v/>
      </c>
      <c r="M11" s="29" t="str" cm="1">
        <f t="array" aca="1" ref="M11" ca="1">_xlfn.TEXTJOIN(CHAR(10),TRUE,IF(Semestre=INDIRECT("base_de_datos["&amp;Carrera&amp;"]"),IF("x"=base_de_datos[Jueves],IF(base_de_datos[Hora inicio]&lt;=$B11,IF(base_de_datos[Hora fin]&gt;=$C11,base_de_datos[Materia]&amp;" "&amp;base_de_datos[[Número de grupo ]]&amp;" "&amp;base_de_datos[Profesor],""),""),""),""),"")</f>
        <v/>
      </c>
      <c r="N11" s="29" t="str" cm="1">
        <f t="array" aca="1" ref="N11" ca="1">_xlfn.TEXTJOIN(CHAR(10),TRUE,IF(Semestre=INDIRECT("base_de_datos["&amp;Carrera&amp;"]"),IF("x"=base_de_datos[Jueves],IF(base_de_datos[Hora inicio]&lt;=$B11,IF(base_de_datos[Hora fin]&gt;=$C11,base_de_datos[Aula]&amp;" "&amp;base_de_datos[Examen],""),""),""),""),"")</f>
        <v/>
      </c>
      <c r="O11" s="29" t="str" cm="1">
        <f t="array" aca="1" ref="O11" ca="1">_xlfn.TEXTJOIN(CHAR(10),TRUE,IF(Semestre=INDIRECT("base_de_datos["&amp;Carrera&amp;"]"),IF("x"=base_de_datos[Jueves],IF(base_de_datos[Hora inicio]&lt;=$B11,IF(base_de_datos[Hora fin]&gt;=$C11,base_de_datos[No clase],""),""),""),""),"")</f>
        <v/>
      </c>
      <c r="P11" s="29" t="str" cm="1">
        <f t="array" aca="1" ref="P11" ca="1">_xlfn.TEXTJOIN(CHAR(10),TRUE,IF(Semestre=INDIRECT("base_de_datos["&amp;Carrera&amp;"]"),IF("x"=base_de_datos[Viernes],IF(base_de_datos[Hora inicio]&lt;=$B11,IF(base_de_datos[Hora fin]&gt;=$C11,base_de_datos[Materia]&amp;" "&amp;base_de_datos[[Número de grupo ]]&amp;" "&amp;base_de_datos[Profesor],""),""),""),""),"")</f>
        <v/>
      </c>
      <c r="Q11" s="29" t="str" cm="1">
        <f t="array" aca="1" ref="Q11" ca="1">_xlfn.TEXTJOIN(CHAR(10),TRUE,IF(Semestre=INDIRECT("base_de_datos["&amp;Carrera&amp;"]"),IF("x"=base_de_datos[Viernes],IF(base_de_datos[Hora inicio]&lt;=$B11,IF(base_de_datos[Hora fin]&gt;=$C11,base_de_datos[Aula]&amp;" "&amp;base_de_datos[Examen],""),""),""),""),"")</f>
        <v/>
      </c>
      <c r="R11" s="29" t="str" cm="1">
        <f t="array" aca="1" ref="R11" ca="1">_xlfn.TEXTJOIN(CHAR(10),TRUE,IF(Semestre=INDIRECT("base_de_datos["&amp;Carrera&amp;"]"),IF("x"=base_de_datos[Viernes],IF(base_de_datos[Hora inicio]&lt;=$B11,IF(base_de_datos[Hora fin]&gt;=$C11,base_de_datos[No clase],""),""),""),""),"")</f>
        <v/>
      </c>
      <c r="S11" s="29" t="str" cm="1">
        <f t="array" aca="1" ref="S11" ca="1">_xlfn.TEXTJOIN(CHAR(10),TRUE,IF(Semestre=INDIRECT("base_de_datos["&amp;Carrera&amp;"]"),IF("x"=base_de_datos[Sábado],IF(base_de_datos[Hora inicio]&lt;=$B11,IF(base_de_datos[Hora fin]&gt;=$C11,base_de_datos[Materia]&amp;" "&amp;base_de_datos[[Número de grupo ]]&amp;" "&amp;base_de_datos[Profesor],""),""),""),""),"")</f>
        <v/>
      </c>
      <c r="T11" s="29" t="str" cm="1">
        <f t="array" aca="1" ref="T11" ca="1">_xlfn.TEXTJOIN(CHAR(10),TRUE,IF(Semestre=INDIRECT("base_de_datos["&amp;Carrera&amp;"]"),IF("x"=base_de_datos[Sábado],IF(base_de_datos[Hora inicio]&lt;=$B11,IF(base_de_datos[Hora fin]&gt;=$C11,base_de_datos[Aula]&amp;" "&amp;#REF!,""),""),""),""),"")</f>
        <v/>
      </c>
      <c r="U11" s="29" t="str" cm="1">
        <f t="array" aca="1" ref="U11" ca="1">_xlfn.TEXTJOIN(CHAR(10),TRUE,IF(Semestre=INDIRECT("base_de_datos["&amp;Carrera&amp;"]"),IF("x"=base_de_datos[Sábado],IF(base_de_datos[Hora inicio]&lt;=$B11,IF(base_de_datos[Hora fin]&gt;=$C11,base_de_datos[No clase],""),""),""),""),"")</f>
        <v/>
      </c>
      <c r="V11" s="28"/>
      <c r="W11" s="131" t="str">
        <f ca="1"/>
        <v>Hombre y mundo contemporáneo</v>
      </c>
      <c r="X11" s="129" t="str">
        <f ca="1"/>
        <v>HUM</v>
      </c>
      <c r="Y11" s="115">
        <f ca="1"/>
        <v>7</v>
      </c>
      <c r="Z11" s="31">
        <f ca="1"/>
        <v>7</v>
      </c>
      <c r="AA11" s="31">
        <f ca="1"/>
        <v>7</v>
      </c>
      <c r="AB11" s="52">
        <f ca="1"/>
        <v>7</v>
      </c>
      <c r="AC11" s="52">
        <f ca="1"/>
        <v>7</v>
      </c>
      <c r="AD11" s="52">
        <f ca="1"/>
        <v>7</v>
      </c>
      <c r="AE11" s="52">
        <f ca="1"/>
        <v>7</v>
      </c>
      <c r="AF11" s="52">
        <f ca="1"/>
        <v>48</v>
      </c>
      <c r="AG11" s="52">
        <f ca="1"/>
        <v>0</v>
      </c>
      <c r="AH11" s="52" t="str">
        <f ca="1"/>
        <v>026985</v>
      </c>
      <c r="AI11" s="52" t="str">
        <f ca="1"/>
        <v>026985</v>
      </c>
      <c r="AJ11" s="52">
        <f ca="1"/>
        <v>26985</v>
      </c>
      <c r="AK11" s="52" t="str">
        <f ca="1"/>
        <v>028907</v>
      </c>
      <c r="AL11" s="52" t="str">
        <f ca="1"/>
        <v>018933</v>
      </c>
      <c r="AM11" s="52" t="str">
        <f ca="1"/>
        <v>027076</v>
      </c>
      <c r="AN11" s="52" t="str">
        <f ca="1"/>
        <v>028907</v>
      </c>
      <c r="AO11" s="52">
        <f ca="1"/>
        <v>6</v>
      </c>
      <c r="AP11" s="52">
        <f ca="1"/>
        <v>6</v>
      </c>
      <c r="AQ11" s="52">
        <f ca="1"/>
        <v>6</v>
      </c>
      <c r="AR11" s="52">
        <f ca="1"/>
        <v>6</v>
      </c>
      <c r="AS11" s="52">
        <f ca="1"/>
        <v>6</v>
      </c>
      <c r="AT11" s="52">
        <f ca="1"/>
        <v>6</v>
      </c>
      <c r="AU11" s="52">
        <f ca="1"/>
        <v>6</v>
      </c>
      <c r="AV11" s="52"/>
      <c r="AW11" s="1" t="str">
        <f t="shared" ca="1" si="0"/>
        <v>Hombre y mundo contemporáneo</v>
      </c>
    </row>
    <row r="12" spans="1:49" ht="15">
      <c r="B12" s="206">
        <v>0.4375</v>
      </c>
      <c r="C12" s="206">
        <v>0.45833333333333098</v>
      </c>
      <c r="D12" s="29" t="str" cm="1">
        <f t="array" aca="1" ref="D12" ca="1">_xlfn.TEXTJOIN(CHAR(10),TRUE,IF(Semestre=INDIRECT("base_de_datos["&amp;Carrera&amp;"]"),IF("x"=base_de_datos[Lunes],IF(base_de_datos[Hora inicio]&lt;=$B12,IF(base_de_datos[Hora fin]&gt;=$C12,base_de_datos[Materia]&amp;" "&amp;base_de_datos[[Número de grupo ]]&amp;" "&amp;base_de_datos[Profesor],""),""),""),""),"")</f>
        <v/>
      </c>
      <c r="E12" s="29" t="str" cm="1">
        <f t="array" aca="1" ref="E12" ca="1">_xlfn.TEXTJOIN(CHAR(10),TRUE,IF(Semestre=INDIRECT("base_de_datos["&amp;Carrera&amp;"]"),IF("x"=base_de_datos[Lunes],IF(base_de_datos[Hora inicio]&lt;=$B12,IF(base_de_datos[Hora fin]&gt;=$C12,base_de_datos[Aula]&amp;" "&amp;base_de_datos[Examen],""),""),""),""),"")</f>
        <v/>
      </c>
      <c r="F12" s="29" t="str" cm="1">
        <f t="array" aca="1" ref="F12" ca="1">_xlfn.TEXTJOIN(CHAR(10),TRUE,IF(Semestre=INDIRECT("base_de_datos["&amp;Carrera&amp;"]"),IF("x"=base_de_datos[Lunes],IF(base_de_datos[Hora inicio]&lt;=$B12,IF(base_de_datos[Hora fin]&gt;=$C12,base_de_datos[No clase],""),""),""),""),"")</f>
        <v/>
      </c>
      <c r="G12" s="29" t="str" cm="1">
        <f t="array" aca="1" ref="G12" ca="1">_xlfn.TEXTJOIN(CHAR(10),TRUE,IF(Semestre=INDIRECT("base_de_datos["&amp;Carrera&amp;"]"),IF("x"=base_de_datos[Martes],IF(base_de_datos[Hora inicio]&lt;=$B12,IF(base_de_datos[Hora fin]&gt;=$C12,base_de_datos[Materia]&amp;" "&amp;base_de_datos[[Número de grupo ]]&amp;" "&amp;base_de_datos[Profesor],""),""),""),""),"")</f>
        <v/>
      </c>
      <c r="H12" s="29" t="str" cm="1">
        <f t="array" aca="1" ref="H12" ca="1">_xlfn.TEXTJOIN(CHAR(10),TRUE,IF(Semestre=INDIRECT("base_de_datos["&amp;Carrera&amp;"]"),IF("x"=base_de_datos[Martes],IF(base_de_datos[Hora inicio]&lt;=$B12,IF(base_de_datos[Hora fin]&gt;=$C12,base_de_datos[Aula]&amp;" "&amp;base_de_datos[Examen],""),""),""),""),"")</f>
        <v/>
      </c>
      <c r="I12" s="29" t="str" cm="1">
        <f t="array" aca="1" ref="I12" ca="1">_xlfn.TEXTJOIN(CHAR(10),TRUE,IF(Semestre=INDIRECT("base_de_datos["&amp;Carrera&amp;"]"),IF("x"=base_de_datos[Martes],IF(base_de_datos[Hora inicio]&lt;=$B12,IF(base_de_datos[Hora fin]&gt;=$C12,base_de_datos[No clase],""),""),""),""),"")</f>
        <v/>
      </c>
      <c r="J12" s="29" t="str" cm="1">
        <f t="array" aca="1" ref="J12" ca="1">_xlfn.TEXTJOIN(CHAR(10),TRUE,IF(Semestre=INDIRECT("base_de_datos["&amp;Carrera&amp;"]"),IF("x"=base_de_datos[Miércoles],IF(base_de_datos[Hora inicio]&lt;=$B12,IF(base_de_datos[Hora fin]&gt;=$C12,base_de_datos[Materia]&amp;" "&amp;base_de_datos[[Número de grupo ]]&amp;" "&amp;base_de_datos[Profesor],""),""),""),""),"")</f>
        <v/>
      </c>
      <c r="K12" s="29" t="str" cm="1">
        <f t="array" aca="1" ref="K12" ca="1">_xlfn.TEXTJOIN(CHAR(10),TRUE,IF(Semestre=INDIRECT("base_de_datos["&amp;Carrera&amp;"]"),IF("x"=base_de_datos[Miércoles],IF(base_de_datos[Hora inicio]&lt;=$B12,IF(base_de_datos[Hora fin]&gt;=$C12,base_de_datos[Aula]&amp;" "&amp;base_de_datos[Examen],""),""),""),""),"")</f>
        <v/>
      </c>
      <c r="L12" s="29" t="str" cm="1">
        <f t="array" aca="1" ref="L12" ca="1">_xlfn.TEXTJOIN(CHAR(10),TRUE,IF(Semestre=INDIRECT("base_de_datos["&amp;Carrera&amp;"]"),IF("x"=base_de_datos[Miércoles],IF(base_de_datos[Hora inicio]&lt;=$B12,IF(base_de_datos[Hora fin]&gt;=$C12,base_de_datos[No clase],""),""),""),""),"")</f>
        <v/>
      </c>
      <c r="M12" s="29" t="str" cm="1">
        <f t="array" aca="1" ref="M12" ca="1">_xlfn.TEXTJOIN(CHAR(10),TRUE,IF(Semestre=INDIRECT("base_de_datos["&amp;Carrera&amp;"]"),IF("x"=base_de_datos[Jueves],IF(base_de_datos[Hora inicio]&lt;=$B12,IF(base_de_datos[Hora fin]&gt;=$C12,base_de_datos[Materia]&amp;" "&amp;base_de_datos[[Número de grupo ]]&amp;" "&amp;base_de_datos[Profesor],""),""),""),""),"")</f>
        <v/>
      </c>
      <c r="N12" s="29" t="str" cm="1">
        <f t="array" aca="1" ref="N12" ca="1">_xlfn.TEXTJOIN(CHAR(10),TRUE,IF(Semestre=INDIRECT("base_de_datos["&amp;Carrera&amp;"]"),IF("x"=base_de_datos[Jueves],IF(base_de_datos[Hora inicio]&lt;=$B12,IF(base_de_datos[Hora fin]&gt;=$C12,base_de_datos[Aula]&amp;" "&amp;base_de_datos[Examen],""),""),""),""),"")</f>
        <v/>
      </c>
      <c r="O12" s="29" t="str" cm="1">
        <f t="array" aca="1" ref="O12" ca="1">_xlfn.TEXTJOIN(CHAR(10),TRUE,IF(Semestre=INDIRECT("base_de_datos["&amp;Carrera&amp;"]"),IF("x"=base_de_datos[Jueves],IF(base_de_datos[Hora inicio]&lt;=$B12,IF(base_de_datos[Hora fin]&gt;=$C12,base_de_datos[No clase],""),""),""),""),"")</f>
        <v/>
      </c>
      <c r="P12" s="29" t="str" cm="1">
        <f t="array" aca="1" ref="P12" ca="1">_xlfn.TEXTJOIN(CHAR(10),TRUE,IF(Semestre=INDIRECT("base_de_datos["&amp;Carrera&amp;"]"),IF("x"=base_de_datos[Viernes],IF(base_de_datos[Hora inicio]&lt;=$B12,IF(base_de_datos[Hora fin]&gt;=$C12,base_de_datos[Materia]&amp;" "&amp;base_de_datos[[Número de grupo ]]&amp;" "&amp;base_de_datos[Profesor],""),""),""),""),"")</f>
        <v/>
      </c>
      <c r="Q12" s="29" t="str" cm="1">
        <f t="array" aca="1" ref="Q12" ca="1">_xlfn.TEXTJOIN(CHAR(10),TRUE,IF(Semestre=INDIRECT("base_de_datos["&amp;Carrera&amp;"]"),IF("x"=base_de_datos[Viernes],IF(base_de_datos[Hora inicio]&lt;=$B12,IF(base_de_datos[Hora fin]&gt;=$C12,base_de_datos[Aula]&amp;" "&amp;base_de_datos[Examen],""),""),""),""),"")</f>
        <v/>
      </c>
      <c r="R12" s="29" t="str" cm="1">
        <f t="array" aca="1" ref="R12" ca="1">_xlfn.TEXTJOIN(CHAR(10),TRUE,IF(Semestre=INDIRECT("base_de_datos["&amp;Carrera&amp;"]"),IF("x"=base_de_datos[Viernes],IF(base_de_datos[Hora inicio]&lt;=$B12,IF(base_de_datos[Hora fin]&gt;=$C12,base_de_datos[No clase],""),""),""),""),"")</f>
        <v/>
      </c>
      <c r="S12" s="29" t="str" cm="1">
        <f t="array" aca="1" ref="S12" ca="1">_xlfn.TEXTJOIN(CHAR(10),TRUE,IF(Semestre=INDIRECT("base_de_datos["&amp;Carrera&amp;"]"),IF("x"=base_de_datos[Sábado],IF(base_de_datos[Hora inicio]&lt;=$B12,IF(base_de_datos[Hora fin]&gt;=$C12,base_de_datos[Materia]&amp;" "&amp;base_de_datos[[Número de grupo ]]&amp;" "&amp;base_de_datos[Profesor],""),""),""),""),"")</f>
        <v/>
      </c>
      <c r="T12" s="29" t="str" cm="1">
        <f t="array" aca="1" ref="T12" ca="1">_xlfn.TEXTJOIN(CHAR(10),TRUE,IF(Semestre=INDIRECT("base_de_datos["&amp;Carrera&amp;"]"),IF("x"=base_de_datos[Sábado],IF(base_de_datos[Hora inicio]&lt;=$B12,IF(base_de_datos[Hora fin]&gt;=$C12,base_de_datos[Aula]&amp;" "&amp;#REF!,""),""),""),""),"")</f>
        <v/>
      </c>
      <c r="U12" s="29" t="str" cm="1">
        <f t="array" aca="1" ref="U12" ca="1">_xlfn.TEXTJOIN(CHAR(10),TRUE,IF(Semestre=INDIRECT("base_de_datos["&amp;Carrera&amp;"]"),IF("x"=base_de_datos[Sábado],IF(base_de_datos[Hora inicio]&lt;=$B12,IF(base_de_datos[Hora fin]&gt;=$C12,base_de_datos[No clase],""),""),""),""),"")</f>
        <v/>
      </c>
      <c r="V12" s="28"/>
      <c r="W12" s="131"/>
      <c r="X12" s="129"/>
      <c r="Y12" s="115"/>
      <c r="Z12" s="31"/>
      <c r="AA12" s="31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1" t="str">
        <f t="shared" si="0"/>
        <v/>
      </c>
    </row>
    <row r="13" spans="1:49" ht="15">
      <c r="B13" s="206">
        <v>0.45833333333333398</v>
      </c>
      <c r="C13" s="206">
        <v>0.47916666666666402</v>
      </c>
      <c r="D13" s="30" t="str" cm="1">
        <f t="array" aca="1" ref="D13" ca="1">_xlfn.TEXTJOIN(CHAR(10),TRUE,IF(Semestre=INDIRECT("base_de_datos["&amp;Carrera&amp;"]"),IF("x"=base_de_datos[Lunes],IF(base_de_datos[Hora inicio]&lt;=$B13,IF(base_de_datos[Hora fin]&gt;=$C13,base_de_datos[Materia]&amp;" "&amp;base_de_datos[[Número de grupo ]]&amp;" "&amp;base_de_datos[Profesor],""),""),""),""),"")</f>
        <v/>
      </c>
      <c r="E13" s="30" t="str" cm="1">
        <f t="array" aca="1" ref="E13" ca="1">_xlfn.TEXTJOIN(CHAR(10),TRUE,IF(Semestre=INDIRECT("base_de_datos["&amp;Carrera&amp;"]"),IF("x"=base_de_datos[Lunes],IF(base_de_datos[Hora inicio]&lt;=$B13,IF(base_de_datos[Hora fin]&gt;=$C13,base_de_datos[Aula]&amp;" "&amp;base_de_datos[Examen],""),""),""),""),"")</f>
        <v/>
      </c>
      <c r="F13" s="30" t="str" cm="1">
        <f t="array" aca="1" ref="F13" ca="1">_xlfn.TEXTJOIN(CHAR(10),TRUE,IF(Semestre=INDIRECT("base_de_datos["&amp;Carrera&amp;"]"),IF("x"=base_de_datos[Lunes],IF(base_de_datos[Hora inicio]&lt;=$B13,IF(base_de_datos[Hora fin]&gt;=$C13,base_de_datos[No clase],""),""),""),""),"")</f>
        <v/>
      </c>
      <c r="G13" s="30" t="str" cm="1">
        <f t="array" aca="1" ref="G13" ca="1">_xlfn.TEXTJOIN(CHAR(10),TRUE,IF(Semestre=INDIRECT("base_de_datos["&amp;Carrera&amp;"]"),IF("x"=base_de_datos[Martes],IF(base_de_datos[Hora inicio]&lt;=$B13,IF(base_de_datos[Hora fin]&gt;=$C13,base_de_datos[Materia]&amp;" "&amp;base_de_datos[[Número de grupo ]]&amp;" "&amp;base_de_datos[Profesor],""),""),""),""),"")</f>
        <v/>
      </c>
      <c r="H13" s="30" t="str" cm="1">
        <f t="array" aca="1" ref="H13" ca="1">_xlfn.TEXTJOIN(CHAR(10),TRUE,IF(Semestre=INDIRECT("base_de_datos["&amp;Carrera&amp;"]"),IF("x"=base_de_datos[Martes],IF(base_de_datos[Hora inicio]&lt;=$B13,IF(base_de_datos[Hora fin]&gt;=$C13,base_de_datos[Aula]&amp;" "&amp;base_de_datos[Examen],""),""),""),""),"")</f>
        <v/>
      </c>
      <c r="I13" s="30" t="str" cm="1">
        <f t="array" aca="1" ref="I13" ca="1">_xlfn.TEXTJOIN(CHAR(10),TRUE,IF(Semestre=INDIRECT("base_de_datos["&amp;Carrera&amp;"]"),IF("x"=base_de_datos[Martes],IF(base_de_datos[Hora inicio]&lt;=$B13,IF(base_de_datos[Hora fin]&gt;=$C13,base_de_datos[No clase],""),""),""),""),"")</f>
        <v/>
      </c>
      <c r="J13" s="30" t="str" cm="1">
        <f t="array" aca="1" ref="J13" ca="1">_xlfn.TEXTJOIN(CHAR(10),TRUE,IF(Semestre=INDIRECT("base_de_datos["&amp;Carrera&amp;"]"),IF("x"=base_de_datos[Miércoles],IF(base_de_datos[Hora inicio]&lt;=$B13,IF(base_de_datos[Hora fin]&gt;=$C13,base_de_datos[Materia]&amp;" "&amp;base_de_datos[[Número de grupo ]]&amp;" "&amp;base_de_datos[Profesor],""),""),""),""),"")</f>
        <v/>
      </c>
      <c r="K13" s="30" t="str" cm="1">
        <f t="array" aca="1" ref="K13" ca="1">_xlfn.TEXTJOIN(CHAR(10),TRUE,IF(Semestre=INDIRECT("base_de_datos["&amp;Carrera&amp;"]"),IF("x"=base_de_datos[Miércoles],IF(base_de_datos[Hora inicio]&lt;=$B13,IF(base_de_datos[Hora fin]&gt;=$C13,base_de_datos[Aula]&amp;" "&amp;base_de_datos[Examen],""),""),""),""),"")</f>
        <v/>
      </c>
      <c r="L13" s="30" t="str" cm="1">
        <f t="array" aca="1" ref="L13" ca="1">_xlfn.TEXTJOIN(CHAR(10),TRUE,IF(Semestre=INDIRECT("base_de_datos["&amp;Carrera&amp;"]"),IF("x"=base_de_datos[Miércoles],IF(base_de_datos[Hora inicio]&lt;=$B13,IF(base_de_datos[Hora fin]&gt;=$C13,base_de_datos[No clase],""),""),""),""),"")</f>
        <v/>
      </c>
      <c r="M13" s="30" t="str" cm="1">
        <f t="array" aca="1" ref="M13" ca="1">_xlfn.TEXTJOIN(CHAR(10),TRUE,IF(Semestre=INDIRECT("base_de_datos["&amp;Carrera&amp;"]"),IF("x"=base_de_datos[Jueves],IF(base_de_datos[Hora inicio]&lt;=$B13,IF(base_de_datos[Hora fin]&gt;=$C13,base_de_datos[Materia]&amp;" "&amp;base_de_datos[[Número de grupo ]]&amp;" "&amp;base_de_datos[Profesor],""),""),""),""),"")</f>
        <v/>
      </c>
      <c r="N13" s="30" t="str" cm="1">
        <f t="array" aca="1" ref="N13" ca="1">_xlfn.TEXTJOIN(CHAR(10),TRUE,IF(Semestre=INDIRECT("base_de_datos["&amp;Carrera&amp;"]"),IF("x"=base_de_datos[Jueves],IF(base_de_datos[Hora inicio]&lt;=$B13,IF(base_de_datos[Hora fin]&gt;=$C13,base_de_datos[Aula]&amp;" "&amp;base_de_datos[Examen],""),""),""),""),"")</f>
        <v/>
      </c>
      <c r="O13" s="30" t="str" cm="1">
        <f t="array" aca="1" ref="O13" ca="1">_xlfn.TEXTJOIN(CHAR(10),TRUE,IF(Semestre=INDIRECT("base_de_datos["&amp;Carrera&amp;"]"),IF("x"=base_de_datos[Jueves],IF(base_de_datos[Hora inicio]&lt;=$B13,IF(base_de_datos[Hora fin]&gt;=$C13,base_de_datos[No clase],""),""),""),""),"")</f>
        <v/>
      </c>
      <c r="P13" s="30" t="str" cm="1">
        <f t="array" aca="1" ref="P13" ca="1">_xlfn.TEXTJOIN(CHAR(10),TRUE,IF(Semestre=INDIRECT("base_de_datos["&amp;Carrera&amp;"]"),IF("x"=base_de_datos[Viernes],IF(base_de_datos[Hora inicio]&lt;=$B13,IF(base_de_datos[Hora fin]&gt;=$C13,base_de_datos[Materia]&amp;" "&amp;base_de_datos[[Número de grupo ]]&amp;" "&amp;base_de_datos[Profesor],""),""),""),""),"")</f>
        <v/>
      </c>
      <c r="Q13" s="30" t="str" cm="1">
        <f t="array" aca="1" ref="Q13" ca="1">_xlfn.TEXTJOIN(CHAR(10),TRUE,IF(Semestre=INDIRECT("base_de_datos["&amp;Carrera&amp;"]"),IF("x"=base_de_datos[Viernes],IF(base_de_datos[Hora inicio]&lt;=$B13,IF(base_de_datos[Hora fin]&gt;=$C13,base_de_datos[Aula]&amp;" "&amp;base_de_datos[Examen],""),""),""),""),"")</f>
        <v/>
      </c>
      <c r="R13" s="30" t="str" cm="1">
        <f t="array" aca="1" ref="R13" ca="1">_xlfn.TEXTJOIN(CHAR(10),TRUE,IF(Semestre=INDIRECT("base_de_datos["&amp;Carrera&amp;"]"),IF("x"=base_de_datos[Viernes],IF(base_de_datos[Hora inicio]&lt;=$B13,IF(base_de_datos[Hora fin]&gt;=$C13,base_de_datos[No clase],""),""),""),""),"")</f>
        <v/>
      </c>
      <c r="S13" s="29" t="str" cm="1">
        <f t="array" aca="1" ref="S13" ca="1">_xlfn.TEXTJOIN(CHAR(10),TRUE,IF(Semestre=INDIRECT("base_de_datos["&amp;Carrera&amp;"]"),IF("x"=base_de_datos[Sábado],IF(base_de_datos[Hora inicio]&lt;=$B13,IF(base_de_datos[Hora fin]&gt;=$C13,base_de_datos[Materia]&amp;" "&amp;base_de_datos[[Número de grupo ]]&amp;" "&amp;base_de_datos[Profesor],""),""),""),""),"")</f>
        <v/>
      </c>
      <c r="T13" s="29" t="str" cm="1">
        <f t="array" aca="1" ref="T13" ca="1">_xlfn.TEXTJOIN(CHAR(10),TRUE,IF(Semestre=INDIRECT("base_de_datos["&amp;Carrera&amp;"]"),IF("x"=base_de_datos[Sábado],IF(base_de_datos[Hora inicio]&lt;=$B13,IF(base_de_datos[Hora fin]&gt;=$C13,base_de_datos[Aula]&amp;" "&amp;#REF!,""),""),""),""),"")</f>
        <v/>
      </c>
      <c r="U13" s="29" t="str" cm="1">
        <f t="array" aca="1" ref="U13" ca="1">_xlfn.TEXTJOIN(CHAR(10),TRUE,IF(Semestre=INDIRECT("base_de_datos["&amp;Carrera&amp;"]"),IF("x"=base_de_datos[Sábado],IF(base_de_datos[Hora inicio]&lt;=$B13,IF(base_de_datos[Hora fin]&gt;=$C13,base_de_datos[No clase],""),""),""),""),"")</f>
        <v/>
      </c>
      <c r="V13" s="28"/>
      <c r="W13" s="131"/>
      <c r="X13" s="129"/>
      <c r="Y13" s="115"/>
      <c r="Z13" s="31"/>
      <c r="AA13" s="31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1" t="str">
        <f t="shared" si="0"/>
        <v/>
      </c>
    </row>
    <row r="14" spans="1:49" ht="15">
      <c r="B14" s="206">
        <v>0.47916666666666702</v>
      </c>
      <c r="C14" s="206">
        <v>0.499999999999997</v>
      </c>
      <c r="D14" s="30" t="str" cm="1">
        <f t="array" aca="1" ref="D14" ca="1">_xlfn.TEXTJOIN(CHAR(10),TRUE,IF(Semestre=INDIRECT("base_de_datos["&amp;Carrera&amp;"]"),IF("x"=base_de_datos[Lunes],IF(base_de_datos[Hora inicio]&lt;=$B14,IF(base_de_datos[Hora fin]&gt;=$C14,base_de_datos[Materia]&amp;" "&amp;base_de_datos[[Número de grupo ]]&amp;" "&amp;base_de_datos[Profesor],""),""),""),""),"")</f>
        <v/>
      </c>
      <c r="E14" s="30" t="str" cm="1">
        <f t="array" aca="1" ref="E14" ca="1">_xlfn.TEXTJOIN(CHAR(10),TRUE,IF(Semestre=INDIRECT("base_de_datos["&amp;Carrera&amp;"]"),IF("x"=base_de_datos[Lunes],IF(base_de_datos[Hora inicio]&lt;=$B14,IF(base_de_datos[Hora fin]&gt;=$C14,base_de_datos[Aula]&amp;" "&amp;base_de_datos[Examen],""),""),""),""),"")</f>
        <v/>
      </c>
      <c r="F14" s="30" t="str" cm="1">
        <f t="array" aca="1" ref="F14" ca="1">_xlfn.TEXTJOIN(CHAR(10),TRUE,IF(Semestre=INDIRECT("base_de_datos["&amp;Carrera&amp;"]"),IF("x"=base_de_datos[Lunes],IF(base_de_datos[Hora inicio]&lt;=$B14,IF(base_de_datos[Hora fin]&gt;=$C14,base_de_datos[No clase],""),""),""),""),"")</f>
        <v/>
      </c>
      <c r="G14" s="30" t="str" cm="1">
        <f t="array" aca="1" ref="G14" ca="1">_xlfn.TEXTJOIN(CHAR(10),TRUE,IF(Semestre=INDIRECT("base_de_datos["&amp;Carrera&amp;"]"),IF("x"=base_de_datos[Martes],IF(base_de_datos[Hora inicio]&lt;=$B14,IF(base_de_datos[Hora fin]&gt;=$C14,base_de_datos[Materia]&amp;" "&amp;base_de_datos[[Número de grupo ]]&amp;" "&amp;base_de_datos[Profesor],""),""),""),""),"")</f>
        <v/>
      </c>
      <c r="H14" s="30" t="str" cm="1">
        <f t="array" aca="1" ref="H14" ca="1">_xlfn.TEXTJOIN(CHAR(10),TRUE,IF(Semestre=INDIRECT("base_de_datos["&amp;Carrera&amp;"]"),IF("x"=base_de_datos[Martes],IF(base_de_datos[Hora inicio]&lt;=$B14,IF(base_de_datos[Hora fin]&gt;=$C14,base_de_datos[Aula]&amp;" "&amp;base_de_datos[Examen],""),""),""),""),"")</f>
        <v/>
      </c>
      <c r="I14" s="30" t="str" cm="1">
        <f t="array" aca="1" ref="I14" ca="1">_xlfn.TEXTJOIN(CHAR(10),TRUE,IF(Semestre=INDIRECT("base_de_datos["&amp;Carrera&amp;"]"),IF("x"=base_de_datos[Martes],IF(base_de_datos[Hora inicio]&lt;=$B14,IF(base_de_datos[Hora fin]&gt;=$C14,base_de_datos[No clase],""),""),""),""),"")</f>
        <v/>
      </c>
      <c r="J14" s="30" t="str" cm="1">
        <f t="array" aca="1" ref="J14" ca="1">_xlfn.TEXTJOIN(CHAR(10),TRUE,IF(Semestre=INDIRECT("base_de_datos["&amp;Carrera&amp;"]"),IF("x"=base_de_datos[Miércoles],IF(base_de_datos[Hora inicio]&lt;=$B14,IF(base_de_datos[Hora fin]&gt;=$C14,base_de_datos[Materia]&amp;" "&amp;base_de_datos[[Número de grupo ]]&amp;" "&amp;base_de_datos[Profesor],""),""),""),""),"")</f>
        <v/>
      </c>
      <c r="K14" s="30" t="str" cm="1">
        <f t="array" aca="1" ref="K14" ca="1">_xlfn.TEXTJOIN(CHAR(10),TRUE,IF(Semestre=INDIRECT("base_de_datos["&amp;Carrera&amp;"]"),IF("x"=base_de_datos[Miércoles],IF(base_de_datos[Hora inicio]&lt;=$B14,IF(base_de_datos[Hora fin]&gt;=$C14,base_de_datos[Aula]&amp;" "&amp;base_de_datos[Examen],""),""),""),""),"")</f>
        <v/>
      </c>
      <c r="L14" s="30" t="str" cm="1">
        <f t="array" aca="1" ref="L14" ca="1">_xlfn.TEXTJOIN(CHAR(10),TRUE,IF(Semestre=INDIRECT("base_de_datos["&amp;Carrera&amp;"]"),IF("x"=base_de_datos[Miércoles],IF(base_de_datos[Hora inicio]&lt;=$B14,IF(base_de_datos[Hora fin]&gt;=$C14,base_de_datos[No clase],""),""),""),""),"")</f>
        <v/>
      </c>
      <c r="M14" s="30" t="str" cm="1">
        <f t="array" aca="1" ref="M14" ca="1">_xlfn.TEXTJOIN(CHAR(10),TRUE,IF(Semestre=INDIRECT("base_de_datos["&amp;Carrera&amp;"]"),IF("x"=base_de_datos[Jueves],IF(base_de_datos[Hora inicio]&lt;=$B14,IF(base_de_datos[Hora fin]&gt;=$C14,base_de_datos[Materia]&amp;" "&amp;base_de_datos[[Número de grupo ]]&amp;" "&amp;base_de_datos[Profesor],""),""),""),""),"")</f>
        <v/>
      </c>
      <c r="N14" s="30" t="str" cm="1">
        <f t="array" aca="1" ref="N14" ca="1">_xlfn.TEXTJOIN(CHAR(10),TRUE,IF(Semestre=INDIRECT("base_de_datos["&amp;Carrera&amp;"]"),IF("x"=base_de_datos[Jueves],IF(base_de_datos[Hora inicio]&lt;=$B14,IF(base_de_datos[Hora fin]&gt;=$C14,base_de_datos[Aula]&amp;" "&amp;base_de_datos[Examen],""),""),""),""),"")</f>
        <v/>
      </c>
      <c r="O14" s="30" t="str" cm="1">
        <f t="array" aca="1" ref="O14" ca="1">_xlfn.TEXTJOIN(CHAR(10),TRUE,IF(Semestre=INDIRECT("base_de_datos["&amp;Carrera&amp;"]"),IF("x"=base_de_datos[Jueves],IF(base_de_datos[Hora inicio]&lt;=$B14,IF(base_de_datos[Hora fin]&gt;=$C14,base_de_datos[No clase],""),""),""),""),"")</f>
        <v/>
      </c>
      <c r="P14" s="30" t="str" cm="1">
        <f t="array" aca="1" ref="P14" ca="1">_xlfn.TEXTJOIN(CHAR(10),TRUE,IF(Semestre=INDIRECT("base_de_datos["&amp;Carrera&amp;"]"),IF("x"=base_de_datos[Viernes],IF(base_de_datos[Hora inicio]&lt;=$B14,IF(base_de_datos[Hora fin]&gt;=$C14,base_de_datos[Materia]&amp;" "&amp;base_de_datos[[Número de grupo ]]&amp;" "&amp;base_de_datos[Profesor],""),""),""),""),"")</f>
        <v/>
      </c>
      <c r="Q14" s="30" t="str" cm="1">
        <f t="array" aca="1" ref="Q14" ca="1">_xlfn.TEXTJOIN(CHAR(10),TRUE,IF(Semestre=INDIRECT("base_de_datos["&amp;Carrera&amp;"]"),IF("x"=base_de_datos[Viernes],IF(base_de_datos[Hora inicio]&lt;=$B14,IF(base_de_datos[Hora fin]&gt;=$C14,base_de_datos[Aula]&amp;" "&amp;base_de_datos[Examen],""),""),""),""),"")</f>
        <v/>
      </c>
      <c r="R14" s="30" t="str" cm="1">
        <f t="array" aca="1" ref="R14" ca="1">_xlfn.TEXTJOIN(CHAR(10),TRUE,IF(Semestre=INDIRECT("base_de_datos["&amp;Carrera&amp;"]"),IF("x"=base_de_datos[Viernes],IF(base_de_datos[Hora inicio]&lt;=$B14,IF(base_de_datos[Hora fin]&gt;=$C14,base_de_datos[No clase],""),""),""),""),"")</f>
        <v/>
      </c>
      <c r="S14" s="29" t="str" cm="1">
        <f t="array" aca="1" ref="S14" ca="1">_xlfn.TEXTJOIN(CHAR(10),TRUE,IF(Semestre=INDIRECT("base_de_datos["&amp;Carrera&amp;"]"),IF("x"=base_de_datos[Sábado],IF(base_de_datos[Hora inicio]&lt;=$B14,IF(base_de_datos[Hora fin]&gt;=$C14,base_de_datos[Materia]&amp;" "&amp;base_de_datos[[Número de grupo ]]&amp;" "&amp;base_de_datos[Profesor],""),""),""),""),"")</f>
        <v/>
      </c>
      <c r="T14" s="29" t="str" cm="1">
        <f t="array" aca="1" ref="T14" ca="1">_xlfn.TEXTJOIN(CHAR(10),TRUE,IF(Semestre=INDIRECT("base_de_datos["&amp;Carrera&amp;"]"),IF("x"=base_de_datos[Sábado],IF(base_de_datos[Hora inicio]&lt;=$B14,IF(base_de_datos[Hora fin]&gt;=$C14,base_de_datos[Aula]&amp;" "&amp;#REF!,""),""),""),""),"")</f>
        <v/>
      </c>
      <c r="U14" s="29" t="str" cm="1">
        <f t="array" aca="1" ref="U14" ca="1">_xlfn.TEXTJOIN(CHAR(10),TRUE,IF(Semestre=INDIRECT("base_de_datos["&amp;Carrera&amp;"]"),IF("x"=base_de_datos[Sábado],IF(base_de_datos[Hora inicio]&lt;=$B14,IF(base_de_datos[Hora fin]&gt;=$C14,base_de_datos[No clase],""),""),""),""),"")</f>
        <v/>
      </c>
      <c r="V14" s="28"/>
      <c r="W14" s="131"/>
      <c r="X14" s="129"/>
      <c r="Y14" s="115"/>
      <c r="Z14" s="31"/>
      <c r="AA14" s="31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1" t="str">
        <f t="shared" si="0"/>
        <v/>
      </c>
    </row>
    <row r="15" spans="1:49" ht="15">
      <c r="B15" s="206">
        <v>0.5</v>
      </c>
      <c r="C15" s="206">
        <v>0.52083333333333004</v>
      </c>
      <c r="D15" s="29" t="str" cm="1">
        <f t="array" aca="1" ref="D15" ca="1">_xlfn.TEXTJOIN(CHAR(10),TRUE,IF(Semestre=INDIRECT("base_de_datos["&amp;Carrera&amp;"]"),IF("x"=base_de_datos[Lunes],IF(base_de_datos[Hora inicio]&lt;=$B15,IF(base_de_datos[Hora fin]&gt;=$C15,base_de_datos[Materia]&amp;" "&amp;base_de_datos[[Número de grupo ]]&amp;" "&amp;base_de_datos[Profesor],""),""),""),""),"")</f>
        <v/>
      </c>
      <c r="E15" s="29" t="str" cm="1">
        <f t="array" aca="1" ref="E15" ca="1">_xlfn.TEXTJOIN(CHAR(10),TRUE,IF(Semestre=INDIRECT("base_de_datos["&amp;Carrera&amp;"]"),IF("x"=base_de_datos[Lunes],IF(base_de_datos[Hora inicio]&lt;=$B15,IF(base_de_datos[Hora fin]&gt;=$C15,base_de_datos[Aula]&amp;" "&amp;base_de_datos[Examen],""),""),""),""),"")</f>
        <v/>
      </c>
      <c r="F15" s="29" t="str" cm="1">
        <f t="array" aca="1" ref="F15" ca="1">_xlfn.TEXTJOIN(CHAR(10),TRUE,IF(Semestre=INDIRECT("base_de_datos["&amp;Carrera&amp;"]"),IF("x"=base_de_datos[Lunes],IF(base_de_datos[Hora inicio]&lt;=$B15,IF(base_de_datos[Hora fin]&gt;=$C15,base_de_datos[No clase],""),""),""),""),"")</f>
        <v/>
      </c>
      <c r="G15" s="29" t="str" cm="1">
        <f t="array" aca="1" ref="G15" ca="1">_xlfn.TEXTJOIN(CHAR(10),TRUE,IF(Semestre=INDIRECT("base_de_datos["&amp;Carrera&amp;"]"),IF("x"=base_de_datos[Martes],IF(base_de_datos[Hora inicio]&lt;=$B15,IF(base_de_datos[Hora fin]&gt;=$C15,base_de_datos[Materia]&amp;" "&amp;base_de_datos[[Número de grupo ]]&amp;" "&amp;base_de_datos[Profesor],""),""),""),""),"")</f>
        <v/>
      </c>
      <c r="H15" s="29" t="str" cm="1">
        <f t="array" aca="1" ref="H15" ca="1">_xlfn.TEXTJOIN(CHAR(10),TRUE,IF(Semestre=INDIRECT("base_de_datos["&amp;Carrera&amp;"]"),IF("x"=base_de_datos[Martes],IF(base_de_datos[Hora inicio]&lt;=$B15,IF(base_de_datos[Hora fin]&gt;=$C15,base_de_datos[Aula]&amp;" "&amp;base_de_datos[Examen],""),""),""),""),"")</f>
        <v/>
      </c>
      <c r="I15" s="29" t="str" cm="1">
        <f t="array" aca="1" ref="I15" ca="1">_xlfn.TEXTJOIN(CHAR(10),TRUE,IF(Semestre=INDIRECT("base_de_datos["&amp;Carrera&amp;"]"),IF("x"=base_de_datos[Martes],IF(base_de_datos[Hora inicio]&lt;=$B15,IF(base_de_datos[Hora fin]&gt;=$C15,base_de_datos[No clase],""),""),""),""),"")</f>
        <v/>
      </c>
      <c r="J15" s="29" t="str" cm="1">
        <f t="array" aca="1" ref="J15" ca="1">_xlfn.TEXTJOIN(CHAR(10),TRUE,IF(Semestre=INDIRECT("base_de_datos["&amp;Carrera&amp;"]"),IF("x"=base_de_datos[Miércoles],IF(base_de_datos[Hora inicio]&lt;=$B15,IF(base_de_datos[Hora fin]&gt;=$C15,base_de_datos[Materia]&amp;" "&amp;base_de_datos[[Número de grupo ]]&amp;" "&amp;base_de_datos[Profesor],""),""),""),""),"")</f>
        <v/>
      </c>
      <c r="K15" s="29" t="str" cm="1">
        <f t="array" aca="1" ref="K15" ca="1">_xlfn.TEXTJOIN(CHAR(10),TRUE,IF(Semestre=INDIRECT("base_de_datos["&amp;Carrera&amp;"]"),IF("x"=base_de_datos[Miércoles],IF(base_de_datos[Hora inicio]&lt;=$B15,IF(base_de_datos[Hora fin]&gt;=$C15,base_de_datos[Aula]&amp;" "&amp;base_de_datos[Examen],""),""),""),""),"")</f>
        <v/>
      </c>
      <c r="L15" s="29" t="str" cm="1">
        <f t="array" aca="1" ref="L15" ca="1">_xlfn.TEXTJOIN(CHAR(10),TRUE,IF(Semestre=INDIRECT("base_de_datos["&amp;Carrera&amp;"]"),IF("x"=base_de_datos[Miércoles],IF(base_de_datos[Hora inicio]&lt;=$B15,IF(base_de_datos[Hora fin]&gt;=$C15,base_de_datos[No clase],""),""),""),""),"")</f>
        <v/>
      </c>
      <c r="M15" s="29" t="str" cm="1">
        <f t="array" aca="1" ref="M15" ca="1">_xlfn.TEXTJOIN(CHAR(10),TRUE,IF(Semestre=INDIRECT("base_de_datos["&amp;Carrera&amp;"]"),IF("x"=base_de_datos[Jueves],IF(base_de_datos[Hora inicio]&lt;=$B15,IF(base_de_datos[Hora fin]&gt;=$C15,base_de_datos[Materia]&amp;" "&amp;base_de_datos[[Número de grupo ]]&amp;" "&amp;base_de_datos[Profesor],""),""),""),""),"")</f>
        <v/>
      </c>
      <c r="N15" s="29" t="str" cm="1">
        <f t="array" aca="1" ref="N15" ca="1">_xlfn.TEXTJOIN(CHAR(10),TRUE,IF(Semestre=INDIRECT("base_de_datos["&amp;Carrera&amp;"]"),IF("x"=base_de_datos[Jueves],IF(base_de_datos[Hora inicio]&lt;=$B15,IF(base_de_datos[Hora fin]&gt;=$C15,base_de_datos[Aula]&amp;" "&amp;base_de_datos[Examen],""),""),""),""),"")</f>
        <v/>
      </c>
      <c r="O15" s="29" t="str" cm="1">
        <f t="array" aca="1" ref="O15" ca="1">_xlfn.TEXTJOIN(CHAR(10),TRUE,IF(Semestre=INDIRECT("base_de_datos["&amp;Carrera&amp;"]"),IF("x"=base_de_datos[Jueves],IF(base_de_datos[Hora inicio]&lt;=$B15,IF(base_de_datos[Hora fin]&gt;=$C15,base_de_datos[No clase],""),""),""),""),"")</f>
        <v/>
      </c>
      <c r="P15" s="29" t="str" cm="1">
        <f t="array" aca="1" ref="P15" ca="1">_xlfn.TEXTJOIN(CHAR(10),TRUE,IF(Semestre=INDIRECT("base_de_datos["&amp;Carrera&amp;"]"),IF("x"=base_de_datos[Viernes],IF(base_de_datos[Hora inicio]&lt;=$B15,IF(base_de_datos[Hora fin]&gt;=$C15,base_de_datos[Materia]&amp;" "&amp;base_de_datos[[Número de grupo ]]&amp;" "&amp;base_de_datos[Profesor],""),""),""),""),"")</f>
        <v/>
      </c>
      <c r="Q15" s="29" t="str" cm="1">
        <f t="array" aca="1" ref="Q15" ca="1">_xlfn.TEXTJOIN(CHAR(10),TRUE,IF(Semestre=INDIRECT("base_de_datos["&amp;Carrera&amp;"]"),IF("x"=base_de_datos[Viernes],IF(base_de_datos[Hora inicio]&lt;=$B15,IF(base_de_datos[Hora fin]&gt;=$C15,base_de_datos[Aula]&amp;" "&amp;base_de_datos[Examen],""),""),""),""),"")</f>
        <v/>
      </c>
      <c r="R15" s="29" t="str" cm="1">
        <f t="array" aca="1" ref="R15" ca="1">_xlfn.TEXTJOIN(CHAR(10),TRUE,IF(Semestre=INDIRECT("base_de_datos["&amp;Carrera&amp;"]"),IF("x"=base_de_datos[Viernes],IF(base_de_datos[Hora inicio]&lt;=$B15,IF(base_de_datos[Hora fin]&gt;=$C15,base_de_datos[No clase],""),""),""),""),"")</f>
        <v/>
      </c>
      <c r="S15" s="29" t="str" cm="1">
        <f t="array" aca="1" ref="S15" ca="1">_xlfn.TEXTJOIN(CHAR(10),TRUE,IF(Semestre=INDIRECT("base_de_datos["&amp;Carrera&amp;"]"),IF("x"=base_de_datos[Sábado],IF(base_de_datos[Hora inicio]&lt;=$B15,IF(base_de_datos[Hora fin]&gt;=$C15,base_de_datos[Materia]&amp;" "&amp;base_de_datos[[Número de grupo ]]&amp;" "&amp;base_de_datos[Profesor],""),""),""),""),"")</f>
        <v/>
      </c>
      <c r="T15" s="29" t="str" cm="1">
        <f t="array" aca="1" ref="T15" ca="1">_xlfn.TEXTJOIN(CHAR(10),TRUE,IF(Semestre=INDIRECT("base_de_datos["&amp;Carrera&amp;"]"),IF("x"=base_de_datos[Sábado],IF(base_de_datos[Hora inicio]&lt;=$B15,IF(base_de_datos[Hora fin]&gt;=$C15,base_de_datos[Aula]&amp;" "&amp;#REF!,""),""),""),""),"")</f>
        <v/>
      </c>
      <c r="U15" s="29" t="str" cm="1">
        <f t="array" aca="1" ref="U15" ca="1">_xlfn.TEXTJOIN(CHAR(10),TRUE,IF(Semestre=INDIRECT("base_de_datos["&amp;Carrera&amp;"]"),IF("x"=base_de_datos[Sábado],IF(base_de_datos[Hora inicio]&lt;=$B15,IF(base_de_datos[Hora fin]&gt;=$C15,base_de_datos[No clase],""),""),""),""),"")</f>
        <v/>
      </c>
      <c r="V15" s="28"/>
      <c r="W15" s="131"/>
      <c r="X15" s="129"/>
      <c r="Y15" s="115"/>
      <c r="Z15" s="31"/>
      <c r="AA15" s="31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 t="s">
        <v>18</v>
      </c>
      <c r="AS15" s="52"/>
      <c r="AT15" s="52"/>
      <c r="AU15" s="52"/>
      <c r="AV15" s="52"/>
      <c r="AW15" s="1" t="str">
        <f t="shared" si="0"/>
        <v/>
      </c>
    </row>
    <row r="16" spans="1:49" ht="15">
      <c r="B16" s="206">
        <v>0.52083333333333304</v>
      </c>
      <c r="C16" s="206">
        <v>0.54166666666666297</v>
      </c>
      <c r="D16" s="29" t="str" cm="1">
        <f t="array" aca="1" ref="D16" ca="1">_xlfn.TEXTJOIN(CHAR(10),TRUE,IF(Semestre=INDIRECT("base_de_datos["&amp;Carrera&amp;"]"),IF("x"=base_de_datos[Lunes],IF(base_de_datos[Hora inicio]&lt;=$B16,IF(base_de_datos[Hora fin]&gt;=$C16,base_de_datos[Materia]&amp;" "&amp;base_de_datos[[Número de grupo ]]&amp;" "&amp;base_de_datos[Profesor],""),""),""),""),"")</f>
        <v/>
      </c>
      <c r="E16" s="29" t="str" cm="1">
        <f t="array" aca="1" ref="E16" ca="1">_xlfn.TEXTJOIN(CHAR(10),TRUE,IF(Semestre=INDIRECT("base_de_datos["&amp;Carrera&amp;"]"),IF("x"=base_de_datos[Lunes],IF(base_de_datos[Hora inicio]&lt;=$B16,IF(base_de_datos[Hora fin]&gt;=$C16,base_de_datos[Aula]&amp;" "&amp;base_de_datos[Examen],""),""),""),""),"")</f>
        <v/>
      </c>
      <c r="F16" s="29" t="str" cm="1">
        <f t="array" aca="1" ref="F16" ca="1">_xlfn.TEXTJOIN(CHAR(10),TRUE,IF(Semestre=INDIRECT("base_de_datos["&amp;Carrera&amp;"]"),IF("x"=base_de_datos[Lunes],IF(base_de_datos[Hora inicio]&lt;=$B16,IF(base_de_datos[Hora fin]&gt;=$C16,base_de_datos[No clase],""),""),""),""),"")</f>
        <v/>
      </c>
      <c r="G16" s="29" t="str" cm="1">
        <f t="array" aca="1" ref="G16" ca="1">_xlfn.TEXTJOIN(CHAR(10),TRUE,IF(Semestre=INDIRECT("base_de_datos["&amp;Carrera&amp;"]"),IF("x"=base_de_datos[Martes],IF(base_de_datos[Hora inicio]&lt;=$B16,IF(base_de_datos[Hora fin]&gt;=$C16,base_de_datos[Materia]&amp;" "&amp;base_de_datos[[Número de grupo ]]&amp;" "&amp;base_de_datos[Profesor],""),""),""),""),"")</f>
        <v/>
      </c>
      <c r="H16" s="29" t="str" cm="1">
        <f t="array" aca="1" ref="H16" ca="1">_xlfn.TEXTJOIN(CHAR(10),TRUE,IF(Semestre=INDIRECT("base_de_datos["&amp;Carrera&amp;"]"),IF("x"=base_de_datos[Martes],IF(base_de_datos[Hora inicio]&lt;=$B16,IF(base_de_datos[Hora fin]&gt;=$C16,base_de_datos[Aula]&amp;" "&amp;base_de_datos[Examen],""),""),""),""),"")</f>
        <v/>
      </c>
      <c r="I16" s="29" t="str" cm="1">
        <f t="array" aca="1" ref="I16" ca="1">_xlfn.TEXTJOIN(CHAR(10),TRUE,IF(Semestre=INDIRECT("base_de_datos["&amp;Carrera&amp;"]"),IF("x"=base_de_datos[Martes],IF(base_de_datos[Hora inicio]&lt;=$B16,IF(base_de_datos[Hora fin]&gt;=$C16,base_de_datos[No clase],""),""),""),""),"")</f>
        <v/>
      </c>
      <c r="J16" s="29" t="str" cm="1">
        <f t="array" aca="1" ref="J16" ca="1">_xlfn.TEXTJOIN(CHAR(10),TRUE,IF(Semestre=INDIRECT("base_de_datos["&amp;Carrera&amp;"]"),IF("x"=base_de_datos[Miércoles],IF(base_de_datos[Hora inicio]&lt;=$B16,IF(base_de_datos[Hora fin]&gt;=$C16,base_de_datos[Materia]&amp;" "&amp;base_de_datos[[Número de grupo ]]&amp;" "&amp;base_de_datos[Profesor],""),""),""),""),"")</f>
        <v/>
      </c>
      <c r="K16" s="29" t="str" cm="1">
        <f t="array" aca="1" ref="K16" ca="1">_xlfn.TEXTJOIN(CHAR(10),TRUE,IF(Semestre=INDIRECT("base_de_datos["&amp;Carrera&amp;"]"),IF("x"=base_de_datos[Miércoles],IF(base_de_datos[Hora inicio]&lt;=$B16,IF(base_de_datos[Hora fin]&gt;=$C16,base_de_datos[Aula]&amp;" "&amp;base_de_datos[Examen],""),""),""),""),"")</f>
        <v/>
      </c>
      <c r="L16" s="29" t="str" cm="1">
        <f t="array" aca="1" ref="L16" ca="1">_xlfn.TEXTJOIN(CHAR(10),TRUE,IF(Semestre=INDIRECT("base_de_datos["&amp;Carrera&amp;"]"),IF("x"=base_de_datos[Miércoles],IF(base_de_datos[Hora inicio]&lt;=$B16,IF(base_de_datos[Hora fin]&gt;=$C16,base_de_datos[No clase],""),""),""),""),"")</f>
        <v/>
      </c>
      <c r="M16" s="29" t="str" cm="1">
        <f t="array" aca="1" ref="M16" ca="1">_xlfn.TEXTJOIN(CHAR(10),TRUE,IF(Semestre=INDIRECT("base_de_datos["&amp;Carrera&amp;"]"),IF("x"=base_de_datos[Jueves],IF(base_de_datos[Hora inicio]&lt;=$B16,IF(base_de_datos[Hora fin]&gt;=$C16,base_de_datos[Materia]&amp;" "&amp;base_de_datos[[Número de grupo ]]&amp;" "&amp;base_de_datos[Profesor],""),""),""),""),"")</f>
        <v/>
      </c>
      <c r="N16" s="29" t="str" cm="1">
        <f t="array" aca="1" ref="N16" ca="1">_xlfn.TEXTJOIN(CHAR(10),TRUE,IF(Semestre=INDIRECT("base_de_datos["&amp;Carrera&amp;"]"),IF("x"=base_de_datos[Jueves],IF(base_de_datos[Hora inicio]&lt;=$B16,IF(base_de_datos[Hora fin]&gt;=$C16,base_de_datos[Aula]&amp;" "&amp;base_de_datos[Examen],""),""),""),""),"")</f>
        <v/>
      </c>
      <c r="O16" s="29" t="str" cm="1">
        <f t="array" aca="1" ref="O16" ca="1">_xlfn.TEXTJOIN(CHAR(10),TRUE,IF(Semestre=INDIRECT("base_de_datos["&amp;Carrera&amp;"]"),IF("x"=base_de_datos[Jueves],IF(base_de_datos[Hora inicio]&lt;=$B16,IF(base_de_datos[Hora fin]&gt;=$C16,base_de_datos[No clase],""),""),""),""),"")</f>
        <v/>
      </c>
      <c r="P16" s="29" t="str" cm="1">
        <f t="array" aca="1" ref="P16" ca="1">_xlfn.TEXTJOIN(CHAR(10),TRUE,IF(Semestre=INDIRECT("base_de_datos["&amp;Carrera&amp;"]"),IF("x"=base_de_datos[Viernes],IF(base_de_datos[Hora inicio]&lt;=$B16,IF(base_de_datos[Hora fin]&gt;=$C16,base_de_datos[Materia]&amp;" "&amp;base_de_datos[[Número de grupo ]]&amp;" "&amp;base_de_datos[Profesor],""),""),""),""),"")</f>
        <v/>
      </c>
      <c r="Q16" s="29" t="str" cm="1">
        <f t="array" aca="1" ref="Q16" ca="1">_xlfn.TEXTJOIN(CHAR(10),TRUE,IF(Semestre=INDIRECT("base_de_datos["&amp;Carrera&amp;"]"),IF("x"=base_de_datos[Viernes],IF(base_de_datos[Hora inicio]&lt;=$B16,IF(base_de_datos[Hora fin]&gt;=$C16,base_de_datos[Aula]&amp;" "&amp;base_de_datos[Examen],""),""),""),""),"")</f>
        <v/>
      </c>
      <c r="R16" s="29" t="str" cm="1">
        <f t="array" aca="1" ref="R16" ca="1">_xlfn.TEXTJOIN(CHAR(10),TRUE,IF(Semestre=INDIRECT("base_de_datos["&amp;Carrera&amp;"]"),IF("x"=base_de_datos[Viernes],IF(base_de_datos[Hora inicio]&lt;=$B16,IF(base_de_datos[Hora fin]&gt;=$C16,base_de_datos[No clase],""),""),""),""),"")</f>
        <v/>
      </c>
      <c r="S16" s="29" t="str" cm="1">
        <f t="array" aca="1" ref="S16" ca="1">_xlfn.TEXTJOIN(CHAR(10),TRUE,IF(Semestre=INDIRECT("base_de_datos["&amp;Carrera&amp;"]"),IF("x"=base_de_datos[Sábado],IF(base_de_datos[Hora inicio]&lt;=$B16,IF(base_de_datos[Hora fin]&gt;=$C16,base_de_datos[Materia]&amp;" "&amp;base_de_datos[[Número de grupo ]]&amp;" "&amp;base_de_datos[Profesor],""),""),""),""),"")</f>
        <v/>
      </c>
      <c r="T16" s="29" t="str" cm="1">
        <f t="array" aca="1" ref="T16" ca="1">_xlfn.TEXTJOIN(CHAR(10),TRUE,IF(Semestre=INDIRECT("base_de_datos["&amp;Carrera&amp;"]"),IF("x"=base_de_datos[Sábado],IF(base_de_datos[Hora inicio]&lt;=$B16,IF(base_de_datos[Hora fin]&gt;=$C16,base_de_datos[Aula]&amp;" "&amp;#REF!,""),""),""),""),"")</f>
        <v/>
      </c>
      <c r="U16" s="29" t="str" cm="1">
        <f t="array" aca="1" ref="U16" ca="1">_xlfn.TEXTJOIN(CHAR(10),TRUE,IF(Semestre=INDIRECT("base_de_datos["&amp;Carrera&amp;"]"),IF("x"=base_de_datos[Sábado],IF(base_de_datos[Hora inicio]&lt;=$B16,IF(base_de_datos[Hora fin]&gt;=$C16,base_de_datos[No clase],""),""),""),""),"")</f>
        <v/>
      </c>
      <c r="V16" s="28"/>
      <c r="W16" s="131"/>
      <c r="X16" s="129"/>
      <c r="Y16" s="115"/>
      <c r="Z16" s="31"/>
      <c r="AA16" s="31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1" t="str">
        <f t="shared" si="0"/>
        <v/>
      </c>
    </row>
    <row r="17" spans="2:49" ht="15">
      <c r="B17" s="206">
        <v>0.54166666666666696</v>
      </c>
      <c r="C17" s="206">
        <v>0.562499999999996</v>
      </c>
      <c r="D17" s="29" t="str" cm="1">
        <f t="array" aca="1" ref="D17" ca="1">_xlfn.TEXTJOIN(CHAR(10),TRUE,IF(Semestre=INDIRECT("base_de_datos["&amp;Carrera&amp;"]"),IF("x"=base_de_datos[Lunes],IF(base_de_datos[Hora inicio]&lt;=$B17,IF(base_de_datos[Hora fin]&gt;=$C17,base_de_datos[Materia]&amp;" "&amp;base_de_datos[[Número de grupo ]]&amp;" "&amp;base_de_datos[Profesor],""),""),""),""),"")</f>
        <v/>
      </c>
      <c r="E17" s="29" t="str" cm="1">
        <f t="array" aca="1" ref="E17" ca="1">_xlfn.TEXTJOIN(CHAR(10),TRUE,IF(Semestre=INDIRECT("base_de_datos["&amp;Carrera&amp;"]"),IF("x"=base_de_datos[Lunes],IF(base_de_datos[Hora inicio]&lt;=$B17,IF(base_de_datos[Hora fin]&gt;=$C17,base_de_datos[Aula]&amp;" "&amp;base_de_datos[Examen],""),""),""),""),"")</f>
        <v/>
      </c>
      <c r="F17" s="29" t="str" cm="1">
        <f t="array" aca="1" ref="F17" ca="1">_xlfn.TEXTJOIN(CHAR(10),TRUE,IF(Semestre=INDIRECT("base_de_datos["&amp;Carrera&amp;"]"),IF("x"=base_de_datos[Lunes],IF(base_de_datos[Hora inicio]&lt;=$B17,IF(base_de_datos[Hora fin]&gt;=$C17,base_de_datos[No clase],""),""),""),""),"")</f>
        <v/>
      </c>
      <c r="G17" s="29" t="str" cm="1">
        <f t="array" aca="1" ref="G17" ca="1">_xlfn.TEXTJOIN(CHAR(10),TRUE,IF(Semestre=INDIRECT("base_de_datos["&amp;Carrera&amp;"]"),IF("x"=base_de_datos[Martes],IF(base_de_datos[Hora inicio]&lt;=$B17,IF(base_de_datos[Hora fin]&gt;=$C17,base_de_datos[Materia]&amp;" "&amp;base_de_datos[[Número de grupo ]]&amp;" "&amp;base_de_datos[Profesor],""),""),""),""),"")</f>
        <v/>
      </c>
      <c r="H17" s="29" t="str" cm="1">
        <f t="array" aca="1" ref="H17" ca="1">_xlfn.TEXTJOIN(CHAR(10),TRUE,IF(Semestre=INDIRECT("base_de_datos["&amp;Carrera&amp;"]"),IF("x"=base_de_datos[Martes],IF(base_de_datos[Hora inicio]&lt;=$B17,IF(base_de_datos[Hora fin]&gt;=$C17,base_de_datos[Aula]&amp;" "&amp;base_de_datos[Examen],""),""),""),""),"")</f>
        <v/>
      </c>
      <c r="I17" s="29" t="str" cm="1">
        <f t="array" aca="1" ref="I17" ca="1">_xlfn.TEXTJOIN(CHAR(10),TRUE,IF(Semestre=INDIRECT("base_de_datos["&amp;Carrera&amp;"]"),IF("x"=base_de_datos[Martes],IF(base_de_datos[Hora inicio]&lt;=$B17,IF(base_de_datos[Hora fin]&gt;=$C17,base_de_datos[No clase],""),""),""),""),"")</f>
        <v/>
      </c>
      <c r="J17" s="29" t="str" cm="1">
        <f t="array" aca="1" ref="J17" ca="1">_xlfn.TEXTJOIN(CHAR(10),TRUE,IF(Semestre=INDIRECT("base_de_datos["&amp;Carrera&amp;"]"),IF("x"=base_de_datos[Miércoles],IF(base_de_datos[Hora inicio]&lt;=$B17,IF(base_de_datos[Hora fin]&gt;=$C17,base_de_datos[Materia]&amp;" "&amp;base_de_datos[[Número de grupo ]]&amp;" "&amp;base_de_datos[Profesor],""),""),""),""),"")</f>
        <v/>
      </c>
      <c r="K17" s="29" t="str" cm="1">
        <f t="array" aca="1" ref="K17" ca="1">_xlfn.TEXTJOIN(CHAR(10),TRUE,IF(Semestre=INDIRECT("base_de_datos["&amp;Carrera&amp;"]"),IF("x"=base_de_datos[Miércoles],IF(base_de_datos[Hora inicio]&lt;=$B17,IF(base_de_datos[Hora fin]&gt;=$C17,base_de_datos[Aula]&amp;" "&amp;base_de_datos[Examen],""),""),""),""),"")</f>
        <v/>
      </c>
      <c r="L17" s="29" t="str" cm="1">
        <f t="array" aca="1" ref="L17" ca="1">_xlfn.TEXTJOIN(CHAR(10),TRUE,IF(Semestre=INDIRECT("base_de_datos["&amp;Carrera&amp;"]"),IF("x"=base_de_datos[Miércoles],IF(base_de_datos[Hora inicio]&lt;=$B17,IF(base_de_datos[Hora fin]&gt;=$C17,base_de_datos[No clase],""),""),""),""),"")</f>
        <v/>
      </c>
      <c r="M17" s="29" t="str" cm="1">
        <f t="array" aca="1" ref="M17" ca="1">_xlfn.TEXTJOIN(CHAR(10),TRUE,IF(Semestre=INDIRECT("base_de_datos["&amp;Carrera&amp;"]"),IF("x"=base_de_datos[Jueves],IF(base_de_datos[Hora inicio]&lt;=$B17,IF(base_de_datos[Hora fin]&gt;=$C17,base_de_datos[Materia]&amp;" "&amp;base_de_datos[[Número de grupo ]]&amp;" "&amp;base_de_datos[Profesor],""),""),""),""),"")</f>
        <v/>
      </c>
      <c r="N17" s="29" t="str" cm="1">
        <f t="array" aca="1" ref="N17" ca="1">_xlfn.TEXTJOIN(CHAR(10),TRUE,IF(Semestre=INDIRECT("base_de_datos["&amp;Carrera&amp;"]"),IF("x"=base_de_datos[Jueves],IF(base_de_datos[Hora inicio]&lt;=$B17,IF(base_de_datos[Hora fin]&gt;=$C17,base_de_datos[Aula]&amp;" "&amp;base_de_datos[Examen],""),""),""),""),"")</f>
        <v/>
      </c>
      <c r="O17" s="29" t="str" cm="1">
        <f t="array" aca="1" ref="O17" ca="1">_xlfn.TEXTJOIN(CHAR(10),TRUE,IF(Semestre=INDIRECT("base_de_datos["&amp;Carrera&amp;"]"),IF("x"=base_de_datos[Jueves],IF(base_de_datos[Hora inicio]&lt;=$B17,IF(base_de_datos[Hora fin]&gt;=$C17,base_de_datos[No clase],""),""),""),""),"")</f>
        <v/>
      </c>
      <c r="P17" s="29" t="str" cm="1">
        <f t="array" aca="1" ref="P17" ca="1">_xlfn.TEXTJOIN(CHAR(10),TRUE,IF(Semestre=INDIRECT("base_de_datos["&amp;Carrera&amp;"]"),IF("x"=base_de_datos[Viernes],IF(base_de_datos[Hora inicio]&lt;=$B17,IF(base_de_datos[Hora fin]&gt;=$C17,base_de_datos[Materia]&amp;" "&amp;base_de_datos[[Número de grupo ]]&amp;" "&amp;base_de_datos[Profesor],""),""),""),""),"")</f>
        <v/>
      </c>
      <c r="Q17" s="29" t="str" cm="1">
        <f t="array" aca="1" ref="Q17" ca="1">_xlfn.TEXTJOIN(CHAR(10),TRUE,IF(Semestre=INDIRECT("base_de_datos["&amp;Carrera&amp;"]"),IF("x"=base_de_datos[Viernes],IF(base_de_datos[Hora inicio]&lt;=$B17,IF(base_de_datos[Hora fin]&gt;=$C17,base_de_datos[Aula]&amp;" "&amp;base_de_datos[Examen],""),""),""),""),"")</f>
        <v/>
      </c>
      <c r="R17" s="29" t="str" cm="1">
        <f t="array" aca="1" ref="R17" ca="1">_xlfn.TEXTJOIN(CHAR(10),TRUE,IF(Semestre=INDIRECT("base_de_datos["&amp;Carrera&amp;"]"),IF("x"=base_de_datos[Viernes],IF(base_de_datos[Hora inicio]&lt;=$B17,IF(base_de_datos[Hora fin]&gt;=$C17,base_de_datos[No clase],""),""),""),""),"")</f>
        <v/>
      </c>
      <c r="S17" s="29" t="str" cm="1">
        <f t="array" aca="1" ref="S17" ca="1">_xlfn.TEXTJOIN(CHAR(10),TRUE,IF(Semestre=INDIRECT("base_de_datos["&amp;Carrera&amp;"]"),IF("x"=base_de_datos[Sábado],IF(base_de_datos[Hora inicio]&lt;=$B17,IF(base_de_datos[Hora fin]&gt;=$C17,base_de_datos[Materia]&amp;" "&amp;base_de_datos[[Número de grupo ]]&amp;" "&amp;base_de_datos[Profesor],""),""),""),""),"")</f>
        <v/>
      </c>
      <c r="T17" s="29" t="str" cm="1">
        <f t="array" aca="1" ref="T17" ca="1">_xlfn.TEXTJOIN(CHAR(10),TRUE,IF(Semestre=INDIRECT("base_de_datos["&amp;Carrera&amp;"]"),IF("x"=base_de_datos[Sábado],IF(base_de_datos[Hora inicio]&lt;=$B17,IF(base_de_datos[Hora fin]&gt;=$C17,base_de_datos[Aula]&amp;" "&amp;#REF!,""),""),""),""),"")</f>
        <v/>
      </c>
      <c r="U17" s="29" t="str" cm="1">
        <f t="array" aca="1" ref="U17" ca="1">_xlfn.TEXTJOIN(CHAR(10),TRUE,IF(Semestre=INDIRECT("base_de_datos["&amp;Carrera&amp;"]"),IF("x"=base_de_datos[Sábado],IF(base_de_datos[Hora inicio]&lt;=$B17,IF(base_de_datos[Hora fin]&gt;=$C17,base_de_datos[No clase],""),""),""),""),"")</f>
        <v/>
      </c>
      <c r="V17" s="28"/>
      <c r="W17" s="131"/>
      <c r="X17" s="129"/>
      <c r="Z17" s="28"/>
      <c r="AA17" s="28"/>
      <c r="AW17" s="1" t="str">
        <f t="shared" si="0"/>
        <v/>
      </c>
    </row>
    <row r="18" spans="2:49" ht="15">
      <c r="B18" s="206">
        <v>0.5625</v>
      </c>
      <c r="C18" s="206">
        <v>0.58333333333332904</v>
      </c>
      <c r="D18" s="29" t="str" cm="1">
        <f t="array" aca="1" ref="D18" ca="1">_xlfn.TEXTJOIN(CHAR(10),TRUE,IF(Semestre=INDIRECT("base_de_datos["&amp;Carrera&amp;"]"),IF("x"=base_de_datos[Lunes],IF(base_de_datos[Hora inicio]&lt;=$B18,IF(base_de_datos[Hora fin]&gt;=$C18,base_de_datos[Materia]&amp;" "&amp;base_de_datos[[Número de grupo ]]&amp;" "&amp;base_de_datos[Profesor],""),""),""),""),"")</f>
        <v/>
      </c>
      <c r="E18" s="29" t="str" cm="1">
        <f t="array" aca="1" ref="E18" ca="1">_xlfn.TEXTJOIN(CHAR(10),TRUE,IF(Semestre=INDIRECT("base_de_datos["&amp;Carrera&amp;"]"),IF("x"=base_de_datos[Lunes],IF(base_de_datos[Hora inicio]&lt;=$B18,IF(base_de_datos[Hora fin]&gt;=$C18,base_de_datos[Aula]&amp;" "&amp;base_de_datos[Examen],""),""),""),""),"")</f>
        <v/>
      </c>
      <c r="F18" s="29" t="str" cm="1">
        <f t="array" aca="1" ref="F18" ca="1">_xlfn.TEXTJOIN(CHAR(10),TRUE,IF(Semestre=INDIRECT("base_de_datos["&amp;Carrera&amp;"]"),IF("x"=base_de_datos[Lunes],IF(base_de_datos[Hora inicio]&lt;=$B18,IF(base_de_datos[Hora fin]&gt;=$C18,base_de_datos[No clase],""),""),""),""),"")</f>
        <v/>
      </c>
      <c r="G18" s="29" t="str" cm="1">
        <f t="array" aca="1" ref="G18" ca="1">_xlfn.TEXTJOIN(CHAR(10),TRUE,IF(Semestre=INDIRECT("base_de_datos["&amp;Carrera&amp;"]"),IF("x"=base_de_datos[Martes],IF(base_de_datos[Hora inicio]&lt;=$B18,IF(base_de_datos[Hora fin]&gt;=$C18,base_de_datos[Materia]&amp;" "&amp;base_de_datos[[Número de grupo ]]&amp;" "&amp;base_de_datos[Profesor],""),""),""),""),"")</f>
        <v/>
      </c>
      <c r="H18" s="29" t="str" cm="1">
        <f t="array" aca="1" ref="H18" ca="1">_xlfn.TEXTJOIN(CHAR(10),TRUE,IF(Semestre=INDIRECT("base_de_datos["&amp;Carrera&amp;"]"),IF("x"=base_de_datos[Martes],IF(base_de_datos[Hora inicio]&lt;=$B18,IF(base_de_datos[Hora fin]&gt;=$C18,base_de_datos[Aula]&amp;" "&amp;base_de_datos[Examen],""),""),""),""),"")</f>
        <v/>
      </c>
      <c r="I18" s="29" t="str" cm="1">
        <f t="array" aca="1" ref="I18" ca="1">_xlfn.TEXTJOIN(CHAR(10),TRUE,IF(Semestre=INDIRECT("base_de_datos["&amp;Carrera&amp;"]"),IF("x"=base_de_datos[Martes],IF(base_de_datos[Hora inicio]&lt;=$B18,IF(base_de_datos[Hora fin]&gt;=$C18,base_de_datos[No clase],""),""),""),""),"")</f>
        <v/>
      </c>
      <c r="J18" s="29" t="str" cm="1">
        <f t="array" aca="1" ref="J18" ca="1">_xlfn.TEXTJOIN(CHAR(10),TRUE,IF(Semestre=INDIRECT("base_de_datos["&amp;Carrera&amp;"]"),IF("x"=base_de_datos[Miércoles],IF(base_de_datos[Hora inicio]&lt;=$B18,IF(base_de_datos[Hora fin]&gt;=$C18,base_de_datos[Materia]&amp;" "&amp;base_de_datos[[Número de grupo ]]&amp;" "&amp;base_de_datos[Profesor],""),""),""),""),"")</f>
        <v/>
      </c>
      <c r="K18" s="29" t="str" cm="1">
        <f t="array" aca="1" ref="K18" ca="1">_xlfn.TEXTJOIN(CHAR(10),TRUE,IF(Semestre=INDIRECT("base_de_datos["&amp;Carrera&amp;"]"),IF("x"=base_de_datos[Miércoles],IF(base_de_datos[Hora inicio]&lt;=$B18,IF(base_de_datos[Hora fin]&gt;=$C18,base_de_datos[Aula]&amp;" "&amp;base_de_datos[Examen],""),""),""),""),"")</f>
        <v/>
      </c>
      <c r="L18" s="29" t="str" cm="1">
        <f t="array" aca="1" ref="L18" ca="1">_xlfn.TEXTJOIN(CHAR(10),TRUE,IF(Semestre=INDIRECT("base_de_datos["&amp;Carrera&amp;"]"),IF("x"=base_de_datos[Miércoles],IF(base_de_datos[Hora inicio]&lt;=$B18,IF(base_de_datos[Hora fin]&gt;=$C18,base_de_datos[No clase],""),""),""),""),"")</f>
        <v/>
      </c>
      <c r="M18" s="29" t="str" cm="1">
        <f t="array" aca="1" ref="M18" ca="1">_xlfn.TEXTJOIN(CHAR(10),TRUE,IF(Semestre=INDIRECT("base_de_datos["&amp;Carrera&amp;"]"),IF("x"=base_de_datos[Jueves],IF(base_de_datos[Hora inicio]&lt;=$B18,IF(base_de_datos[Hora fin]&gt;=$C18,base_de_datos[Materia]&amp;" "&amp;base_de_datos[[Número de grupo ]]&amp;" "&amp;base_de_datos[Profesor],""),""),""),""),"")</f>
        <v/>
      </c>
      <c r="N18" s="29" t="str" cm="1">
        <f t="array" aca="1" ref="N18" ca="1">_xlfn.TEXTJOIN(CHAR(10),TRUE,IF(Semestre=INDIRECT("base_de_datos["&amp;Carrera&amp;"]"),IF("x"=base_de_datos[Jueves],IF(base_de_datos[Hora inicio]&lt;=$B18,IF(base_de_datos[Hora fin]&gt;=$C18,base_de_datos[Aula]&amp;" "&amp;base_de_datos[Examen],""),""),""),""),"")</f>
        <v/>
      </c>
      <c r="O18" s="29" t="str" cm="1">
        <f t="array" aca="1" ref="O18" ca="1">_xlfn.TEXTJOIN(CHAR(10),TRUE,IF(Semestre=INDIRECT("base_de_datos["&amp;Carrera&amp;"]"),IF("x"=base_de_datos[Jueves],IF(base_de_datos[Hora inicio]&lt;=$B18,IF(base_de_datos[Hora fin]&gt;=$C18,base_de_datos[No clase],""),""),""),""),"")</f>
        <v/>
      </c>
      <c r="P18" s="29" t="str" cm="1">
        <f t="array" aca="1" ref="P18" ca="1">_xlfn.TEXTJOIN(CHAR(10),TRUE,IF(Semestre=INDIRECT("base_de_datos["&amp;Carrera&amp;"]"),IF("x"=base_de_datos[Viernes],IF(base_de_datos[Hora inicio]&lt;=$B18,IF(base_de_datos[Hora fin]&gt;=$C18,base_de_datos[Materia]&amp;" "&amp;base_de_datos[[Número de grupo ]]&amp;" "&amp;base_de_datos[Profesor],""),""),""),""),"")</f>
        <v/>
      </c>
      <c r="Q18" s="29" t="str" cm="1">
        <f t="array" aca="1" ref="Q18" ca="1">_xlfn.TEXTJOIN(CHAR(10),TRUE,IF(Semestre=INDIRECT("base_de_datos["&amp;Carrera&amp;"]"),IF("x"=base_de_datos[Viernes],IF(base_de_datos[Hora inicio]&lt;=$B18,IF(base_de_datos[Hora fin]&gt;=$C18,base_de_datos[Aula]&amp;" "&amp;base_de_datos[Examen],""),""),""),""),"")</f>
        <v/>
      </c>
      <c r="R18" s="29" t="str" cm="1">
        <f t="array" aca="1" ref="R18" ca="1">_xlfn.TEXTJOIN(CHAR(10),TRUE,IF(Semestre=INDIRECT("base_de_datos["&amp;Carrera&amp;"]"),IF("x"=base_de_datos[Viernes],IF(base_de_datos[Hora inicio]&lt;=$B18,IF(base_de_datos[Hora fin]&gt;=$C18,base_de_datos[No clase],""),""),""),""),"")</f>
        <v/>
      </c>
      <c r="S18" s="29" t="str" cm="1">
        <f t="array" aca="1" ref="S18" ca="1">_xlfn.TEXTJOIN(CHAR(10),TRUE,IF(Semestre=INDIRECT("base_de_datos["&amp;Carrera&amp;"]"),IF("x"=base_de_datos[Sábado],IF(base_de_datos[Hora inicio]&lt;=$B18,IF(base_de_datos[Hora fin]&gt;=$C18,base_de_datos[Materia]&amp;" "&amp;base_de_datos[[Número de grupo ]]&amp;" "&amp;base_de_datos[Profesor],""),""),""),""),"")</f>
        <v/>
      </c>
      <c r="T18" s="29" t="str" cm="1">
        <f t="array" aca="1" ref="T18" ca="1">_xlfn.TEXTJOIN(CHAR(10),TRUE,IF(Semestre=INDIRECT("base_de_datos["&amp;Carrera&amp;"]"),IF("x"=base_de_datos[Sábado],IF(base_de_datos[Hora inicio]&lt;=$B18,IF(base_de_datos[Hora fin]&gt;=$C18,base_de_datos[Aula]&amp;" "&amp;#REF!,""),""),""),""),"")</f>
        <v/>
      </c>
      <c r="U18" s="29" t="str" cm="1">
        <f t="array" aca="1" ref="U18" ca="1">_xlfn.TEXTJOIN(CHAR(10),TRUE,IF(Semestre=INDIRECT("base_de_datos["&amp;Carrera&amp;"]"),IF("x"=base_de_datos[Sábado],IF(base_de_datos[Hora inicio]&lt;=$B18,IF(base_de_datos[Hora fin]&gt;=$C18,base_de_datos[No clase],""),""),""),""),"")</f>
        <v/>
      </c>
      <c r="V18" s="28"/>
      <c r="W18" s="131"/>
      <c r="X18" s="129"/>
      <c r="Z18" s="28"/>
      <c r="AA18" s="28"/>
      <c r="AW18" s="1" t="str">
        <f t="shared" si="0"/>
        <v/>
      </c>
    </row>
    <row r="19" spans="2:49" ht="15">
      <c r="B19" s="206">
        <v>0.58333333333333304</v>
      </c>
      <c r="C19" s="206">
        <v>0.60416666666666197</v>
      </c>
      <c r="D19" s="29" t="str" cm="1">
        <f t="array" aca="1" ref="D19" ca="1">_xlfn.TEXTJOIN(CHAR(10),TRUE,IF(Semestre=INDIRECT("base_de_datos["&amp;Carrera&amp;"]"),IF("x"=base_de_datos[Lunes],IF(base_de_datos[Hora inicio]&lt;=$B19,IF(base_de_datos[Hora fin]&gt;=$C19,base_de_datos[Materia]&amp;" "&amp;base_de_datos[[Número de grupo ]]&amp;" "&amp;base_de_datos[Profesor],""),""),""),""),"")</f>
        <v/>
      </c>
      <c r="E19" s="29" t="str" cm="1">
        <f t="array" aca="1" ref="E19" ca="1">_xlfn.TEXTJOIN(CHAR(10),TRUE,IF(Semestre=INDIRECT("base_de_datos["&amp;Carrera&amp;"]"),IF("x"=base_de_datos[Lunes],IF(base_de_datos[Hora inicio]&lt;=$B19,IF(base_de_datos[Hora fin]&gt;=$C19,base_de_datos[Aula]&amp;" "&amp;base_de_datos[Examen],""),""),""),""),"")</f>
        <v/>
      </c>
      <c r="F19" s="29" t="str" cm="1">
        <f t="array" aca="1" ref="F19" ca="1">_xlfn.TEXTJOIN(CHAR(10),TRUE,IF(Semestre=INDIRECT("base_de_datos["&amp;Carrera&amp;"]"),IF("x"=base_de_datos[Lunes],IF(base_de_datos[Hora inicio]&lt;=$B19,IF(base_de_datos[Hora fin]&gt;=$C19,base_de_datos[No clase],""),""),""),""),"")</f>
        <v/>
      </c>
      <c r="G19" s="29" t="str" cm="1">
        <f t="array" aca="1" ref="G19" ca="1">_xlfn.TEXTJOIN(CHAR(10),TRUE,IF(Semestre=INDIRECT("base_de_datos["&amp;Carrera&amp;"]"),IF("x"=base_de_datos[Martes],IF(base_de_datos[Hora inicio]&lt;=$B19,IF(base_de_datos[Hora fin]&gt;=$C19,base_de_datos[Materia]&amp;" "&amp;base_de_datos[[Número de grupo ]]&amp;" "&amp;base_de_datos[Profesor],""),""),""),""),"")</f>
        <v/>
      </c>
      <c r="H19" s="29" t="str" cm="1">
        <f t="array" aca="1" ref="H19" ca="1">_xlfn.TEXTJOIN(CHAR(10),TRUE,IF(Semestre=INDIRECT("base_de_datos["&amp;Carrera&amp;"]"),IF("x"=base_de_datos[Martes],IF(base_de_datos[Hora inicio]&lt;=$B19,IF(base_de_datos[Hora fin]&gt;=$C19,base_de_datos[Aula]&amp;" "&amp;base_de_datos[Examen],""),""),""),""),"")</f>
        <v/>
      </c>
      <c r="I19" s="29" t="str" cm="1">
        <f t="array" aca="1" ref="I19" ca="1">_xlfn.TEXTJOIN(CHAR(10),TRUE,IF(Semestre=INDIRECT("base_de_datos["&amp;Carrera&amp;"]"),IF("x"=base_de_datos[Martes],IF(base_de_datos[Hora inicio]&lt;=$B19,IF(base_de_datos[Hora fin]&gt;=$C19,base_de_datos[No clase],""),""),""),""),"")</f>
        <v/>
      </c>
      <c r="J19" s="29" t="str" cm="1">
        <f t="array" aca="1" ref="J19" ca="1">_xlfn.TEXTJOIN(CHAR(10),TRUE,IF(Semestre=INDIRECT("base_de_datos["&amp;Carrera&amp;"]"),IF("x"=base_de_datos[Miércoles],IF(base_de_datos[Hora inicio]&lt;=$B19,IF(base_de_datos[Hora fin]&gt;=$C19,base_de_datos[Materia]&amp;" "&amp;base_de_datos[[Número de grupo ]]&amp;" "&amp;base_de_datos[Profesor],""),""),""),""),"")</f>
        <v/>
      </c>
      <c r="K19" s="29" t="str" cm="1">
        <f t="array" aca="1" ref="K19" ca="1">_xlfn.TEXTJOIN(CHAR(10),TRUE,IF(Semestre=INDIRECT("base_de_datos["&amp;Carrera&amp;"]"),IF("x"=base_de_datos[Miércoles],IF(base_de_datos[Hora inicio]&lt;=$B19,IF(base_de_datos[Hora fin]&gt;=$C19,base_de_datos[Aula]&amp;" "&amp;base_de_datos[Examen],""),""),""),""),"")</f>
        <v/>
      </c>
      <c r="L19" s="29" t="str" cm="1">
        <f t="array" aca="1" ref="L19" ca="1">_xlfn.TEXTJOIN(CHAR(10),TRUE,IF(Semestre=INDIRECT("base_de_datos["&amp;Carrera&amp;"]"),IF("x"=base_de_datos[Miércoles],IF(base_de_datos[Hora inicio]&lt;=$B19,IF(base_de_datos[Hora fin]&gt;=$C19,base_de_datos[No clase],""),""),""),""),"")</f>
        <v/>
      </c>
      <c r="M19" s="29" t="str" cm="1">
        <f t="array" aca="1" ref="M19" ca="1">_xlfn.TEXTJOIN(CHAR(10),TRUE,IF(Semestre=INDIRECT("base_de_datos["&amp;Carrera&amp;"]"),IF("x"=base_de_datos[Jueves],IF(base_de_datos[Hora inicio]&lt;=$B19,IF(base_de_datos[Hora fin]&gt;=$C19,base_de_datos[Materia]&amp;" "&amp;base_de_datos[[Número de grupo ]]&amp;" "&amp;base_de_datos[Profesor],""),""),""),""),"")</f>
        <v/>
      </c>
      <c r="N19" s="29" t="str" cm="1">
        <f t="array" aca="1" ref="N19" ca="1">_xlfn.TEXTJOIN(CHAR(10),TRUE,IF(Semestre=INDIRECT("base_de_datos["&amp;Carrera&amp;"]"),IF("x"=base_de_datos[Jueves],IF(base_de_datos[Hora inicio]&lt;=$B19,IF(base_de_datos[Hora fin]&gt;=$C19,base_de_datos[Aula]&amp;" "&amp;base_de_datos[Examen],""),""),""),""),"")</f>
        <v/>
      </c>
      <c r="O19" s="29" t="str" cm="1">
        <f t="array" aca="1" ref="O19" ca="1">_xlfn.TEXTJOIN(CHAR(10),TRUE,IF(Semestre=INDIRECT("base_de_datos["&amp;Carrera&amp;"]"),IF("x"=base_de_datos[Jueves],IF(base_de_datos[Hora inicio]&lt;=$B19,IF(base_de_datos[Hora fin]&gt;=$C19,base_de_datos[No clase],""),""),""),""),"")</f>
        <v/>
      </c>
      <c r="P19" s="29" t="str" cm="1">
        <f t="array" aca="1" ref="P19" ca="1">_xlfn.TEXTJOIN(CHAR(10),TRUE,IF(Semestre=INDIRECT("base_de_datos["&amp;Carrera&amp;"]"),IF("x"=base_de_datos[Viernes],IF(base_de_datos[Hora inicio]&lt;=$B19,IF(base_de_datos[Hora fin]&gt;=$C19,base_de_datos[Materia]&amp;" "&amp;base_de_datos[[Número de grupo ]]&amp;" "&amp;base_de_datos[Profesor],""),""),""),""),"")</f>
        <v/>
      </c>
      <c r="Q19" s="29" t="str" cm="1">
        <f t="array" aca="1" ref="Q19" ca="1">_xlfn.TEXTJOIN(CHAR(10),TRUE,IF(Semestre=INDIRECT("base_de_datos["&amp;Carrera&amp;"]"),IF("x"=base_de_datos[Viernes],IF(base_de_datos[Hora inicio]&lt;=$B19,IF(base_de_datos[Hora fin]&gt;=$C19,base_de_datos[Aula]&amp;" "&amp;base_de_datos[Examen],""),""),""),""),"")</f>
        <v/>
      </c>
      <c r="R19" s="29" t="str" cm="1">
        <f t="array" aca="1" ref="R19" ca="1">_xlfn.TEXTJOIN(CHAR(10),TRUE,IF(Semestre=INDIRECT("base_de_datos["&amp;Carrera&amp;"]"),IF("x"=base_de_datos[Viernes],IF(base_de_datos[Hora inicio]&lt;=$B19,IF(base_de_datos[Hora fin]&gt;=$C19,base_de_datos[No clase],""),""),""),""),"")</f>
        <v/>
      </c>
      <c r="S19" s="29" t="str" cm="1">
        <f t="array" aca="1" ref="S19" ca="1">_xlfn.TEXTJOIN(CHAR(10),TRUE,IF(Semestre=INDIRECT("base_de_datos["&amp;Carrera&amp;"]"),IF("x"=base_de_datos[Sábado],IF(base_de_datos[Hora inicio]&lt;=$B19,IF(base_de_datos[Hora fin]&gt;=$C19,base_de_datos[Materia]&amp;" "&amp;base_de_datos[[Número de grupo ]]&amp;" "&amp;base_de_datos[Profesor],""),""),""),""),"")</f>
        <v/>
      </c>
      <c r="T19" s="29" t="str" cm="1">
        <f t="array" aca="1" ref="T19" ca="1">_xlfn.TEXTJOIN(CHAR(10),TRUE,IF(Semestre=INDIRECT("base_de_datos["&amp;Carrera&amp;"]"),IF("x"=base_de_datos[Sábado],IF(base_de_datos[Hora inicio]&lt;=$B19,IF(base_de_datos[Hora fin]&gt;=$C19,base_de_datos[Aula]&amp;" "&amp;#REF!,""),""),""),""),"")</f>
        <v/>
      </c>
      <c r="U19" s="29" t="str" cm="1">
        <f t="array" aca="1" ref="U19" ca="1">_xlfn.TEXTJOIN(CHAR(10),TRUE,IF(Semestre=INDIRECT("base_de_datos["&amp;Carrera&amp;"]"),IF("x"=base_de_datos[Sábado],IF(base_de_datos[Hora inicio]&lt;=$B19,IF(base_de_datos[Hora fin]&gt;=$C19,base_de_datos[No clase],""),""),""),""),"")</f>
        <v/>
      </c>
      <c r="V19" s="28"/>
      <c r="Z19" s="28"/>
      <c r="AA19" s="28"/>
      <c r="AW19" s="1" t="str">
        <f t="shared" si="0"/>
        <v/>
      </c>
    </row>
    <row r="20" spans="2:49" ht="15">
      <c r="B20" s="206">
        <v>0.60416666666666696</v>
      </c>
      <c r="C20" s="206">
        <v>0.624999999999995</v>
      </c>
      <c r="D20" s="29" t="str" cm="1">
        <f t="array" aca="1" ref="D20" ca="1">_xlfn.TEXTJOIN(CHAR(10),TRUE,IF(Semestre=INDIRECT("base_de_datos["&amp;Carrera&amp;"]"),IF("x"=base_de_datos[Lunes],IF(base_de_datos[Hora inicio]&lt;=$B20,IF(base_de_datos[Hora fin]&gt;=$C20,base_de_datos[Materia]&amp;" "&amp;base_de_datos[[Número de grupo ]]&amp;" "&amp;base_de_datos[Profesor],""),""),""),""),"")</f>
        <v/>
      </c>
      <c r="E20" s="29" t="str" cm="1">
        <f t="array" aca="1" ref="E20" ca="1">_xlfn.TEXTJOIN(CHAR(10),TRUE,IF(Semestre=INDIRECT("base_de_datos["&amp;Carrera&amp;"]"),IF("x"=base_de_datos[Lunes],IF(base_de_datos[Hora inicio]&lt;=$B20,IF(base_de_datos[Hora fin]&gt;=$C20,base_de_datos[Aula]&amp;" "&amp;base_de_datos[Examen],""),""),""),""),"")</f>
        <v/>
      </c>
      <c r="F20" s="29" t="str" cm="1">
        <f t="array" aca="1" ref="F20" ca="1">_xlfn.TEXTJOIN(CHAR(10),TRUE,IF(Semestre=INDIRECT("base_de_datos["&amp;Carrera&amp;"]"),IF("x"=base_de_datos[Lunes],IF(base_de_datos[Hora inicio]&lt;=$B20,IF(base_de_datos[Hora fin]&gt;=$C20,base_de_datos[No clase],""),""),""),""),"")</f>
        <v/>
      </c>
      <c r="G20" s="29" t="str" cm="1">
        <f t="array" aca="1" ref="G20" ca="1">_xlfn.TEXTJOIN(CHAR(10),TRUE,IF(Semestre=INDIRECT("base_de_datos["&amp;Carrera&amp;"]"),IF("x"=base_de_datos[Martes],IF(base_de_datos[Hora inicio]&lt;=$B20,IF(base_de_datos[Hora fin]&gt;=$C20,base_de_datos[Materia]&amp;" "&amp;base_de_datos[[Número de grupo ]]&amp;" "&amp;base_de_datos[Profesor],""),""),""),""),"")</f>
        <v/>
      </c>
      <c r="H20" s="29" t="str" cm="1">
        <f t="array" aca="1" ref="H20" ca="1">_xlfn.TEXTJOIN(CHAR(10),TRUE,IF(Semestre=INDIRECT("base_de_datos["&amp;Carrera&amp;"]"),IF("x"=base_de_datos[Martes],IF(base_de_datos[Hora inicio]&lt;=$B20,IF(base_de_datos[Hora fin]&gt;=$C20,base_de_datos[Aula]&amp;" "&amp;base_de_datos[Examen],""),""),""),""),"")</f>
        <v/>
      </c>
      <c r="I20" s="29" t="str" cm="1">
        <f t="array" aca="1" ref="I20" ca="1">_xlfn.TEXTJOIN(CHAR(10),TRUE,IF(Semestre=INDIRECT("base_de_datos["&amp;Carrera&amp;"]"),IF("x"=base_de_datos[Martes],IF(base_de_datos[Hora inicio]&lt;=$B20,IF(base_de_datos[Hora fin]&gt;=$C20,base_de_datos[No clase],""),""),""),""),"")</f>
        <v/>
      </c>
      <c r="J20" s="29" t="str" cm="1">
        <f t="array" aca="1" ref="J20" ca="1">_xlfn.TEXTJOIN(CHAR(10),TRUE,IF(Semestre=INDIRECT("base_de_datos["&amp;Carrera&amp;"]"),IF("x"=base_de_datos[Miércoles],IF(base_de_datos[Hora inicio]&lt;=$B20,IF(base_de_datos[Hora fin]&gt;=$C20,base_de_datos[Materia]&amp;" "&amp;base_de_datos[[Número de grupo ]]&amp;" "&amp;base_de_datos[Profesor],""),""),""),""),"")</f>
        <v/>
      </c>
      <c r="K20" s="29" t="str" cm="1">
        <f t="array" aca="1" ref="K20" ca="1">_xlfn.TEXTJOIN(CHAR(10),TRUE,IF(Semestre=INDIRECT("base_de_datos["&amp;Carrera&amp;"]"),IF("x"=base_de_datos[Miércoles],IF(base_de_datos[Hora inicio]&lt;=$B20,IF(base_de_datos[Hora fin]&gt;=$C20,base_de_datos[Aula]&amp;" "&amp;base_de_datos[Examen],""),""),""),""),"")</f>
        <v/>
      </c>
      <c r="L20" s="29" t="str" cm="1">
        <f t="array" aca="1" ref="L20" ca="1">_xlfn.TEXTJOIN(CHAR(10),TRUE,IF(Semestre=INDIRECT("base_de_datos["&amp;Carrera&amp;"]"),IF("x"=base_de_datos[Miércoles],IF(base_de_datos[Hora inicio]&lt;=$B20,IF(base_de_datos[Hora fin]&gt;=$C20,base_de_datos[No clase],""),""),""),""),"")</f>
        <v/>
      </c>
      <c r="M20" s="29" t="str" cm="1">
        <f t="array" aca="1" ref="M20" ca="1">_xlfn.TEXTJOIN(CHAR(10),TRUE,IF(Semestre=INDIRECT("base_de_datos["&amp;Carrera&amp;"]"),IF("x"=base_de_datos[Jueves],IF(base_de_datos[Hora inicio]&lt;=$B20,IF(base_de_datos[Hora fin]&gt;=$C20,base_de_datos[Materia]&amp;" "&amp;base_de_datos[[Número de grupo ]]&amp;" "&amp;base_de_datos[Profesor],""),""),""),""),"")</f>
        <v/>
      </c>
      <c r="N20" s="29" t="str" cm="1">
        <f t="array" aca="1" ref="N20" ca="1">_xlfn.TEXTJOIN(CHAR(10),TRUE,IF(Semestre=INDIRECT("base_de_datos["&amp;Carrera&amp;"]"),IF("x"=base_de_datos[Jueves],IF(base_de_datos[Hora inicio]&lt;=$B20,IF(base_de_datos[Hora fin]&gt;=$C20,base_de_datos[Aula]&amp;" "&amp;base_de_datos[Examen],""),""),""),""),"")</f>
        <v/>
      </c>
      <c r="O20" s="29" t="str" cm="1">
        <f t="array" aca="1" ref="O20" ca="1">_xlfn.TEXTJOIN(CHAR(10),TRUE,IF(Semestre=INDIRECT("base_de_datos["&amp;Carrera&amp;"]"),IF("x"=base_de_datos[Jueves],IF(base_de_datos[Hora inicio]&lt;=$B20,IF(base_de_datos[Hora fin]&gt;=$C20,base_de_datos[No clase],""),""),""),""),"")</f>
        <v/>
      </c>
      <c r="P20" s="29" t="str" cm="1">
        <f t="array" aca="1" ref="P20" ca="1">_xlfn.TEXTJOIN(CHAR(10),TRUE,IF(Semestre=INDIRECT("base_de_datos["&amp;Carrera&amp;"]"),IF("x"=base_de_datos[Viernes],IF(base_de_datos[Hora inicio]&lt;=$B20,IF(base_de_datos[Hora fin]&gt;=$C20,base_de_datos[Materia]&amp;" "&amp;base_de_datos[[Número de grupo ]]&amp;" "&amp;base_de_datos[Profesor],""),""),""),""),"")</f>
        <v/>
      </c>
      <c r="Q20" s="29" t="str" cm="1">
        <f t="array" aca="1" ref="Q20" ca="1">_xlfn.TEXTJOIN(CHAR(10),TRUE,IF(Semestre=INDIRECT("base_de_datos["&amp;Carrera&amp;"]"),IF("x"=base_de_datos[Viernes],IF(base_de_datos[Hora inicio]&lt;=$B20,IF(base_de_datos[Hora fin]&gt;=$C20,base_de_datos[Aula]&amp;" "&amp;base_de_datos[Examen],""),""),""),""),"")</f>
        <v/>
      </c>
      <c r="R20" s="29" t="str" cm="1">
        <f t="array" aca="1" ref="R20" ca="1">_xlfn.TEXTJOIN(CHAR(10),TRUE,IF(Semestre=INDIRECT("base_de_datos["&amp;Carrera&amp;"]"),IF("x"=base_de_datos[Viernes],IF(base_de_datos[Hora inicio]&lt;=$B20,IF(base_de_datos[Hora fin]&gt;=$C20,base_de_datos[No clase],""),""),""),""),"")</f>
        <v/>
      </c>
      <c r="S20" s="29" t="str" cm="1">
        <f t="array" aca="1" ref="S20" ca="1">_xlfn.TEXTJOIN(CHAR(10),TRUE,IF(Semestre=INDIRECT("base_de_datos["&amp;Carrera&amp;"]"),IF("x"=base_de_datos[Sábado],IF(base_de_datos[Hora inicio]&lt;=$B20,IF(base_de_datos[Hora fin]&gt;=$C20,base_de_datos[Materia]&amp;" "&amp;base_de_datos[[Número de grupo ]]&amp;" "&amp;base_de_datos[Profesor],""),""),""),""),"")</f>
        <v/>
      </c>
      <c r="T20" s="29" t="str" cm="1">
        <f t="array" aca="1" ref="T20" ca="1">_xlfn.TEXTJOIN(CHAR(10),TRUE,IF(Semestre=INDIRECT("base_de_datos["&amp;Carrera&amp;"]"),IF("x"=base_de_datos[Sábado],IF(base_de_datos[Hora inicio]&lt;=$B20,IF(base_de_datos[Hora fin]&gt;=$C20,base_de_datos[Aula]&amp;" "&amp;#REF!,""),""),""),""),"")</f>
        <v/>
      </c>
      <c r="U20" s="29" t="str" cm="1">
        <f t="array" aca="1" ref="U20" ca="1">_xlfn.TEXTJOIN(CHAR(10),TRUE,IF(Semestre=INDIRECT("base_de_datos["&amp;Carrera&amp;"]"),IF("x"=base_de_datos[Sábado],IF(base_de_datos[Hora inicio]&lt;=$B20,IF(base_de_datos[Hora fin]&gt;=$C20,base_de_datos[No clase],""),""),""),""),"")</f>
        <v/>
      </c>
      <c r="V20" s="28"/>
      <c r="Z20" s="28"/>
      <c r="AA20" s="28"/>
      <c r="AW20" s="1" t="str">
        <f t="shared" si="0"/>
        <v/>
      </c>
    </row>
    <row r="21" spans="2:49" ht="15">
      <c r="B21" s="206">
        <v>0.625</v>
      </c>
      <c r="C21" s="206">
        <v>0.64583333333332804</v>
      </c>
      <c r="D21" s="30" t="str" cm="1">
        <f t="array" aca="1" ref="D21" ca="1">_xlfn.TEXTJOIN(CHAR(10),TRUE,IF(Semestre=INDIRECT("base_de_datos["&amp;Carrera&amp;"]"),IF("x"=base_de_datos[Lunes],IF(base_de_datos[Hora inicio]&lt;=$B21,IF(base_de_datos[Hora fin]&gt;=$C21,base_de_datos[Materia]&amp;" "&amp;base_de_datos[[Número de grupo ]]&amp;" "&amp;base_de_datos[Profesor],""),""),""),""),"")</f>
        <v/>
      </c>
      <c r="E21" s="29" t="str" cm="1">
        <f t="array" aca="1" ref="E21" ca="1">_xlfn.TEXTJOIN(CHAR(10),TRUE,IF(Semestre=INDIRECT("base_de_datos["&amp;Carrera&amp;"]"),IF("x"=base_de_datos[Lunes],IF(base_de_datos[Hora inicio]&lt;=$B21,IF(base_de_datos[Hora fin]&gt;=$C21,base_de_datos[Aula]&amp;" "&amp;base_de_datos[Examen],""),""),""),""),"")</f>
        <v/>
      </c>
      <c r="F21" s="30" t="str" cm="1">
        <f t="array" aca="1" ref="F21" ca="1">_xlfn.TEXTJOIN(CHAR(10),TRUE,IF(Semestre=INDIRECT("base_de_datos["&amp;Carrera&amp;"]"),IF("x"=base_de_datos[Lunes],IF(base_de_datos[Hora inicio]&lt;=$B21,IF(base_de_datos[Hora fin]&gt;=$C21,base_de_datos[No clase],""),""),""),""),"")</f>
        <v/>
      </c>
      <c r="G21" s="29" t="str" cm="1">
        <f t="array" aca="1" ref="G21" ca="1">_xlfn.TEXTJOIN(CHAR(10),TRUE,IF(Semestre=INDIRECT("base_de_datos["&amp;Carrera&amp;"]"),IF("x"=base_de_datos[Martes],IF(base_de_datos[Hora inicio]&lt;=$B21,IF(base_de_datos[Hora fin]&gt;=$C21,base_de_datos[Materia]&amp;" "&amp;base_de_datos[[Número de grupo ]]&amp;" "&amp;base_de_datos[Profesor],""),""),""),""),"")</f>
        <v/>
      </c>
      <c r="H21" s="29" t="str" cm="1">
        <f t="array" aca="1" ref="H21" ca="1">_xlfn.TEXTJOIN(CHAR(10),TRUE,IF(Semestre=INDIRECT("base_de_datos["&amp;Carrera&amp;"]"),IF("x"=base_de_datos[Martes],IF(base_de_datos[Hora inicio]&lt;=$B21,IF(base_de_datos[Hora fin]&gt;=$C21,base_de_datos[Aula]&amp;" "&amp;base_de_datos[Examen],""),""),""),""),"")</f>
        <v/>
      </c>
      <c r="I21" s="29" t="str" cm="1">
        <f t="array" aca="1" ref="I21" ca="1">_xlfn.TEXTJOIN(CHAR(10),TRUE,IF(Semestre=INDIRECT("base_de_datos["&amp;Carrera&amp;"]"),IF("x"=base_de_datos[Martes],IF(base_de_datos[Hora inicio]&lt;=$B21,IF(base_de_datos[Hora fin]&gt;=$C21,base_de_datos[No clase],""),""),""),""),"")</f>
        <v/>
      </c>
      <c r="J21" s="30" t="str" cm="1">
        <f t="array" aca="1" ref="J21" ca="1">_xlfn.TEXTJOIN(CHAR(10),TRUE,IF(Semestre=INDIRECT("base_de_datos["&amp;Carrera&amp;"]"),IF("x"=base_de_datos[Miércoles],IF(base_de_datos[Hora inicio]&lt;=$B21,IF(base_de_datos[Hora fin]&gt;=$C21,base_de_datos[Materia]&amp;" "&amp;base_de_datos[[Número de grupo ]]&amp;" "&amp;base_de_datos[Profesor],""),""),""),""),"")</f>
        <v/>
      </c>
      <c r="K21" s="30" t="str" cm="1">
        <f t="array" aca="1" ref="K21" ca="1">_xlfn.TEXTJOIN(CHAR(10),TRUE,IF(Semestre=INDIRECT("base_de_datos["&amp;Carrera&amp;"]"),IF("x"=base_de_datos[Miércoles],IF(base_de_datos[Hora inicio]&lt;=$B21,IF(base_de_datos[Hora fin]&gt;=$C21,base_de_datos[Aula]&amp;" "&amp;base_de_datos[Examen],""),""),""),""),"")</f>
        <v/>
      </c>
      <c r="L21" s="30" t="str" cm="1">
        <f t="array" aca="1" ref="L21" ca="1">_xlfn.TEXTJOIN(CHAR(10),TRUE,IF(Semestre=INDIRECT("base_de_datos["&amp;Carrera&amp;"]"),IF("x"=base_de_datos[Miércoles],IF(base_de_datos[Hora inicio]&lt;=$B21,IF(base_de_datos[Hora fin]&gt;=$C21,base_de_datos[No clase],""),""),""),""),"")</f>
        <v/>
      </c>
      <c r="M21" s="29" t="str" cm="1">
        <f t="array" aca="1" ref="M21" ca="1">_xlfn.TEXTJOIN(CHAR(10),TRUE,IF(Semestre=INDIRECT("base_de_datos["&amp;Carrera&amp;"]"),IF("x"=base_de_datos[Jueves],IF(base_de_datos[Hora inicio]&lt;=$B21,IF(base_de_datos[Hora fin]&gt;=$C21,base_de_datos[Materia]&amp;" "&amp;base_de_datos[[Número de grupo ]]&amp;" "&amp;base_de_datos[Profesor],""),""),""),""),"")</f>
        <v/>
      </c>
      <c r="N21" s="29" t="str" cm="1">
        <f t="array" aca="1" ref="N21" ca="1">_xlfn.TEXTJOIN(CHAR(10),TRUE,IF(Semestre=INDIRECT("base_de_datos["&amp;Carrera&amp;"]"),IF("x"=base_de_datos[Jueves],IF(base_de_datos[Hora inicio]&lt;=$B21,IF(base_de_datos[Hora fin]&gt;=$C21,base_de_datos[Aula]&amp;" "&amp;base_de_datos[Examen],""),""),""),""),"")</f>
        <v/>
      </c>
      <c r="O21" s="29" t="str" cm="1">
        <f t="array" aca="1" ref="O21" ca="1">_xlfn.TEXTJOIN(CHAR(10),TRUE,IF(Semestre=INDIRECT("base_de_datos["&amp;Carrera&amp;"]"),IF("x"=base_de_datos[Jueves],IF(base_de_datos[Hora inicio]&lt;=$B21,IF(base_de_datos[Hora fin]&gt;=$C21,base_de_datos[No clase],""),""),""),""),"")</f>
        <v/>
      </c>
      <c r="P21" s="30" t="str" cm="1">
        <f t="array" aca="1" ref="P21" ca="1">_xlfn.TEXTJOIN(CHAR(10),TRUE,IF(Semestre=INDIRECT("base_de_datos["&amp;Carrera&amp;"]"),IF("x"=base_de_datos[Viernes],IF(base_de_datos[Hora inicio]&lt;=$B21,IF(base_de_datos[Hora fin]&gt;=$C21,base_de_datos[Materia]&amp;" "&amp;base_de_datos[[Número de grupo ]]&amp;" "&amp;base_de_datos[Profesor],""),""),""),""),"")</f>
        <v/>
      </c>
      <c r="Q21" s="30" t="str" cm="1">
        <f t="array" aca="1" ref="Q21" ca="1">_xlfn.TEXTJOIN(CHAR(10),TRUE,IF(Semestre=INDIRECT("base_de_datos["&amp;Carrera&amp;"]"),IF("x"=base_de_datos[Viernes],IF(base_de_datos[Hora inicio]&lt;=$B21,IF(base_de_datos[Hora fin]&gt;=$C21,base_de_datos[Aula]&amp;" "&amp;base_de_datos[Examen],""),""),""),""),"")</f>
        <v/>
      </c>
      <c r="R21" s="30" t="str" cm="1">
        <f t="array" aca="1" ref="R21" ca="1">_xlfn.TEXTJOIN(CHAR(10),TRUE,IF(Semestre=INDIRECT("base_de_datos["&amp;Carrera&amp;"]"),IF("x"=base_de_datos[Viernes],IF(base_de_datos[Hora inicio]&lt;=$B21,IF(base_de_datos[Hora fin]&gt;=$C21,base_de_datos[No clase],""),""),""),""),"")</f>
        <v/>
      </c>
      <c r="S21" s="29" t="str" cm="1">
        <f t="array" aca="1" ref="S21" ca="1">_xlfn.TEXTJOIN(CHAR(10),TRUE,IF(Semestre=INDIRECT("base_de_datos["&amp;Carrera&amp;"]"),IF("x"=base_de_datos[Sábado],IF(base_de_datos[Hora inicio]&lt;=$B21,IF(base_de_datos[Hora fin]&gt;=$C21,base_de_datos[Materia]&amp;" "&amp;base_de_datos[[Número de grupo ]]&amp;" "&amp;base_de_datos[Profesor],""),""),""),""),"")</f>
        <v/>
      </c>
      <c r="T21" s="29" t="str" cm="1">
        <f t="array" aca="1" ref="T21" ca="1">_xlfn.TEXTJOIN(CHAR(10),TRUE,IF(Semestre=INDIRECT("base_de_datos["&amp;Carrera&amp;"]"),IF("x"=base_de_datos[Sábado],IF(base_de_datos[Hora inicio]&lt;=$B21,IF(base_de_datos[Hora fin]&gt;=$C21,base_de_datos[Aula]&amp;" "&amp;#REF!,""),""),""),""),"")</f>
        <v/>
      </c>
      <c r="U21" s="29" t="str" cm="1">
        <f t="array" aca="1" ref="U21" ca="1">_xlfn.TEXTJOIN(CHAR(10),TRUE,IF(Semestre=INDIRECT("base_de_datos["&amp;Carrera&amp;"]"),IF("x"=base_de_datos[Sábado],IF(base_de_datos[Hora inicio]&lt;=$B21,IF(base_de_datos[Hora fin]&gt;=$C21,base_de_datos[No clase],""),""),""),""),"")</f>
        <v/>
      </c>
      <c r="V21" s="28"/>
      <c r="Z21" s="28"/>
      <c r="AA21" s="28"/>
      <c r="AW21" s="1" t="str">
        <f t="shared" si="0"/>
        <v/>
      </c>
    </row>
    <row r="22" spans="2:49" ht="15">
      <c r="B22" s="206">
        <v>0.64583333333333304</v>
      </c>
      <c r="C22" s="206">
        <v>0.66666666666666097</v>
      </c>
      <c r="D22" s="30" t="str" cm="1">
        <f t="array" aca="1" ref="D22" ca="1">_xlfn.TEXTJOIN(CHAR(10),TRUE,IF(Semestre=INDIRECT("base_de_datos["&amp;Carrera&amp;"]"),IF("x"=base_de_datos[Lunes],IF(base_de_datos[Hora inicio]&lt;=$B22,IF(base_de_datos[Hora fin]&gt;=$C22,base_de_datos[Materia]&amp;" "&amp;base_de_datos[[Número de grupo ]]&amp;" "&amp;base_de_datos[Profesor],""),""),""),""),"")</f>
        <v/>
      </c>
      <c r="E22" s="29" t="str" cm="1">
        <f t="array" aca="1" ref="E22" ca="1">_xlfn.TEXTJOIN(CHAR(10),TRUE,IF(Semestre=INDIRECT("base_de_datos["&amp;Carrera&amp;"]"),IF("x"=base_de_datos[Lunes],IF(base_de_datos[Hora inicio]&lt;=$B22,IF(base_de_datos[Hora fin]&gt;=$C22,base_de_datos[Aula]&amp;" "&amp;base_de_datos[Examen],""),""),""),""),"")</f>
        <v/>
      </c>
      <c r="F22" s="30" t="str" cm="1">
        <f t="array" aca="1" ref="F22" ca="1">_xlfn.TEXTJOIN(CHAR(10),TRUE,IF(Semestre=INDIRECT("base_de_datos["&amp;Carrera&amp;"]"),IF("x"=base_de_datos[Lunes],IF(base_de_datos[Hora inicio]&lt;=$B22,IF(base_de_datos[Hora fin]&gt;=$C22,base_de_datos[No clase],""),""),""),""),"")</f>
        <v/>
      </c>
      <c r="G22" s="29" t="str" cm="1">
        <f t="array" aca="1" ref="G22" ca="1">_xlfn.TEXTJOIN(CHAR(10),TRUE,IF(Semestre=INDIRECT("base_de_datos["&amp;Carrera&amp;"]"),IF("x"=base_de_datos[Martes],IF(base_de_datos[Hora inicio]&lt;=$B22,IF(base_de_datos[Hora fin]&gt;=$C22,base_de_datos[Materia]&amp;" "&amp;base_de_datos[[Número de grupo ]]&amp;" "&amp;base_de_datos[Profesor],""),""),""),""),"")</f>
        <v/>
      </c>
      <c r="H22" s="29" t="str" cm="1">
        <f t="array" aca="1" ref="H22" ca="1">_xlfn.TEXTJOIN(CHAR(10),TRUE,IF(Semestre=INDIRECT("base_de_datos["&amp;Carrera&amp;"]"),IF("x"=base_de_datos[Martes],IF(base_de_datos[Hora inicio]&lt;=$B22,IF(base_de_datos[Hora fin]&gt;=$C22,base_de_datos[Aula]&amp;" "&amp;base_de_datos[Examen],""),""),""),""),"")</f>
        <v/>
      </c>
      <c r="I22" s="29" t="str" cm="1">
        <f t="array" aca="1" ref="I22" ca="1">_xlfn.TEXTJOIN(CHAR(10),TRUE,IF(Semestre=INDIRECT("base_de_datos["&amp;Carrera&amp;"]"),IF("x"=base_de_datos[Martes],IF(base_de_datos[Hora inicio]&lt;=$B22,IF(base_de_datos[Hora fin]&gt;=$C22,base_de_datos[No clase],""),""),""),""),"")</f>
        <v/>
      </c>
      <c r="J22" s="30" t="str" cm="1">
        <f t="array" aca="1" ref="J22" ca="1">_xlfn.TEXTJOIN(CHAR(10),TRUE,IF(Semestre=INDIRECT("base_de_datos["&amp;Carrera&amp;"]"),IF("x"=base_de_datos[Miércoles],IF(base_de_datos[Hora inicio]&lt;=$B22,IF(base_de_datos[Hora fin]&gt;=$C22,base_de_datos[Materia]&amp;" "&amp;base_de_datos[[Número de grupo ]]&amp;" "&amp;base_de_datos[Profesor],""),""),""),""),"")</f>
        <v/>
      </c>
      <c r="K22" s="30" t="str" cm="1">
        <f t="array" aca="1" ref="K22" ca="1">_xlfn.TEXTJOIN(CHAR(10),TRUE,IF(Semestre=INDIRECT("base_de_datos["&amp;Carrera&amp;"]"),IF("x"=base_de_datos[Miércoles],IF(base_de_datos[Hora inicio]&lt;=$B22,IF(base_de_datos[Hora fin]&gt;=$C22,base_de_datos[Aula]&amp;" "&amp;base_de_datos[Examen],""),""),""),""),"")</f>
        <v/>
      </c>
      <c r="L22" s="30" t="str" cm="1">
        <f t="array" aca="1" ref="L22" ca="1">_xlfn.TEXTJOIN(CHAR(10),TRUE,IF(Semestre=INDIRECT("base_de_datos["&amp;Carrera&amp;"]"),IF("x"=base_de_datos[Miércoles],IF(base_de_datos[Hora inicio]&lt;=$B22,IF(base_de_datos[Hora fin]&gt;=$C22,base_de_datos[No clase],""),""),""),""),"")</f>
        <v/>
      </c>
      <c r="M22" s="29" t="str" cm="1">
        <f t="array" aca="1" ref="M22" ca="1">_xlfn.TEXTJOIN(CHAR(10),TRUE,IF(Semestre=INDIRECT("base_de_datos["&amp;Carrera&amp;"]"),IF("x"=base_de_datos[Jueves],IF(base_de_datos[Hora inicio]&lt;=$B22,IF(base_de_datos[Hora fin]&gt;=$C22,base_de_datos[Materia]&amp;" "&amp;base_de_datos[[Número de grupo ]]&amp;" "&amp;base_de_datos[Profesor],""),""),""),""),"")</f>
        <v/>
      </c>
      <c r="N22" s="29" t="str" cm="1">
        <f t="array" aca="1" ref="N22" ca="1">_xlfn.TEXTJOIN(CHAR(10),TRUE,IF(Semestre=INDIRECT("base_de_datos["&amp;Carrera&amp;"]"),IF("x"=base_de_datos[Jueves],IF(base_de_datos[Hora inicio]&lt;=$B22,IF(base_de_datos[Hora fin]&gt;=$C22,base_de_datos[Aula]&amp;" "&amp;base_de_datos[Examen],""),""),""),""),"")</f>
        <v/>
      </c>
      <c r="O22" s="29" t="str" cm="1">
        <f t="array" aca="1" ref="O22" ca="1">_xlfn.TEXTJOIN(CHAR(10),TRUE,IF(Semestre=INDIRECT("base_de_datos["&amp;Carrera&amp;"]"),IF("x"=base_de_datos[Jueves],IF(base_de_datos[Hora inicio]&lt;=$B22,IF(base_de_datos[Hora fin]&gt;=$C22,base_de_datos[No clase],""),""),""),""),"")</f>
        <v/>
      </c>
      <c r="P22" s="30" t="str" cm="1">
        <f t="array" aca="1" ref="P22" ca="1">_xlfn.TEXTJOIN(CHAR(10),TRUE,IF(Semestre=INDIRECT("base_de_datos["&amp;Carrera&amp;"]"),IF("x"=base_de_datos[Viernes],IF(base_de_datos[Hora inicio]&lt;=$B22,IF(base_de_datos[Hora fin]&gt;=$C22,base_de_datos[Materia]&amp;" "&amp;base_de_datos[[Número de grupo ]]&amp;" "&amp;base_de_datos[Profesor],""),""),""),""),"")</f>
        <v/>
      </c>
      <c r="Q22" s="30" t="str" cm="1">
        <f t="array" aca="1" ref="Q22" ca="1">_xlfn.TEXTJOIN(CHAR(10),TRUE,IF(Semestre=INDIRECT("base_de_datos["&amp;Carrera&amp;"]"),IF("x"=base_de_datos[Viernes],IF(base_de_datos[Hora inicio]&lt;=$B22,IF(base_de_datos[Hora fin]&gt;=$C22,base_de_datos[Aula]&amp;" "&amp;base_de_datos[Examen],""),""),""),""),"")</f>
        <v/>
      </c>
      <c r="R22" s="30" t="str" cm="1">
        <f t="array" aca="1" ref="R22" ca="1">_xlfn.TEXTJOIN(CHAR(10),TRUE,IF(Semestre=INDIRECT("base_de_datos["&amp;Carrera&amp;"]"),IF("x"=base_de_datos[Viernes],IF(base_de_datos[Hora inicio]&lt;=$B22,IF(base_de_datos[Hora fin]&gt;=$C22,base_de_datos[No clase],""),""),""),""),"")</f>
        <v/>
      </c>
      <c r="S22" s="29" t="str" cm="1">
        <f t="array" aca="1" ref="S22" ca="1">_xlfn.TEXTJOIN(CHAR(10),TRUE,IF(Semestre=INDIRECT("base_de_datos["&amp;Carrera&amp;"]"),IF("x"=base_de_datos[Sábado],IF(base_de_datos[Hora inicio]&lt;=$B22,IF(base_de_datos[Hora fin]&gt;=$C22,base_de_datos[Materia]&amp;" "&amp;base_de_datos[[Número de grupo ]]&amp;" "&amp;base_de_datos[Profesor],""),""),""),""),"")</f>
        <v/>
      </c>
      <c r="T22" s="29" t="str" cm="1">
        <f t="array" aca="1" ref="T22" ca="1">_xlfn.TEXTJOIN(CHAR(10),TRUE,IF(Semestre=INDIRECT("base_de_datos["&amp;Carrera&amp;"]"),IF("x"=base_de_datos[Sábado],IF(base_de_datos[Hora inicio]&lt;=$B22,IF(base_de_datos[Hora fin]&gt;=$C22,base_de_datos[Aula]&amp;" "&amp;#REF!,""),""),""),""),"")</f>
        <v/>
      </c>
      <c r="U22" s="29" t="str" cm="1">
        <f t="array" aca="1" ref="U22" ca="1">_xlfn.TEXTJOIN(CHAR(10),TRUE,IF(Semestre=INDIRECT("base_de_datos["&amp;Carrera&amp;"]"),IF("x"=base_de_datos[Sábado],IF(base_de_datos[Hora inicio]&lt;=$B22,IF(base_de_datos[Hora fin]&gt;=$C22,base_de_datos[No clase],""),""),""),""),"")</f>
        <v/>
      </c>
      <c r="V22" s="28"/>
      <c r="Z22" s="28"/>
      <c r="AA22" s="28"/>
      <c r="AW22" s="1" t="str">
        <f t="shared" si="0"/>
        <v/>
      </c>
    </row>
    <row r="23" spans="2:49" ht="30">
      <c r="B23" s="206">
        <v>0.66666666666666696</v>
      </c>
      <c r="C23" s="206">
        <v>0.687499999999994</v>
      </c>
      <c r="D23" s="30" t="str" cm="1">
        <f t="array" aca="1" ref="D23" ca="1">_xlfn.TEXTJOIN(CHAR(10),TRUE,IF(Semestre=INDIRECT("base_de_datos["&amp;Carrera&amp;"]"),IF("x"=base_de_datos[Lunes],IF(base_de_datos[Hora inicio]&lt;=$B23,IF(base_de_datos[Hora fin]&gt;=$C23,base_de_datos[Materia]&amp;" "&amp;base_de_datos[[Número de grupo ]]&amp;" "&amp;base_de_datos[Profesor],""),""),""),""),"")</f>
        <v/>
      </c>
      <c r="E23" s="29" t="str" cm="1">
        <f t="array" aca="1" ref="E23" ca="1">_xlfn.TEXTJOIN(CHAR(10),TRUE,IF(Semestre=INDIRECT("base_de_datos["&amp;Carrera&amp;"]"),IF("x"=base_de_datos[Lunes],IF(base_de_datos[Hora inicio]&lt;=$B23,IF(base_de_datos[Hora fin]&gt;=$C23,base_de_datos[Aula]&amp;" "&amp;base_de_datos[Examen],""),""),""),""),"")</f>
        <v/>
      </c>
      <c r="F23" s="30" t="str" cm="1">
        <f t="array" aca="1" ref="F23" ca="1">_xlfn.TEXTJOIN(CHAR(10),TRUE,IF(Semestre=INDIRECT("base_de_datos["&amp;Carrera&amp;"]"),IF("x"=base_de_datos[Lunes],IF(base_de_datos[Hora inicio]&lt;=$B23,IF(base_de_datos[Hora fin]&gt;=$C23,base_de_datos[No clase],""),""),""),""),"")</f>
        <v/>
      </c>
      <c r="G23" s="29" t="str" cm="1">
        <f t="array" aca="1" ref="G23" ca="1">_xlfn.TEXTJOIN(CHAR(10),TRUE,IF(Semestre=INDIRECT("base_de_datos["&amp;Carrera&amp;"]"),IF("x"=base_de_datos[Martes],IF(base_de_datos[Hora inicio]&lt;=$B23,IF(base_de_datos[Hora fin]&gt;=$C23,base_de_datos[Materia]&amp;" "&amp;base_de_datos[[Número de grupo ]]&amp;" "&amp;base_de_datos[Profesor],""),""),""),""),"")</f>
        <v/>
      </c>
      <c r="H23" s="29" t="str" cm="1">
        <f t="array" aca="1" ref="H23" ca="1">_xlfn.TEXTJOIN(CHAR(10),TRUE,IF(Semestre=INDIRECT("base_de_datos["&amp;Carrera&amp;"]"),IF("x"=base_de_datos[Martes],IF(base_de_datos[Hora inicio]&lt;=$B23,IF(base_de_datos[Hora fin]&gt;=$C23,base_de_datos[Aula]&amp;" "&amp;base_de_datos[Examen],""),""),""),""),"")</f>
        <v/>
      </c>
      <c r="I23" s="29" t="str" cm="1">
        <f t="array" aca="1" ref="I23" ca="1">_xlfn.TEXTJOIN(CHAR(10),TRUE,IF(Semestre=INDIRECT("base_de_datos["&amp;Carrera&amp;"]"),IF("x"=base_de_datos[Martes],IF(base_de_datos[Hora inicio]&lt;=$B23,IF(base_de_datos[Hora fin]&gt;=$C23,base_de_datos[No clase],""),""),""),""),"")</f>
        <v/>
      </c>
      <c r="J23" s="30" t="str" cm="1">
        <f t="array" aca="1" ref="J23" ca="1">_xlfn.TEXTJOIN(CHAR(10),TRUE,IF(Semestre=INDIRECT("base_de_datos["&amp;Carrera&amp;"]"),IF("x"=base_de_datos[Miércoles],IF(base_de_datos[Hora inicio]&lt;=$B23,IF(base_de_datos[Hora fin]&gt;=$C23,base_de_datos[Materia]&amp;" "&amp;base_de_datos[[Número de grupo ]]&amp;" "&amp;base_de_datos[Profesor],""),""),""),""),"")</f>
        <v>Electrónica avanzada 1 Héctor Luis Villacorta Minaya</v>
      </c>
      <c r="K23" s="30" t="str" cm="1">
        <f t="array" aca="1" ref="K23" ca="1">_xlfn.TEXTJOIN(CHAR(10),TRUE,IF(Semestre=INDIRECT("base_de_datos["&amp;Carrera&amp;"]"),IF("x"=base_de_datos[Miércoles],IF(base_de_datos[Hora inicio]&lt;=$B23,IF(base_de_datos[Hora fin]&gt;=$C23,base_de_datos[Aula]&amp;" "&amp;base_de_datos[Examen],""),""),""),""),"")</f>
        <v>Scholas 1Mi</v>
      </c>
      <c r="L23" s="30" t="str" cm="1">
        <f t="array" aca="1" ref="L23" ca="1">_xlfn.TEXTJOIN(CHAR(10),TRUE,IF(Semestre=INDIRECT("base_de_datos["&amp;Carrera&amp;"]"),IF("x"=base_de_datos[Miércoles],IF(base_de_datos[Hora inicio]&lt;=$B23,IF(base_de_datos[Hora fin]&gt;=$C23,base_de_datos[No clase],""),""),""),""),"")</f>
        <v>5824/25</v>
      </c>
      <c r="M23" s="29" t="str" cm="1">
        <f t="array" aca="1" ref="M23" ca="1">_xlfn.TEXTJOIN(CHAR(10),TRUE,IF(Semestre=INDIRECT("base_de_datos["&amp;Carrera&amp;"]"),IF("x"=base_de_datos[Jueves],IF(base_de_datos[Hora inicio]&lt;=$B23,IF(base_de_datos[Hora fin]&gt;=$C23,base_de_datos[Materia]&amp;" "&amp;base_de_datos[[Número de grupo ]]&amp;" "&amp;base_de_datos[Profesor],""),""),""),""),"")</f>
        <v/>
      </c>
      <c r="N23" s="29" t="str" cm="1">
        <f t="array" aca="1" ref="N23" ca="1">_xlfn.TEXTJOIN(CHAR(10),TRUE,IF(Semestre=INDIRECT("base_de_datos["&amp;Carrera&amp;"]"),IF("x"=base_de_datos[Jueves],IF(base_de_datos[Hora inicio]&lt;=$B23,IF(base_de_datos[Hora fin]&gt;=$C23,base_de_datos[Aula]&amp;" "&amp;base_de_datos[Examen],""),""),""),""),"")</f>
        <v/>
      </c>
      <c r="O23" s="29" t="str" cm="1">
        <f t="array" aca="1" ref="O23" ca="1">_xlfn.TEXTJOIN(CHAR(10),TRUE,IF(Semestre=INDIRECT("base_de_datos["&amp;Carrera&amp;"]"),IF("x"=base_de_datos[Jueves],IF(base_de_datos[Hora inicio]&lt;=$B23,IF(base_de_datos[Hora fin]&gt;=$C23,base_de_datos[No clase],""),""),""),""),"")</f>
        <v/>
      </c>
      <c r="P23" s="29" t="str" cm="1">
        <f t="array" aca="1" ref="P23" ca="1">_xlfn.TEXTJOIN(CHAR(10),TRUE,IF(Semestre=INDIRECT("base_de_datos["&amp;Carrera&amp;"]"),IF("x"=base_de_datos[Viernes],IF(base_de_datos[Hora inicio]&lt;=$B23,IF(base_de_datos[Hora fin]&gt;=$C23,base_de_datos[Materia]&amp;" "&amp;base_de_datos[[Número de grupo ]]&amp;" "&amp;base_de_datos[Profesor],""),""),""),""),"")</f>
        <v>Electrónica avanzada 1 Héctor Luis Villacorta Minaya</v>
      </c>
      <c r="Q23" s="29" t="str" cm="1">
        <f t="array" aca="1" ref="Q23" ca="1">_xlfn.TEXTJOIN(CHAR(10),TRUE,IF(Semestre=INDIRECT("base_de_datos["&amp;Carrera&amp;"]"),IF("x"=base_de_datos[Viernes],IF(base_de_datos[Hora inicio]&lt;=$B23,IF(base_de_datos[Hora fin]&gt;=$C23,base_de_datos[Aula]&amp;" "&amp;base_de_datos[Examen],""),""),""),""),"")</f>
        <v>Lean (Lab. Métodos) 1Mi</v>
      </c>
      <c r="R23" s="29" t="str" cm="1">
        <f t="array" aca="1" ref="R23" ca="1">_xlfn.TEXTJOIN(CHAR(10),TRUE,IF(Semestre=INDIRECT("base_de_datos["&amp;Carrera&amp;"]"),IF("x"=base_de_datos[Viernes],IF(base_de_datos[Hora inicio]&lt;=$B23,IF(base_de_datos[Hora fin]&gt;=$C23,base_de_datos[No clase],""),""),""),""),"")</f>
        <v>5824/25</v>
      </c>
      <c r="S23" s="29" t="str" cm="1">
        <f t="array" aca="1" ref="S23" ca="1">_xlfn.TEXTJOIN(CHAR(10),TRUE,IF(Semestre=INDIRECT("base_de_datos["&amp;Carrera&amp;"]"),IF("x"=base_de_datos[Sábado],IF(base_de_datos[Hora inicio]&lt;=$B23,IF(base_de_datos[Hora fin]&gt;=$C23,base_de_datos[Materia]&amp;" "&amp;base_de_datos[[Número de grupo ]]&amp;" "&amp;base_de_datos[Profesor],""),""),""),""),"")</f>
        <v/>
      </c>
      <c r="T23" s="29" t="str" cm="1">
        <f t="array" aca="1" ref="T23" ca="1">_xlfn.TEXTJOIN(CHAR(10),TRUE,IF(Semestre=INDIRECT("base_de_datos["&amp;Carrera&amp;"]"),IF("x"=base_de_datos[Sábado],IF(base_de_datos[Hora inicio]&lt;=$B23,IF(base_de_datos[Hora fin]&gt;=$C23,base_de_datos[Aula]&amp;" "&amp;#REF!,""),""),""),""),"")</f>
        <v/>
      </c>
      <c r="U23" s="29" t="str" cm="1">
        <f t="array" aca="1" ref="U23" ca="1">_xlfn.TEXTJOIN(CHAR(10),TRUE,IF(Semestre=INDIRECT("base_de_datos["&amp;Carrera&amp;"]"),IF("x"=base_de_datos[Sábado],IF(base_de_datos[Hora inicio]&lt;=$B23,IF(base_de_datos[Hora fin]&gt;=$C23,base_de_datos[No clase],""),""),""),""),"")</f>
        <v/>
      </c>
      <c r="V23" s="28"/>
      <c r="Z23" s="28"/>
      <c r="AA23" s="28"/>
    </row>
    <row r="24" spans="2:49" ht="30">
      <c r="B24" s="206">
        <v>0.6875</v>
      </c>
      <c r="C24" s="206">
        <v>0.70833333333332704</v>
      </c>
      <c r="D24" s="30" t="str" cm="1">
        <f t="array" aca="1" ref="D24" ca="1">_xlfn.TEXTJOIN(CHAR(10),TRUE,IF(Semestre=INDIRECT("base_de_datos["&amp;Carrera&amp;"]"),IF("x"=base_de_datos[Lunes],IF(base_de_datos[Hora inicio]&lt;=$B24,IF(base_de_datos[Hora fin]&gt;=$C24,base_de_datos[Materia]&amp;" "&amp;base_de_datos[[Número de grupo ]]&amp;" "&amp;base_de_datos[Profesor],""),""),""),""),"")</f>
        <v/>
      </c>
      <c r="E24" s="29" t="str" cm="1">
        <f t="array" aca="1" ref="E24" ca="1">_xlfn.TEXTJOIN(CHAR(10),TRUE,IF(Semestre=INDIRECT("base_de_datos["&amp;Carrera&amp;"]"),IF("x"=base_de_datos[Lunes],IF(base_de_datos[Hora inicio]&lt;=$B24,IF(base_de_datos[Hora fin]&gt;=$C24,base_de_datos[Aula]&amp;" "&amp;base_de_datos[Examen],""),""),""),""),"")</f>
        <v/>
      </c>
      <c r="F24" s="30" t="str" cm="1">
        <f t="array" aca="1" ref="F24" ca="1">_xlfn.TEXTJOIN(CHAR(10),TRUE,IF(Semestre=INDIRECT("base_de_datos["&amp;Carrera&amp;"]"),IF("x"=base_de_datos[Lunes],IF(base_de_datos[Hora inicio]&lt;=$B24,IF(base_de_datos[Hora fin]&gt;=$C24,base_de_datos[No clase],""),""),""),""),"")</f>
        <v/>
      </c>
      <c r="G24" s="29" t="str" cm="1">
        <f t="array" aca="1" ref="G24" ca="1">_xlfn.TEXTJOIN(CHAR(10),TRUE,IF(Semestre=INDIRECT("base_de_datos["&amp;Carrera&amp;"]"),IF("x"=base_de_datos[Martes],IF(base_de_datos[Hora inicio]&lt;=$B24,IF(base_de_datos[Hora fin]&gt;=$C24,base_de_datos[Materia]&amp;" "&amp;base_de_datos[[Número de grupo ]]&amp;" "&amp;base_de_datos[Profesor],""),""),""),""),"")</f>
        <v/>
      </c>
      <c r="H24" s="29" t="str" cm="1">
        <f t="array" aca="1" ref="H24" ca="1">_xlfn.TEXTJOIN(CHAR(10),TRUE,IF(Semestre=INDIRECT("base_de_datos["&amp;Carrera&amp;"]"),IF("x"=base_de_datos[Martes],IF(base_de_datos[Hora inicio]&lt;=$B24,IF(base_de_datos[Hora fin]&gt;=$C24,base_de_datos[Aula]&amp;" "&amp;base_de_datos[Examen],""),""),""),""),"")</f>
        <v/>
      </c>
      <c r="I24" s="29" t="str" cm="1">
        <f t="array" aca="1" ref="I24" ca="1">_xlfn.TEXTJOIN(CHAR(10),TRUE,IF(Semestre=INDIRECT("base_de_datos["&amp;Carrera&amp;"]"),IF("x"=base_de_datos[Martes],IF(base_de_datos[Hora inicio]&lt;=$B24,IF(base_de_datos[Hora fin]&gt;=$C24,base_de_datos[No clase],""),""),""),""),"")</f>
        <v/>
      </c>
      <c r="J24" s="30" t="str" cm="1">
        <f t="array" aca="1" ref="J24" ca="1">_xlfn.TEXTJOIN(CHAR(10),TRUE,IF(Semestre=INDIRECT("base_de_datos["&amp;Carrera&amp;"]"),IF("x"=base_de_datos[Miércoles],IF(base_de_datos[Hora inicio]&lt;=$B24,IF(base_de_datos[Hora fin]&gt;=$C24,base_de_datos[Materia]&amp;" "&amp;base_de_datos[[Número de grupo ]]&amp;" "&amp;base_de_datos[Profesor],""),""),""),""),"")</f>
        <v>Electrónica avanzada 1 Héctor Luis Villacorta Minaya</v>
      </c>
      <c r="K24" s="30" t="str" cm="1">
        <f t="array" aca="1" ref="K24" ca="1">_xlfn.TEXTJOIN(CHAR(10),TRUE,IF(Semestre=INDIRECT("base_de_datos["&amp;Carrera&amp;"]"),IF("x"=base_de_datos[Miércoles],IF(base_de_datos[Hora inicio]&lt;=$B24,IF(base_de_datos[Hora fin]&gt;=$C24,base_de_datos[Aula]&amp;" "&amp;base_de_datos[Examen],""),""),""),""),"")</f>
        <v>Scholas 1Mi</v>
      </c>
      <c r="L24" s="30" t="str" cm="1">
        <f t="array" aca="1" ref="L24" ca="1">_xlfn.TEXTJOIN(CHAR(10),TRUE,IF(Semestre=INDIRECT("base_de_datos["&amp;Carrera&amp;"]"),IF("x"=base_de_datos[Miércoles],IF(base_de_datos[Hora inicio]&lt;=$B24,IF(base_de_datos[Hora fin]&gt;=$C24,base_de_datos[No clase],""),""),""),""),"")</f>
        <v>5824/25</v>
      </c>
      <c r="M24" s="29" t="str" cm="1">
        <f t="array" aca="1" ref="M24" ca="1">_xlfn.TEXTJOIN(CHAR(10),TRUE,IF(Semestre=INDIRECT("base_de_datos["&amp;Carrera&amp;"]"),IF("x"=base_de_datos[Jueves],IF(base_de_datos[Hora inicio]&lt;=$B24,IF(base_de_datos[Hora fin]&gt;=$C24,base_de_datos[Materia]&amp;" "&amp;base_de_datos[[Número de grupo ]]&amp;" "&amp;base_de_datos[Profesor],""),""),""),""),"")</f>
        <v/>
      </c>
      <c r="N24" s="29" t="str" cm="1">
        <f t="array" aca="1" ref="N24" ca="1">_xlfn.TEXTJOIN(CHAR(10),TRUE,IF(Semestre=INDIRECT("base_de_datos["&amp;Carrera&amp;"]"),IF("x"=base_de_datos[Jueves],IF(base_de_datos[Hora inicio]&lt;=$B24,IF(base_de_datos[Hora fin]&gt;=$C24,base_de_datos[Aula]&amp;" "&amp;base_de_datos[Examen],""),""),""),""),"")</f>
        <v/>
      </c>
      <c r="O24" s="29" t="str" cm="1">
        <f t="array" aca="1" ref="O24" ca="1">_xlfn.TEXTJOIN(CHAR(10),TRUE,IF(Semestre=INDIRECT("base_de_datos["&amp;Carrera&amp;"]"),IF("x"=base_de_datos[Jueves],IF(base_de_datos[Hora inicio]&lt;=$B24,IF(base_de_datos[Hora fin]&gt;=$C24,base_de_datos[No clase],""),""),""),""),"")</f>
        <v/>
      </c>
      <c r="P24" s="29" t="str" cm="1">
        <f t="array" aca="1" ref="P24" ca="1">_xlfn.TEXTJOIN(CHAR(10),TRUE,IF(Semestre=INDIRECT("base_de_datos["&amp;Carrera&amp;"]"),IF("x"=base_de_datos[Viernes],IF(base_de_datos[Hora inicio]&lt;=$B24,IF(base_de_datos[Hora fin]&gt;=$C24,base_de_datos[Materia]&amp;" "&amp;base_de_datos[[Número de grupo ]]&amp;" "&amp;base_de_datos[Profesor],""),""),""),""),"")</f>
        <v>Electrónica avanzada 1 Héctor Luis Villacorta Minaya</v>
      </c>
      <c r="Q24" s="29" t="str" cm="1">
        <f t="array" aca="1" ref="Q24" ca="1">_xlfn.TEXTJOIN(CHAR(10),TRUE,IF(Semestre=INDIRECT("base_de_datos["&amp;Carrera&amp;"]"),IF("x"=base_de_datos[Viernes],IF(base_de_datos[Hora inicio]&lt;=$B24,IF(base_de_datos[Hora fin]&gt;=$C24,base_de_datos[Aula]&amp;" "&amp;base_de_datos[Examen],""),""),""),""),"")</f>
        <v>Lean (Lab. Métodos) 1Mi</v>
      </c>
      <c r="R24" s="29" t="str" cm="1">
        <f t="array" aca="1" ref="R24" ca="1">_xlfn.TEXTJOIN(CHAR(10),TRUE,IF(Semestre=INDIRECT("base_de_datos["&amp;Carrera&amp;"]"),IF("x"=base_de_datos[Viernes],IF(base_de_datos[Hora inicio]&lt;=$B24,IF(base_de_datos[Hora fin]&gt;=$C24,base_de_datos[No clase],""),""),""),""),"")</f>
        <v>5824/25</v>
      </c>
      <c r="S24" s="29" t="str" cm="1">
        <f t="array" aca="1" ref="S24" ca="1">_xlfn.TEXTJOIN(CHAR(10),TRUE,IF(Semestre=INDIRECT("base_de_datos["&amp;Carrera&amp;"]"),IF("x"=base_de_datos[Sábado],IF(base_de_datos[Hora inicio]&lt;=$B24,IF(base_de_datos[Hora fin]&gt;=$C24,base_de_datos[Materia]&amp;" "&amp;base_de_datos[[Número de grupo ]]&amp;" "&amp;base_de_datos[Profesor],""),""),""),""),"")</f>
        <v/>
      </c>
      <c r="T24" s="29" t="str" cm="1">
        <f t="array" aca="1" ref="T24" ca="1">_xlfn.TEXTJOIN(CHAR(10),TRUE,IF(Semestre=INDIRECT("base_de_datos["&amp;Carrera&amp;"]"),IF("x"=base_de_datos[Sábado],IF(base_de_datos[Hora inicio]&lt;=$B24,IF(base_de_datos[Hora fin]&gt;=$C24,base_de_datos[Aula]&amp;" "&amp;#REF!,""),""),""),""),"")</f>
        <v/>
      </c>
      <c r="U24" s="29" t="str" cm="1">
        <f t="array" aca="1" ref="U24" ca="1">_xlfn.TEXTJOIN(CHAR(10),TRUE,IF(Semestre=INDIRECT("base_de_datos["&amp;Carrera&amp;"]"),IF("x"=base_de_datos[Sábado],IF(base_de_datos[Hora inicio]&lt;=$B24,IF(base_de_datos[Hora fin]&gt;=$C24,base_de_datos[No clase],""),""),""),""),"")</f>
        <v/>
      </c>
      <c r="V24" s="28"/>
      <c r="Z24" s="28"/>
      <c r="AA24" s="28"/>
    </row>
    <row r="25" spans="2:49" ht="30">
      <c r="B25" s="206">
        <v>0.70833333333333304</v>
      </c>
      <c r="C25" s="206">
        <v>0.72916666666665997</v>
      </c>
      <c r="D25" s="29" t="str" cm="1">
        <f t="array" aca="1" ref="D25" ca="1">_xlfn.TEXTJOIN(CHAR(10),TRUE,IF(Semestre=INDIRECT("base_de_datos["&amp;Carrera&amp;"]"),IF("x"=base_de_datos[Lunes],IF(base_de_datos[Hora inicio]&lt;=$B25,IF(base_de_datos[Hora fin]&gt;=$C25,base_de_datos[Materia]&amp;" "&amp;base_de_datos[[Número de grupo ]]&amp;" "&amp;base_de_datos[Profesor],""),""),""),""),"")</f>
        <v>Sistemas de control 1 Ramiro Velázquez Guerrero</v>
      </c>
      <c r="E25" s="29" t="str" cm="1">
        <f t="array" aca="1" ref="E25" ca="1">_xlfn.TEXTJOIN(CHAR(10),TRUE,IF(Semestre=INDIRECT("base_de_datos["&amp;Carrera&amp;"]"),IF("x"=base_de_datos[Lunes],IF(base_de_datos[Hora inicio]&lt;=$B25,IF(base_de_datos[Hora fin]&gt;=$C25,base_de_datos[Aula]&amp;" "&amp;base_de_datos[Examen],""),""),""),""),"")</f>
        <v>MIT 1Vi</v>
      </c>
      <c r="F25" s="29" t="str" cm="1">
        <f t="array" aca="1" ref="F25" ca="1">_xlfn.TEXTJOIN(CHAR(10),TRUE,IF(Semestre=INDIRECT("base_de_datos["&amp;Carrera&amp;"]"),IF("x"=base_de_datos[Lunes],IF(base_de_datos[Hora inicio]&lt;=$B25,IF(base_de_datos[Hora fin]&gt;=$C25,base_de_datos[No clase],""),""),""),""),"")</f>
        <v>1528/29, 1530/31</v>
      </c>
      <c r="G25" s="29" t="str" cm="1">
        <f t="array" aca="1" ref="G25" ca="1">_xlfn.TEXTJOIN(CHAR(10),TRUE,IF(Semestre=INDIRECT("base_de_datos["&amp;Carrera&amp;"]"),IF("x"=base_de_datos[Martes],IF(base_de_datos[Hora inicio]&lt;=$B25,IF(base_de_datos[Hora fin]&gt;=$C25,base_de_datos[Materia]&amp;" "&amp;base_de_datos[[Número de grupo ]]&amp;" "&amp;base_de_datos[Profesor],""),""),""),""),"")</f>
        <v>Descripción de hardware 1 Ricardo Macías Quijas</v>
      </c>
      <c r="H25" s="29" t="str" cm="1">
        <f t="array" aca="1" ref="H25" ca="1">_xlfn.TEXTJOIN(CHAR(10),TRUE,IF(Semestre=INDIRECT("base_de_datos["&amp;Carrera&amp;"]"),IF("x"=base_de_datos[Martes],IF(base_de_datos[Hora inicio]&lt;=$B25,IF(base_de_datos[Hora fin]&gt;=$C25,base_de_datos[Aula]&amp;" "&amp;base_de_datos[Examen],""),""),""),""),"")</f>
        <v>C-21 2Ma</v>
      </c>
      <c r="I25" s="29" t="str" cm="1">
        <f t="array" aca="1" ref="I25" ca="1">_xlfn.TEXTJOIN(CHAR(10),TRUE,IF(Semestre=INDIRECT("base_de_datos["&amp;Carrera&amp;"]"),IF("x"=base_de_datos[Martes],IF(base_de_datos[Hora inicio]&lt;=$B25,IF(base_de_datos[Hora fin]&gt;=$C25,base_de_datos[No clase],""),""),""),""),"")</f>
        <v>1517/18, 1519</v>
      </c>
      <c r="J25" s="29" t="str" cm="1">
        <f t="array" aca="1" ref="J25" ca="1">_xlfn.TEXTJOIN(CHAR(10),TRUE,IF(Semestre=INDIRECT("base_de_datos["&amp;Carrera&amp;"]"),IF("x"=base_de_datos[Miércoles],IF(base_de_datos[Hora inicio]&lt;=$B25,IF(base_de_datos[Hora fin]&gt;=$C25,base_de_datos[Materia]&amp;" "&amp;base_de_datos[[Número de grupo ]]&amp;" "&amp;base_de_datos[Profesor],""),""),""),""),"")</f>
        <v>Electrónica avanzada 1 Héctor Luis Villacorta Minaya</v>
      </c>
      <c r="K25" s="29" t="str" cm="1">
        <f t="array" aca="1" ref="K25" ca="1">_xlfn.TEXTJOIN(CHAR(10),TRUE,IF(Semestre=INDIRECT("base_de_datos["&amp;Carrera&amp;"]"),IF("x"=base_de_datos[Miércoles],IF(base_de_datos[Hora inicio]&lt;=$B25,IF(base_de_datos[Hora fin]&gt;=$C25,base_de_datos[Aula]&amp;" "&amp;base_de_datos[Examen],""),""),""),""),"")</f>
        <v>Scholas 1Mi</v>
      </c>
      <c r="L25" s="29" t="str" cm="1">
        <f t="array" aca="1" ref="L25" ca="1">_xlfn.TEXTJOIN(CHAR(10),TRUE,IF(Semestre=INDIRECT("base_de_datos["&amp;Carrera&amp;"]"),IF("x"=base_de_datos[Miércoles],IF(base_de_datos[Hora inicio]&lt;=$B25,IF(base_de_datos[Hora fin]&gt;=$C25,base_de_datos[No clase],""),""),""),""),"")</f>
        <v>5824/25</v>
      </c>
      <c r="M25" s="29" t="str" cm="1">
        <f t="array" aca="1" ref="M25" ca="1">_xlfn.TEXTJOIN(CHAR(10),TRUE,IF(Semestre=INDIRECT("base_de_datos["&amp;Carrera&amp;"]"),IF("x"=base_de_datos[Jueves],IF(base_de_datos[Hora inicio]&lt;=$B25,IF(base_de_datos[Hora fin]&gt;=$C25,base_de_datos[Materia]&amp;" "&amp;base_de_datos[[Número de grupo ]]&amp;" "&amp;base_de_datos[Profesor],""),""),""),""),"")</f>
        <v>Descripción de hardware 1 Ricardo Macías Quijas</v>
      </c>
      <c r="N25" s="29" t="str" cm="1">
        <f t="array" aca="1" ref="N25" ca="1">_xlfn.TEXTJOIN(CHAR(10),TRUE,IF(Semestre=INDIRECT("base_de_datos["&amp;Carrera&amp;"]"),IF("x"=base_de_datos[Jueves],IF(base_de_datos[Hora inicio]&lt;=$B25,IF(base_de_datos[Hora fin]&gt;=$C25,base_de_datos[Aula]&amp;" "&amp;base_de_datos[Examen],""),""),""),""),"")</f>
        <v>C-14 2Ma</v>
      </c>
      <c r="O25" s="29" t="str" cm="1">
        <f t="array" aca="1" ref="O25" ca="1">_xlfn.TEXTJOIN(CHAR(10),TRUE,IF(Semestre=INDIRECT("base_de_datos["&amp;Carrera&amp;"]"),IF("x"=base_de_datos[Jueves],IF(base_de_datos[Hora inicio]&lt;=$B25,IF(base_de_datos[Hora fin]&gt;=$C25,base_de_datos[No clase],""),""),""),""),"")</f>
        <v>1517/18, 1519</v>
      </c>
      <c r="P25" s="29" t="str" cm="1">
        <f t="array" aca="1" ref="P25" ca="1">_xlfn.TEXTJOIN(CHAR(10),TRUE,IF(Semestre=INDIRECT("base_de_datos["&amp;Carrera&amp;"]"),IF("x"=base_de_datos[Viernes],IF(base_de_datos[Hora inicio]&lt;=$B25,IF(base_de_datos[Hora fin]&gt;=$C25,base_de_datos[Materia]&amp;" "&amp;base_de_datos[[Número de grupo ]]&amp;" "&amp;base_de_datos[Profesor],""),""),""),""),"")</f>
        <v>Sistemas de control 1 Ramiro Velázquez Guerrero</v>
      </c>
      <c r="Q25" s="29" t="str" cm="1">
        <f t="array" aca="1" ref="Q25" ca="1">_xlfn.TEXTJOIN(CHAR(10),TRUE,IF(Semestre=INDIRECT("base_de_datos["&amp;Carrera&amp;"]"),IF("x"=base_de_datos[Viernes],IF(base_de_datos[Hora inicio]&lt;=$B25,IF(base_de_datos[Hora fin]&gt;=$C25,base_de_datos[Aula]&amp;" "&amp;base_de_datos[Examen],""),""),""),""),"")</f>
        <v>MIT 1Vi</v>
      </c>
      <c r="R25" s="29" t="str" cm="1">
        <f t="array" aca="1" ref="R25" ca="1">_xlfn.TEXTJOIN(CHAR(10),TRUE,IF(Semestre=INDIRECT("base_de_datos["&amp;Carrera&amp;"]"),IF("x"=base_de_datos[Viernes],IF(base_de_datos[Hora inicio]&lt;=$B25,IF(base_de_datos[Hora fin]&gt;=$C25,base_de_datos[No clase],""),""),""),""),"")</f>
        <v>1528/29, 1530/31</v>
      </c>
      <c r="S25" s="29" t="str" cm="1">
        <f t="array" aca="1" ref="S25" ca="1">_xlfn.TEXTJOIN(CHAR(10),TRUE,IF(Semestre=INDIRECT("base_de_datos["&amp;Carrera&amp;"]"),IF("x"=base_de_datos[Sábado],IF(base_de_datos[Hora inicio]&lt;=$B25,IF(base_de_datos[Hora fin]&gt;=$C25,base_de_datos[Materia]&amp;" "&amp;base_de_datos[[Número de grupo ]]&amp;" "&amp;base_de_datos[Profesor],""),""),""),""),"")</f>
        <v/>
      </c>
      <c r="T25" s="29" t="str" cm="1">
        <f t="array" aca="1" ref="T25" ca="1">_xlfn.TEXTJOIN(CHAR(10),TRUE,IF(Semestre=INDIRECT("base_de_datos["&amp;Carrera&amp;"]"),IF("x"=base_de_datos[Sábado],IF(base_de_datos[Hora inicio]&lt;=$B25,IF(base_de_datos[Hora fin]&gt;=$C25,base_de_datos[Aula]&amp;" "&amp;#REF!,""),""),""),""),"")</f>
        <v/>
      </c>
      <c r="U25" s="29" t="str" cm="1">
        <f t="array" aca="1" ref="U25" ca="1">_xlfn.TEXTJOIN(CHAR(10),TRUE,IF(Semestre=INDIRECT("base_de_datos["&amp;Carrera&amp;"]"),IF("x"=base_de_datos[Sábado],IF(base_de_datos[Hora inicio]&lt;=$B25,IF(base_de_datos[Hora fin]&gt;=$C25,base_de_datos[No clase],""),""),""),""),"")</f>
        <v/>
      </c>
      <c r="V25" s="28"/>
      <c r="Z25" s="28"/>
      <c r="AA25" s="28"/>
    </row>
    <row r="26" spans="2:49" ht="30">
      <c r="B26" s="206">
        <v>0.72916666666666696</v>
      </c>
      <c r="C26" s="206">
        <v>0.74999999999999301</v>
      </c>
      <c r="D26" s="29" t="str" cm="1">
        <f t="array" aca="1" ref="D26" ca="1">_xlfn.TEXTJOIN(CHAR(10),TRUE,IF(Semestre=INDIRECT("base_de_datos["&amp;Carrera&amp;"]"),IF("x"=base_de_datos[Lunes],IF(base_de_datos[Hora inicio]&lt;=$B26,IF(base_de_datos[Hora fin]&gt;=$C26,base_de_datos[Materia]&amp;" "&amp;base_de_datos[[Número de grupo ]]&amp;" "&amp;base_de_datos[Profesor],""),""),""),""),"")</f>
        <v>Sistemas de control 1 Ramiro Velázquez Guerrero</v>
      </c>
      <c r="E26" s="29" t="str" cm="1">
        <f t="array" aca="1" ref="E26" ca="1">_xlfn.TEXTJOIN(CHAR(10),TRUE,IF(Semestre=INDIRECT("base_de_datos["&amp;Carrera&amp;"]"),IF("x"=base_de_datos[Lunes],IF(base_de_datos[Hora inicio]&lt;=$B26,IF(base_de_datos[Hora fin]&gt;=$C26,base_de_datos[Aula]&amp;" "&amp;base_de_datos[Examen],""),""),""),""),"")</f>
        <v>MIT 1Vi</v>
      </c>
      <c r="F26" s="29" t="str" cm="1">
        <f t="array" aca="1" ref="F26" ca="1">_xlfn.TEXTJOIN(CHAR(10),TRUE,IF(Semestre=INDIRECT("base_de_datos["&amp;Carrera&amp;"]"),IF("x"=base_de_datos[Lunes],IF(base_de_datos[Hora inicio]&lt;=$B26,IF(base_de_datos[Hora fin]&gt;=$C26,base_de_datos[No clase],""),""),""),""),"")</f>
        <v>1528/29, 1530/31</v>
      </c>
      <c r="G26" s="29" t="str" cm="1">
        <f t="array" aca="1" ref="G26" ca="1">_xlfn.TEXTJOIN(CHAR(10),TRUE,IF(Semestre=INDIRECT("base_de_datos["&amp;Carrera&amp;"]"),IF("x"=base_de_datos[Martes],IF(base_de_datos[Hora inicio]&lt;=$B26,IF(base_de_datos[Hora fin]&gt;=$C26,base_de_datos[Materia]&amp;" "&amp;base_de_datos[[Número de grupo ]]&amp;" "&amp;base_de_datos[Profesor],""),""),""),""),"")</f>
        <v>Descripción de hardware 1 Ricardo Macías Quijas</v>
      </c>
      <c r="H26" s="29" t="str" cm="1">
        <f t="array" aca="1" ref="H26" ca="1">_xlfn.TEXTJOIN(CHAR(10),TRUE,IF(Semestre=INDIRECT("base_de_datos["&amp;Carrera&amp;"]"),IF("x"=base_de_datos[Martes],IF(base_de_datos[Hora inicio]&lt;=$B26,IF(base_de_datos[Hora fin]&gt;=$C26,base_de_datos[Aula]&amp;" "&amp;base_de_datos[Examen],""),""),""),""),"")</f>
        <v>C-21 2Ma</v>
      </c>
      <c r="I26" s="29" t="str" cm="1">
        <f t="array" aca="1" ref="I26" ca="1">_xlfn.TEXTJOIN(CHAR(10),TRUE,IF(Semestre=INDIRECT("base_de_datos["&amp;Carrera&amp;"]"),IF("x"=base_de_datos[Martes],IF(base_de_datos[Hora inicio]&lt;=$B26,IF(base_de_datos[Hora fin]&gt;=$C26,base_de_datos[No clase],""),""),""),""),"")</f>
        <v>1517/18, 1519</v>
      </c>
      <c r="J26" s="29" t="str" cm="1">
        <f t="array" aca="1" ref="J26" ca="1">_xlfn.TEXTJOIN(CHAR(10),TRUE,IF(Semestre=INDIRECT("base_de_datos["&amp;Carrera&amp;"]"),IF("x"=base_de_datos[Miércoles],IF(base_de_datos[Hora inicio]&lt;=$B26,IF(base_de_datos[Hora fin]&gt;=$C26,base_de_datos[Materia]&amp;" "&amp;base_de_datos[[Número de grupo ]]&amp;" "&amp;base_de_datos[Profesor],""),""),""),""),"")</f>
        <v>Electrónica avanzada 1 Héctor Luis Villacorta Minaya</v>
      </c>
      <c r="K26" s="29" t="str" cm="1">
        <f t="array" aca="1" ref="K26" ca="1">_xlfn.TEXTJOIN(CHAR(10),TRUE,IF(Semestre=INDIRECT("base_de_datos["&amp;Carrera&amp;"]"),IF("x"=base_de_datos[Miércoles],IF(base_de_datos[Hora inicio]&lt;=$B26,IF(base_de_datos[Hora fin]&gt;=$C26,base_de_datos[Aula]&amp;" "&amp;base_de_datos[Examen],""),""),""),""),"")</f>
        <v>Scholas 1Mi</v>
      </c>
      <c r="L26" s="29" t="str" cm="1">
        <f t="array" aca="1" ref="L26" ca="1">_xlfn.TEXTJOIN(CHAR(10),TRUE,IF(Semestre=INDIRECT("base_de_datos["&amp;Carrera&amp;"]"),IF("x"=base_de_datos[Miércoles],IF(base_de_datos[Hora inicio]&lt;=$B26,IF(base_de_datos[Hora fin]&gt;=$C26,base_de_datos[No clase],""),""),""),""),"")</f>
        <v>5824/25</v>
      </c>
      <c r="M26" s="29" t="str" cm="1">
        <f t="array" aca="1" ref="M26" ca="1">_xlfn.TEXTJOIN(CHAR(10),TRUE,IF(Semestre=INDIRECT("base_de_datos["&amp;Carrera&amp;"]"),IF("x"=base_de_datos[Jueves],IF(base_de_datos[Hora inicio]&lt;=$B26,IF(base_de_datos[Hora fin]&gt;=$C26,base_de_datos[Materia]&amp;" "&amp;base_de_datos[[Número de grupo ]]&amp;" "&amp;base_de_datos[Profesor],""),""),""),""),"")</f>
        <v>Descripción de hardware 1 Ricardo Macías Quijas</v>
      </c>
      <c r="N26" s="29" t="str" cm="1">
        <f t="array" aca="1" ref="N26" ca="1">_xlfn.TEXTJOIN(CHAR(10),TRUE,IF(Semestre=INDIRECT("base_de_datos["&amp;Carrera&amp;"]"),IF("x"=base_de_datos[Jueves],IF(base_de_datos[Hora inicio]&lt;=$B26,IF(base_de_datos[Hora fin]&gt;=$C26,base_de_datos[Aula]&amp;" "&amp;base_de_datos[Examen],""),""),""),""),"")</f>
        <v>C-14 2Ma</v>
      </c>
      <c r="O26" s="29" t="str" cm="1">
        <f t="array" aca="1" ref="O26" ca="1">_xlfn.TEXTJOIN(CHAR(10),TRUE,IF(Semestre=INDIRECT("base_de_datos["&amp;Carrera&amp;"]"),IF("x"=base_de_datos[Jueves],IF(base_de_datos[Hora inicio]&lt;=$B26,IF(base_de_datos[Hora fin]&gt;=$C26,base_de_datos[No clase],""),""),""),""),"")</f>
        <v>1517/18, 1519</v>
      </c>
      <c r="P26" s="29" t="str" cm="1">
        <f t="array" aca="1" ref="P26" ca="1">_xlfn.TEXTJOIN(CHAR(10),TRUE,IF(Semestre=INDIRECT("base_de_datos["&amp;Carrera&amp;"]"),IF("x"=base_de_datos[Viernes],IF(base_de_datos[Hora inicio]&lt;=$B26,IF(base_de_datos[Hora fin]&gt;=$C26,base_de_datos[Materia]&amp;" "&amp;base_de_datos[[Número de grupo ]]&amp;" "&amp;base_de_datos[Profesor],""),""),""),""),"")</f>
        <v>Sistemas de control 1 Ramiro Velázquez Guerrero</v>
      </c>
      <c r="Q26" s="29" t="str" cm="1">
        <f t="array" aca="1" ref="Q26" ca="1">_xlfn.TEXTJOIN(CHAR(10),TRUE,IF(Semestre=INDIRECT("base_de_datos["&amp;Carrera&amp;"]"),IF("x"=base_de_datos[Viernes],IF(base_de_datos[Hora inicio]&lt;=$B26,IF(base_de_datos[Hora fin]&gt;=$C26,base_de_datos[Aula]&amp;" "&amp;base_de_datos[Examen],""),""),""),""),"")</f>
        <v>MIT 1Vi</v>
      </c>
      <c r="R26" s="29" t="str" cm="1">
        <f t="array" aca="1" ref="R26" ca="1">_xlfn.TEXTJOIN(CHAR(10),TRUE,IF(Semestre=INDIRECT("base_de_datos["&amp;Carrera&amp;"]"),IF("x"=base_de_datos[Viernes],IF(base_de_datos[Hora inicio]&lt;=$B26,IF(base_de_datos[Hora fin]&gt;=$C26,base_de_datos[No clase],""),""),""),""),"")</f>
        <v>1528/29, 1530/31</v>
      </c>
      <c r="S26" s="29" t="str" cm="1">
        <f t="array" aca="1" ref="S26" ca="1">_xlfn.TEXTJOIN(CHAR(10),TRUE,IF(Semestre=INDIRECT("base_de_datos["&amp;Carrera&amp;"]"),IF("x"=base_de_datos[Sábado],IF(base_de_datos[Hora inicio]&lt;=$B26,IF(base_de_datos[Hora fin]&gt;=$C26,base_de_datos[Materia]&amp;" "&amp;base_de_datos[[Número de grupo ]]&amp;" "&amp;base_de_datos[Profesor],""),""),""),""),"")</f>
        <v/>
      </c>
      <c r="T26" s="29" t="str" cm="1">
        <f t="array" aca="1" ref="T26" ca="1">_xlfn.TEXTJOIN(CHAR(10),TRUE,IF(Semestre=INDIRECT("base_de_datos["&amp;Carrera&amp;"]"),IF("x"=base_de_datos[Sábado],IF(base_de_datos[Hora inicio]&lt;=$B26,IF(base_de_datos[Hora fin]&gt;=$C26,base_de_datos[Aula]&amp;" "&amp;#REF!,""),""),""),""),"")</f>
        <v/>
      </c>
      <c r="U26" s="29" t="str" cm="1">
        <f t="array" aca="1" ref="U26" ca="1">_xlfn.TEXTJOIN(CHAR(10),TRUE,IF(Semestre=INDIRECT("base_de_datos["&amp;Carrera&amp;"]"),IF("x"=base_de_datos[Sábado],IF(base_de_datos[Hora inicio]&lt;=$B26,IF(base_de_datos[Hora fin]&gt;=$C26,base_de_datos[No clase],""),""),""),""),"")</f>
        <v/>
      </c>
      <c r="V26" s="28"/>
      <c r="Z26" s="28"/>
      <c r="AA26" s="28"/>
    </row>
    <row r="27" spans="2:49" ht="30">
      <c r="B27" s="206">
        <v>0.75</v>
      </c>
      <c r="C27" s="206">
        <v>0.77083333333332604</v>
      </c>
      <c r="D27" s="29" t="str" cm="1">
        <f t="array" aca="1" ref="D27" ca="1">_xlfn.TEXTJOIN(CHAR(10),TRUE,IF(Semestre=INDIRECT("base_de_datos["&amp;Carrera&amp;"]"),IF("x"=base_de_datos[Lunes],IF(base_de_datos[Hora inicio]&lt;=$B27,IF(base_de_datos[Hora fin]&gt;=$C27,base_de_datos[Materia]&amp;" "&amp;base_de_datos[[Número de grupo ]]&amp;" "&amp;base_de_datos[Profesor],""),""),""),""),"")</f>
        <v>Sistemas de control 1 Ramiro Velázquez Guerrero</v>
      </c>
      <c r="E27" s="29" t="str" cm="1">
        <f t="array" aca="1" ref="E27" ca="1">_xlfn.TEXTJOIN(CHAR(10),TRUE,IF(Semestre=INDIRECT("base_de_datos["&amp;Carrera&amp;"]"),IF("x"=base_de_datos[Lunes],IF(base_de_datos[Hora inicio]&lt;=$B27,IF(base_de_datos[Hora fin]&gt;=$C27,base_de_datos[Aula]&amp;" "&amp;base_de_datos[Examen],""),""),""),""),"")</f>
        <v>MIT 1Vi</v>
      </c>
      <c r="F27" s="29" t="str" cm="1">
        <f t="array" aca="1" ref="F27" ca="1">_xlfn.TEXTJOIN(CHAR(10),TRUE,IF(Semestre=INDIRECT("base_de_datos["&amp;Carrera&amp;"]"),IF("x"=base_de_datos[Lunes],IF(base_de_datos[Hora inicio]&lt;=$B27,IF(base_de_datos[Hora fin]&gt;=$C27,base_de_datos[No clase],""),""),""),""),"")</f>
        <v>1528/29, 1530/31</v>
      </c>
      <c r="G27" s="29" t="str" cm="1">
        <f t="array" aca="1" ref="G27" ca="1">_xlfn.TEXTJOIN(CHAR(10),TRUE,IF(Semestre=INDIRECT("base_de_datos["&amp;Carrera&amp;"]"),IF("x"=base_de_datos[Martes],IF(base_de_datos[Hora inicio]&lt;=$B27,IF(base_de_datos[Hora fin]&gt;=$C27,base_de_datos[Materia]&amp;" "&amp;base_de_datos[[Número de grupo ]]&amp;" "&amp;base_de_datos[Profesor],""),""),""),""),"")</f>
        <v>Descripción de hardware 1 Ricardo Macías Quijas</v>
      </c>
      <c r="H27" s="29" t="str" cm="1">
        <f t="array" aca="1" ref="H27" ca="1">_xlfn.TEXTJOIN(CHAR(10),TRUE,IF(Semestre=INDIRECT("base_de_datos["&amp;Carrera&amp;"]"),IF("x"=base_de_datos[Martes],IF(base_de_datos[Hora inicio]&lt;=$B27,IF(base_de_datos[Hora fin]&gt;=$C27,base_de_datos[Aula]&amp;" "&amp;base_de_datos[Examen],""),""),""),""),"")</f>
        <v>C-21 2Ma</v>
      </c>
      <c r="I27" s="29" t="str" cm="1">
        <f t="array" aca="1" ref="I27" ca="1">_xlfn.TEXTJOIN(CHAR(10),TRUE,IF(Semestre=INDIRECT("base_de_datos["&amp;Carrera&amp;"]"),IF("x"=base_de_datos[Martes],IF(base_de_datos[Hora inicio]&lt;=$B27,IF(base_de_datos[Hora fin]&gt;=$C27,base_de_datos[No clase],""),""),""),""),"")</f>
        <v>1517/18, 1519</v>
      </c>
      <c r="J27" s="29" t="str" cm="1">
        <f t="array" aca="1" ref="J27" ca="1">_xlfn.TEXTJOIN(CHAR(10),TRUE,IF(Semestre=INDIRECT("base_de_datos["&amp;Carrera&amp;"]"),IF("x"=base_de_datos[Miércoles],IF(base_de_datos[Hora inicio]&lt;=$B27,IF(base_de_datos[Hora fin]&gt;=$C27,base_de_datos[Materia]&amp;" "&amp;base_de_datos[[Número de grupo ]]&amp;" "&amp;base_de_datos[Profesor],""),""),""),""),"")</f>
        <v>Electrónica avanzada 1 Héctor Luis Villacorta Minaya</v>
      </c>
      <c r="K27" s="29" t="str" cm="1">
        <f t="array" aca="1" ref="K27" ca="1">_xlfn.TEXTJOIN(CHAR(10),TRUE,IF(Semestre=INDIRECT("base_de_datos["&amp;Carrera&amp;"]"),IF("x"=base_de_datos[Miércoles],IF(base_de_datos[Hora inicio]&lt;=$B27,IF(base_de_datos[Hora fin]&gt;=$C27,base_de_datos[Aula]&amp;" "&amp;base_de_datos[Examen],""),""),""),""),"")</f>
        <v>Scholas 1Mi</v>
      </c>
      <c r="L27" s="29" t="str" cm="1">
        <f t="array" aca="1" ref="L27" ca="1">_xlfn.TEXTJOIN(CHAR(10),TRUE,IF(Semestre=INDIRECT("base_de_datos["&amp;Carrera&amp;"]"),IF("x"=base_de_datos[Miércoles],IF(base_de_datos[Hora inicio]&lt;=$B27,IF(base_de_datos[Hora fin]&gt;=$C27,base_de_datos[No clase],""),""),""),""),"")</f>
        <v>5824/25</v>
      </c>
      <c r="M27" s="29" t="str" cm="1">
        <f t="array" aca="1" ref="M27" ca="1">_xlfn.TEXTJOIN(CHAR(10),TRUE,IF(Semestre=INDIRECT("base_de_datos["&amp;Carrera&amp;"]"),IF("x"=base_de_datos[Jueves],IF(base_de_datos[Hora inicio]&lt;=$B27,IF(base_de_datos[Hora fin]&gt;=$C27,base_de_datos[Materia]&amp;" "&amp;base_de_datos[[Número de grupo ]]&amp;" "&amp;base_de_datos[Profesor],""),""),""),""),"")</f>
        <v>Descripción de hardware 1 Ricardo Macías Quijas</v>
      </c>
      <c r="N27" s="29" t="str" cm="1">
        <f t="array" aca="1" ref="N27" ca="1">_xlfn.TEXTJOIN(CHAR(10),TRUE,IF(Semestre=INDIRECT("base_de_datos["&amp;Carrera&amp;"]"),IF("x"=base_de_datos[Jueves],IF(base_de_datos[Hora inicio]&lt;=$B27,IF(base_de_datos[Hora fin]&gt;=$C27,base_de_datos[Aula]&amp;" "&amp;base_de_datos[Examen],""),""),""),""),"")</f>
        <v>C-14 2Ma</v>
      </c>
      <c r="O27" s="29" t="str" cm="1">
        <f t="array" aca="1" ref="O27" ca="1">_xlfn.TEXTJOIN(CHAR(10),TRUE,IF(Semestre=INDIRECT("base_de_datos["&amp;Carrera&amp;"]"),IF("x"=base_de_datos[Jueves],IF(base_de_datos[Hora inicio]&lt;=$B27,IF(base_de_datos[Hora fin]&gt;=$C27,base_de_datos[No clase],""),""),""),""),"")</f>
        <v>1517/18, 1519</v>
      </c>
      <c r="P27" s="29" t="str" cm="1">
        <f t="array" aca="1" ref="P27" ca="1">_xlfn.TEXTJOIN(CHAR(10),TRUE,IF(Semestre=INDIRECT("base_de_datos["&amp;Carrera&amp;"]"),IF("x"=base_de_datos[Viernes],IF(base_de_datos[Hora inicio]&lt;=$B27,IF(base_de_datos[Hora fin]&gt;=$C27,base_de_datos[Materia]&amp;" "&amp;base_de_datos[[Número de grupo ]]&amp;" "&amp;base_de_datos[Profesor],""),""),""),""),"")</f>
        <v>Sistemas de control 1 Ramiro Velázquez Guerrero</v>
      </c>
      <c r="Q27" s="29" t="str" cm="1">
        <f t="array" aca="1" ref="Q27" ca="1">_xlfn.TEXTJOIN(CHAR(10),TRUE,IF(Semestre=INDIRECT("base_de_datos["&amp;Carrera&amp;"]"),IF("x"=base_de_datos[Viernes],IF(base_de_datos[Hora inicio]&lt;=$B27,IF(base_de_datos[Hora fin]&gt;=$C27,base_de_datos[Aula]&amp;" "&amp;base_de_datos[Examen],""),""),""),""),"")</f>
        <v>MIT 1Vi</v>
      </c>
      <c r="R27" s="29" t="str" cm="1">
        <f t="array" aca="1" ref="R27" ca="1">_xlfn.TEXTJOIN(CHAR(10),TRUE,IF(Semestre=INDIRECT("base_de_datos["&amp;Carrera&amp;"]"),IF("x"=base_de_datos[Viernes],IF(base_de_datos[Hora inicio]&lt;=$B27,IF(base_de_datos[Hora fin]&gt;=$C27,base_de_datos[No clase],""),""),""),""),"")</f>
        <v>1528/29, 1530/31</v>
      </c>
      <c r="S27" s="29" t="str" cm="1">
        <f t="array" aca="1" ref="S27" ca="1">_xlfn.TEXTJOIN(CHAR(10),TRUE,IF(Semestre=INDIRECT("base_de_datos["&amp;Carrera&amp;"]"),IF("x"=base_de_datos[Sábado],IF(base_de_datos[Hora inicio]&lt;=$B27,IF(base_de_datos[Hora fin]&gt;=$C27,base_de_datos[Materia]&amp;" "&amp;base_de_datos[[Número de grupo ]]&amp;" "&amp;base_de_datos[Profesor],""),""),""),""),"")</f>
        <v/>
      </c>
      <c r="T27" s="29" t="str" cm="1">
        <f t="array" aca="1" ref="T27" ca="1">_xlfn.TEXTJOIN(CHAR(10),TRUE,IF(Semestre=INDIRECT("base_de_datos["&amp;Carrera&amp;"]"),IF("x"=base_de_datos[Sábado],IF(base_de_datos[Hora inicio]&lt;=$B27,IF(base_de_datos[Hora fin]&gt;=$C27,base_de_datos[Aula]&amp;" "&amp;#REF!,""),""),""),""),"")</f>
        <v/>
      </c>
      <c r="U27" s="29" t="str" cm="1">
        <f t="array" aca="1" ref="U27" ca="1">_xlfn.TEXTJOIN(CHAR(10),TRUE,IF(Semestre=INDIRECT("base_de_datos["&amp;Carrera&amp;"]"),IF("x"=base_de_datos[Sábado],IF(base_de_datos[Hora inicio]&lt;=$B27,IF(base_de_datos[Hora fin]&gt;=$C27,base_de_datos[No clase],""),""),""),""),"")</f>
        <v/>
      </c>
      <c r="V27" s="28"/>
      <c r="Z27" s="28"/>
      <c r="AA27" s="28"/>
    </row>
    <row r="28" spans="2:49" ht="30">
      <c r="B28" s="206">
        <v>0.77083333333333304</v>
      </c>
      <c r="C28" s="206">
        <v>0.79166666666665897</v>
      </c>
      <c r="D28" s="29" t="str" cm="1">
        <f t="array" aca="1" ref="D28" ca="1">_xlfn.TEXTJOIN(CHAR(10),TRUE,IF(Semestre=INDIRECT("base_de_datos["&amp;Carrera&amp;"]"),IF("x"=base_de_datos[Lunes],IF(base_de_datos[Hora inicio]&lt;=$B28,IF(base_de_datos[Hora fin]&gt;=$C28,base_de_datos[Materia]&amp;" "&amp;base_de_datos[[Número de grupo ]]&amp;" "&amp;base_de_datos[Profesor],""),""),""),""),"")</f>
        <v>Sistemas de control 1 Ramiro Velázquez Guerrero</v>
      </c>
      <c r="E28" s="29" t="str" cm="1">
        <f t="array" aca="1" ref="E28" ca="1">_xlfn.TEXTJOIN(CHAR(10),TRUE,IF(Semestre=INDIRECT("base_de_datos["&amp;Carrera&amp;"]"),IF("x"=base_de_datos[Lunes],IF(base_de_datos[Hora inicio]&lt;=$B28,IF(base_de_datos[Hora fin]&gt;=$C28,base_de_datos[Aula]&amp;" "&amp;base_de_datos[Examen],""),""),""),""),"")</f>
        <v>MIT 1Vi</v>
      </c>
      <c r="F28" s="29" t="str" cm="1">
        <f t="array" aca="1" ref="F28" ca="1">_xlfn.TEXTJOIN(CHAR(10),TRUE,IF(Semestre=INDIRECT("base_de_datos["&amp;Carrera&amp;"]"),IF("x"=base_de_datos[Lunes],IF(base_de_datos[Hora inicio]&lt;=$B28,IF(base_de_datos[Hora fin]&gt;=$C28,base_de_datos[No clase],""),""),""),""),"")</f>
        <v>1528/29, 1530/31</v>
      </c>
      <c r="G28" s="29" t="str" cm="1">
        <f t="array" aca="1" ref="G28" ca="1">_xlfn.TEXTJOIN(CHAR(10),TRUE,IF(Semestre=INDIRECT("base_de_datos["&amp;Carrera&amp;"]"),IF("x"=base_de_datos[Martes],IF(base_de_datos[Hora inicio]&lt;=$B28,IF(base_de_datos[Hora fin]&gt;=$C28,base_de_datos[Materia]&amp;" "&amp;base_de_datos[[Número de grupo ]]&amp;" "&amp;base_de_datos[Profesor],""),""),""),""),"")</f>
        <v>Descripción de hardware 1 Ricardo Macías Quijas</v>
      </c>
      <c r="H28" s="29" t="str" cm="1">
        <f t="array" aca="1" ref="H28" ca="1">_xlfn.TEXTJOIN(CHAR(10),TRUE,IF(Semestre=INDIRECT("base_de_datos["&amp;Carrera&amp;"]"),IF("x"=base_de_datos[Martes],IF(base_de_datos[Hora inicio]&lt;=$B28,IF(base_de_datos[Hora fin]&gt;=$C28,base_de_datos[Aula]&amp;" "&amp;base_de_datos[Examen],""),""),""),""),"")</f>
        <v>C-21 2Ma</v>
      </c>
      <c r="I28" s="29" t="str" cm="1">
        <f t="array" aca="1" ref="I28" ca="1">_xlfn.TEXTJOIN(CHAR(10),TRUE,IF(Semestre=INDIRECT("base_de_datos["&amp;Carrera&amp;"]"),IF("x"=base_de_datos[Martes],IF(base_de_datos[Hora inicio]&lt;=$B28,IF(base_de_datos[Hora fin]&gt;=$C28,base_de_datos[No clase],""),""),""),""),"")</f>
        <v>1517/18, 1519</v>
      </c>
      <c r="J28" s="29" t="str" cm="1">
        <f t="array" aca="1" ref="J28" ca="1">_xlfn.TEXTJOIN(CHAR(10),TRUE,IF(Semestre=INDIRECT("base_de_datos["&amp;Carrera&amp;"]"),IF("x"=base_de_datos[Miércoles],IF(base_de_datos[Hora inicio]&lt;=$B28,IF(base_de_datos[Hora fin]&gt;=$C28,base_de_datos[Materia]&amp;" "&amp;base_de_datos[[Número de grupo ]]&amp;" "&amp;base_de_datos[Profesor],""),""),""),""),"")</f>
        <v>Electrónica avanzada 1 Héctor Luis Villacorta Minaya</v>
      </c>
      <c r="K28" s="178" t="str" cm="1">
        <f t="array" aca="1" ref="K28" ca="1">_xlfn.TEXTJOIN(CHAR(10),TRUE,IF(Semestre=INDIRECT("base_de_datos["&amp;Carrera&amp;"]"),IF("x"=base_de_datos[Miércoles],IF(base_de_datos[Hora inicio]&lt;=$B28,IF(base_de_datos[Hora fin]&gt;=$C28,base_de_datos[Aula]&amp;" "&amp;base_de_datos[Examen],""),""),""),""),"")</f>
        <v>Scholas 1Mi</v>
      </c>
      <c r="L28" s="29" t="str" cm="1">
        <f t="array" aca="1" ref="L28" ca="1">_xlfn.TEXTJOIN(CHAR(10),TRUE,IF(Semestre=INDIRECT("base_de_datos["&amp;Carrera&amp;"]"),IF("x"=base_de_datos[Miércoles],IF(base_de_datos[Hora inicio]&lt;=$B28,IF(base_de_datos[Hora fin]&gt;=$C28,base_de_datos[No clase],""),""),""),""),"")</f>
        <v>5824/25</v>
      </c>
      <c r="M28" s="29" t="str" cm="1">
        <f t="array" aca="1" ref="M28" ca="1">_xlfn.TEXTJOIN(CHAR(10),TRUE,IF(Semestre=INDIRECT("base_de_datos["&amp;Carrera&amp;"]"),IF("x"=base_de_datos[Jueves],IF(base_de_datos[Hora inicio]&lt;=$B28,IF(base_de_datos[Hora fin]&gt;=$C28,base_de_datos[Materia]&amp;" "&amp;base_de_datos[[Número de grupo ]]&amp;" "&amp;base_de_datos[Profesor],""),""),""),""),"")</f>
        <v>Descripción de hardware 1 Ricardo Macías Quijas</v>
      </c>
      <c r="N28" s="29" t="str" cm="1">
        <f t="array" aca="1" ref="N28" ca="1">_xlfn.TEXTJOIN(CHAR(10),TRUE,IF(Semestre=INDIRECT("base_de_datos["&amp;Carrera&amp;"]"),IF("x"=base_de_datos[Jueves],IF(base_de_datos[Hora inicio]&lt;=$B28,IF(base_de_datos[Hora fin]&gt;=$C28,base_de_datos[Aula]&amp;" "&amp;base_de_datos[Examen],""),""),""),""),"")</f>
        <v>C-14 2Ma</v>
      </c>
      <c r="O28" s="29" t="str" cm="1">
        <f t="array" aca="1" ref="O28" ca="1">_xlfn.TEXTJOIN(CHAR(10),TRUE,IF(Semestre=INDIRECT("base_de_datos["&amp;Carrera&amp;"]"),IF("x"=base_de_datos[Jueves],IF(base_de_datos[Hora inicio]&lt;=$B28,IF(base_de_datos[Hora fin]&gt;=$C28,base_de_datos[No clase],""),""),""),""),"")</f>
        <v>1517/18, 1519</v>
      </c>
      <c r="P28" s="29" t="str" cm="1">
        <f t="array" aca="1" ref="P28" ca="1">_xlfn.TEXTJOIN(CHAR(10),TRUE,IF(Semestre=INDIRECT("base_de_datos["&amp;Carrera&amp;"]"),IF("x"=base_de_datos[Viernes],IF(base_de_datos[Hora inicio]&lt;=$B28,IF(base_de_datos[Hora fin]&gt;=$C28,base_de_datos[Materia]&amp;" "&amp;base_de_datos[[Número de grupo ]]&amp;" "&amp;base_de_datos[Profesor],""),""),""),""),"")</f>
        <v>Sistemas de control 1 Ramiro Velázquez Guerrero</v>
      </c>
      <c r="Q28" s="29" t="str" cm="1">
        <f t="array" aca="1" ref="Q28" ca="1">_xlfn.TEXTJOIN(CHAR(10),TRUE,IF(Semestre=INDIRECT("base_de_datos["&amp;Carrera&amp;"]"),IF("x"=base_de_datos[Viernes],IF(base_de_datos[Hora inicio]&lt;=$B28,IF(base_de_datos[Hora fin]&gt;=$C28,base_de_datos[Aula]&amp;" "&amp;base_de_datos[Examen],""),""),""),""),"")</f>
        <v>MIT 1Vi</v>
      </c>
      <c r="R28" s="29" t="str" cm="1">
        <f t="array" aca="1" ref="R28" ca="1">_xlfn.TEXTJOIN(CHAR(10),TRUE,IF(Semestre=INDIRECT("base_de_datos["&amp;Carrera&amp;"]"),IF("x"=base_de_datos[Viernes],IF(base_de_datos[Hora inicio]&lt;=$B28,IF(base_de_datos[Hora fin]&gt;=$C28,base_de_datos[No clase],""),""),""),""),"")</f>
        <v>1528/29, 1530/31</v>
      </c>
      <c r="S28" s="29" t="str" cm="1">
        <f t="array" aca="1" ref="S28" ca="1">_xlfn.TEXTJOIN(CHAR(10),TRUE,IF(Semestre=INDIRECT("base_de_datos["&amp;Carrera&amp;"]"),IF("x"=base_de_datos[Sábado],IF(base_de_datos[Hora inicio]&lt;=$B28,IF(base_de_datos[Hora fin]&gt;=$C28,base_de_datos[Materia]&amp;" "&amp;base_de_datos[[Número de grupo ]]&amp;" "&amp;base_de_datos[Profesor],""),""),""),""),"")</f>
        <v/>
      </c>
      <c r="T28" s="29" t="str" cm="1">
        <f t="array" aca="1" ref="T28" ca="1">_xlfn.TEXTJOIN(CHAR(10),TRUE,IF(Semestre=INDIRECT("base_de_datos["&amp;Carrera&amp;"]"),IF("x"=base_de_datos[Sábado],IF(base_de_datos[Hora inicio]&lt;=$B28,IF(base_de_datos[Hora fin]&gt;=$C28,base_de_datos[Aula]&amp;" "&amp;#REF!,""),""),""),""),"")</f>
        <v/>
      </c>
      <c r="U28" s="29" t="str" cm="1">
        <f t="array" aca="1" ref="U28" ca="1">_xlfn.TEXTJOIN(CHAR(10),TRUE,IF(Semestre=INDIRECT("base_de_datos["&amp;Carrera&amp;"]"),IF("x"=base_de_datos[Sábado],IF(base_de_datos[Hora inicio]&lt;=$B28,IF(base_de_datos[Hora fin]&gt;=$C28,base_de_datos[No clase],""),""),""),""),"")</f>
        <v/>
      </c>
      <c r="V28" s="28"/>
      <c r="Z28" s="28"/>
      <c r="AA28" s="28"/>
    </row>
    <row r="29" spans="2:49" ht="90">
      <c r="B29" s="206">
        <v>0.79166666666666696</v>
      </c>
      <c r="C29" s="206">
        <v>0.81249999999999201</v>
      </c>
      <c r="D29" s="29" t="str" cm="1">
        <f t="array" aca="1" ref="D29" ca="1">_xlfn.TEXTJOIN(CHAR(10),TRUE,IF(Semestre=INDIRECT("base_de_datos["&amp;Carrera&amp;"]"),IF("x"=base_de_datos[Lunes],IF(base_de_datos[Hora inicio]&lt;=$B29,IF(base_de_datos[Hora fin]&gt;=$C29,base_de_datos[Materia]&amp;" "&amp;base_de_datos[[Número de grupo ]]&amp;" "&amp;base_de_datos[Profesor],""),""),""),""),"")</f>
        <v>Microelectrónica 1 José Luis de Luna Vargas</v>
      </c>
      <c r="E29" s="29" t="str" cm="1">
        <f t="array" aca="1" ref="E29" ca="1">_xlfn.TEXTJOIN(CHAR(10),TRUE,IF(Semestre=INDIRECT("base_de_datos["&amp;Carrera&amp;"]"),IF("x"=base_de_datos[Lunes],IF(base_de_datos[Hora inicio]&lt;=$B29,IF(base_de_datos[Hora fin]&gt;=$C29,base_de_datos[Aula]&amp;" "&amp;base_de_datos[Examen],""),""),""),""),"")</f>
        <v>Scholas 1Lu</v>
      </c>
      <c r="F29" s="29" t="str" cm="1">
        <f t="array" aca="1" ref="F29" ca="1">_xlfn.TEXTJOIN(CHAR(10),TRUE,IF(Semestre=INDIRECT("base_de_datos["&amp;Carrera&amp;"]"),IF("x"=base_de_datos[Lunes],IF(base_de_datos[Hora inicio]&lt;=$B29,IF(base_de_datos[Hora fin]&gt;=$C29,base_de_datos[No clase],""),""),""),""),"")</f>
        <v>5822/23</v>
      </c>
      <c r="G29" s="29" t="str" cm="1">
        <f t="array" aca="1" ref="G29" ca="1">_xlfn.TEXTJOIN(CHAR(10),TRUE,IF(Semestre=INDIRECT("base_de_datos["&amp;Carrera&amp;"]"),IF("x"=base_de_datos[Martes],IF(base_de_datos[Hora inicio]&lt;=$B29,IF(base_de_datos[Hora fin]&gt;=$C29,base_de_datos[Materia]&amp;"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29" s="29" t="str" cm="1">
        <f t="array" aca="1" ref="H29" ca="1">_xlfn.TEXTJOIN(CHAR(10),TRUE,IF(Semestre=INDIRECT("base_de_datos["&amp;Carrera&amp;"]"),IF("x"=base_de_datos[Martes],IF(base_de_datos[Hora inicio]&lt;=$B29,IF(base_de_datos[Hora fin]&gt;=$C29,base_de_datos[Aula]&amp;" "&amp;base_de_datos[Examen],""),""),""),""),"")</f>
        <v>C-22 1Ma
Arquitectura 1Ma
D-01 1Ma</v>
      </c>
      <c r="I29" s="29" t="str" cm="1">
        <f t="array" aca="1" ref="I29" ca="1">_xlfn.TEXTJOIN(CHAR(10),TRUE,IF(Semestre=INDIRECT("base_de_datos["&amp;Carrera&amp;"]"),IF("x"=base_de_datos[Martes],IF(base_de_datos[Hora inicio]&lt;=$B29,IF(base_de_datos[Hora fin]&gt;=$C29,base_de_datos[No clase],""),""),""),""),"")</f>
        <v>8799, 8802, 8805
8800, 8803, 8806
8798, 8801, 8804</v>
      </c>
      <c r="J29" s="29" t="str" cm="1">
        <f t="array" aca="1" ref="J29" ca="1">_xlfn.TEXTJOIN(CHAR(10),TRUE,IF(Semestre=INDIRECT("base_de_datos["&amp;Carrera&amp;"]"),IF("x"=base_de_datos[Miércoles],IF(base_de_datos[Hora inicio]&lt;=$B29,IF(base_de_datos[Hora fin]&gt;=$C29,base_de_datos[Materia]&amp;" "&amp;base_de_datos[[Número de grupo ]]&amp;" "&amp;base_de_datos[Profesor],""),""),""),""),"")</f>
        <v>Microelectrónica 1 José Luis de Luna Vargas</v>
      </c>
      <c r="K29" s="29" t="str" cm="1">
        <f t="array" aca="1" ref="K29" ca="1">_xlfn.TEXTJOIN(CHAR(10),TRUE,IF(Semestre=INDIRECT("base_de_datos["&amp;Carrera&amp;"]"),IF("x"=base_de_datos[Miércoles],IF(base_de_datos[Hora inicio]&lt;=$B29,IF(base_de_datos[Hora fin]&gt;=$C29,base_de_datos[Aula]&amp;" "&amp;base_de_datos[Examen],""),""),""),""),"")</f>
        <v>Scholas 1Lu</v>
      </c>
      <c r="L29" s="29" t="str" cm="1">
        <f t="array" aca="1" ref="L29" ca="1">_xlfn.TEXTJOIN(CHAR(10),TRUE,IF(Semestre=INDIRECT("base_de_datos["&amp;Carrera&amp;"]"),IF("x"=base_de_datos[Miércoles],IF(base_de_datos[Hora inicio]&lt;=$B29,IF(base_de_datos[Hora fin]&gt;=$C29,base_de_datos[No clase],""),""),""),""),"")</f>
        <v>5822/23</v>
      </c>
      <c r="M29" s="29" t="str" cm="1">
        <f t="array" aca="1" ref="M29" ca="1">_xlfn.TEXTJOIN(CHAR(10),TRUE,IF(Semestre=INDIRECT("base_de_datos["&amp;Carrera&amp;"]"),IF("x"=base_de_datos[Jueves],IF(base_de_datos[Hora inicio]&lt;=$B29,IF(base_de_datos[Hora fin]&gt;=$C29,base_de_datos[Materia]&amp;" "&amp;base_de_datos[[Número de grupo ]]&amp;" "&amp;base_de_datos[Profesor],""),""),""),""),"")</f>
        <v>Desarrollo de aplicaciones para dispositivos inteligentes 1 Luis Manuel Ortiz de la Torre</v>
      </c>
      <c r="N29" s="29" t="str" cm="1">
        <f t="array" aca="1" ref="N29" ca="1">_xlfn.TEXTJOIN(CHAR(10),TRUE,IF(Semestre=INDIRECT("base_de_datos["&amp;Carrera&amp;"]"),IF("x"=base_de_datos[Jueves],IF(base_de_datos[Hora inicio]&lt;=$B29,IF(base_de_datos[Hora fin]&gt;=$C29,base_de_datos[Aula]&amp;" "&amp;base_de_datos[Examen],""),""),""),""),"")</f>
        <v>C-13 2Ju</v>
      </c>
      <c r="O29" s="29" t="str" cm="1">
        <f t="array" aca="1" ref="O29" ca="1">_xlfn.TEXTJOIN(CHAR(10),TRUE,IF(Semestre=INDIRECT("base_de_datos["&amp;Carrera&amp;"]"),IF("x"=base_de_datos[Jueves],IF(base_de_datos[Hora inicio]&lt;=$B29,IF(base_de_datos[Hora fin]&gt;=$C29,base_de_datos[No clase],""),""),""),""),"")</f>
        <v>1559</v>
      </c>
      <c r="P29" s="29" t="str" cm="1">
        <f t="array" aca="1" ref="P29" ca="1">_xlfn.TEXTJOIN(CHAR(10),TRUE,IF(Semestre=INDIRECT("base_de_datos["&amp;Carrera&amp;"]"),IF("x"=base_de_datos[Viernes],IF(base_de_datos[Hora inicio]&lt;=$B29,IF(base_de_datos[Hora fin]&gt;=$C29,base_de_datos[Materia]&amp;" "&amp;base_de_datos[[Número de grupo ]]&amp;" "&amp;base_de_datos[Profesor],""),""),""),""),"")</f>
        <v>Biosensores 1 Ignacio Acosta Pineda</v>
      </c>
      <c r="Q29" s="29" t="str" cm="1">
        <f t="array" aca="1" ref="Q29" ca="1">_xlfn.TEXTJOIN(CHAR(10),TRUE,IF(Semestre=INDIRECT("base_de_datos["&amp;Carrera&amp;"]"),IF("x"=base_de_datos[Viernes],IF(base_de_datos[Hora inicio]&lt;=$B29,IF(base_de_datos[Hora fin]&gt;=$C29,base_de_datos[Aula]&amp;" "&amp;base_de_datos[Examen],""),""),""),""),"")</f>
        <v>Scholas 2Mi</v>
      </c>
      <c r="R29" s="29" t="str" cm="1">
        <f t="array" aca="1" ref="R29" ca="1">_xlfn.TEXTJOIN(CHAR(10),TRUE,IF(Semestre=INDIRECT("base_de_datos["&amp;Carrera&amp;"]"),IF("x"=base_de_datos[Viernes],IF(base_de_datos[Hora inicio]&lt;=$B29,IF(base_de_datos[Hora fin]&gt;=$C29,base_de_datos[No clase],""),""),""),""),"")</f>
        <v>8230/31</v>
      </c>
      <c r="S29" s="29" t="str" cm="1">
        <f t="array" aca="1" ref="S29" ca="1">_xlfn.TEXTJOIN(CHAR(10),TRUE,IF(Semestre=INDIRECT("base_de_datos["&amp;Carrera&amp;"]"),IF("x"=base_de_datos[Sábado],IF(base_de_datos[Hora inicio]&lt;=$B29,IF(base_de_datos[Hora fin]&gt;=$C29,base_de_datos[Materia]&amp;" "&amp;base_de_datos[[Número de grupo ]]&amp;" "&amp;base_de_datos[Profesor],""),""),""),""),"")</f>
        <v/>
      </c>
      <c r="T29" s="29" t="str" cm="1">
        <f t="array" aca="1" ref="T29" ca="1">_xlfn.TEXTJOIN(CHAR(10),TRUE,IF(Semestre=INDIRECT("base_de_datos["&amp;Carrera&amp;"]"),IF("x"=base_de_datos[Sábado],IF(base_de_datos[Hora inicio]&lt;=$B29,IF(base_de_datos[Hora fin]&gt;=$C29,base_de_datos[Aula]&amp;" "&amp;#REF!,""),""),""),""),"")</f>
        <v/>
      </c>
      <c r="U29" s="29" t="str" cm="1">
        <f t="array" aca="1" ref="U29" ca="1">_xlfn.TEXTJOIN(CHAR(10),TRUE,IF(Semestre=INDIRECT("base_de_datos["&amp;Carrera&amp;"]"),IF("x"=base_de_datos[Sábado],IF(base_de_datos[Hora inicio]&lt;=$B29,IF(base_de_datos[Hora fin]&gt;=$C29,base_de_datos[No clase],""),""),""),""),"")</f>
        <v/>
      </c>
      <c r="V29" s="28"/>
      <c r="Z29" s="28"/>
      <c r="AA29" s="28"/>
    </row>
    <row r="30" spans="2:49" ht="90">
      <c r="B30" s="206">
        <v>0.8125</v>
      </c>
      <c r="C30" s="206">
        <v>0.83333333333332504</v>
      </c>
      <c r="D30" s="29" t="str" cm="1">
        <f t="array" aca="1" ref="D30" ca="1">_xlfn.TEXTJOIN(CHAR(10),TRUE,IF(Semestre=INDIRECT("base_de_datos["&amp;Carrera&amp;"]"),IF("x"=base_de_datos[Lunes],IF(base_de_datos[Hora inicio]&lt;=$B30,IF(base_de_datos[Hora fin]&gt;=$C30,base_de_datos[Materia]&amp;" "&amp;base_de_datos[[Número de grupo ]]&amp;" "&amp;base_de_datos[Profesor],""),""),""),""),"")</f>
        <v>Microelectrónica 1 José Luis de Luna Vargas</v>
      </c>
      <c r="E30" s="29" t="str" cm="1">
        <f t="array" aca="1" ref="E30" ca="1">_xlfn.TEXTJOIN(CHAR(10),TRUE,IF(Semestre=INDIRECT("base_de_datos["&amp;Carrera&amp;"]"),IF("x"=base_de_datos[Lunes],IF(base_de_datos[Hora inicio]&lt;=$B30,IF(base_de_datos[Hora fin]&gt;=$C30,base_de_datos[Aula]&amp;" "&amp;base_de_datos[Examen],""),""),""),""),"")</f>
        <v>Scholas 1Lu</v>
      </c>
      <c r="F30" s="29" t="str" cm="1">
        <f t="array" aca="1" ref="F30" ca="1">_xlfn.TEXTJOIN(CHAR(10),TRUE,IF(Semestre=INDIRECT("base_de_datos["&amp;Carrera&amp;"]"),IF("x"=base_de_datos[Lunes],IF(base_de_datos[Hora inicio]&lt;=$B30,IF(base_de_datos[Hora fin]&gt;=$C30,base_de_datos[No clase],""),""),""),""),"")</f>
        <v>5822/23</v>
      </c>
      <c r="G30" s="29" t="str" cm="1">
        <f t="array" aca="1" ref="G30" ca="1">_xlfn.TEXTJOIN(CHAR(10),TRUE,IF(Semestre=INDIRECT("base_de_datos["&amp;Carrera&amp;"]"),IF("x"=base_de_datos[Martes],IF(base_de_datos[Hora inicio]&lt;=$B30,IF(base_de_datos[Hora fin]&gt;=$C30,base_de_datos[Materia]&amp;"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0" s="29" t="str" cm="1">
        <f t="array" aca="1" ref="H30" ca="1">_xlfn.TEXTJOIN(CHAR(10),TRUE,IF(Semestre=INDIRECT("base_de_datos["&amp;Carrera&amp;"]"),IF("x"=base_de_datos[Martes],IF(base_de_datos[Hora inicio]&lt;=$B30,IF(base_de_datos[Hora fin]&gt;=$C30,base_de_datos[Aula]&amp;" "&amp;base_de_datos[Examen],""),""),""),""),"")</f>
        <v>C-22 1Ma
Arquitectura 1Ma
D-01 1Ma</v>
      </c>
      <c r="I30" s="29" t="str" cm="1">
        <f t="array" aca="1" ref="I30" ca="1">_xlfn.TEXTJOIN(CHAR(10),TRUE,IF(Semestre=INDIRECT("base_de_datos["&amp;Carrera&amp;"]"),IF("x"=base_de_datos[Martes],IF(base_de_datos[Hora inicio]&lt;=$B30,IF(base_de_datos[Hora fin]&gt;=$C30,base_de_datos[No clase],""),""),""),""),"")</f>
        <v>8799, 8802, 8805
8800, 8803, 8806
8798, 8801, 8804</v>
      </c>
      <c r="J30" s="29" t="str" cm="1">
        <f t="array" aca="1" ref="J30" ca="1">_xlfn.TEXTJOIN(CHAR(10),TRUE,IF(Semestre=INDIRECT("base_de_datos["&amp;Carrera&amp;"]"),IF("x"=base_de_datos[Miércoles],IF(base_de_datos[Hora inicio]&lt;=$B30,IF(base_de_datos[Hora fin]&gt;=$C30,base_de_datos[Materia]&amp;" "&amp;base_de_datos[[Número de grupo ]]&amp;" "&amp;base_de_datos[Profesor],""),""),""),""),"")</f>
        <v>Microelectrónica 1 José Luis de Luna Vargas</v>
      </c>
      <c r="K30" s="29" t="str" cm="1">
        <f t="array" aca="1" ref="K30" ca="1">_xlfn.TEXTJOIN(CHAR(10),TRUE,IF(Semestre=INDIRECT("base_de_datos["&amp;Carrera&amp;"]"),IF("x"=base_de_datos[Miércoles],IF(base_de_datos[Hora inicio]&lt;=$B30,IF(base_de_datos[Hora fin]&gt;=$C30,base_de_datos[Aula]&amp;" "&amp;base_de_datos[Examen],""),""),""),""),"")</f>
        <v>Scholas 1Lu</v>
      </c>
      <c r="L30" s="29" t="str" cm="1">
        <f t="array" aca="1" ref="L30" ca="1">_xlfn.TEXTJOIN(CHAR(10),TRUE,IF(Semestre=INDIRECT("base_de_datos["&amp;Carrera&amp;"]"),IF("x"=base_de_datos[Miércoles],IF(base_de_datos[Hora inicio]&lt;=$B30,IF(base_de_datos[Hora fin]&gt;=$C30,base_de_datos[No clase],""),""),""),""),"")</f>
        <v>5822/23</v>
      </c>
      <c r="M30" s="29" t="str" cm="1">
        <f t="array" aca="1" ref="M30" ca="1">_xlfn.TEXTJOIN(CHAR(10),TRUE,IF(Semestre=INDIRECT("base_de_datos["&amp;Carrera&amp;"]"),IF("x"=base_de_datos[Jueves],IF(base_de_datos[Hora inicio]&lt;=$B30,IF(base_de_datos[Hora fin]&gt;=$C30,base_de_datos[Materia]&amp;" "&amp;base_de_datos[[Número de grupo ]]&amp;" "&amp;base_de_datos[Profesor],""),""),""),""),"")</f>
        <v>Desarrollo de aplicaciones para dispositivos inteligentes 1 Luis Manuel Ortiz de la Torre</v>
      </c>
      <c r="N30" s="29" t="str" cm="1">
        <f t="array" aca="1" ref="N30" ca="1">_xlfn.TEXTJOIN(CHAR(10),TRUE,IF(Semestre=INDIRECT("base_de_datos["&amp;Carrera&amp;"]"),IF("x"=base_de_datos[Jueves],IF(base_de_datos[Hora inicio]&lt;=$B30,IF(base_de_datos[Hora fin]&gt;=$C30,base_de_datos[Aula]&amp;" "&amp;base_de_datos[Examen],""),""),""),""),"")</f>
        <v>C-13 2Ju</v>
      </c>
      <c r="O30" s="29" t="str" cm="1">
        <f t="array" aca="1" ref="O30" ca="1">_xlfn.TEXTJOIN(CHAR(10),TRUE,IF(Semestre=INDIRECT("base_de_datos["&amp;Carrera&amp;"]"),IF("x"=base_de_datos[Jueves],IF(base_de_datos[Hora inicio]&lt;=$B30,IF(base_de_datos[Hora fin]&gt;=$C30,base_de_datos[No clase],""),""),""),""),"")</f>
        <v>1559</v>
      </c>
      <c r="P30" s="29" t="str" cm="1">
        <f t="array" aca="1" ref="P30" ca="1">_xlfn.TEXTJOIN(CHAR(10),TRUE,IF(Semestre=INDIRECT("base_de_datos["&amp;Carrera&amp;"]"),IF("x"=base_de_datos[Viernes],IF(base_de_datos[Hora inicio]&lt;=$B30,IF(base_de_datos[Hora fin]&gt;=$C30,base_de_datos[Materia]&amp;" "&amp;base_de_datos[[Número de grupo ]]&amp;" "&amp;base_de_datos[Profesor],""),""),""),""),"")</f>
        <v>Biosensores 1 Ignacio Acosta Pineda</v>
      </c>
      <c r="Q30" s="29" t="str" cm="1">
        <f t="array" aca="1" ref="Q30" ca="1">_xlfn.TEXTJOIN(CHAR(10),TRUE,IF(Semestre=INDIRECT("base_de_datos["&amp;Carrera&amp;"]"),IF("x"=base_de_datos[Viernes],IF(base_de_datos[Hora inicio]&lt;=$B30,IF(base_de_datos[Hora fin]&gt;=$C30,base_de_datos[Aula]&amp;" "&amp;base_de_datos[Examen],""),""),""),""),"")</f>
        <v>Scholas 2Mi</v>
      </c>
      <c r="R30" s="29" t="str" cm="1">
        <f t="array" aca="1" ref="R30" ca="1">_xlfn.TEXTJOIN(CHAR(10),TRUE,IF(Semestre=INDIRECT("base_de_datos["&amp;Carrera&amp;"]"),IF("x"=base_de_datos[Viernes],IF(base_de_datos[Hora inicio]&lt;=$B30,IF(base_de_datos[Hora fin]&gt;=$C30,base_de_datos[No clase],""),""),""),""),"")</f>
        <v>8230/31</v>
      </c>
      <c r="S30" s="29" t="str" cm="1">
        <f t="array" aca="1" ref="S30" ca="1">_xlfn.TEXTJOIN(CHAR(10),TRUE,IF(Semestre=INDIRECT("base_de_datos["&amp;Carrera&amp;"]"),IF("x"=base_de_datos[Sábado],IF(base_de_datos[Hora inicio]&lt;=$B30,IF(base_de_datos[Hora fin]&gt;=$C30,base_de_datos[Materia]&amp;" "&amp;base_de_datos[[Número de grupo ]]&amp;" "&amp;base_de_datos[Profesor],""),""),""),""),"")</f>
        <v/>
      </c>
      <c r="T30" s="29" t="str" cm="1">
        <f t="array" aca="1" ref="T30" ca="1">_xlfn.TEXTJOIN(CHAR(10),TRUE,IF(Semestre=INDIRECT("base_de_datos["&amp;Carrera&amp;"]"),IF("x"=base_de_datos[Sábado],IF(base_de_datos[Hora inicio]&lt;=$B30,IF(base_de_datos[Hora fin]&gt;=$C30,base_de_datos[Aula]&amp;" "&amp;#REF!,""),""),""),""),"")</f>
        <v/>
      </c>
      <c r="U30" s="29" t="str" cm="1">
        <f t="array" aca="1" ref="U30" ca="1">_xlfn.TEXTJOIN(CHAR(10),TRUE,IF(Semestre=INDIRECT("base_de_datos["&amp;Carrera&amp;"]"),IF("x"=base_de_datos[Sábado],IF(base_de_datos[Hora inicio]&lt;=$B30,IF(base_de_datos[Hora fin]&gt;=$C30,base_de_datos[No clase],""),""),""),""),"")</f>
        <v/>
      </c>
      <c r="V30" s="28"/>
      <c r="Z30" s="28"/>
      <c r="AA30" s="28"/>
    </row>
    <row r="31" spans="2:49" ht="90">
      <c r="B31" s="206">
        <v>0.83333333333333304</v>
      </c>
      <c r="C31" s="206">
        <v>0.85416666666665797</v>
      </c>
      <c r="D31" s="29" t="str" cm="1">
        <f t="array" aca="1" ref="D31" ca="1">_xlfn.TEXTJOIN(CHAR(10),TRUE,IF(Semestre=INDIRECT("base_de_datos["&amp;Carrera&amp;"]"),IF("x"=base_de_datos[Lunes],IF(base_de_datos[Hora inicio]&lt;=$B31,IF(base_de_datos[Hora fin]&gt;=$C31,base_de_datos[Materia]&amp;" "&amp;base_de_datos[[Número de grupo ]]&amp;" "&amp;base_de_datos[Profesor],""),""),""),""),"")</f>
        <v>Microelectrónica 1 José Luis de Luna Vargas</v>
      </c>
      <c r="E31" s="29" t="str" cm="1">
        <f t="array" aca="1" ref="E31" ca="1">_xlfn.TEXTJOIN(CHAR(10),TRUE,IF(Semestre=INDIRECT("base_de_datos["&amp;Carrera&amp;"]"),IF("x"=base_de_datos[Lunes],IF(base_de_datos[Hora inicio]&lt;=$B31,IF(base_de_datos[Hora fin]&gt;=$C31,base_de_datos[Aula]&amp;" "&amp;base_de_datos[Examen],""),""),""),""),"")</f>
        <v>Scholas 1Lu</v>
      </c>
      <c r="F31" s="29" t="str" cm="1">
        <f t="array" aca="1" ref="F31" ca="1">_xlfn.TEXTJOIN(CHAR(10),TRUE,IF(Semestre=INDIRECT("base_de_datos["&amp;Carrera&amp;"]"),IF("x"=base_de_datos[Lunes],IF(base_de_datos[Hora inicio]&lt;=$B31,IF(base_de_datos[Hora fin]&gt;=$C31,base_de_datos[No clase],""),""),""),""),"")</f>
        <v>5822/23</v>
      </c>
      <c r="G31" s="29" t="str" cm="1">
        <f t="array" aca="1" ref="G31" ca="1">_xlfn.TEXTJOIN(CHAR(10),TRUE,IF(Semestre=INDIRECT("base_de_datos["&amp;Carrera&amp;"]"),IF("x"=base_de_datos[Martes],IF(base_de_datos[Hora inicio]&lt;=$B31,IF(base_de_datos[Hora fin]&gt;=$C31,base_de_datos[Materia]&amp;"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1" s="29" t="str" cm="1">
        <f t="array" aca="1" ref="H31" ca="1">_xlfn.TEXTJOIN(CHAR(10),TRUE,IF(Semestre=INDIRECT("base_de_datos["&amp;Carrera&amp;"]"),IF("x"=base_de_datos[Martes],IF(base_de_datos[Hora inicio]&lt;=$B31,IF(base_de_datos[Hora fin]&gt;=$C31,base_de_datos[Aula]&amp;" "&amp;base_de_datos[Examen],""),""),""),""),"")</f>
        <v>C-22 1Ma
Arquitectura 1Ma
D-01 1Ma</v>
      </c>
      <c r="I31" s="29" t="str" cm="1">
        <f t="array" aca="1" ref="I31" ca="1">_xlfn.TEXTJOIN(CHAR(10),TRUE,IF(Semestre=INDIRECT("base_de_datos["&amp;Carrera&amp;"]"),IF("x"=base_de_datos[Martes],IF(base_de_datos[Hora inicio]&lt;=$B31,IF(base_de_datos[Hora fin]&gt;=$C31,base_de_datos[No clase],""),""),""),""),"")</f>
        <v>8799, 8802, 8805
8800, 8803, 8806
8798, 8801, 8804</v>
      </c>
      <c r="J31" s="29" t="str" cm="1">
        <f t="array" aca="1" ref="J31" ca="1">_xlfn.TEXTJOIN(CHAR(10),TRUE,IF(Semestre=INDIRECT("base_de_datos["&amp;Carrera&amp;"]"),IF("x"=base_de_datos[Miércoles],IF(base_de_datos[Hora inicio]&lt;=$B31,IF(base_de_datos[Hora fin]&gt;=$C31,base_de_datos[Materia]&amp;" "&amp;base_de_datos[[Número de grupo ]]&amp;" "&amp;base_de_datos[Profesor],""),""),""),""),"")</f>
        <v>Microelectrónica 1 José Luis de Luna Vargas</v>
      </c>
      <c r="K31" s="29" t="str" cm="1">
        <f t="array" aca="1" ref="K31" ca="1">_xlfn.TEXTJOIN(CHAR(10),TRUE,IF(Semestre=INDIRECT("base_de_datos["&amp;Carrera&amp;"]"),IF("x"=base_de_datos[Miércoles],IF(base_de_datos[Hora inicio]&lt;=$B31,IF(base_de_datos[Hora fin]&gt;=$C31,base_de_datos[Aula]&amp;" "&amp;base_de_datos[Examen],""),""),""),""),"")</f>
        <v>Scholas 1Lu</v>
      </c>
      <c r="L31" s="29" t="str" cm="1">
        <f t="array" aca="1" ref="L31" ca="1">_xlfn.TEXTJOIN(CHAR(10),TRUE,IF(Semestre=INDIRECT("base_de_datos["&amp;Carrera&amp;"]"),IF("x"=base_de_datos[Miércoles],IF(base_de_datos[Hora inicio]&lt;=$B31,IF(base_de_datos[Hora fin]&gt;=$C31,base_de_datos[No clase],""),""),""),""),"")</f>
        <v>5822/23</v>
      </c>
      <c r="M31" s="29" t="str" cm="1">
        <f t="array" aca="1" ref="M31" ca="1">_xlfn.TEXTJOIN(CHAR(10),TRUE,IF(Semestre=INDIRECT("base_de_datos["&amp;Carrera&amp;"]"),IF("x"=base_de_datos[Jueves],IF(base_de_datos[Hora inicio]&lt;=$B31,IF(base_de_datos[Hora fin]&gt;=$C31,base_de_datos[Materia]&amp;" "&amp;base_de_datos[[Número de grupo ]]&amp;" "&amp;base_de_datos[Profesor],""),""),""),""),"")</f>
        <v>Desarrollo de aplicaciones para dispositivos inteligentes 1 Luis Manuel Ortiz de la Torre</v>
      </c>
      <c r="N31" s="29" t="str" cm="1">
        <f t="array" aca="1" ref="N31" ca="1">_xlfn.TEXTJOIN(CHAR(10),TRUE,IF(Semestre=INDIRECT("base_de_datos["&amp;Carrera&amp;"]"),IF("x"=base_de_datos[Jueves],IF(base_de_datos[Hora inicio]&lt;=$B31,IF(base_de_datos[Hora fin]&gt;=$C31,base_de_datos[Aula]&amp;" "&amp;base_de_datos[Examen],""),""),""),""),"")</f>
        <v>C-13 2Ju</v>
      </c>
      <c r="O31" s="29" t="str" cm="1">
        <f t="array" aca="1" ref="O31" ca="1">_xlfn.TEXTJOIN(CHAR(10),TRUE,IF(Semestre=INDIRECT("base_de_datos["&amp;Carrera&amp;"]"),IF("x"=base_de_datos[Jueves],IF(base_de_datos[Hora inicio]&lt;=$B31,IF(base_de_datos[Hora fin]&gt;=$C31,base_de_datos[No clase],""),""),""),""),"")</f>
        <v>1559</v>
      </c>
      <c r="P31" s="29" t="str" cm="1">
        <f t="array" aca="1" ref="P31" ca="1">_xlfn.TEXTJOIN(CHAR(10),TRUE,IF(Semestre=INDIRECT("base_de_datos["&amp;Carrera&amp;"]"),IF("x"=base_de_datos[Viernes],IF(base_de_datos[Hora inicio]&lt;=$B31,IF(base_de_datos[Hora fin]&gt;=$C31,base_de_datos[Materia]&amp;" "&amp;base_de_datos[[Número de grupo ]]&amp;" "&amp;base_de_datos[Profesor],""),""),""),""),"")</f>
        <v>Biosensores 1 Ignacio Acosta Pineda</v>
      </c>
      <c r="Q31" s="29" t="str" cm="1">
        <f t="array" aca="1" ref="Q31" ca="1">_xlfn.TEXTJOIN(CHAR(10),TRUE,IF(Semestre=INDIRECT("base_de_datos["&amp;Carrera&amp;"]"),IF("x"=base_de_datos[Viernes],IF(base_de_datos[Hora inicio]&lt;=$B31,IF(base_de_datos[Hora fin]&gt;=$C31,base_de_datos[Aula]&amp;" "&amp;base_de_datos[Examen],""),""),""),""),"")</f>
        <v>Scholas 2Mi</v>
      </c>
      <c r="R31" s="29" t="str" cm="1">
        <f t="array" aca="1" ref="R31" ca="1">_xlfn.TEXTJOIN(CHAR(10),TRUE,IF(Semestre=INDIRECT("base_de_datos["&amp;Carrera&amp;"]"),IF("x"=base_de_datos[Viernes],IF(base_de_datos[Hora inicio]&lt;=$B31,IF(base_de_datos[Hora fin]&gt;=$C31,base_de_datos[No clase],""),""),""),""),"")</f>
        <v>8230/31</v>
      </c>
      <c r="S31" s="29" t="str" cm="1">
        <f t="array" aca="1" ref="S31" ca="1">_xlfn.TEXTJOIN(CHAR(10),TRUE,IF(Semestre=INDIRECT("base_de_datos["&amp;Carrera&amp;"]"),IF("x"=base_de_datos[Sábado],IF(base_de_datos[Hora inicio]&lt;=$B31,IF(base_de_datos[Hora fin]&gt;=$C31,base_de_datos[Materia]&amp;" "&amp;base_de_datos[[Número de grupo ]]&amp;" "&amp;base_de_datos[Profesor],""),""),""),""),"")</f>
        <v/>
      </c>
      <c r="T31" s="29" t="str" cm="1">
        <f t="array" aca="1" ref="T31" ca="1">_xlfn.TEXTJOIN(CHAR(10),TRUE,IF(Semestre=INDIRECT("base_de_datos["&amp;Carrera&amp;"]"),IF("x"=base_de_datos[Sábado],IF(base_de_datos[Hora inicio]&lt;=$B31,IF(base_de_datos[Hora fin]&gt;=$C31,base_de_datos[Aula]&amp;" "&amp;#REF!,""),""),""),""),"")</f>
        <v/>
      </c>
      <c r="U31" s="29" t="str" cm="1">
        <f t="array" aca="1" ref="U31" ca="1">_xlfn.TEXTJOIN(CHAR(10),TRUE,IF(Semestre=INDIRECT("base_de_datos["&amp;Carrera&amp;"]"),IF("x"=base_de_datos[Sábado],IF(base_de_datos[Hora inicio]&lt;=$B31,IF(base_de_datos[Hora fin]&gt;=$C31,base_de_datos[No clase],""),""),""),""),"")</f>
        <v/>
      </c>
      <c r="V31" s="28"/>
      <c r="Z31" s="28"/>
      <c r="AA31" s="28"/>
    </row>
    <row r="32" spans="2:49" ht="90">
      <c r="B32" s="206">
        <v>0.85416666666666696</v>
      </c>
      <c r="C32" s="206">
        <v>0.87499999999999001</v>
      </c>
      <c r="D32" s="29" t="str" cm="1">
        <f t="array" aca="1" ref="D32" ca="1">_xlfn.TEXTJOIN(CHAR(10),TRUE,IF(Semestre=INDIRECT("base_de_datos["&amp;Carrera&amp;"]"),IF("x"=base_de_datos[Lunes],IF(base_de_datos[Hora inicio]&lt;=$B32,IF(base_de_datos[Hora fin]&gt;=$C32,base_de_datos[Materia]&amp;" "&amp;base_de_datos[[Número de grupo ]]&amp;" "&amp;base_de_datos[Profesor],""),""),""),""),"")</f>
        <v>Microelectrónica 1 José Luis de Luna Vargas</v>
      </c>
      <c r="E32" s="29" t="str" cm="1">
        <f t="array" aca="1" ref="E32" ca="1">_xlfn.TEXTJOIN(CHAR(10),TRUE,IF(Semestre=INDIRECT("base_de_datos["&amp;Carrera&amp;"]"),IF("x"=base_de_datos[Lunes],IF(base_de_datos[Hora inicio]&lt;=$B32,IF(base_de_datos[Hora fin]&gt;=$C32,base_de_datos[Aula]&amp;" "&amp;base_de_datos[Examen],""),""),""),""),"")</f>
        <v>Scholas 1Lu</v>
      </c>
      <c r="F32" s="29" t="str" cm="1">
        <f t="array" aca="1" ref="F32" ca="1">_xlfn.TEXTJOIN(CHAR(10),TRUE,IF(Semestre=INDIRECT("base_de_datos["&amp;Carrera&amp;"]"),IF("x"=base_de_datos[Lunes],IF(base_de_datos[Hora inicio]&lt;=$B32,IF(base_de_datos[Hora fin]&gt;=$C32,base_de_datos[No clase],""),""),""),""),"")</f>
        <v>5822/23</v>
      </c>
      <c r="G32" s="29" t="str" cm="1">
        <f t="array" aca="1" ref="G32" ca="1">_xlfn.TEXTJOIN(CHAR(10),TRUE,IF(Semestre=INDIRECT("base_de_datos["&amp;Carrera&amp;"]"),IF("x"=base_de_datos[Martes],IF(base_de_datos[Hora inicio]&lt;=$B32,IF(base_de_datos[Hora fin]&gt;=$C32,base_de_datos[Materia]&amp;"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2" s="29" t="str" cm="1">
        <f t="array" aca="1" ref="H32" ca="1">_xlfn.TEXTJOIN(CHAR(10),TRUE,IF(Semestre=INDIRECT("base_de_datos["&amp;Carrera&amp;"]"),IF("x"=base_de_datos[Martes],IF(base_de_datos[Hora inicio]&lt;=$B32,IF(base_de_datos[Hora fin]&gt;=$C32,base_de_datos[Aula]&amp;" "&amp;base_de_datos[Examen],""),""),""),""),"")</f>
        <v>C-22 1Ma
Arquitectura 1Ma
D-01 1Ma</v>
      </c>
      <c r="I32" s="29" t="str" cm="1">
        <f t="array" aca="1" ref="I32" ca="1">_xlfn.TEXTJOIN(CHAR(10),TRUE,IF(Semestre=INDIRECT("base_de_datos["&amp;Carrera&amp;"]"),IF("x"=base_de_datos[Martes],IF(base_de_datos[Hora inicio]&lt;=$B32,IF(base_de_datos[Hora fin]&gt;=$C32,base_de_datos[No clase],""),""),""),""),"")</f>
        <v>8799, 8802, 8805
8800, 8803, 8806
8798, 8801, 8804</v>
      </c>
      <c r="J32" s="29" t="str" cm="1">
        <f t="array" aca="1" ref="J32" ca="1">_xlfn.TEXTJOIN(CHAR(10),TRUE,IF(Semestre=INDIRECT("base_de_datos["&amp;Carrera&amp;"]"),IF("x"=base_de_datos[Miércoles],IF(base_de_datos[Hora inicio]&lt;=$B32,IF(base_de_datos[Hora fin]&gt;=$C32,base_de_datos[Materia]&amp;" "&amp;base_de_datos[[Número de grupo ]]&amp;" "&amp;base_de_datos[Profesor],""),""),""),""),"")</f>
        <v>Biosensores 1 Ignacio Acosta Pineda</v>
      </c>
      <c r="K32" s="29" t="str" cm="1">
        <f t="array" aca="1" ref="K32" ca="1">_xlfn.TEXTJOIN(CHAR(10),TRUE,IF(Semestre=INDIRECT("base_de_datos["&amp;Carrera&amp;"]"),IF("x"=base_de_datos[Miércoles],IF(base_de_datos[Hora inicio]&lt;=$B32,IF(base_de_datos[Hora fin]&gt;=$C32,base_de_datos[Aula]&amp;" "&amp;base_de_datos[Examen],""),""),""),""),"")</f>
        <v>Scholas 2Mi</v>
      </c>
      <c r="L32" s="29" t="str" cm="1">
        <f t="array" aca="1" ref="L32" ca="1">_xlfn.TEXTJOIN(CHAR(10),TRUE,IF(Semestre=INDIRECT("base_de_datos["&amp;Carrera&amp;"]"),IF("x"=base_de_datos[Miércoles],IF(base_de_datos[Hora inicio]&lt;=$B32,IF(base_de_datos[Hora fin]&gt;=$C32,base_de_datos[No clase],""),""),""),""),"")</f>
        <v>8230/31</v>
      </c>
      <c r="M32" s="29" t="str" cm="1">
        <f t="array" aca="1" ref="M32" ca="1">_xlfn.TEXTJOIN(CHAR(10),TRUE,IF(Semestre=INDIRECT("base_de_datos["&amp;Carrera&amp;"]"),IF("x"=base_de_datos[Jueves],IF(base_de_datos[Hora inicio]&lt;=$B32,IF(base_de_datos[Hora fin]&gt;=$C32,base_de_datos[Materia]&amp;" "&amp;base_de_datos[[Número de grupo ]]&amp;" "&amp;base_de_datos[Profesor],""),""),""),""),"")</f>
        <v>Desarrollo de aplicaciones para dispositivos inteligentes 1 Luis Manuel Ortiz de la Torre</v>
      </c>
      <c r="N32" s="29" t="str" cm="1">
        <f t="array" aca="1" ref="N32" ca="1">_xlfn.TEXTJOIN(CHAR(10),TRUE,IF(Semestre=INDIRECT("base_de_datos["&amp;Carrera&amp;"]"),IF("x"=base_de_datos[Jueves],IF(base_de_datos[Hora inicio]&lt;=$B32,IF(base_de_datos[Hora fin]&gt;=$C32,base_de_datos[Aula]&amp;" "&amp;base_de_datos[Examen],""),""),""),""),"")</f>
        <v>C-13 2Ju</v>
      </c>
      <c r="O32" s="29" t="str" cm="1">
        <f t="array" aca="1" ref="O32" ca="1">_xlfn.TEXTJOIN(CHAR(10),TRUE,IF(Semestre=INDIRECT("base_de_datos["&amp;Carrera&amp;"]"),IF("x"=base_de_datos[Jueves],IF(base_de_datos[Hora inicio]&lt;=$B32,IF(base_de_datos[Hora fin]&gt;=$C32,base_de_datos[No clase],""),""),""),""),"")</f>
        <v>1559</v>
      </c>
      <c r="P32" s="29" t="str" cm="1">
        <f t="array" aca="1" ref="P32" ca="1">_xlfn.TEXTJOIN(CHAR(10),TRUE,IF(Semestre=INDIRECT("base_de_datos["&amp;Carrera&amp;"]"),IF("x"=base_de_datos[Viernes],IF(base_de_datos[Hora inicio]&lt;=$B32,IF(base_de_datos[Hora fin]&gt;=$C32,base_de_datos[Materia]&amp;" "&amp;base_de_datos[[Número de grupo ]]&amp;" "&amp;base_de_datos[Profesor],""),""),""),""),"")</f>
        <v>Biosensores 1 Ignacio Acosta Pineda</v>
      </c>
      <c r="Q32" s="29" t="str" cm="1">
        <f t="array" aca="1" ref="Q32" ca="1">_xlfn.TEXTJOIN(CHAR(10),TRUE,IF(Semestre=INDIRECT("base_de_datos["&amp;Carrera&amp;"]"),IF("x"=base_de_datos[Viernes],IF(base_de_datos[Hora inicio]&lt;=$B32,IF(base_de_datos[Hora fin]&gt;=$C32,base_de_datos[Aula]&amp;" "&amp;base_de_datos[Examen],""),""),""),""),"")</f>
        <v>Scholas 2Mi</v>
      </c>
      <c r="R32" s="29" t="str" cm="1">
        <f t="array" aca="1" ref="R32" ca="1">_xlfn.TEXTJOIN(CHAR(10),TRUE,IF(Semestre=INDIRECT("base_de_datos["&amp;Carrera&amp;"]"),IF("x"=base_de_datos[Viernes],IF(base_de_datos[Hora inicio]&lt;=$B32,IF(base_de_datos[Hora fin]&gt;=$C32,base_de_datos[No clase],""),""),""),""),"")</f>
        <v>8230/31</v>
      </c>
      <c r="S32" s="29" t="str" cm="1">
        <f t="array" aca="1" ref="S32" ca="1">_xlfn.TEXTJOIN(CHAR(10),TRUE,IF(Semestre=INDIRECT("base_de_datos["&amp;Carrera&amp;"]"),IF("x"=base_de_datos[Sábado],IF(base_de_datos[Hora inicio]&lt;=$B32,IF(base_de_datos[Hora fin]&gt;=$C32,base_de_datos[Materia]&amp;" "&amp;base_de_datos[[Número de grupo ]]&amp;" "&amp;base_de_datos[Profesor],""),""),""),""),"")</f>
        <v/>
      </c>
      <c r="T32" s="29" t="str" cm="1">
        <f t="array" aca="1" ref="T32" ca="1">_xlfn.TEXTJOIN(CHAR(10),TRUE,IF(Semestre=INDIRECT("base_de_datos["&amp;Carrera&amp;"]"),IF("x"=base_de_datos[Sábado],IF(base_de_datos[Hora inicio]&lt;=$B32,IF(base_de_datos[Hora fin]&gt;=$C32,base_de_datos[Aula]&amp;" "&amp;#REF!,""),""),""),""),"")</f>
        <v/>
      </c>
      <c r="U32" s="29" t="str" cm="1">
        <f t="array" aca="1" ref="U32" ca="1">_xlfn.TEXTJOIN(CHAR(10),TRUE,IF(Semestre=INDIRECT("base_de_datos["&amp;Carrera&amp;"]"),IF("x"=base_de_datos[Sábado],IF(base_de_datos[Hora inicio]&lt;=$B32,IF(base_de_datos[Hora fin]&gt;=$C32,base_de_datos[No clase],""),""),""),""),"")</f>
        <v/>
      </c>
      <c r="V32" s="28"/>
      <c r="Z32" s="28"/>
      <c r="AA32" s="28"/>
    </row>
    <row r="33" spans="2:27" ht="90">
      <c r="B33" s="206">
        <v>0.875</v>
      </c>
      <c r="C33" s="206">
        <v>0.89583333333332305</v>
      </c>
      <c r="D33" s="29" t="str" cm="1">
        <f t="array" aca="1" ref="D33" ca="1">_xlfn.TEXTJOIN(CHAR(10),TRUE,IF(Semestre=INDIRECT("base_de_datos["&amp;Carrera&amp;"]"),IF("x"=base_de_datos[Lunes],IF(base_de_datos[Hora inicio]&lt;=$B33,IF(base_de_datos[Hora fin]&gt;=$C33,base_de_datos[Materia]&amp;" "&amp;base_de_datos[[Número de grupo ]]&amp;" "&amp;base_de_datos[Profesor],""),""),""),""),"")</f>
        <v>Microelectrónica 1 José Luis de Luna Vargas</v>
      </c>
      <c r="E33" s="29" t="str" cm="1">
        <f t="array" aca="1" ref="E33" ca="1">_xlfn.TEXTJOIN(CHAR(10),TRUE,IF(Semestre=INDIRECT("base_de_datos["&amp;Carrera&amp;"]"),IF("x"=base_de_datos[Lunes],IF(base_de_datos[Hora inicio]&lt;=$B33,IF(base_de_datos[Hora fin]&gt;=$C33,base_de_datos[Aula]&amp;" "&amp;base_de_datos[Examen],""),""),""),""),"")</f>
        <v>Scholas 1Lu</v>
      </c>
      <c r="F33" s="29" t="str" cm="1">
        <f t="array" aca="1" ref="F33" ca="1">_xlfn.TEXTJOIN(CHAR(10),TRUE,IF(Semestre=INDIRECT("base_de_datos["&amp;Carrera&amp;"]"),IF("x"=base_de_datos[Lunes],IF(base_de_datos[Hora inicio]&lt;=$B33,IF(base_de_datos[Hora fin]&gt;=$C33,base_de_datos[No clase],""),""),""),""),"")</f>
        <v>5822/23</v>
      </c>
      <c r="G33" s="29" t="str" cm="1">
        <f t="array" aca="1" ref="G33" ca="1">_xlfn.TEXTJOIN(CHAR(10),TRUE,IF(Semestre=INDIRECT("base_de_datos["&amp;Carrera&amp;"]"),IF("x"=base_de_datos[Martes],IF(base_de_datos[Hora inicio]&lt;=$B33,IF(base_de_datos[Hora fin]&gt;=$C33,base_de_datos[Materia]&amp;"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3" s="29" t="str" cm="1">
        <f t="array" aca="1" ref="H33" ca="1">_xlfn.TEXTJOIN(CHAR(10),TRUE,IF(Semestre=INDIRECT("base_de_datos["&amp;Carrera&amp;"]"),IF("x"=base_de_datos[Martes],IF(base_de_datos[Hora inicio]&lt;=$B33,IF(base_de_datos[Hora fin]&gt;=$C33,base_de_datos[Aula]&amp;" "&amp;base_de_datos[Examen],""),""),""),""),"")</f>
        <v>C-22 1Ma
Arquitectura 1Ma
D-01 1Ma</v>
      </c>
      <c r="I33" s="29" t="str" cm="1">
        <f t="array" aca="1" ref="I33" ca="1">_xlfn.TEXTJOIN(CHAR(10),TRUE,IF(Semestre=INDIRECT("base_de_datos["&amp;Carrera&amp;"]"),IF("x"=base_de_datos[Martes],IF(base_de_datos[Hora inicio]&lt;=$B33,IF(base_de_datos[Hora fin]&gt;=$C33,base_de_datos[No clase],""),""),""),""),"")</f>
        <v>8799, 8802, 8805
8800, 8803, 8806
8798, 8801, 8804</v>
      </c>
      <c r="J33" s="29" t="str" cm="1">
        <f t="array" aca="1" ref="J33" ca="1">_xlfn.TEXTJOIN(CHAR(10),TRUE,IF(Semestre=INDIRECT("base_de_datos["&amp;Carrera&amp;"]"),IF("x"=base_de_datos[Miércoles],IF(base_de_datos[Hora inicio]&lt;=$B33,IF(base_de_datos[Hora fin]&gt;=$C33,base_de_datos[Materia]&amp;" "&amp;base_de_datos[[Número de grupo ]]&amp;" "&amp;base_de_datos[Profesor],""),""),""),""),"")</f>
        <v>Biosensores 1 Ignacio Acosta Pineda</v>
      </c>
      <c r="K33" s="29" t="str" cm="1">
        <f t="array" aca="1" ref="K33" ca="1">_xlfn.TEXTJOIN(CHAR(10),TRUE,IF(Semestre=INDIRECT("base_de_datos["&amp;Carrera&amp;"]"),IF("x"=base_de_datos[Miércoles],IF(base_de_datos[Hora inicio]&lt;=$B33,IF(base_de_datos[Hora fin]&gt;=$C33,base_de_datos[Aula]&amp;" "&amp;base_de_datos[Examen],""),""),""),""),"")</f>
        <v>Scholas 2Mi</v>
      </c>
      <c r="L33" s="29" t="str" cm="1">
        <f t="array" aca="1" ref="L33" ca="1">_xlfn.TEXTJOIN(CHAR(10),TRUE,IF(Semestre=INDIRECT("base_de_datos["&amp;Carrera&amp;"]"),IF("x"=base_de_datos[Miércoles],IF(base_de_datos[Hora inicio]&lt;=$B33,IF(base_de_datos[Hora fin]&gt;=$C33,base_de_datos[No clase],""),""),""),""),"")</f>
        <v>8230/31</v>
      </c>
      <c r="M33" s="29" t="str" cm="1">
        <f t="array" aca="1" ref="M33" ca="1">_xlfn.TEXTJOIN(CHAR(10),TRUE,IF(Semestre=INDIRECT("base_de_datos["&amp;Carrera&amp;"]"),IF("x"=base_de_datos[Jueves],IF(base_de_datos[Hora inicio]&lt;=$B33,IF(base_de_datos[Hora fin]&gt;=$C33,base_de_datos[Materia]&amp;" "&amp;base_de_datos[[Número de grupo ]]&amp;" "&amp;base_de_datos[Profesor],""),""),""),""),"")</f>
        <v>Desarrollo de aplicaciones para dispositivos inteligentes 1 Luis Manuel Ortiz de la Torre</v>
      </c>
      <c r="N33" s="29" t="str" cm="1">
        <f t="array" aca="1" ref="N33" ca="1">_xlfn.TEXTJOIN(CHAR(10),TRUE,IF(Semestre=INDIRECT("base_de_datos["&amp;Carrera&amp;"]"),IF("x"=base_de_datos[Jueves],IF(base_de_datos[Hora inicio]&lt;=$B33,IF(base_de_datos[Hora fin]&gt;=$C33,base_de_datos[Aula]&amp;" "&amp;base_de_datos[Examen],""),""),""),""),"")</f>
        <v>C-13 2Ju</v>
      </c>
      <c r="O33" s="29" t="str" cm="1">
        <f t="array" aca="1" ref="O33" ca="1">_xlfn.TEXTJOIN(CHAR(10),TRUE,IF(Semestre=INDIRECT("base_de_datos["&amp;Carrera&amp;"]"),IF("x"=base_de_datos[Jueves],IF(base_de_datos[Hora inicio]&lt;=$B33,IF(base_de_datos[Hora fin]&gt;=$C33,base_de_datos[No clase],""),""),""),""),"")</f>
        <v>1559</v>
      </c>
      <c r="P33" s="29" t="str" cm="1">
        <f t="array" aca="1" ref="P33" ca="1">_xlfn.TEXTJOIN(CHAR(10),TRUE,IF(Semestre=INDIRECT("base_de_datos["&amp;Carrera&amp;"]"),IF("x"=base_de_datos[Viernes],IF(base_de_datos[Hora inicio]&lt;=$B33,IF(base_de_datos[Hora fin]&gt;=$C33,base_de_datos[Materia]&amp;" "&amp;base_de_datos[[Número de grupo ]]&amp;" "&amp;base_de_datos[Profesor],""),""),""),""),"")</f>
        <v>Biosensores 1 Ignacio Acosta Pineda</v>
      </c>
      <c r="Q33" s="29" t="str" cm="1">
        <f t="array" aca="1" ref="Q33" ca="1">_xlfn.TEXTJOIN(CHAR(10),TRUE,IF(Semestre=INDIRECT("base_de_datos["&amp;Carrera&amp;"]"),IF("x"=base_de_datos[Viernes],IF(base_de_datos[Hora inicio]&lt;=$B33,IF(base_de_datos[Hora fin]&gt;=$C33,base_de_datos[Aula]&amp;" "&amp;base_de_datos[Examen],""),""),""),""),"")</f>
        <v>Scholas 2Mi</v>
      </c>
      <c r="R33" s="29" t="str" cm="1">
        <f t="array" aca="1" ref="R33" ca="1">_xlfn.TEXTJOIN(CHAR(10),TRUE,IF(Semestre=INDIRECT("base_de_datos["&amp;Carrera&amp;"]"),IF("x"=base_de_datos[Viernes],IF(base_de_datos[Hora inicio]&lt;=$B33,IF(base_de_datos[Hora fin]&gt;=$C33,base_de_datos[No clase],""),""),""),""),"")</f>
        <v>8230/31</v>
      </c>
      <c r="S33" s="29" t="str" cm="1">
        <f t="array" aca="1" ref="S33" ca="1">_xlfn.TEXTJOIN(CHAR(10),TRUE,IF(Semestre=INDIRECT("base_de_datos["&amp;Carrera&amp;"]"),IF("x"=base_de_datos[Sábado],IF(base_de_datos[Hora inicio]&lt;=$B33,IF(base_de_datos[Hora fin]&gt;=$C33,base_de_datos[Materia]&amp;" "&amp;base_de_datos[[Número de grupo ]]&amp;" "&amp;base_de_datos[Profesor],""),""),""),""),"")</f>
        <v/>
      </c>
      <c r="T33" s="29" t="str" cm="1">
        <f t="array" aca="1" ref="T33" ca="1">_xlfn.TEXTJOIN(CHAR(10),TRUE,IF(Semestre=INDIRECT("base_de_datos["&amp;Carrera&amp;"]"),IF("x"=base_de_datos[Sábado],IF(base_de_datos[Hora inicio]&lt;=$B33,IF(base_de_datos[Hora fin]&gt;=$C33,base_de_datos[Aula]&amp;" "&amp;#REF!,""),""),""),""),"")</f>
        <v/>
      </c>
      <c r="U33" s="29" t="str" cm="1">
        <f t="array" aca="1" ref="U33" ca="1">_xlfn.TEXTJOIN(CHAR(10),TRUE,IF(Semestre=INDIRECT("base_de_datos["&amp;Carrera&amp;"]"),IF("x"=base_de_datos[Sábado],IF(base_de_datos[Hora inicio]&lt;=$B33,IF(base_de_datos[Hora fin]&gt;=$C33,base_de_datos[No clase],""),""),""),""),"")</f>
        <v/>
      </c>
      <c r="V33" s="28"/>
      <c r="Z33" s="28"/>
      <c r="AA33" s="28"/>
    </row>
    <row r="34" spans="2:27" ht="90">
      <c r="B34" s="206">
        <v>0.89583333333333304</v>
      </c>
      <c r="C34" s="206">
        <v>0.91666666666665697</v>
      </c>
      <c r="D34" s="29" t="str" cm="1">
        <f t="array" aca="1" ref="D34" ca="1">_xlfn.TEXTJOIN(CHAR(10),TRUE,IF(Semestre=INDIRECT("base_de_datos["&amp;Carrera&amp;"]"),IF("x"=base_de_datos[Lunes],IF(base_de_datos[Hora inicio]&lt;=$B34,IF(base_de_datos[Hora fin]&gt;=$C34,base_de_datos[Materia]&amp;" "&amp;base_de_datos[[Número de grupo ]]&amp;" "&amp;base_de_datos[Profesor],""),""),""),""),"")</f>
        <v/>
      </c>
      <c r="E34" s="29" t="str" cm="1">
        <f t="array" aca="1" ref="E34" ca="1">_xlfn.TEXTJOIN(CHAR(10),TRUE,IF(Semestre=INDIRECT("base_de_datos["&amp;Carrera&amp;"]"),IF("x"=base_de_datos[Lunes],IF(base_de_datos[Hora inicio]&lt;=$B34,IF(base_de_datos[Hora fin]&gt;=$C34,base_de_datos[Aula]&amp;" "&amp;base_de_datos[Examen],""),""),""),""),"")</f>
        <v/>
      </c>
      <c r="F34" s="29" t="str" cm="1">
        <f t="array" aca="1" ref="F34" ca="1">_xlfn.TEXTJOIN(CHAR(10),TRUE,IF(Semestre=INDIRECT("base_de_datos["&amp;Carrera&amp;"]"),IF("x"=base_de_datos[Lunes],IF(base_de_datos[Hora inicio]&lt;=$B34,IF(base_de_datos[Hora fin]&gt;=$C34,base_de_datos[No clase],""),""),""),""),"")</f>
        <v/>
      </c>
      <c r="G34" s="29" t="str" cm="1">
        <f t="array" aca="1" ref="G34" ca="1">_xlfn.TEXTJOIN(CHAR(10),TRUE,IF(Semestre=INDIRECT("base_de_datos["&amp;Carrera&amp;"]"),IF("x"=base_de_datos[Martes],IF(base_de_datos[Hora inicio]&lt;=$B34,IF(base_de_datos[Hora fin]&gt;=$C34,base_de_datos[Materia]&amp;"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4" s="29" t="str" cm="1">
        <f t="array" aca="1" ref="H34" ca="1">_xlfn.TEXTJOIN(CHAR(10),TRUE,IF(Semestre=INDIRECT("base_de_datos["&amp;Carrera&amp;"]"),IF("x"=base_de_datos[Martes],IF(base_de_datos[Hora inicio]&lt;=$B34,IF(base_de_datos[Hora fin]&gt;=$C34,base_de_datos[Aula]&amp;" "&amp;base_de_datos[Examen],""),""),""),""),"")</f>
        <v>C-22 1Ma
Arquitectura 1Ma
D-01 1Ma</v>
      </c>
      <c r="I34" s="29" t="str" cm="1">
        <f t="array" aca="1" ref="I34" ca="1">_xlfn.TEXTJOIN(CHAR(10),TRUE,IF(Semestre=INDIRECT("base_de_datos["&amp;Carrera&amp;"]"),IF("x"=base_de_datos[Martes],IF(base_de_datos[Hora inicio]&lt;=$B34,IF(base_de_datos[Hora fin]&gt;=$C34,base_de_datos[No clase],""),""),""),""),"")</f>
        <v>8799, 8802, 8805
8800, 8803, 8806
8798, 8801, 8804</v>
      </c>
      <c r="J34" s="29" t="str" cm="1">
        <f t="array" aca="1" ref="J34" ca="1">_xlfn.TEXTJOIN(CHAR(10),TRUE,IF(Semestre=INDIRECT("base_de_datos["&amp;Carrera&amp;"]"),IF("x"=base_de_datos[Miércoles],IF(base_de_datos[Hora inicio]&lt;=$B34,IF(base_de_datos[Hora fin]&gt;=$C34,base_de_datos[Materia]&amp;" "&amp;base_de_datos[[Número de grupo ]]&amp;" "&amp;base_de_datos[Profesor],""),""),""),""),"")</f>
        <v>Biosensores 1 Ignacio Acosta Pineda</v>
      </c>
      <c r="K34" s="29" t="str" cm="1">
        <f t="array" aca="1" ref="K34" ca="1">_xlfn.TEXTJOIN(CHAR(10),TRUE,IF(Semestre=INDIRECT("base_de_datos["&amp;Carrera&amp;"]"),IF("x"=base_de_datos[Miércoles],IF(base_de_datos[Hora inicio]&lt;=$B34,IF(base_de_datos[Hora fin]&gt;=$C34,base_de_datos[Aula]&amp;" "&amp;base_de_datos[Examen],""),""),""),""),"")</f>
        <v>Scholas 2Mi</v>
      </c>
      <c r="L34" s="29" t="str" cm="1">
        <f t="array" aca="1" ref="L34" ca="1">_xlfn.TEXTJOIN(CHAR(10),TRUE,IF(Semestre=INDIRECT("base_de_datos["&amp;Carrera&amp;"]"),IF("x"=base_de_datos[Miércoles],IF(base_de_datos[Hora inicio]&lt;=$B34,IF(base_de_datos[Hora fin]&gt;=$C34,base_de_datos[No clase],""),""),""),""),"")</f>
        <v>8230/31</v>
      </c>
      <c r="M34" s="29" t="str" cm="1">
        <f t="array" aca="1" ref="M34" ca="1">_xlfn.TEXTJOIN(CHAR(10),TRUE,IF(Semestre=INDIRECT("base_de_datos["&amp;Carrera&amp;"]"),IF("x"=base_de_datos[Jueves],IF(base_de_datos[Hora inicio]&lt;=$B34,IF(base_de_datos[Hora fin]&gt;=$C34,base_de_datos[Materia]&amp;" "&amp;base_de_datos[[Número de grupo ]]&amp;" "&amp;base_de_datos[Profesor],""),""),""),""),"")</f>
        <v>Desarrollo de aplicaciones para dispositivos inteligentes 1 Luis Manuel Ortiz de la Torre</v>
      </c>
      <c r="N34" s="29" t="str" cm="1">
        <f t="array" aca="1" ref="N34" ca="1">_xlfn.TEXTJOIN(CHAR(10),TRUE,IF(Semestre=INDIRECT("base_de_datos["&amp;Carrera&amp;"]"),IF("x"=base_de_datos[Jueves],IF(base_de_datos[Hora inicio]&lt;=$B34,IF(base_de_datos[Hora fin]&gt;=$C34,base_de_datos[Aula]&amp;" "&amp;base_de_datos[Examen],""),""),""),""),"")</f>
        <v>C-13 2Ju</v>
      </c>
      <c r="O34" s="29" t="str" cm="1">
        <f t="array" aca="1" ref="O34" ca="1">_xlfn.TEXTJOIN(CHAR(10),TRUE,IF(Semestre=INDIRECT("base_de_datos["&amp;Carrera&amp;"]"),IF("x"=base_de_datos[Jueves],IF(base_de_datos[Hora inicio]&lt;=$B34,IF(base_de_datos[Hora fin]&gt;=$C34,base_de_datos[No clase],""),""),""),""),"")</f>
        <v>1559</v>
      </c>
      <c r="P34" s="29" t="str" cm="1">
        <f t="array" aca="1" ref="P34" ca="1">_xlfn.TEXTJOIN(CHAR(10),TRUE,IF(Semestre=INDIRECT("base_de_datos["&amp;Carrera&amp;"]"),IF("x"=base_de_datos[Viernes],IF(base_de_datos[Hora inicio]&lt;=$B34,IF(base_de_datos[Hora fin]&gt;=$C34,base_de_datos[Materia]&amp;" "&amp;base_de_datos[[Número de grupo ]]&amp;" "&amp;base_de_datos[Profesor],""),""),""),""),"")</f>
        <v/>
      </c>
      <c r="Q34" s="29" t="str" cm="1">
        <f t="array" aca="1" ref="Q34" ca="1">_xlfn.TEXTJOIN(CHAR(10),TRUE,IF(Semestre=INDIRECT("base_de_datos["&amp;Carrera&amp;"]"),IF("x"=base_de_datos[Viernes],IF(base_de_datos[Hora inicio]&lt;=$B34,IF(base_de_datos[Hora fin]&gt;=$C34,base_de_datos[Aula]&amp;" "&amp;base_de_datos[Examen],""),""),""),""),"")</f>
        <v/>
      </c>
      <c r="R34" s="29" t="str" cm="1">
        <f t="array" aca="1" ref="R34" ca="1">_xlfn.TEXTJOIN(CHAR(10),TRUE,IF(Semestre=INDIRECT("base_de_datos["&amp;Carrera&amp;"]"),IF("x"=base_de_datos[Viernes],IF(base_de_datos[Hora inicio]&lt;=$B34,IF(base_de_datos[Hora fin]&gt;=$C34,base_de_datos[No clase],""),""),""),""),"")</f>
        <v/>
      </c>
      <c r="S34" s="29" t="str" cm="1">
        <f t="array" aca="1" ref="S34" ca="1">_xlfn.TEXTJOIN(CHAR(10),TRUE,IF(Semestre=INDIRECT("base_de_datos["&amp;Carrera&amp;"]"),IF("x"=base_de_datos[Sábado],IF(base_de_datos[Hora inicio]&lt;=$B34,IF(base_de_datos[Hora fin]&gt;=$C34,base_de_datos[Materia]&amp;" "&amp;base_de_datos[[Número de grupo ]]&amp;" "&amp;base_de_datos[Profesor],""),""),""),""),"")</f>
        <v/>
      </c>
      <c r="T34" s="29" t="str" cm="1">
        <f t="array" aca="1" ref="T34" ca="1">_xlfn.TEXTJOIN(CHAR(10),TRUE,IF(Semestre=INDIRECT("base_de_datos["&amp;Carrera&amp;"]"),IF("x"=base_de_datos[Sábado],IF(base_de_datos[Hora inicio]&lt;=$B34,IF(base_de_datos[Hora fin]&gt;=$C34,base_de_datos[Aula]&amp;" "&amp;#REF!,""),""),""),""),"")</f>
        <v/>
      </c>
      <c r="U34" s="29" t="str" cm="1">
        <f t="array" aca="1" ref="U34" ca="1">_xlfn.TEXTJOIN(CHAR(10),TRUE,IF(Semestre=INDIRECT("base_de_datos["&amp;Carrera&amp;"]"),IF("x"=base_de_datos[Sábado],IF(base_de_datos[Hora inicio]&lt;=$B34,IF(base_de_datos[Hora fin]&gt;=$C34,base_de_datos[No clase],""),""),""),""),"")</f>
        <v/>
      </c>
      <c r="V34" s="28"/>
      <c r="Z34" s="28"/>
      <c r="AA34" s="28"/>
    </row>
    <row r="35" spans="2:27">
      <c r="C35" s="3"/>
      <c r="D35" s="28"/>
      <c r="E35" s="28"/>
      <c r="F35" s="28"/>
      <c r="G35" s="28"/>
      <c r="H35" s="31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Z35" s="28"/>
      <c r="AA35" s="28"/>
    </row>
    <row r="36" spans="2:27">
      <c r="C36" s="3"/>
      <c r="D36" s="28"/>
      <c r="E36" s="28"/>
      <c r="F36" s="28"/>
      <c r="G36" s="28"/>
      <c r="H36" s="31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Z36" s="28"/>
      <c r="AA36" s="28"/>
    </row>
    <row r="37" spans="2:27">
      <c r="C37" s="3"/>
      <c r="D37" s="28"/>
      <c r="E37" s="28"/>
      <c r="F37" s="28"/>
      <c r="G37" s="28"/>
      <c r="H37" s="31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Z37" s="28"/>
      <c r="AA37" s="28"/>
    </row>
    <row r="38" spans="2:27">
      <c r="C38" s="3"/>
      <c r="D38" s="28"/>
      <c r="E38" s="28"/>
      <c r="F38" s="28"/>
      <c r="G38" s="28"/>
      <c r="H38" s="31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Z38" s="28"/>
      <c r="AA38" s="28"/>
    </row>
    <row r="39" spans="2:27">
      <c r="C39" s="3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Z39" s="28"/>
      <c r="AA39" s="28"/>
    </row>
    <row r="40" spans="2:27">
      <c r="C40" s="3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Z40" s="28"/>
      <c r="AA40" s="28"/>
    </row>
    <row r="41" spans="2:27">
      <c r="C41" s="3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Z41" s="28"/>
      <c r="AA41" s="28"/>
    </row>
    <row r="42" spans="2:27">
      <c r="C42" s="3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Z42" s="28"/>
      <c r="AA42" s="28"/>
    </row>
    <row r="43" spans="2:27">
      <c r="C43" s="3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Z43" s="28"/>
      <c r="AA43" s="28"/>
    </row>
    <row r="44" spans="2:27">
      <c r="C44" s="3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Z44" s="28"/>
      <c r="AA44" s="28"/>
    </row>
    <row r="45" spans="2:27">
      <c r="C45" s="3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Z45" s="28"/>
      <c r="AA45" s="28"/>
    </row>
    <row r="46" spans="2:27">
      <c r="C46" s="3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Z46" s="28"/>
      <c r="AA46" s="28"/>
    </row>
    <row r="47" spans="2:27">
      <c r="C47" s="3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Z47" s="28"/>
      <c r="AA47" s="28"/>
    </row>
    <row r="48" spans="2:27">
      <c r="C48" s="3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Z48" s="28"/>
      <c r="AA48" s="28"/>
    </row>
    <row r="49" spans="3:27">
      <c r="C49" s="3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Z49" s="28"/>
      <c r="AA49" s="28"/>
    </row>
    <row r="50" spans="3:27">
      <c r="C50" s="3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Z50" s="28"/>
      <c r="AA50" s="28"/>
    </row>
    <row r="51" spans="3:27">
      <c r="C51" s="3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Z51" s="28"/>
      <c r="AA51" s="28"/>
    </row>
    <row r="52" spans="3:27">
      <c r="C52" s="3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Z52" s="28"/>
      <c r="AA52" s="28"/>
    </row>
    <row r="53" spans="3:27">
      <c r="C53" s="3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Z53" s="28"/>
      <c r="AA53" s="28"/>
    </row>
    <row r="54" spans="3:27">
      <c r="C54" s="3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Z54" s="28"/>
      <c r="AA54" s="28"/>
    </row>
    <row r="55" spans="3:27">
      <c r="C55" s="3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Z55" s="28"/>
      <c r="AA55" s="28"/>
    </row>
    <row r="56" spans="3:27">
      <c r="C56" s="3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Z56" s="28"/>
      <c r="AA56" s="28"/>
    </row>
    <row r="57" spans="3:27">
      <c r="C57" s="3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Z57" s="28"/>
      <c r="AA57" s="28"/>
    </row>
    <row r="58" spans="3:27">
      <c r="C58" s="3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Z58" s="28"/>
      <c r="AA58" s="28"/>
    </row>
    <row r="59" spans="3:27">
      <c r="C59" s="3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Z59" s="28"/>
      <c r="AA59" s="28"/>
    </row>
    <row r="60" spans="3:27">
      <c r="C60" s="3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Z60" s="28"/>
      <c r="AA60" s="28"/>
    </row>
    <row r="61" spans="3:27">
      <c r="C61" s="3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Z61" s="28"/>
      <c r="AA61" s="28"/>
    </row>
    <row r="62" spans="3:27">
      <c r="C62" s="3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Z62" s="28"/>
      <c r="AA62" s="28"/>
    </row>
    <row r="63" spans="3:27">
      <c r="C63" s="3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Z63" s="28"/>
      <c r="AA63" s="28"/>
    </row>
    <row r="64" spans="3:27">
      <c r="C64" s="3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Z64" s="28"/>
      <c r="AA64" s="28"/>
    </row>
    <row r="65" spans="3:27">
      <c r="C65" s="3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Z65" s="28"/>
      <c r="AA65" s="28"/>
    </row>
    <row r="66" spans="3:27">
      <c r="C66" s="3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Z66" s="28"/>
      <c r="AA66" s="28"/>
    </row>
    <row r="67" spans="3:27">
      <c r="C67" s="3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Z67" s="28"/>
      <c r="AA67" s="28"/>
    </row>
    <row r="68" spans="3:27">
      <c r="C68" s="3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Z68" s="28"/>
      <c r="AA68" s="28"/>
    </row>
    <row r="69" spans="3:27">
      <c r="C69" s="3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Z69" s="28"/>
      <c r="AA69" s="28"/>
    </row>
    <row r="70" spans="3:27">
      <c r="C70" s="3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Z70" s="28"/>
      <c r="AA70" s="28"/>
    </row>
    <row r="71" spans="3:27">
      <c r="C71" s="3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Z71" s="28"/>
      <c r="AA71" s="28"/>
    </row>
    <row r="72" spans="3:27">
      <c r="C72" s="3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Z72" s="28"/>
      <c r="AA72" s="28"/>
    </row>
    <row r="73" spans="3:27">
      <c r="C73" s="3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Z73" s="28"/>
      <c r="AA73" s="28"/>
    </row>
    <row r="74" spans="3:27">
      <c r="C74" s="3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Z74" s="28"/>
      <c r="AA74" s="28"/>
    </row>
    <row r="75" spans="3:27">
      <c r="C75" s="3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Z75" s="28"/>
      <c r="AA75" s="28"/>
    </row>
    <row r="76" spans="3:27">
      <c r="C76" s="3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Z76" s="28"/>
      <c r="AA76" s="28"/>
    </row>
    <row r="77" spans="3:27">
      <c r="C77" s="3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Z77" s="28"/>
      <c r="AA77" s="28"/>
    </row>
    <row r="78" spans="3:27">
      <c r="C78" s="3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Z78" s="28"/>
      <c r="AA78" s="28"/>
    </row>
    <row r="79" spans="3:27">
      <c r="C79" s="3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Z79" s="28"/>
      <c r="AA79" s="28"/>
    </row>
    <row r="80" spans="3:27">
      <c r="C80" s="3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Z80" s="28"/>
      <c r="AA80" s="28"/>
    </row>
    <row r="81" spans="3:27">
      <c r="C81" s="3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Z81" s="28"/>
      <c r="AA81" s="28"/>
    </row>
    <row r="82" spans="3:27">
      <c r="C82" s="3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Z82" s="28"/>
      <c r="AA82" s="28"/>
    </row>
    <row r="83" spans="3:27">
      <c r="C83" s="3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Z83" s="28"/>
      <c r="AA83" s="28"/>
    </row>
    <row r="84" spans="3:27">
      <c r="C84" s="3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Z84" s="28"/>
      <c r="AA84" s="28"/>
    </row>
    <row r="85" spans="3:27">
      <c r="C85" s="3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Z85" s="28"/>
      <c r="AA85" s="28"/>
    </row>
    <row r="86" spans="3:27">
      <c r="C86" s="3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Z86" s="28"/>
      <c r="AA86" s="28"/>
    </row>
    <row r="87" spans="3:27">
      <c r="C87" s="3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Z87" s="28"/>
      <c r="AA87" s="28"/>
    </row>
    <row r="88" spans="3:27">
      <c r="C88" s="3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Z88" s="28"/>
      <c r="AA88" s="28"/>
    </row>
    <row r="89" spans="3:27">
      <c r="C89" s="3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Z89" s="28"/>
      <c r="AA89" s="28"/>
    </row>
    <row r="90" spans="3:27">
      <c r="C90" s="3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Z90" s="28"/>
      <c r="AA90" s="28"/>
    </row>
    <row r="91" spans="3:27">
      <c r="C91" s="3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Z91" s="28"/>
      <c r="AA91" s="28"/>
    </row>
    <row r="92" spans="3:27">
      <c r="C92" s="3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Z92" s="28"/>
      <c r="AA92" s="28"/>
    </row>
    <row r="93" spans="3:27">
      <c r="C93" s="3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Z93" s="28"/>
      <c r="AA93" s="28"/>
    </row>
    <row r="94" spans="3:27">
      <c r="C94" s="3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Z94" s="28"/>
      <c r="AA94" s="28"/>
    </row>
    <row r="95" spans="3:27">
      <c r="C95" s="3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Z95" s="28"/>
      <c r="AA95" s="28"/>
    </row>
    <row r="96" spans="3:27">
      <c r="C96" s="3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Z96" s="28"/>
      <c r="AA96" s="28"/>
    </row>
    <row r="97" spans="3:27">
      <c r="C97" s="3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Z97" s="28"/>
      <c r="AA97" s="28"/>
    </row>
    <row r="98" spans="3:27">
      <c r="C98" s="3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Z98" s="28"/>
      <c r="AA98" s="28"/>
    </row>
    <row r="99" spans="3:27">
      <c r="C99" s="3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Z99" s="28"/>
      <c r="AA99" s="28"/>
    </row>
    <row r="100" spans="3:27">
      <c r="C100" s="3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Z100" s="28"/>
      <c r="AA100" s="28"/>
    </row>
    <row r="101" spans="3:27">
      <c r="C101" s="3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Z101" s="28"/>
      <c r="AA101" s="28"/>
    </row>
    <row r="102" spans="3:27">
      <c r="C102" s="3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Z102" s="28"/>
      <c r="AA102" s="28"/>
    </row>
    <row r="103" spans="3:27">
      <c r="C103" s="3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Z103" s="28"/>
      <c r="AA103" s="28"/>
    </row>
    <row r="104" spans="3:27">
      <c r="C104" s="3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Z104" s="28"/>
      <c r="AA104" s="28"/>
    </row>
    <row r="105" spans="3:27">
      <c r="C105" s="3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Z105" s="28"/>
      <c r="AA105" s="28"/>
    </row>
    <row r="106" spans="3:27">
      <c r="C106" s="3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Z106" s="28"/>
      <c r="AA106" s="28"/>
    </row>
    <row r="107" spans="3:27">
      <c r="C107" s="3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Z107" s="28"/>
      <c r="AA107" s="28"/>
    </row>
    <row r="108" spans="3:27">
      <c r="C108" s="3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Z108" s="28"/>
      <c r="AA108" s="28"/>
    </row>
    <row r="109" spans="3:27">
      <c r="C109" s="3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Z109" s="28"/>
      <c r="AA109" s="28"/>
    </row>
    <row r="110" spans="3:27">
      <c r="C110" s="3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Z110" s="28"/>
      <c r="AA110" s="28"/>
    </row>
    <row r="111" spans="3:27">
      <c r="C111" s="3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Z111" s="28"/>
      <c r="AA111" s="28"/>
    </row>
    <row r="112" spans="3:27">
      <c r="C112" s="3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Z112" s="28"/>
      <c r="AA112" s="28"/>
    </row>
    <row r="113" spans="3:27">
      <c r="C113" s="3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Z113" s="28"/>
      <c r="AA113" s="28"/>
    </row>
    <row r="114" spans="3:27">
      <c r="C114" s="3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Z114" s="28"/>
      <c r="AA114" s="28"/>
    </row>
    <row r="115" spans="3:27">
      <c r="C115" s="3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Z115" s="28"/>
      <c r="AA115" s="28"/>
    </row>
    <row r="116" spans="3:27">
      <c r="C116" s="3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Z116" s="28"/>
      <c r="AA116" s="28"/>
    </row>
    <row r="117" spans="3:27">
      <c r="C117" s="3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Z117" s="28"/>
      <c r="AA117" s="28"/>
    </row>
    <row r="118" spans="3:27">
      <c r="C118" s="3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Z118" s="28"/>
      <c r="AA118" s="28"/>
    </row>
    <row r="119" spans="3:27">
      <c r="C119" s="3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Z119" s="28"/>
      <c r="AA119" s="28"/>
    </row>
    <row r="120" spans="3:27">
      <c r="C120" s="3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Z120" s="28"/>
      <c r="AA120" s="28"/>
    </row>
    <row r="121" spans="3:27">
      <c r="C121" s="3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Z121" s="28"/>
      <c r="AA121" s="28"/>
    </row>
    <row r="122" spans="3:27">
      <c r="C122" s="3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Z122" s="28"/>
      <c r="AA122" s="28"/>
    </row>
    <row r="123" spans="3:27">
      <c r="C123" s="3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Z123" s="28"/>
      <c r="AA123" s="28"/>
    </row>
    <row r="124" spans="3:27">
      <c r="C124" s="3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Z124" s="28"/>
      <c r="AA124" s="28"/>
    </row>
    <row r="125" spans="3:27">
      <c r="C125" s="3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Z125" s="28"/>
      <c r="AA125" s="28"/>
    </row>
    <row r="126" spans="3:27">
      <c r="C126" s="3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Z126" s="28"/>
      <c r="AA126" s="28"/>
    </row>
    <row r="127" spans="3:27">
      <c r="C127" s="3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Z127" s="28"/>
      <c r="AA127" s="28"/>
    </row>
    <row r="128" spans="3:27">
      <c r="C128" s="3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Z128" s="28"/>
      <c r="AA128" s="28"/>
    </row>
    <row r="129" spans="3:27">
      <c r="C129" s="3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Z129" s="28"/>
      <c r="AA129" s="28"/>
    </row>
    <row r="130" spans="3:27">
      <c r="C130" s="3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Z130" s="28"/>
      <c r="AA130" s="28"/>
    </row>
    <row r="131" spans="3:27">
      <c r="C131" s="3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Z131" s="28"/>
      <c r="AA131" s="28"/>
    </row>
    <row r="132" spans="3:27">
      <c r="C132" s="3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Z132" s="28"/>
      <c r="AA132" s="28"/>
    </row>
    <row r="133" spans="3:27">
      <c r="C133" s="3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Z133" s="28"/>
      <c r="AA133" s="28"/>
    </row>
    <row r="134" spans="3:27">
      <c r="C134" s="3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Z134" s="28"/>
      <c r="AA134" s="28"/>
    </row>
    <row r="135" spans="3:27">
      <c r="C135" s="3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Z135" s="28"/>
      <c r="AA135" s="28"/>
    </row>
    <row r="136" spans="3:27">
      <c r="C136" s="3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Z136" s="28"/>
      <c r="AA136" s="28"/>
    </row>
    <row r="137" spans="3:27">
      <c r="C137" s="3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Z137" s="28"/>
      <c r="AA137" s="28"/>
    </row>
    <row r="138" spans="3:27">
      <c r="C138" s="3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Z138" s="28"/>
      <c r="AA138" s="28"/>
    </row>
    <row r="139" spans="3:27">
      <c r="C139" s="3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Z139" s="28"/>
      <c r="AA139" s="28"/>
    </row>
    <row r="140" spans="3:27">
      <c r="C140" s="3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Z140" s="28"/>
      <c r="AA140" s="28"/>
    </row>
    <row r="141" spans="3:27">
      <c r="C141" s="3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Z141" s="28"/>
      <c r="AA141" s="28"/>
    </row>
    <row r="142" spans="3:27">
      <c r="C142" s="3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Z142" s="28"/>
      <c r="AA142" s="28"/>
    </row>
    <row r="143" spans="3:27">
      <c r="C143" s="3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Z143" s="28"/>
      <c r="AA143" s="28"/>
    </row>
    <row r="144" spans="3:27">
      <c r="C144" s="3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Z144" s="28"/>
      <c r="AA144" s="28"/>
    </row>
    <row r="145" spans="3:27">
      <c r="C145" s="3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Z145" s="28"/>
      <c r="AA145" s="28"/>
    </row>
    <row r="146" spans="3:27">
      <c r="C146" s="3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Z146" s="28"/>
      <c r="AA146" s="28"/>
    </row>
    <row r="147" spans="3:27">
      <c r="C147" s="3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Z147" s="28"/>
      <c r="AA147" s="28"/>
    </row>
    <row r="148" spans="3:27">
      <c r="C148" s="3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Z148" s="28"/>
      <c r="AA148" s="28"/>
    </row>
    <row r="149" spans="3:27">
      <c r="C149" s="3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Z149" s="28"/>
      <c r="AA149" s="28"/>
    </row>
    <row r="150" spans="3:27">
      <c r="C150" s="3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Z150" s="28"/>
      <c r="AA150" s="28"/>
    </row>
    <row r="151" spans="3:27">
      <c r="C151" s="3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Z151" s="28"/>
      <c r="AA151" s="28"/>
    </row>
    <row r="152" spans="3:27">
      <c r="C152" s="3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Z152" s="28"/>
      <c r="AA152" s="28"/>
    </row>
    <row r="153" spans="3:27">
      <c r="C153" s="3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Z153" s="28"/>
      <c r="AA153" s="28"/>
    </row>
    <row r="154" spans="3:27">
      <c r="C154" s="3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Z154" s="28"/>
      <c r="AA154" s="28"/>
    </row>
    <row r="155" spans="3:27">
      <c r="C155" s="3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Z155" s="28"/>
      <c r="AA155" s="28"/>
    </row>
    <row r="156" spans="3:27">
      <c r="C156" s="3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Z156" s="28"/>
      <c r="AA156" s="28"/>
    </row>
    <row r="157" spans="3:27">
      <c r="C157" s="3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Z157" s="28"/>
      <c r="AA157" s="28"/>
    </row>
    <row r="158" spans="3:27">
      <c r="C158" s="3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Z158" s="28"/>
      <c r="AA158" s="28"/>
    </row>
    <row r="159" spans="3:27">
      <c r="C159" s="3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Z159" s="28"/>
      <c r="AA159" s="28"/>
    </row>
    <row r="160" spans="3:27">
      <c r="C160" s="3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Z160" s="28"/>
      <c r="AA160" s="28"/>
    </row>
    <row r="161" spans="3:27">
      <c r="C161" s="3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Z161" s="28"/>
      <c r="AA161" s="28"/>
    </row>
    <row r="162" spans="3:27">
      <c r="C162" s="3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Z162" s="28"/>
      <c r="AA162" s="28"/>
    </row>
    <row r="163" spans="3:27">
      <c r="C163" s="3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Z163" s="28"/>
      <c r="AA163" s="28"/>
    </row>
    <row r="164" spans="3:27">
      <c r="C164" s="3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Z164" s="28"/>
      <c r="AA164" s="28"/>
    </row>
    <row r="165" spans="3:27">
      <c r="C165" s="3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Z165" s="28"/>
      <c r="AA165" s="28"/>
    </row>
    <row r="166" spans="3:27">
      <c r="C166" s="3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Z166" s="28"/>
      <c r="AA166" s="28"/>
    </row>
    <row r="167" spans="3:27">
      <c r="C167" s="3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Z167" s="28"/>
      <c r="AA167" s="28"/>
    </row>
    <row r="168" spans="3:27">
      <c r="C168" s="3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Z168" s="28"/>
      <c r="AA168" s="28"/>
    </row>
    <row r="169" spans="3:27">
      <c r="C169" s="3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Z169" s="28"/>
      <c r="AA169" s="28"/>
    </row>
    <row r="170" spans="3:27">
      <c r="C170" s="3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Z170" s="28"/>
      <c r="AA170" s="28"/>
    </row>
    <row r="171" spans="3:27">
      <c r="C171" s="3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Z171" s="28"/>
      <c r="AA171" s="28"/>
    </row>
    <row r="172" spans="3:27">
      <c r="C172" s="3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Z172" s="28"/>
      <c r="AA172" s="28"/>
    </row>
    <row r="173" spans="3:27">
      <c r="C173" s="3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Z173" s="28"/>
      <c r="AA173" s="28"/>
    </row>
    <row r="174" spans="3:27">
      <c r="C174" s="3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Z174" s="28"/>
      <c r="AA174" s="28"/>
    </row>
    <row r="175" spans="3:27">
      <c r="C175" s="3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Z175" s="28"/>
      <c r="AA175" s="28"/>
    </row>
    <row r="176" spans="3:27">
      <c r="C176" s="3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Z176" s="28"/>
      <c r="AA176" s="28"/>
    </row>
    <row r="177" spans="3:27">
      <c r="C177" s="3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Z177" s="28"/>
      <c r="AA177" s="28"/>
    </row>
    <row r="178" spans="3:27">
      <c r="C178" s="3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Z178" s="28"/>
      <c r="AA178" s="28"/>
    </row>
    <row r="179" spans="3:27">
      <c r="C179" s="3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Z179" s="28"/>
      <c r="AA179" s="28"/>
    </row>
    <row r="180" spans="3:27">
      <c r="C180" s="3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Z180" s="28"/>
      <c r="AA180" s="28"/>
    </row>
    <row r="181" spans="3:27">
      <c r="C181" s="3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Z181" s="28"/>
      <c r="AA181" s="28"/>
    </row>
    <row r="182" spans="3:27">
      <c r="C182" s="3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Z182" s="28"/>
      <c r="AA182" s="28"/>
    </row>
    <row r="183" spans="3:27">
      <c r="C183" s="3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Z183" s="28"/>
      <c r="AA183" s="28"/>
    </row>
    <row r="184" spans="3:27">
      <c r="C184" s="3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Z184" s="28"/>
      <c r="AA184" s="28"/>
    </row>
    <row r="185" spans="3:27">
      <c r="C185" s="3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Z185" s="28"/>
      <c r="AA185" s="28"/>
    </row>
    <row r="186" spans="3:27">
      <c r="C186" s="3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Z186" s="28"/>
      <c r="AA186" s="28"/>
    </row>
    <row r="187" spans="3:27">
      <c r="C187" s="3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Z187" s="28"/>
      <c r="AA187" s="28"/>
    </row>
    <row r="188" spans="3:27">
      <c r="C188" s="3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Z188" s="28"/>
      <c r="AA188" s="28"/>
    </row>
    <row r="189" spans="3:27">
      <c r="C189" s="3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Z189" s="28"/>
      <c r="AA189" s="28"/>
    </row>
    <row r="190" spans="3:27">
      <c r="C190" s="3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Z190" s="28"/>
      <c r="AA190" s="28"/>
    </row>
    <row r="191" spans="3:27">
      <c r="C191" s="3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Z191" s="28"/>
      <c r="AA191" s="28"/>
    </row>
    <row r="192" spans="3:27">
      <c r="C192" s="3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Z192" s="28"/>
      <c r="AA192" s="28"/>
    </row>
    <row r="193" spans="3:27">
      <c r="C193" s="3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Z193" s="28"/>
      <c r="AA193" s="28"/>
    </row>
    <row r="194" spans="3:27">
      <c r="C194" s="3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Z194" s="28"/>
      <c r="AA194" s="28"/>
    </row>
    <row r="195" spans="3:27">
      <c r="C195" s="3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Z195" s="28"/>
      <c r="AA195" s="28"/>
    </row>
    <row r="196" spans="3:27">
      <c r="C196" s="3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Z196" s="28"/>
      <c r="AA196" s="28"/>
    </row>
    <row r="197" spans="3:27">
      <c r="C197" s="3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Z197" s="28"/>
      <c r="AA197" s="28"/>
    </row>
    <row r="198" spans="3:27">
      <c r="C198" s="3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Z198" s="28"/>
      <c r="AA198" s="28"/>
    </row>
    <row r="199" spans="3:27">
      <c r="C199" s="3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Z199" s="28"/>
      <c r="AA199" s="28"/>
    </row>
    <row r="200" spans="3:27">
      <c r="C200" s="3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Z200" s="28"/>
      <c r="AA200" s="28"/>
    </row>
    <row r="201" spans="3:27">
      <c r="C201" s="3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Z201" s="28"/>
      <c r="AA201" s="28"/>
    </row>
    <row r="202" spans="3:27">
      <c r="C202" s="3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Z202" s="28"/>
      <c r="AA202" s="28"/>
    </row>
    <row r="203" spans="3:27">
      <c r="C203" s="3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Z203" s="28"/>
      <c r="AA203" s="28"/>
    </row>
    <row r="204" spans="3:27">
      <c r="C204" s="3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Z204" s="28"/>
      <c r="AA204" s="28"/>
    </row>
    <row r="205" spans="3:27">
      <c r="C205" s="3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Z205" s="28"/>
      <c r="AA205" s="28"/>
    </row>
    <row r="206" spans="3:27">
      <c r="C206" s="3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Z206" s="28"/>
      <c r="AA206" s="28"/>
    </row>
    <row r="207" spans="3:27">
      <c r="C207" s="3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Z207" s="28"/>
      <c r="AA207" s="28"/>
    </row>
    <row r="208" spans="3:27">
      <c r="C208" s="3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Z208" s="28"/>
      <c r="AA208" s="28"/>
    </row>
    <row r="209" spans="3:27">
      <c r="C209" s="3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Z209" s="28"/>
      <c r="AA209" s="28"/>
    </row>
    <row r="210" spans="3:27">
      <c r="C210" s="3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Z210" s="28"/>
      <c r="AA210" s="28"/>
    </row>
    <row r="211" spans="3:27">
      <c r="C211" s="3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Z211" s="28"/>
      <c r="AA211" s="28"/>
    </row>
    <row r="212" spans="3:27">
      <c r="C212" s="3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Z212" s="28"/>
      <c r="AA212" s="28"/>
    </row>
    <row r="213" spans="3:27">
      <c r="C213" s="3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Z213" s="28"/>
      <c r="AA213" s="28"/>
    </row>
    <row r="214" spans="3:27">
      <c r="C214" s="3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Z214" s="28"/>
      <c r="AA214" s="28"/>
    </row>
    <row r="215" spans="3:27">
      <c r="C215" s="3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Z215" s="28"/>
      <c r="AA215" s="28"/>
    </row>
    <row r="216" spans="3:27">
      <c r="C216" s="3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Z216" s="28"/>
      <c r="AA216" s="28"/>
    </row>
    <row r="217" spans="3:27">
      <c r="C217" s="3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Z217" s="28"/>
      <c r="AA217" s="28"/>
    </row>
    <row r="218" spans="3:27">
      <c r="C218" s="3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Z218" s="28"/>
      <c r="AA218" s="28"/>
    </row>
    <row r="219" spans="3:27">
      <c r="C219" s="3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Z219" s="28"/>
      <c r="AA219" s="28"/>
    </row>
    <row r="220" spans="3:27">
      <c r="C220" s="3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Z220" s="28"/>
      <c r="AA220" s="28"/>
    </row>
    <row r="221" spans="3:27">
      <c r="C221" s="3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Z221" s="28"/>
      <c r="AA221" s="28"/>
    </row>
    <row r="222" spans="3:27">
      <c r="C222" s="3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Z222" s="28"/>
      <c r="AA222" s="28"/>
    </row>
    <row r="223" spans="3:27">
      <c r="C223" s="3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Z223" s="28"/>
      <c r="AA223" s="28"/>
    </row>
    <row r="224" spans="3:27">
      <c r="C224" s="3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Z224" s="28"/>
      <c r="AA224" s="28"/>
    </row>
    <row r="225" spans="3:27">
      <c r="C225" s="3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Z225" s="28"/>
      <c r="AA225" s="28"/>
    </row>
    <row r="226" spans="3:27">
      <c r="C226" s="3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Z226" s="28"/>
      <c r="AA226" s="28"/>
    </row>
    <row r="227" spans="3:27">
      <c r="C227" s="3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Z227" s="28"/>
      <c r="AA227" s="28"/>
    </row>
    <row r="228" spans="3:27">
      <c r="C228" s="3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Z228" s="28"/>
      <c r="AA228" s="28"/>
    </row>
    <row r="229" spans="3:27">
      <c r="C229" s="3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Z229" s="28"/>
      <c r="AA229" s="28"/>
    </row>
    <row r="230" spans="3:27">
      <c r="C230" s="3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Z230" s="28"/>
      <c r="AA230" s="28"/>
    </row>
    <row r="231" spans="3:27">
      <c r="C231" s="3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Z231" s="28"/>
      <c r="AA231" s="28"/>
    </row>
    <row r="232" spans="3:27">
      <c r="C232" s="3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Z232" s="28"/>
      <c r="AA232" s="28"/>
    </row>
    <row r="233" spans="3:27">
      <c r="C233" s="3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Z233" s="28"/>
      <c r="AA233" s="28"/>
    </row>
    <row r="234" spans="3:27">
      <c r="C234" s="3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Z234" s="28"/>
      <c r="AA234" s="28"/>
    </row>
    <row r="235" spans="3:27">
      <c r="C235" s="3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Z235" s="28"/>
      <c r="AA235" s="28"/>
    </row>
    <row r="236" spans="3:27">
      <c r="C236" s="3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Z236" s="28"/>
      <c r="AA236" s="28"/>
    </row>
    <row r="237" spans="3:27">
      <c r="C237" s="3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Z237" s="28"/>
      <c r="AA237" s="28"/>
    </row>
    <row r="238" spans="3:27">
      <c r="C238" s="3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Z238" s="28"/>
      <c r="AA238" s="28"/>
    </row>
    <row r="239" spans="3:27">
      <c r="C239" s="3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Z239" s="28"/>
      <c r="AA239" s="28"/>
    </row>
    <row r="240" spans="3:27">
      <c r="C240" s="3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Z240" s="28"/>
      <c r="AA240" s="28"/>
    </row>
    <row r="241" spans="3:27">
      <c r="C241" s="3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Z241" s="28"/>
      <c r="AA241" s="28"/>
    </row>
    <row r="242" spans="3:27">
      <c r="C242" s="3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Z242" s="28"/>
      <c r="AA242" s="28"/>
    </row>
    <row r="243" spans="3:27">
      <c r="C243" s="3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Z243" s="28"/>
      <c r="AA243" s="28"/>
    </row>
    <row r="244" spans="3:27">
      <c r="C244" s="3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Z244" s="28"/>
      <c r="AA244" s="28"/>
    </row>
    <row r="245" spans="3:27">
      <c r="C245" s="3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Z245" s="28"/>
      <c r="AA245" s="28"/>
    </row>
    <row r="246" spans="3:27">
      <c r="C246" s="3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Z246" s="28"/>
      <c r="AA246" s="28"/>
    </row>
    <row r="247" spans="3:27">
      <c r="C247" s="3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Z247" s="28"/>
      <c r="AA247" s="28"/>
    </row>
    <row r="248" spans="3:27">
      <c r="C248" s="3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Z248" s="28"/>
      <c r="AA248" s="28"/>
    </row>
    <row r="249" spans="3:27">
      <c r="C249" s="3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Z249" s="28"/>
      <c r="AA249" s="28"/>
    </row>
    <row r="250" spans="3:27">
      <c r="C250" s="3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Z250" s="28"/>
      <c r="AA250" s="28"/>
    </row>
    <row r="251" spans="3:27">
      <c r="C251" s="3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Z251" s="28"/>
      <c r="AA251" s="28"/>
    </row>
    <row r="252" spans="3:27">
      <c r="C252" s="3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Z252" s="28"/>
      <c r="AA252" s="28"/>
    </row>
    <row r="253" spans="3:27">
      <c r="C253" s="3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Z253" s="28"/>
      <c r="AA253" s="28"/>
    </row>
    <row r="254" spans="3:27">
      <c r="C254" s="3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Z254" s="28"/>
      <c r="AA254" s="28"/>
    </row>
    <row r="255" spans="3:27">
      <c r="C255" s="3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Z255" s="28"/>
      <c r="AA255" s="28"/>
    </row>
    <row r="256" spans="3:27">
      <c r="C256" s="3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Z256" s="28"/>
      <c r="AA256" s="28"/>
    </row>
    <row r="257" spans="3:27">
      <c r="C257" s="3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Z257" s="28"/>
      <c r="AA257" s="28"/>
    </row>
    <row r="258" spans="3:27">
      <c r="C258" s="3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Z258" s="28"/>
      <c r="AA258" s="28"/>
    </row>
    <row r="259" spans="3:27">
      <c r="C259" s="3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Z259" s="28"/>
      <c r="AA259" s="28"/>
    </row>
    <row r="260" spans="3:27">
      <c r="C260" s="3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Z260" s="28"/>
      <c r="AA260" s="28"/>
    </row>
    <row r="261" spans="3:27">
      <c r="C261" s="3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Z261" s="28"/>
      <c r="AA261" s="28"/>
    </row>
    <row r="262" spans="3:27">
      <c r="C262" s="3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Z262" s="28"/>
      <c r="AA262" s="28"/>
    </row>
    <row r="263" spans="3:27">
      <c r="C263" s="3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Z263" s="28"/>
      <c r="AA263" s="28"/>
    </row>
    <row r="264" spans="3:27">
      <c r="C264" s="3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Z264" s="28"/>
      <c r="AA264" s="28"/>
    </row>
    <row r="265" spans="3:27">
      <c r="C265" s="3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Z265" s="28"/>
      <c r="AA265" s="28"/>
    </row>
    <row r="266" spans="3:27">
      <c r="C266" s="3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Z266" s="28"/>
      <c r="AA266" s="28"/>
    </row>
    <row r="267" spans="3:27">
      <c r="C267" s="3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Z267" s="28"/>
      <c r="AA267" s="28"/>
    </row>
    <row r="268" spans="3:27">
      <c r="C268" s="3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Z268" s="28"/>
      <c r="AA268" s="28"/>
    </row>
    <row r="269" spans="3:27">
      <c r="C269" s="3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Z269" s="28"/>
      <c r="AA269" s="28"/>
    </row>
    <row r="270" spans="3:27">
      <c r="C270" s="3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Z270" s="28"/>
      <c r="AA270" s="28"/>
    </row>
    <row r="271" spans="3:27">
      <c r="C271" s="3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Z271" s="28"/>
      <c r="AA271" s="28"/>
    </row>
    <row r="272" spans="3:27">
      <c r="C272" s="3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Z272" s="28"/>
      <c r="AA272" s="28"/>
    </row>
    <row r="273" spans="3:27">
      <c r="C273" s="3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Z273" s="28"/>
      <c r="AA273" s="28"/>
    </row>
    <row r="274" spans="3:27">
      <c r="C274" s="3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Z274" s="28"/>
      <c r="AA274" s="28"/>
    </row>
    <row r="275" spans="3:27">
      <c r="C275" s="3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Z275" s="28"/>
      <c r="AA275" s="28"/>
    </row>
    <row r="276" spans="3:27">
      <c r="C276" s="3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Z276" s="28"/>
      <c r="AA276" s="28"/>
    </row>
    <row r="277" spans="3:27">
      <c r="C277" s="3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Z277" s="28"/>
      <c r="AA277" s="28"/>
    </row>
    <row r="278" spans="3:27">
      <c r="C278" s="3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Z278" s="28"/>
      <c r="AA278" s="28"/>
    </row>
    <row r="279" spans="3:27">
      <c r="C279" s="3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Z279" s="28"/>
      <c r="AA279" s="28"/>
    </row>
    <row r="280" spans="3:27">
      <c r="C280" s="3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Z280" s="28"/>
      <c r="AA280" s="28"/>
    </row>
    <row r="281" spans="3:27">
      <c r="C281" s="3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Z281" s="28"/>
      <c r="AA281" s="28"/>
    </row>
    <row r="282" spans="3:27">
      <c r="C282" s="3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Z282" s="28"/>
      <c r="AA282" s="28"/>
    </row>
    <row r="283" spans="3:27">
      <c r="C283" s="3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Z283" s="28"/>
      <c r="AA283" s="28"/>
    </row>
    <row r="284" spans="3:27">
      <c r="C284" s="3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Z284" s="28"/>
      <c r="AA284" s="28"/>
    </row>
    <row r="285" spans="3:27">
      <c r="C285" s="3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Z285" s="28"/>
      <c r="AA285" s="28"/>
    </row>
    <row r="286" spans="3:27">
      <c r="C286" s="3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Z286" s="28"/>
      <c r="AA286" s="28"/>
    </row>
    <row r="287" spans="3:27">
      <c r="C287" s="3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Z287" s="28"/>
      <c r="AA287" s="28"/>
    </row>
    <row r="288" spans="3:27">
      <c r="C288" s="3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Z288" s="28"/>
      <c r="AA288" s="28"/>
    </row>
    <row r="289" spans="3:27">
      <c r="C289" s="3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Z289" s="28"/>
      <c r="AA289" s="28"/>
    </row>
    <row r="290" spans="3:27">
      <c r="C290" s="3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Z290" s="28"/>
      <c r="AA290" s="28"/>
    </row>
    <row r="291" spans="3:27">
      <c r="C291" s="3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Z291" s="28"/>
      <c r="AA291" s="28"/>
    </row>
    <row r="292" spans="3:27">
      <c r="C292" s="3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Z292" s="28"/>
      <c r="AA292" s="28"/>
    </row>
    <row r="293" spans="3:27">
      <c r="C293" s="3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Z293" s="28"/>
      <c r="AA293" s="28"/>
    </row>
    <row r="294" spans="3:27">
      <c r="C294" s="3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Z294" s="28"/>
      <c r="AA294" s="28"/>
    </row>
    <row r="295" spans="3:27">
      <c r="C295" s="3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Z295" s="28"/>
      <c r="AA295" s="28"/>
    </row>
    <row r="296" spans="3:27">
      <c r="C296" s="3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Z296" s="28"/>
      <c r="AA296" s="28"/>
    </row>
    <row r="297" spans="3:27">
      <c r="C297" s="3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Z297" s="28"/>
      <c r="AA297" s="28"/>
    </row>
    <row r="298" spans="3:27">
      <c r="C298" s="3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Z298" s="28"/>
      <c r="AA298" s="28"/>
    </row>
    <row r="299" spans="3:27">
      <c r="C299" s="3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Z299" s="28"/>
      <c r="AA299" s="28"/>
    </row>
    <row r="300" spans="3:27">
      <c r="C300" s="3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Z300" s="28"/>
      <c r="AA300" s="28"/>
    </row>
    <row r="301" spans="3:27">
      <c r="C301" s="3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Z301" s="28"/>
      <c r="AA301" s="28"/>
    </row>
    <row r="302" spans="3:27">
      <c r="C302" s="3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Z302" s="28"/>
      <c r="AA302" s="28"/>
    </row>
    <row r="303" spans="3:27">
      <c r="C303" s="3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Z303" s="28"/>
      <c r="AA303" s="28"/>
    </row>
    <row r="304" spans="3:27">
      <c r="C304" s="3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Z304" s="28"/>
      <c r="AA304" s="28"/>
    </row>
    <row r="305" spans="3:27">
      <c r="C305" s="3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Z305" s="28"/>
      <c r="AA305" s="28"/>
    </row>
    <row r="306" spans="3:27">
      <c r="C306" s="3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Z306" s="28"/>
      <c r="AA306" s="28"/>
    </row>
    <row r="307" spans="3:27">
      <c r="C307" s="3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Z307" s="28"/>
      <c r="AA307" s="28"/>
    </row>
    <row r="308" spans="3:27">
      <c r="C308" s="3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Z308" s="28"/>
      <c r="AA308" s="28"/>
    </row>
    <row r="309" spans="3:27">
      <c r="C309" s="3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Z309" s="28"/>
      <c r="AA309" s="28"/>
    </row>
    <row r="310" spans="3:27">
      <c r="C310" s="3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Z310" s="28"/>
      <c r="AA310" s="28"/>
    </row>
    <row r="311" spans="3:27">
      <c r="C311" s="3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Z311" s="28"/>
      <c r="AA311" s="28"/>
    </row>
    <row r="312" spans="3:27">
      <c r="C312" s="3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Z312" s="28"/>
      <c r="AA312" s="28"/>
    </row>
    <row r="313" spans="3:27">
      <c r="C313" s="3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Z313" s="28"/>
      <c r="AA313" s="28"/>
    </row>
    <row r="314" spans="3:27">
      <c r="C314" s="3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Z314" s="28"/>
      <c r="AA314" s="28"/>
    </row>
    <row r="315" spans="3:27">
      <c r="C315" s="3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Z315" s="28"/>
      <c r="AA315" s="28"/>
    </row>
    <row r="316" spans="3:27">
      <c r="C316" s="3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Z316" s="28"/>
      <c r="AA316" s="28"/>
    </row>
    <row r="317" spans="3:27">
      <c r="C317" s="3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Z317" s="28"/>
      <c r="AA317" s="28"/>
    </row>
    <row r="318" spans="3:27">
      <c r="C318" s="3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Z318" s="28"/>
      <c r="AA318" s="28"/>
    </row>
    <row r="319" spans="3:27">
      <c r="C319" s="3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Z319" s="28"/>
      <c r="AA319" s="28"/>
    </row>
    <row r="320" spans="3:27">
      <c r="C320" s="3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Z320" s="28"/>
      <c r="AA320" s="28"/>
    </row>
    <row r="321" spans="3:27">
      <c r="C321" s="3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Z321" s="28"/>
      <c r="AA321" s="28"/>
    </row>
    <row r="322" spans="3:27">
      <c r="C322" s="3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Z322" s="28"/>
      <c r="AA322" s="28"/>
    </row>
    <row r="323" spans="3:27">
      <c r="C323" s="3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Z323" s="28"/>
      <c r="AA323" s="28"/>
    </row>
    <row r="324" spans="3:27">
      <c r="C324" s="3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Z324" s="28"/>
      <c r="AA324" s="28"/>
    </row>
    <row r="325" spans="3:27">
      <c r="C325" s="3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Z325" s="28"/>
      <c r="AA325" s="28"/>
    </row>
    <row r="326" spans="3:27">
      <c r="C326" s="3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Z326" s="28"/>
      <c r="AA326" s="28"/>
    </row>
    <row r="327" spans="3:27">
      <c r="C327" s="3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Z327" s="28"/>
      <c r="AA327" s="28"/>
    </row>
    <row r="328" spans="3:27">
      <c r="C328" s="3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Z328" s="28"/>
      <c r="AA328" s="28"/>
    </row>
    <row r="329" spans="3:27">
      <c r="C329" s="3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Z329" s="28"/>
      <c r="AA329" s="28"/>
    </row>
    <row r="330" spans="3:27">
      <c r="C330" s="3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Z330" s="28"/>
      <c r="AA330" s="28"/>
    </row>
    <row r="331" spans="3:27">
      <c r="C331" s="3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Z331" s="28"/>
      <c r="AA331" s="28"/>
    </row>
    <row r="332" spans="3:27">
      <c r="C332" s="3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Z332" s="28"/>
      <c r="AA332" s="28"/>
    </row>
    <row r="333" spans="3:27">
      <c r="C333" s="3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Z333" s="28"/>
      <c r="AA333" s="28"/>
    </row>
    <row r="334" spans="3:27">
      <c r="C334" s="3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Z334" s="28"/>
      <c r="AA334" s="28"/>
    </row>
    <row r="335" spans="3:27">
      <c r="C335" s="3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Z335" s="28"/>
      <c r="AA335" s="28"/>
    </row>
    <row r="336" spans="3:27">
      <c r="C336" s="3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Z336" s="28"/>
      <c r="AA336" s="28"/>
    </row>
    <row r="337" spans="3:27">
      <c r="C337" s="3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Z337" s="28"/>
      <c r="AA337" s="28"/>
    </row>
    <row r="338" spans="3:27">
      <c r="C338" s="3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Z338" s="28"/>
      <c r="AA338" s="28"/>
    </row>
    <row r="339" spans="3:27">
      <c r="C339" s="3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Z339" s="28"/>
      <c r="AA339" s="28"/>
    </row>
    <row r="340" spans="3:27">
      <c r="C340" s="3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Z340" s="28"/>
      <c r="AA340" s="28"/>
    </row>
    <row r="341" spans="3:27">
      <c r="C341" s="3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Z341" s="28"/>
      <c r="AA341" s="28"/>
    </row>
    <row r="342" spans="3:27">
      <c r="C342" s="3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Z342" s="28"/>
      <c r="AA342" s="28"/>
    </row>
    <row r="343" spans="3:27">
      <c r="C343" s="3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Z343" s="28"/>
      <c r="AA343" s="28"/>
    </row>
    <row r="344" spans="3:27">
      <c r="C344" s="3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Z344" s="28"/>
      <c r="AA344" s="28"/>
    </row>
    <row r="345" spans="3:27">
      <c r="C345" s="3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Z345" s="28"/>
      <c r="AA345" s="28"/>
    </row>
    <row r="346" spans="3:27">
      <c r="C346" s="3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Z346" s="28"/>
      <c r="AA346" s="28"/>
    </row>
    <row r="347" spans="3:27">
      <c r="C347" s="3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Z347" s="28"/>
      <c r="AA347" s="28"/>
    </row>
    <row r="348" spans="3:27">
      <c r="C348" s="3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Z348" s="28"/>
      <c r="AA348" s="28"/>
    </row>
    <row r="349" spans="3:27">
      <c r="C349" s="3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Z349" s="28"/>
      <c r="AA349" s="28"/>
    </row>
    <row r="350" spans="3:27">
      <c r="C350" s="3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Z350" s="28"/>
      <c r="AA350" s="28"/>
    </row>
    <row r="351" spans="3:27">
      <c r="C351" s="3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Z351" s="28"/>
      <c r="AA351" s="28"/>
    </row>
    <row r="352" spans="3:27">
      <c r="C352" s="3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Z352" s="28"/>
      <c r="AA352" s="28"/>
    </row>
    <row r="353" spans="3:27">
      <c r="C353" s="3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Z353" s="28"/>
      <c r="AA353" s="28"/>
    </row>
    <row r="354" spans="3:27">
      <c r="C354" s="3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Z354" s="28"/>
      <c r="AA354" s="28"/>
    </row>
    <row r="355" spans="3:27">
      <c r="C355" s="3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Z355" s="28"/>
      <c r="AA355" s="28"/>
    </row>
    <row r="356" spans="3:27">
      <c r="C356" s="3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Z356" s="28"/>
      <c r="AA356" s="28"/>
    </row>
    <row r="357" spans="3:27">
      <c r="C357" s="3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Z357" s="28"/>
      <c r="AA357" s="28"/>
    </row>
    <row r="358" spans="3:27">
      <c r="C358" s="3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Z358" s="28"/>
      <c r="AA358" s="28"/>
    </row>
    <row r="359" spans="3:27">
      <c r="C359" s="3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Z359" s="28"/>
      <c r="AA359" s="28"/>
    </row>
    <row r="360" spans="3:27">
      <c r="C360" s="3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Z360" s="28"/>
      <c r="AA360" s="28"/>
    </row>
    <row r="361" spans="3:27">
      <c r="C361" s="3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Z361" s="28"/>
      <c r="AA361" s="28"/>
    </row>
    <row r="362" spans="3:27">
      <c r="C362" s="3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Z362" s="28"/>
      <c r="AA362" s="28"/>
    </row>
    <row r="363" spans="3:27">
      <c r="C363" s="3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Z363" s="28"/>
      <c r="AA363" s="28"/>
    </row>
    <row r="364" spans="3:27">
      <c r="C364" s="3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Z364" s="28"/>
      <c r="AA364" s="28"/>
    </row>
    <row r="365" spans="3:27">
      <c r="C365" s="3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Z365" s="28"/>
      <c r="AA365" s="28"/>
    </row>
    <row r="366" spans="3:27">
      <c r="C366" s="3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Z366" s="28"/>
      <c r="AA366" s="28"/>
    </row>
    <row r="367" spans="3:27">
      <c r="C367" s="3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Z367" s="28"/>
      <c r="AA367" s="28"/>
    </row>
    <row r="368" spans="3:27">
      <c r="C368" s="3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Z368" s="28"/>
      <c r="AA368" s="28"/>
    </row>
    <row r="369" spans="3:27">
      <c r="C369" s="3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Z369" s="28"/>
      <c r="AA369" s="28"/>
    </row>
    <row r="370" spans="3:27">
      <c r="C370" s="3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Z370" s="28"/>
      <c r="AA370" s="28"/>
    </row>
    <row r="371" spans="3:27">
      <c r="C371" s="3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Z371" s="28"/>
      <c r="AA371" s="28"/>
    </row>
    <row r="372" spans="3:27">
      <c r="C372" s="3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Z372" s="28"/>
      <c r="AA372" s="28"/>
    </row>
    <row r="373" spans="3:27">
      <c r="C373" s="3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Z373" s="28"/>
      <c r="AA373" s="28"/>
    </row>
    <row r="374" spans="3:27">
      <c r="C374" s="3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Z374" s="28"/>
      <c r="AA374" s="28"/>
    </row>
    <row r="375" spans="3:27">
      <c r="C375" s="3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Z375" s="28"/>
      <c r="AA375" s="28"/>
    </row>
    <row r="376" spans="3:27">
      <c r="C376" s="3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Z376" s="28"/>
      <c r="AA376" s="28"/>
    </row>
    <row r="377" spans="3:27">
      <c r="C377" s="3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Z377" s="28"/>
      <c r="AA377" s="28"/>
    </row>
    <row r="378" spans="3:27">
      <c r="C378" s="3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Z378" s="28"/>
      <c r="AA378" s="28"/>
    </row>
    <row r="379" spans="3:27">
      <c r="C379" s="3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Z379" s="28"/>
      <c r="AA379" s="28"/>
    </row>
    <row r="380" spans="3:27">
      <c r="C380" s="3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Z380" s="28"/>
      <c r="AA380" s="28"/>
    </row>
    <row r="381" spans="3:27">
      <c r="C381" s="3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Z381" s="28"/>
      <c r="AA381" s="28"/>
    </row>
    <row r="382" spans="3:27">
      <c r="C382" s="3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Z382" s="28"/>
      <c r="AA382" s="28"/>
    </row>
    <row r="383" spans="3:27">
      <c r="C383" s="3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Z383" s="28"/>
      <c r="AA383" s="28"/>
    </row>
    <row r="384" spans="3:27">
      <c r="C384" s="3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Z384" s="28"/>
      <c r="AA384" s="28"/>
    </row>
    <row r="385" spans="3:27">
      <c r="C385" s="3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Z385" s="28"/>
      <c r="AA385" s="28"/>
    </row>
    <row r="386" spans="3:27">
      <c r="C386" s="3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Z386" s="28"/>
      <c r="AA386" s="28"/>
    </row>
    <row r="387" spans="3:27">
      <c r="C387" s="3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Z387" s="28"/>
      <c r="AA387" s="28"/>
    </row>
    <row r="388" spans="3:27">
      <c r="C388" s="3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Z388" s="28"/>
      <c r="AA388" s="28"/>
    </row>
    <row r="389" spans="3:27">
      <c r="C389" s="3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Z389" s="28"/>
      <c r="AA389" s="28"/>
    </row>
    <row r="390" spans="3:27">
      <c r="C390" s="3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Z390" s="28"/>
      <c r="AA390" s="28"/>
    </row>
    <row r="391" spans="3:27">
      <c r="C391" s="3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Z391" s="28"/>
      <c r="AA391" s="28"/>
    </row>
    <row r="392" spans="3:27">
      <c r="C392" s="3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Z392" s="28"/>
      <c r="AA392" s="28"/>
    </row>
    <row r="393" spans="3:27">
      <c r="C393" s="3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Z393" s="28"/>
      <c r="AA393" s="28"/>
    </row>
    <row r="394" spans="3:27">
      <c r="C394" s="3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Z394" s="28"/>
      <c r="AA394" s="28"/>
    </row>
    <row r="395" spans="3:27">
      <c r="C395" s="3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Z395" s="28"/>
      <c r="AA395" s="28"/>
    </row>
    <row r="396" spans="3:27">
      <c r="C396" s="3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Z396" s="28"/>
      <c r="AA396" s="28"/>
    </row>
    <row r="397" spans="3:27">
      <c r="C397" s="3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Z397" s="28"/>
      <c r="AA397" s="28"/>
    </row>
    <row r="398" spans="3:27">
      <c r="C398" s="3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Z398" s="28"/>
      <c r="AA398" s="28"/>
    </row>
    <row r="399" spans="3:27">
      <c r="C399" s="3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Z399" s="28"/>
      <c r="AA399" s="28"/>
    </row>
    <row r="400" spans="3:27">
      <c r="C400" s="3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Z400" s="28"/>
      <c r="AA400" s="28"/>
    </row>
    <row r="401" spans="3:27">
      <c r="C401" s="3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Z401" s="28"/>
      <c r="AA401" s="28"/>
    </row>
    <row r="402" spans="3:27">
      <c r="C402" s="3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Z402" s="28"/>
      <c r="AA402" s="28"/>
    </row>
    <row r="403" spans="3:27">
      <c r="C403" s="3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Z403" s="28"/>
      <c r="AA403" s="28"/>
    </row>
    <row r="404" spans="3:27">
      <c r="C404" s="3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Z404" s="28"/>
      <c r="AA404" s="28"/>
    </row>
    <row r="405" spans="3:27">
      <c r="C405" s="3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Z405" s="28"/>
      <c r="AA405" s="28"/>
    </row>
    <row r="406" spans="3:27">
      <c r="C406" s="3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Z406" s="28"/>
      <c r="AA406" s="28"/>
    </row>
    <row r="407" spans="3:27">
      <c r="C407" s="3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Z407" s="28"/>
      <c r="AA407" s="28"/>
    </row>
    <row r="408" spans="3:27">
      <c r="C408" s="3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Z408" s="28"/>
      <c r="AA408" s="28"/>
    </row>
    <row r="409" spans="3:27">
      <c r="C409" s="3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Z409" s="28"/>
      <c r="AA409" s="28"/>
    </row>
    <row r="410" spans="3:27">
      <c r="C410" s="3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Z410" s="28"/>
      <c r="AA410" s="28"/>
    </row>
    <row r="411" spans="3:27">
      <c r="C411" s="3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Z411" s="28"/>
      <c r="AA411" s="28"/>
    </row>
    <row r="412" spans="3:27">
      <c r="C412" s="3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Z412" s="28"/>
      <c r="AA412" s="28"/>
    </row>
    <row r="413" spans="3:27">
      <c r="C413" s="3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Z413" s="28"/>
      <c r="AA413" s="28"/>
    </row>
    <row r="414" spans="3:27">
      <c r="C414" s="3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Z414" s="28"/>
      <c r="AA414" s="28"/>
    </row>
    <row r="415" spans="3:27">
      <c r="C415" s="3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Z415" s="28"/>
      <c r="AA415" s="28"/>
    </row>
    <row r="416" spans="3:27">
      <c r="C416" s="3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Z416" s="28"/>
      <c r="AA416" s="28"/>
    </row>
    <row r="417" spans="3:27">
      <c r="C417" s="3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Z417" s="28"/>
      <c r="AA417" s="28"/>
    </row>
    <row r="418" spans="3:27">
      <c r="C418" s="3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Z418" s="28"/>
      <c r="AA418" s="28"/>
    </row>
    <row r="419" spans="3:27">
      <c r="C419" s="3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Z419" s="28"/>
      <c r="AA419" s="28"/>
    </row>
    <row r="420" spans="3:27">
      <c r="C420" s="3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Z420" s="28"/>
      <c r="AA420" s="28"/>
    </row>
    <row r="421" spans="3:27">
      <c r="C421" s="3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Z421" s="28"/>
      <c r="AA421" s="28"/>
    </row>
    <row r="422" spans="3:27">
      <c r="C422" s="3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Z422" s="28"/>
      <c r="AA422" s="28"/>
    </row>
    <row r="423" spans="3:27">
      <c r="C423" s="3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Z423" s="28"/>
      <c r="AA423" s="28"/>
    </row>
    <row r="424" spans="3:27">
      <c r="C424" s="3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Z424" s="28"/>
      <c r="AA424" s="28"/>
    </row>
    <row r="425" spans="3:27">
      <c r="C425" s="3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Z425" s="28"/>
      <c r="AA425" s="28"/>
    </row>
    <row r="426" spans="3:27">
      <c r="C426" s="3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Z426" s="28"/>
      <c r="AA426" s="28"/>
    </row>
    <row r="427" spans="3:27">
      <c r="C427" s="3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Z427" s="28"/>
      <c r="AA427" s="28"/>
    </row>
    <row r="428" spans="3:27">
      <c r="C428" s="3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Z428" s="28"/>
      <c r="AA428" s="28"/>
    </row>
    <row r="429" spans="3:27">
      <c r="C429" s="3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Z429" s="28"/>
      <c r="AA429" s="28"/>
    </row>
    <row r="430" spans="3:27">
      <c r="C430" s="3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Z430" s="28"/>
      <c r="AA430" s="28"/>
    </row>
    <row r="431" spans="3:27">
      <c r="C431" s="3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Z431" s="28"/>
      <c r="AA431" s="28"/>
    </row>
    <row r="432" spans="3:27">
      <c r="C432" s="3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Z432" s="28"/>
      <c r="AA432" s="28"/>
    </row>
    <row r="433" spans="3:27">
      <c r="C433" s="3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Z433" s="28"/>
      <c r="AA433" s="28"/>
    </row>
    <row r="434" spans="3:27">
      <c r="C434" s="3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Z434" s="28"/>
      <c r="AA434" s="28"/>
    </row>
    <row r="435" spans="3:27">
      <c r="C435" s="3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Z435" s="28"/>
      <c r="AA435" s="28"/>
    </row>
    <row r="436" spans="3:27">
      <c r="C436" s="3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Z436" s="28"/>
      <c r="AA436" s="28"/>
    </row>
    <row r="437" spans="3:27">
      <c r="C437" s="3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Z437" s="28"/>
      <c r="AA437" s="28"/>
    </row>
    <row r="438" spans="3:27">
      <c r="C438" s="3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Z438" s="28"/>
      <c r="AA438" s="28"/>
    </row>
    <row r="439" spans="3:27">
      <c r="C439" s="3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Z439" s="28"/>
      <c r="AA439" s="28"/>
    </row>
    <row r="440" spans="3:27">
      <c r="C440" s="3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Z440" s="28"/>
      <c r="AA440" s="28"/>
    </row>
    <row r="441" spans="3:27">
      <c r="C441" s="3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Z441" s="28"/>
      <c r="AA441" s="28"/>
    </row>
    <row r="442" spans="3:27">
      <c r="C442" s="3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Z442" s="28"/>
      <c r="AA442" s="28"/>
    </row>
    <row r="443" spans="3:27">
      <c r="C443" s="3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Z443" s="28"/>
      <c r="AA443" s="28"/>
    </row>
    <row r="444" spans="3:27">
      <c r="C444" s="3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Z444" s="28"/>
      <c r="AA444" s="28"/>
    </row>
    <row r="445" spans="3:27">
      <c r="C445" s="3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Z445" s="28"/>
      <c r="AA445" s="28"/>
    </row>
    <row r="446" spans="3:27">
      <c r="C446" s="3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Z446" s="28"/>
      <c r="AA446" s="28"/>
    </row>
    <row r="447" spans="3:27">
      <c r="C447" s="3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Z447" s="28"/>
      <c r="AA447" s="28"/>
    </row>
    <row r="448" spans="3:27">
      <c r="C448" s="3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Z448" s="28"/>
      <c r="AA448" s="28"/>
    </row>
    <row r="449" spans="3:27">
      <c r="C449" s="3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Z449" s="28"/>
      <c r="AA449" s="28"/>
    </row>
    <row r="450" spans="3:27">
      <c r="C450" s="3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Z450" s="28"/>
      <c r="AA450" s="28"/>
    </row>
    <row r="451" spans="3:27">
      <c r="C451" s="3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Z451" s="28"/>
      <c r="AA451" s="28"/>
    </row>
    <row r="452" spans="3:27">
      <c r="C452" s="3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Z452" s="28"/>
      <c r="AA452" s="28"/>
    </row>
    <row r="453" spans="3:27">
      <c r="C453" s="3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Z453" s="28"/>
      <c r="AA453" s="28"/>
    </row>
    <row r="454" spans="3:27">
      <c r="C454" s="3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Z454" s="28"/>
      <c r="AA454" s="28"/>
    </row>
    <row r="455" spans="3:27">
      <c r="C455" s="3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Z455" s="28"/>
      <c r="AA455" s="28"/>
    </row>
    <row r="456" spans="3:27">
      <c r="C456" s="3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Z456" s="28"/>
      <c r="AA456" s="28"/>
    </row>
    <row r="457" spans="3:27">
      <c r="C457" s="3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Z457" s="28"/>
      <c r="AA457" s="28"/>
    </row>
    <row r="458" spans="3:27">
      <c r="C458" s="3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Z458" s="28"/>
      <c r="AA458" s="28"/>
    </row>
    <row r="459" spans="3:27">
      <c r="C459" s="3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Z459" s="28"/>
      <c r="AA459" s="28"/>
    </row>
    <row r="460" spans="3:27">
      <c r="C460" s="3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Z460" s="28"/>
      <c r="AA460" s="28"/>
    </row>
    <row r="461" spans="3:27">
      <c r="C461" s="3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Z461" s="28"/>
      <c r="AA461" s="28"/>
    </row>
    <row r="462" spans="3:27">
      <c r="C462" s="3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Z462" s="28"/>
      <c r="AA462" s="28"/>
    </row>
    <row r="463" spans="3:27">
      <c r="C463" s="3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Z463" s="28"/>
      <c r="AA463" s="28"/>
    </row>
    <row r="464" spans="3:27">
      <c r="C464" s="3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Z464" s="28"/>
      <c r="AA464" s="28"/>
    </row>
    <row r="465" spans="3:27">
      <c r="C465" s="3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Z465" s="28"/>
      <c r="AA465" s="28"/>
    </row>
    <row r="466" spans="3:27">
      <c r="C466" s="3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Z466" s="28"/>
      <c r="AA466" s="28"/>
    </row>
    <row r="467" spans="3:27">
      <c r="C467" s="3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Z467" s="28"/>
      <c r="AA467" s="28"/>
    </row>
    <row r="468" spans="3:27">
      <c r="C468" s="3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Z468" s="28"/>
      <c r="AA468" s="28"/>
    </row>
    <row r="469" spans="3:27">
      <c r="C469" s="3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Z469" s="28"/>
      <c r="AA469" s="28"/>
    </row>
    <row r="470" spans="3:27">
      <c r="C470" s="3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Z470" s="28"/>
      <c r="AA470" s="28"/>
    </row>
    <row r="471" spans="3:27">
      <c r="C471" s="3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Z471" s="28"/>
      <c r="AA471" s="28"/>
    </row>
    <row r="472" spans="3:27">
      <c r="C472" s="3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Z472" s="28"/>
      <c r="AA472" s="28"/>
    </row>
    <row r="473" spans="3:27">
      <c r="C473" s="3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Z473" s="28"/>
      <c r="AA473" s="28"/>
    </row>
    <row r="474" spans="3:27">
      <c r="C474" s="3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Z474" s="28"/>
      <c r="AA474" s="28"/>
    </row>
    <row r="475" spans="3:27">
      <c r="C475" s="3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Z475" s="28"/>
      <c r="AA475" s="28"/>
    </row>
    <row r="476" spans="3:27">
      <c r="C476" s="3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Z476" s="28"/>
      <c r="AA476" s="28"/>
    </row>
    <row r="477" spans="3:27">
      <c r="C477" s="3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Z477" s="28"/>
      <c r="AA477" s="28"/>
    </row>
    <row r="478" spans="3:27">
      <c r="C478" s="3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Z478" s="28"/>
      <c r="AA478" s="28"/>
    </row>
    <row r="479" spans="3:27">
      <c r="C479" s="3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Z479" s="28"/>
      <c r="AA479" s="28"/>
    </row>
    <row r="480" spans="3:27">
      <c r="C480" s="3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Z480" s="28"/>
      <c r="AA480" s="28"/>
    </row>
    <row r="481" spans="3:27">
      <c r="C481" s="3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Z481" s="28"/>
      <c r="AA481" s="28"/>
    </row>
    <row r="482" spans="3:27">
      <c r="C482" s="3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Z482" s="28"/>
      <c r="AA482" s="28"/>
    </row>
    <row r="483" spans="3:27">
      <c r="C483" s="3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Z483" s="28"/>
      <c r="AA483" s="28"/>
    </row>
    <row r="484" spans="3:27">
      <c r="C484" s="3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Z484" s="28"/>
      <c r="AA484" s="28"/>
    </row>
    <row r="485" spans="3:27">
      <c r="C485" s="3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Z485" s="28"/>
      <c r="AA485" s="28"/>
    </row>
    <row r="486" spans="3:27">
      <c r="C486" s="3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Z486" s="28"/>
      <c r="AA486" s="28"/>
    </row>
    <row r="487" spans="3:27">
      <c r="C487" s="3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Z487" s="28"/>
      <c r="AA487" s="28"/>
    </row>
    <row r="488" spans="3:27">
      <c r="C488" s="3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Z488" s="28"/>
      <c r="AA488" s="28"/>
    </row>
    <row r="489" spans="3:27">
      <c r="C489" s="3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Z489" s="28"/>
      <c r="AA489" s="28"/>
    </row>
    <row r="490" spans="3:27">
      <c r="C490" s="3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Z490" s="28"/>
      <c r="AA490" s="28"/>
    </row>
    <row r="491" spans="3:27">
      <c r="C491" s="3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Z491" s="28"/>
      <c r="AA491" s="28"/>
    </row>
    <row r="492" spans="3:27">
      <c r="C492" s="3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Z492" s="28"/>
      <c r="AA492" s="28"/>
    </row>
    <row r="493" spans="3:27">
      <c r="C493" s="3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Z493" s="28"/>
      <c r="AA493" s="28"/>
    </row>
    <row r="494" spans="3:27">
      <c r="C494" s="3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Z494" s="28"/>
      <c r="AA494" s="28"/>
    </row>
    <row r="495" spans="3:27">
      <c r="C495" s="3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Z495" s="28"/>
      <c r="AA495" s="28"/>
    </row>
    <row r="496" spans="3:27">
      <c r="C496" s="3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Z496" s="28"/>
      <c r="AA496" s="28"/>
    </row>
    <row r="497" spans="3:27">
      <c r="C497" s="3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Z497" s="28"/>
      <c r="AA497" s="28"/>
    </row>
    <row r="498" spans="3:27">
      <c r="C498" s="3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Z498" s="28"/>
      <c r="AA498" s="28"/>
    </row>
    <row r="499" spans="3:27">
      <c r="C499" s="3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Z499" s="28"/>
      <c r="AA499" s="28"/>
    </row>
    <row r="500" spans="3:27">
      <c r="C500" s="3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Z500" s="28"/>
      <c r="AA500" s="28"/>
    </row>
    <row r="501" spans="3:27">
      <c r="C501" s="3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Z501" s="28"/>
      <c r="AA501" s="28"/>
    </row>
    <row r="502" spans="3:27">
      <c r="C502" s="3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Z502" s="28"/>
      <c r="AA502" s="28"/>
    </row>
    <row r="503" spans="3:27">
      <c r="C503" s="3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Z503" s="28"/>
      <c r="AA503" s="28"/>
    </row>
    <row r="504" spans="3:27">
      <c r="C504" s="3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Z504" s="28"/>
      <c r="AA504" s="28"/>
    </row>
    <row r="505" spans="3:27">
      <c r="C505" s="3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Z505" s="28"/>
      <c r="AA505" s="28"/>
    </row>
    <row r="506" spans="3:27">
      <c r="C506" s="3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Z506" s="28"/>
      <c r="AA506" s="28"/>
    </row>
    <row r="507" spans="3:27">
      <c r="C507" s="3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Z507" s="28"/>
      <c r="AA507" s="28"/>
    </row>
    <row r="508" spans="3:27">
      <c r="C508" s="3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Z508" s="28"/>
      <c r="AA508" s="28"/>
    </row>
    <row r="509" spans="3:27">
      <c r="C509" s="3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Z509" s="28"/>
      <c r="AA509" s="28"/>
    </row>
    <row r="510" spans="3:27">
      <c r="C510" s="3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Z510" s="28"/>
      <c r="AA510" s="28"/>
    </row>
    <row r="511" spans="3:27">
      <c r="C511" s="3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Z511" s="28"/>
      <c r="AA511" s="28"/>
    </row>
    <row r="512" spans="3:27">
      <c r="C512" s="3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Z512" s="28"/>
      <c r="AA512" s="28"/>
    </row>
    <row r="513" spans="3:27">
      <c r="C513" s="3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Z513" s="28"/>
      <c r="AA513" s="28"/>
    </row>
    <row r="514" spans="3:27">
      <c r="C514" s="3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Z514" s="28"/>
      <c r="AA514" s="28"/>
    </row>
    <row r="515" spans="3:27">
      <c r="C515" s="3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Z515" s="28"/>
      <c r="AA515" s="28"/>
    </row>
    <row r="516" spans="3:27">
      <c r="C516" s="3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Z516" s="28"/>
      <c r="AA516" s="28"/>
    </row>
    <row r="517" spans="3:27">
      <c r="C517" s="3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Z517" s="28"/>
      <c r="AA517" s="28"/>
    </row>
    <row r="518" spans="3:27">
      <c r="C518" s="3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Z518" s="28"/>
      <c r="AA518" s="28"/>
    </row>
    <row r="519" spans="3:27">
      <c r="C519" s="3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Z519" s="28"/>
      <c r="AA519" s="28"/>
    </row>
    <row r="520" spans="3:27">
      <c r="C520" s="3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Z520" s="28"/>
      <c r="AA520" s="28"/>
    </row>
    <row r="521" spans="3:27">
      <c r="C521" s="3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Z521" s="28"/>
      <c r="AA521" s="28"/>
    </row>
    <row r="522" spans="3:27">
      <c r="C522" s="3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Z522" s="28"/>
      <c r="AA522" s="28"/>
    </row>
    <row r="523" spans="3:27">
      <c r="C523" s="3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Z523" s="28"/>
      <c r="AA523" s="28"/>
    </row>
    <row r="524" spans="3:27">
      <c r="C524" s="3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Z524" s="28"/>
      <c r="AA524" s="28"/>
    </row>
    <row r="525" spans="3:27">
      <c r="C525" s="3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Z525" s="28"/>
      <c r="AA525" s="28"/>
    </row>
    <row r="526" spans="3:27">
      <c r="C526" s="3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Z526" s="28"/>
      <c r="AA526" s="28"/>
    </row>
    <row r="527" spans="3:27">
      <c r="C527" s="3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Z527" s="28"/>
      <c r="AA527" s="28"/>
    </row>
    <row r="528" spans="3:27">
      <c r="C528" s="3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Z528" s="28"/>
      <c r="AA528" s="28"/>
    </row>
    <row r="529" spans="3:27">
      <c r="C529" s="3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Z529" s="28"/>
      <c r="AA529" s="28"/>
    </row>
    <row r="530" spans="3:27">
      <c r="C530" s="3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Z530" s="28"/>
      <c r="AA530" s="28"/>
    </row>
    <row r="531" spans="3:27">
      <c r="C531" s="3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Z531" s="28"/>
      <c r="AA531" s="28"/>
    </row>
    <row r="532" spans="3:27">
      <c r="C532" s="3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Z532" s="28"/>
      <c r="AA532" s="28"/>
    </row>
    <row r="533" spans="3:27">
      <c r="C533" s="3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Z533" s="28"/>
      <c r="AA533" s="28"/>
    </row>
    <row r="534" spans="3:27">
      <c r="C534" s="3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Z534" s="28"/>
      <c r="AA534" s="28"/>
    </row>
    <row r="535" spans="3:27">
      <c r="C535" s="3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Z535" s="28"/>
      <c r="AA535" s="28"/>
    </row>
    <row r="536" spans="3:27">
      <c r="C536" s="3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Z536" s="28"/>
      <c r="AA536" s="28"/>
    </row>
    <row r="537" spans="3:27">
      <c r="C537" s="3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Z537" s="28"/>
      <c r="AA537" s="28"/>
    </row>
    <row r="538" spans="3:27">
      <c r="C538" s="3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Z538" s="28"/>
      <c r="AA538" s="28"/>
    </row>
    <row r="539" spans="3:27">
      <c r="C539" s="3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Z539" s="28"/>
      <c r="AA539" s="28"/>
    </row>
    <row r="540" spans="3:27">
      <c r="C540" s="3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Z540" s="28"/>
      <c r="AA540" s="28"/>
    </row>
    <row r="541" spans="3:27">
      <c r="C541" s="3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Z541" s="28"/>
      <c r="AA541" s="28"/>
    </row>
    <row r="542" spans="3:27">
      <c r="C542" s="3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Z542" s="28"/>
      <c r="AA542" s="28"/>
    </row>
    <row r="543" spans="3:27">
      <c r="C543" s="3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Z543" s="28"/>
      <c r="AA543" s="28"/>
    </row>
    <row r="544" spans="3:27">
      <c r="C544" s="3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Z544" s="28"/>
      <c r="AA544" s="28"/>
    </row>
    <row r="545" spans="3:27">
      <c r="C545" s="3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Z545" s="28"/>
      <c r="AA545" s="28"/>
    </row>
    <row r="546" spans="3:27">
      <c r="C546" s="3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Z546" s="28"/>
      <c r="AA546" s="28"/>
    </row>
    <row r="547" spans="3:27">
      <c r="C547" s="3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Z547" s="28"/>
      <c r="AA547" s="28"/>
    </row>
    <row r="548" spans="3:27">
      <c r="C548" s="3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Z548" s="28"/>
      <c r="AA548" s="28"/>
    </row>
    <row r="549" spans="3:27">
      <c r="C549" s="3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Z549" s="28"/>
      <c r="AA549" s="28"/>
    </row>
    <row r="550" spans="3:27">
      <c r="C550" s="3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Z550" s="28"/>
      <c r="AA550" s="28"/>
    </row>
    <row r="551" spans="3:27">
      <c r="C551" s="3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Z551" s="28"/>
      <c r="AA551" s="28"/>
    </row>
    <row r="552" spans="3:27">
      <c r="C552" s="3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Z552" s="28"/>
      <c r="AA552" s="28"/>
    </row>
    <row r="553" spans="3:27">
      <c r="C553" s="3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Z553" s="28"/>
      <c r="AA553" s="28"/>
    </row>
    <row r="554" spans="3:27">
      <c r="C554" s="3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Z554" s="28"/>
      <c r="AA554" s="28"/>
    </row>
    <row r="555" spans="3:27">
      <c r="C555" s="3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Z555" s="28"/>
      <c r="AA555" s="28"/>
    </row>
    <row r="556" spans="3:27">
      <c r="C556" s="3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Z556" s="28"/>
      <c r="AA556" s="28"/>
    </row>
    <row r="557" spans="3:27">
      <c r="C557" s="3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Z557" s="28"/>
      <c r="AA557" s="28"/>
    </row>
    <row r="558" spans="3:27">
      <c r="C558" s="3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Z558" s="28"/>
      <c r="AA558" s="28"/>
    </row>
    <row r="559" spans="3:27">
      <c r="C559" s="3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Z559" s="28"/>
      <c r="AA559" s="28"/>
    </row>
    <row r="560" spans="3:27">
      <c r="C560" s="3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Z560" s="28"/>
      <c r="AA560" s="28"/>
    </row>
    <row r="561" spans="3:27">
      <c r="C561" s="3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Z561" s="28"/>
      <c r="AA561" s="28"/>
    </row>
    <row r="562" spans="3:27">
      <c r="C562" s="3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Z562" s="28"/>
      <c r="AA562" s="28"/>
    </row>
    <row r="563" spans="3:27">
      <c r="C563" s="3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Z563" s="28"/>
      <c r="AA563" s="28"/>
    </row>
    <row r="564" spans="3:27">
      <c r="C564" s="3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Z564" s="28"/>
      <c r="AA564" s="28"/>
    </row>
    <row r="565" spans="3:27">
      <c r="C565" s="3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Z565" s="28"/>
      <c r="AA565" s="28"/>
    </row>
    <row r="566" spans="3:27">
      <c r="C566" s="3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Z566" s="28"/>
      <c r="AA566" s="28"/>
    </row>
    <row r="567" spans="3:27">
      <c r="C567" s="3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Z567" s="28"/>
      <c r="AA567" s="28"/>
    </row>
    <row r="568" spans="3:27">
      <c r="C568" s="3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Z568" s="28"/>
      <c r="AA568" s="28"/>
    </row>
    <row r="569" spans="3:27">
      <c r="C569" s="3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Z569" s="28"/>
      <c r="AA569" s="28"/>
    </row>
    <row r="570" spans="3:27">
      <c r="C570" s="3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Z570" s="28"/>
      <c r="AA570" s="28"/>
    </row>
    <row r="571" spans="3:27">
      <c r="C571" s="3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Z571" s="28"/>
      <c r="AA571" s="28"/>
    </row>
    <row r="572" spans="3:27">
      <c r="C572" s="3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Z572" s="28"/>
      <c r="AA572" s="28"/>
    </row>
    <row r="573" spans="3:27">
      <c r="C573" s="3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Z573" s="28"/>
      <c r="AA573" s="28"/>
    </row>
    <row r="574" spans="3:27">
      <c r="C574" s="3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Z574" s="28"/>
      <c r="AA574" s="28"/>
    </row>
    <row r="575" spans="3:27">
      <c r="C575" s="3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Z575" s="28"/>
      <c r="AA575" s="28"/>
    </row>
    <row r="576" spans="3:27">
      <c r="C576" s="3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Z576" s="28"/>
      <c r="AA576" s="28"/>
    </row>
    <row r="577" spans="3:27">
      <c r="C577" s="3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Z577" s="28"/>
      <c r="AA577" s="28"/>
    </row>
    <row r="578" spans="3:27">
      <c r="C578" s="3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Z578" s="28"/>
      <c r="AA578" s="28"/>
    </row>
    <row r="579" spans="3:27">
      <c r="C579" s="3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Z579" s="28"/>
      <c r="AA579" s="28"/>
    </row>
    <row r="580" spans="3:27">
      <c r="C580" s="3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Z580" s="28"/>
      <c r="AA580" s="28"/>
    </row>
    <row r="581" spans="3:27">
      <c r="C581" s="3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Z581" s="28"/>
      <c r="AA581" s="28"/>
    </row>
    <row r="582" spans="3:27">
      <c r="C582" s="3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Z582" s="28"/>
      <c r="AA582" s="28"/>
    </row>
    <row r="583" spans="3:27">
      <c r="C583" s="3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Z583" s="28"/>
      <c r="AA583" s="28"/>
    </row>
    <row r="584" spans="3:27">
      <c r="C584" s="3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Z584" s="28"/>
      <c r="AA584" s="28"/>
    </row>
    <row r="585" spans="3:27">
      <c r="C585" s="3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Z585" s="28"/>
      <c r="AA585" s="28"/>
    </row>
    <row r="586" spans="3:27">
      <c r="C586" s="3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Z586" s="28"/>
      <c r="AA586" s="28"/>
    </row>
    <row r="587" spans="3:27">
      <c r="C587" s="3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Z587" s="28"/>
      <c r="AA587" s="28"/>
    </row>
    <row r="588" spans="3:27">
      <c r="C588" s="3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Z588" s="28"/>
      <c r="AA588" s="28"/>
    </row>
    <row r="589" spans="3:27">
      <c r="C589" s="3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Z589" s="28"/>
      <c r="AA589" s="28"/>
    </row>
    <row r="590" spans="3:27">
      <c r="C590" s="3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Z590" s="28"/>
      <c r="AA590" s="28"/>
    </row>
    <row r="591" spans="3:27">
      <c r="C591" s="3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Z591" s="28"/>
      <c r="AA591" s="28"/>
    </row>
    <row r="592" spans="3:27">
      <c r="C592" s="3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Z592" s="28"/>
      <c r="AA592" s="28"/>
    </row>
    <row r="593" spans="3:27">
      <c r="C593" s="3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Z593" s="28"/>
      <c r="AA593" s="28"/>
    </row>
    <row r="594" spans="3:27">
      <c r="C594" s="3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Z594" s="28"/>
      <c r="AA594" s="28"/>
    </row>
    <row r="595" spans="3:27">
      <c r="C595" s="3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Z595" s="28"/>
      <c r="AA595" s="28"/>
    </row>
    <row r="596" spans="3:27">
      <c r="C596" s="3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Z596" s="28"/>
      <c r="AA596" s="28"/>
    </row>
    <row r="597" spans="3:27">
      <c r="C597" s="3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Z597" s="28"/>
      <c r="AA597" s="28"/>
    </row>
    <row r="598" spans="3:27">
      <c r="C598" s="3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Z598" s="28"/>
      <c r="AA598" s="28"/>
    </row>
    <row r="599" spans="3:27">
      <c r="C599" s="3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Z599" s="28"/>
      <c r="AA599" s="28"/>
    </row>
    <row r="600" spans="3:27">
      <c r="C600" s="3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Z600" s="28"/>
      <c r="AA600" s="28"/>
    </row>
    <row r="601" spans="3:27">
      <c r="C601" s="3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Z601" s="28"/>
      <c r="AA601" s="28"/>
    </row>
    <row r="602" spans="3:27">
      <c r="C602" s="3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Z602" s="28"/>
      <c r="AA602" s="28"/>
    </row>
    <row r="603" spans="3:27">
      <c r="C603" s="3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Z603" s="28"/>
      <c r="AA603" s="28"/>
    </row>
    <row r="604" spans="3:27">
      <c r="C604" s="3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Z604" s="28"/>
      <c r="AA604" s="28"/>
    </row>
    <row r="605" spans="3:27">
      <c r="C605" s="3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Z605" s="28"/>
      <c r="AA605" s="28"/>
    </row>
    <row r="606" spans="3:27">
      <c r="C606" s="3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Z606" s="28"/>
      <c r="AA606" s="28"/>
    </row>
    <row r="607" spans="3:27">
      <c r="C607" s="3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Z607" s="28"/>
      <c r="AA607" s="28"/>
    </row>
    <row r="608" spans="3:27">
      <c r="C608" s="3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Z608" s="28"/>
      <c r="AA608" s="28"/>
    </row>
    <row r="609" spans="3:27">
      <c r="C609" s="3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Z609" s="28"/>
      <c r="AA609" s="28"/>
    </row>
    <row r="610" spans="3:27">
      <c r="C610" s="3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Z610" s="28"/>
      <c r="AA610" s="28"/>
    </row>
    <row r="611" spans="3:27">
      <c r="C611" s="3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Z611" s="28"/>
      <c r="AA611" s="28"/>
    </row>
    <row r="612" spans="3:27">
      <c r="C612" s="3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Z612" s="28"/>
      <c r="AA612" s="28"/>
    </row>
    <row r="613" spans="3:27">
      <c r="C613" s="3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Z613" s="28"/>
      <c r="AA613" s="28"/>
    </row>
    <row r="614" spans="3:27">
      <c r="C614" s="3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Z614" s="28"/>
      <c r="AA614" s="28"/>
    </row>
    <row r="615" spans="3:27">
      <c r="C615" s="3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Z615" s="28"/>
      <c r="AA615" s="28"/>
    </row>
    <row r="616" spans="3:27">
      <c r="C616" s="3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Z616" s="28"/>
      <c r="AA616" s="28"/>
    </row>
    <row r="617" spans="3:27">
      <c r="C617" s="3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Z617" s="28"/>
      <c r="AA617" s="28"/>
    </row>
    <row r="618" spans="3:27">
      <c r="C618" s="3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Z618" s="28"/>
      <c r="AA618" s="28"/>
    </row>
    <row r="619" spans="3:27">
      <c r="C619" s="3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Z619" s="28"/>
      <c r="AA619" s="28"/>
    </row>
    <row r="620" spans="3:27">
      <c r="C620" s="3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Z620" s="28"/>
      <c r="AA620" s="28"/>
    </row>
    <row r="621" spans="3:27">
      <c r="C621" s="3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Z621" s="28"/>
      <c r="AA621" s="28"/>
    </row>
    <row r="622" spans="3:27">
      <c r="C622" s="3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Z622" s="28"/>
      <c r="AA622" s="28"/>
    </row>
    <row r="623" spans="3:27">
      <c r="C623" s="3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Z623" s="28"/>
      <c r="AA623" s="28"/>
    </row>
    <row r="624" spans="3:27">
      <c r="C624" s="3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Z624" s="28"/>
      <c r="AA624" s="28"/>
    </row>
    <row r="625" spans="3:27">
      <c r="C625" s="3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Z625" s="28"/>
      <c r="AA625" s="28"/>
    </row>
    <row r="626" spans="3:27">
      <c r="C626" s="3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Z626" s="28"/>
      <c r="AA626" s="28"/>
    </row>
    <row r="627" spans="3:27">
      <c r="C627" s="3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Z627" s="28"/>
      <c r="AA627" s="28"/>
    </row>
    <row r="628" spans="3:27">
      <c r="C628" s="3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Z628" s="28"/>
      <c r="AA628" s="28"/>
    </row>
    <row r="629" spans="3:27">
      <c r="C629" s="3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Z629" s="28"/>
      <c r="AA629" s="28"/>
    </row>
    <row r="630" spans="3:27">
      <c r="C630" s="3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Z630" s="28"/>
      <c r="AA630" s="28"/>
    </row>
    <row r="631" spans="3:27">
      <c r="C631" s="3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Z631" s="28"/>
      <c r="AA631" s="28"/>
    </row>
    <row r="632" spans="3:27">
      <c r="C632" s="3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Z632" s="28"/>
      <c r="AA632" s="28"/>
    </row>
    <row r="633" spans="3:27">
      <c r="C633" s="3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Z633" s="28"/>
      <c r="AA633" s="28"/>
    </row>
    <row r="634" spans="3:27">
      <c r="C634" s="3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Z634" s="28"/>
      <c r="AA634" s="28"/>
    </row>
    <row r="635" spans="3:27">
      <c r="C635" s="3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Z635" s="28"/>
      <c r="AA635" s="28"/>
    </row>
    <row r="636" spans="3:27">
      <c r="C636" s="3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Z636" s="28"/>
      <c r="AA636" s="28"/>
    </row>
    <row r="637" spans="3:27">
      <c r="C637" s="3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Z637" s="28"/>
      <c r="AA637" s="28"/>
    </row>
    <row r="638" spans="3:27">
      <c r="C638" s="3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Z638" s="28"/>
      <c r="AA638" s="28"/>
    </row>
    <row r="639" spans="3:27">
      <c r="C639" s="3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Z639" s="28"/>
      <c r="AA639" s="28"/>
    </row>
    <row r="640" spans="3:27">
      <c r="C640" s="3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Z640" s="28"/>
      <c r="AA640" s="28"/>
    </row>
    <row r="641" spans="3:27">
      <c r="C641" s="3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Z641" s="28"/>
      <c r="AA641" s="28"/>
    </row>
    <row r="642" spans="3:27">
      <c r="C642" s="3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Z642" s="28"/>
      <c r="AA642" s="28"/>
    </row>
    <row r="643" spans="3:27">
      <c r="C643" s="3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Z643" s="28"/>
      <c r="AA643" s="28"/>
    </row>
    <row r="644" spans="3:27">
      <c r="C644" s="3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Z644" s="28"/>
      <c r="AA644" s="28"/>
    </row>
    <row r="645" spans="3:27">
      <c r="C645" s="3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Z645" s="28"/>
      <c r="AA645" s="28"/>
    </row>
    <row r="646" spans="3:27">
      <c r="C646" s="3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Z646" s="28"/>
      <c r="AA646" s="28"/>
    </row>
    <row r="647" spans="3:27">
      <c r="C647" s="3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Z647" s="28"/>
      <c r="AA647" s="28"/>
    </row>
    <row r="648" spans="3:27">
      <c r="C648" s="3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Z648" s="28"/>
      <c r="AA648" s="28"/>
    </row>
    <row r="649" spans="3:27">
      <c r="C649" s="3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Z649" s="28"/>
      <c r="AA649" s="28"/>
    </row>
    <row r="650" spans="3:27">
      <c r="C650" s="3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Z650" s="28"/>
      <c r="AA650" s="28"/>
    </row>
    <row r="651" spans="3:27">
      <c r="C651" s="3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Z651" s="28"/>
      <c r="AA651" s="28"/>
    </row>
    <row r="652" spans="3:27">
      <c r="C652" s="3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Z652" s="28"/>
      <c r="AA652" s="28"/>
    </row>
    <row r="653" spans="3:27">
      <c r="C653" s="3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Z653" s="28"/>
      <c r="AA653" s="28"/>
    </row>
    <row r="654" spans="3:27">
      <c r="C654" s="3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Z654" s="28"/>
      <c r="AA654" s="28"/>
    </row>
    <row r="655" spans="3:27">
      <c r="C655" s="3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Z655" s="28"/>
      <c r="AA655" s="28"/>
    </row>
    <row r="656" spans="3:27">
      <c r="C656" s="3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Z656" s="28"/>
      <c r="AA656" s="28"/>
    </row>
    <row r="657" spans="3:27">
      <c r="C657" s="3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Z657" s="28"/>
      <c r="AA657" s="28"/>
    </row>
    <row r="658" spans="3:27">
      <c r="C658" s="3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Z658" s="28"/>
      <c r="AA658" s="28"/>
    </row>
    <row r="659" spans="3:27">
      <c r="C659" s="3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Z659" s="28"/>
      <c r="AA659" s="28"/>
    </row>
    <row r="660" spans="3:27">
      <c r="C660" s="3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Z660" s="28"/>
      <c r="AA660" s="28"/>
    </row>
    <row r="661" spans="3:27">
      <c r="C661" s="3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Z661" s="28"/>
      <c r="AA661" s="28"/>
    </row>
    <row r="662" spans="3:27">
      <c r="C662" s="3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Z662" s="28"/>
      <c r="AA662" s="28"/>
    </row>
    <row r="663" spans="3:27">
      <c r="C663" s="3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Z663" s="28"/>
      <c r="AA663" s="28"/>
    </row>
    <row r="664" spans="3:27">
      <c r="C664" s="3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Z664" s="28"/>
      <c r="AA664" s="28"/>
    </row>
    <row r="665" spans="3:27">
      <c r="C665" s="3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Z665" s="28"/>
      <c r="AA665" s="28"/>
    </row>
    <row r="666" spans="3:27">
      <c r="C666" s="3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Z666" s="28"/>
      <c r="AA666" s="28"/>
    </row>
    <row r="667" spans="3:27">
      <c r="C667" s="3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Z667" s="28"/>
      <c r="AA667" s="28"/>
    </row>
    <row r="668" spans="3:27">
      <c r="C668" s="3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Z668" s="28"/>
      <c r="AA668" s="28"/>
    </row>
    <row r="669" spans="3:27">
      <c r="C669" s="3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Z669" s="28"/>
      <c r="AA669" s="28"/>
    </row>
    <row r="670" spans="3:27">
      <c r="C670" s="3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Z670" s="28"/>
      <c r="AA670" s="28"/>
    </row>
    <row r="671" spans="3:27">
      <c r="C671" s="3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Z671" s="28"/>
      <c r="AA671" s="28"/>
    </row>
    <row r="672" spans="3:27">
      <c r="C672" s="3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Z672" s="28"/>
      <c r="AA672" s="28"/>
    </row>
    <row r="673" spans="3:27">
      <c r="C673" s="3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Z673" s="28"/>
      <c r="AA673" s="28"/>
    </row>
    <row r="674" spans="3:27">
      <c r="C674" s="3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Z674" s="28"/>
      <c r="AA674" s="28"/>
    </row>
    <row r="675" spans="3:27">
      <c r="C675" s="3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Z675" s="28"/>
      <c r="AA675" s="28"/>
    </row>
    <row r="676" spans="3:27">
      <c r="C676" s="3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Z676" s="28"/>
      <c r="AA676" s="28"/>
    </row>
    <row r="677" spans="3:27">
      <c r="C677" s="3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Z677" s="28"/>
      <c r="AA677" s="28"/>
    </row>
    <row r="678" spans="3:27">
      <c r="C678" s="3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Z678" s="28"/>
      <c r="AA678" s="28"/>
    </row>
    <row r="679" spans="3:27">
      <c r="C679" s="3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Z679" s="28"/>
      <c r="AA679" s="28"/>
    </row>
    <row r="680" spans="3:27">
      <c r="C680" s="3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Z680" s="28"/>
      <c r="AA680" s="28"/>
    </row>
    <row r="681" spans="3:27">
      <c r="C681" s="3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Z681" s="28"/>
      <c r="AA681" s="28"/>
    </row>
    <row r="682" spans="3:27">
      <c r="C682" s="3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Z682" s="28"/>
      <c r="AA682" s="28"/>
    </row>
    <row r="683" spans="3:27">
      <c r="C683" s="3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Z683" s="28"/>
      <c r="AA683" s="28"/>
    </row>
    <row r="684" spans="3:27">
      <c r="C684" s="3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Z684" s="28"/>
      <c r="AA684" s="28"/>
    </row>
    <row r="685" spans="3:27">
      <c r="C685" s="3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Z685" s="28"/>
      <c r="AA685" s="28"/>
    </row>
    <row r="686" spans="3:27">
      <c r="C686" s="3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Z686" s="28"/>
      <c r="AA686" s="28"/>
    </row>
    <row r="687" spans="3:27">
      <c r="C687" s="3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Z687" s="28"/>
      <c r="AA687" s="28"/>
    </row>
    <row r="688" spans="3:27">
      <c r="C688" s="3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Z688" s="28"/>
      <c r="AA688" s="28"/>
    </row>
    <row r="689" spans="3:27">
      <c r="C689" s="3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Z689" s="28"/>
      <c r="AA689" s="28"/>
    </row>
    <row r="690" spans="3:27">
      <c r="C690" s="3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Z690" s="28"/>
      <c r="AA690" s="28"/>
    </row>
    <row r="691" spans="3:27">
      <c r="C691" s="3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Z691" s="28"/>
      <c r="AA691" s="28"/>
    </row>
    <row r="692" spans="3:27">
      <c r="C692" s="3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Z692" s="28"/>
      <c r="AA692" s="28"/>
    </row>
    <row r="693" spans="3:27">
      <c r="C693" s="3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Z693" s="28"/>
      <c r="AA693" s="28"/>
    </row>
    <row r="694" spans="3:27">
      <c r="C694" s="3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Z694" s="28"/>
      <c r="AA694" s="28"/>
    </row>
    <row r="695" spans="3:27">
      <c r="C695" s="3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Z695" s="28"/>
      <c r="AA695" s="28"/>
    </row>
    <row r="696" spans="3:27">
      <c r="C696" s="3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Z696" s="28"/>
      <c r="AA696" s="28"/>
    </row>
    <row r="697" spans="3:27">
      <c r="C697" s="3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Z697" s="28"/>
      <c r="AA697" s="28"/>
    </row>
    <row r="698" spans="3:27">
      <c r="C698" s="3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Z698" s="28"/>
      <c r="AA698" s="28"/>
    </row>
    <row r="699" spans="3:27">
      <c r="C699" s="3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Z699" s="28"/>
      <c r="AA699" s="28"/>
    </row>
    <row r="700" spans="3:27">
      <c r="C700" s="3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Z700" s="28"/>
      <c r="AA700" s="28"/>
    </row>
    <row r="701" spans="3:27">
      <c r="C701" s="3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Z701" s="28"/>
      <c r="AA701" s="28"/>
    </row>
    <row r="702" spans="3:27">
      <c r="C702" s="3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Z702" s="28"/>
      <c r="AA702" s="28"/>
    </row>
    <row r="703" spans="3:27">
      <c r="C703" s="3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Z703" s="28"/>
      <c r="AA703" s="28"/>
    </row>
    <row r="704" spans="3:27">
      <c r="C704" s="3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Z704" s="28"/>
      <c r="AA704" s="28"/>
    </row>
    <row r="705" spans="3:27">
      <c r="C705" s="3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Z705" s="28"/>
      <c r="AA705" s="28"/>
    </row>
    <row r="706" spans="3:27">
      <c r="C706" s="3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Z706" s="28"/>
      <c r="AA706" s="28"/>
    </row>
    <row r="707" spans="3:27">
      <c r="C707" s="3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Z707" s="28"/>
      <c r="AA707" s="28"/>
    </row>
    <row r="708" spans="3:27">
      <c r="C708" s="3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Z708" s="28"/>
      <c r="AA708" s="28"/>
    </row>
    <row r="709" spans="3:27">
      <c r="C709" s="3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Z709" s="28"/>
      <c r="AA709" s="28"/>
    </row>
    <row r="710" spans="3:27">
      <c r="C710" s="3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Z710" s="28"/>
      <c r="AA710" s="28"/>
    </row>
    <row r="711" spans="3:27">
      <c r="C711" s="3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Z711" s="28"/>
      <c r="AA711" s="28"/>
    </row>
    <row r="712" spans="3:27">
      <c r="C712" s="3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Z712" s="28"/>
      <c r="AA712" s="28"/>
    </row>
    <row r="713" spans="3:27">
      <c r="C713" s="3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Z713" s="28"/>
      <c r="AA713" s="28"/>
    </row>
    <row r="714" spans="3:27">
      <c r="C714" s="3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Z714" s="28"/>
      <c r="AA714" s="28"/>
    </row>
    <row r="715" spans="3:27">
      <c r="C715" s="3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Z715" s="28"/>
      <c r="AA715" s="28"/>
    </row>
    <row r="716" spans="3:27">
      <c r="C716" s="3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Z716" s="28"/>
      <c r="AA716" s="28"/>
    </row>
    <row r="717" spans="3:27">
      <c r="C717" s="3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Z717" s="28"/>
      <c r="AA717" s="28"/>
    </row>
    <row r="718" spans="3:27">
      <c r="C718" s="3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Z718" s="28"/>
      <c r="AA718" s="28"/>
    </row>
    <row r="719" spans="3:27">
      <c r="C719" s="3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Z719" s="28"/>
      <c r="AA719" s="28"/>
    </row>
    <row r="720" spans="3:27">
      <c r="C720" s="3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Z720" s="28"/>
      <c r="AA720" s="28"/>
    </row>
    <row r="721" spans="3:27">
      <c r="C721" s="3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Z721" s="28"/>
      <c r="AA721" s="28"/>
    </row>
    <row r="722" spans="3:27">
      <c r="C722" s="3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Z722" s="28"/>
      <c r="AA722" s="28"/>
    </row>
    <row r="723" spans="3:27">
      <c r="C723" s="3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Z723" s="28"/>
      <c r="AA723" s="28"/>
    </row>
    <row r="724" spans="3:27">
      <c r="C724" s="3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Z724" s="28"/>
      <c r="AA724" s="28"/>
    </row>
    <row r="725" spans="3:27">
      <c r="C725" s="3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Z725" s="28"/>
      <c r="AA725" s="28"/>
    </row>
    <row r="726" spans="3:27">
      <c r="C726" s="3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Z726" s="28"/>
      <c r="AA726" s="28"/>
    </row>
    <row r="727" spans="3:27">
      <c r="C727" s="3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Z727" s="28"/>
      <c r="AA727" s="28"/>
    </row>
    <row r="728" spans="3:27">
      <c r="C728" s="3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Z728" s="28"/>
      <c r="AA728" s="28"/>
    </row>
    <row r="729" spans="3:27">
      <c r="C729" s="3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Z729" s="28"/>
      <c r="AA729" s="28"/>
    </row>
    <row r="730" spans="3:27">
      <c r="C730" s="3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Z730" s="28"/>
      <c r="AA730" s="28"/>
    </row>
    <row r="731" spans="3:27">
      <c r="C731" s="3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Z731" s="28"/>
      <c r="AA731" s="28"/>
    </row>
    <row r="732" spans="3:27">
      <c r="C732" s="3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Z732" s="28"/>
      <c r="AA732" s="28"/>
    </row>
    <row r="733" spans="3:27">
      <c r="C733" s="3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Z733" s="28"/>
      <c r="AA733" s="28"/>
    </row>
    <row r="734" spans="3:27">
      <c r="C734" s="3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Z734" s="28"/>
      <c r="AA734" s="28"/>
    </row>
    <row r="735" spans="3:27">
      <c r="C735" s="3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Z735" s="28"/>
      <c r="AA735" s="28"/>
    </row>
    <row r="736" spans="3:27">
      <c r="C736" s="3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Z736" s="28"/>
      <c r="AA736" s="28"/>
    </row>
    <row r="737" spans="3:27">
      <c r="C737" s="3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Z737" s="28"/>
      <c r="AA737" s="28"/>
    </row>
    <row r="738" spans="3:27">
      <c r="C738" s="3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Z738" s="28"/>
      <c r="AA738" s="28"/>
    </row>
    <row r="739" spans="3:27">
      <c r="C739" s="3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Z739" s="28"/>
      <c r="AA739" s="28"/>
    </row>
    <row r="740" spans="3:27">
      <c r="C740" s="3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Z740" s="28"/>
      <c r="AA740" s="28"/>
    </row>
    <row r="741" spans="3:27">
      <c r="C741" s="3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Z741" s="28"/>
      <c r="AA741" s="28"/>
    </row>
    <row r="742" spans="3:27">
      <c r="C742" s="3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Z742" s="28"/>
      <c r="AA742" s="28"/>
    </row>
    <row r="743" spans="3:27">
      <c r="C743" s="3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Z743" s="28"/>
      <c r="AA743" s="28"/>
    </row>
    <row r="744" spans="3:27">
      <c r="C744" s="3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Z744" s="28"/>
      <c r="AA744" s="28"/>
    </row>
    <row r="745" spans="3:27">
      <c r="C745" s="3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Z745" s="28"/>
      <c r="AA745" s="28"/>
    </row>
    <row r="746" spans="3:27">
      <c r="C746" s="3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Z746" s="28"/>
      <c r="AA746" s="28"/>
    </row>
    <row r="747" spans="3:27">
      <c r="C747" s="3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Z747" s="28"/>
      <c r="AA747" s="28"/>
    </row>
    <row r="748" spans="3:27">
      <c r="C748" s="3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Z748" s="28"/>
      <c r="AA748" s="28"/>
    </row>
    <row r="749" spans="3:27">
      <c r="C749" s="3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Z749" s="28"/>
      <c r="AA749" s="28"/>
    </row>
    <row r="750" spans="3:27">
      <c r="C750" s="3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Z750" s="28"/>
      <c r="AA750" s="28"/>
    </row>
    <row r="751" spans="3:27">
      <c r="C751" s="3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Z751" s="28"/>
      <c r="AA751" s="28"/>
    </row>
    <row r="752" spans="3:27">
      <c r="C752" s="3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Z752" s="28"/>
      <c r="AA752" s="28"/>
    </row>
    <row r="753" spans="3:27">
      <c r="C753" s="3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Z753" s="28"/>
      <c r="AA753" s="28"/>
    </row>
    <row r="754" spans="3:27">
      <c r="C754" s="3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Z754" s="28"/>
      <c r="AA754" s="28"/>
    </row>
    <row r="755" spans="3:27">
      <c r="C755" s="3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Z755" s="28"/>
      <c r="AA755" s="28"/>
    </row>
    <row r="756" spans="3:27">
      <c r="C756" s="3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Z756" s="28"/>
      <c r="AA756" s="28"/>
    </row>
    <row r="757" spans="3:27">
      <c r="C757" s="3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Z757" s="28"/>
      <c r="AA757" s="28"/>
    </row>
    <row r="758" spans="3:27">
      <c r="C758" s="3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Z758" s="28"/>
      <c r="AA758" s="28"/>
    </row>
    <row r="759" spans="3:27">
      <c r="C759" s="3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Z759" s="28"/>
      <c r="AA759" s="28"/>
    </row>
    <row r="760" spans="3:27">
      <c r="C760" s="3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Z760" s="28"/>
      <c r="AA760" s="28"/>
    </row>
    <row r="761" spans="3:27">
      <c r="C761" s="3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Z761" s="28"/>
      <c r="AA761" s="28"/>
    </row>
    <row r="762" spans="3:27">
      <c r="C762" s="3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Z762" s="28"/>
      <c r="AA762" s="28"/>
    </row>
    <row r="763" spans="3:27">
      <c r="C763" s="3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Z763" s="28"/>
      <c r="AA763" s="28"/>
    </row>
    <row r="764" spans="3:27">
      <c r="C764" s="3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Z764" s="28"/>
      <c r="AA764" s="28"/>
    </row>
    <row r="765" spans="3:27">
      <c r="C765" s="3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Z765" s="28"/>
      <c r="AA765" s="28"/>
    </row>
    <row r="766" spans="3:27">
      <c r="C766" s="3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Z766" s="28"/>
      <c r="AA766" s="28"/>
    </row>
    <row r="767" spans="3:27">
      <c r="C767" s="3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Z767" s="28"/>
      <c r="AA767" s="28"/>
    </row>
    <row r="768" spans="3:27">
      <c r="C768" s="3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Z768" s="28"/>
      <c r="AA768" s="28"/>
    </row>
    <row r="769" spans="3:27">
      <c r="C769" s="3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Z769" s="28"/>
      <c r="AA769" s="28"/>
    </row>
    <row r="770" spans="3:27">
      <c r="C770" s="3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Z770" s="28"/>
      <c r="AA770" s="28"/>
    </row>
    <row r="771" spans="3:27">
      <c r="C771" s="3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Z771" s="28"/>
      <c r="AA771" s="28"/>
    </row>
    <row r="772" spans="3:27">
      <c r="C772" s="3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Z772" s="28"/>
      <c r="AA772" s="28"/>
    </row>
    <row r="773" spans="3:27">
      <c r="C773" s="3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Z773" s="28"/>
      <c r="AA773" s="28"/>
    </row>
    <row r="774" spans="3:27">
      <c r="C774" s="3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Z774" s="28"/>
      <c r="AA774" s="28"/>
    </row>
    <row r="775" spans="3:27">
      <c r="C775" s="3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Z775" s="28"/>
      <c r="AA775" s="28"/>
    </row>
    <row r="776" spans="3:27">
      <c r="C776" s="3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Z776" s="28"/>
      <c r="AA776" s="28"/>
    </row>
    <row r="777" spans="3:27">
      <c r="C777" s="3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Z777" s="28"/>
      <c r="AA777" s="28"/>
    </row>
    <row r="778" spans="3:27">
      <c r="C778" s="3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Z778" s="28"/>
      <c r="AA778" s="28"/>
    </row>
    <row r="779" spans="3:27">
      <c r="C779" s="3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Z779" s="28"/>
      <c r="AA779" s="28"/>
    </row>
    <row r="780" spans="3:27">
      <c r="C780" s="3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Z780" s="28"/>
      <c r="AA780" s="28"/>
    </row>
    <row r="781" spans="3:27">
      <c r="C781" s="3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Z781" s="28"/>
      <c r="AA781" s="28"/>
    </row>
    <row r="782" spans="3:27">
      <c r="C782" s="3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Z782" s="28"/>
      <c r="AA782" s="28"/>
    </row>
    <row r="783" spans="3:27">
      <c r="C783" s="3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Z783" s="28"/>
      <c r="AA783" s="28"/>
    </row>
    <row r="784" spans="3:27">
      <c r="C784" s="3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Z784" s="28"/>
      <c r="AA784" s="28"/>
    </row>
    <row r="785" spans="3:27">
      <c r="C785" s="3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Z785" s="28"/>
      <c r="AA785" s="28"/>
    </row>
    <row r="786" spans="3:27">
      <c r="C786" s="3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Z786" s="28"/>
      <c r="AA786" s="28"/>
    </row>
    <row r="787" spans="3:27">
      <c r="C787" s="3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Z787" s="28"/>
      <c r="AA787" s="28"/>
    </row>
    <row r="788" spans="3:27">
      <c r="C788" s="3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Z788" s="28"/>
      <c r="AA788" s="28"/>
    </row>
    <row r="789" spans="3:27">
      <c r="C789" s="3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Z789" s="28"/>
      <c r="AA789" s="28"/>
    </row>
    <row r="790" spans="3:27">
      <c r="C790" s="3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Z790" s="28"/>
      <c r="AA790" s="28"/>
    </row>
    <row r="791" spans="3:27">
      <c r="C791" s="3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Z791" s="28"/>
      <c r="AA791" s="28"/>
    </row>
    <row r="792" spans="3:27">
      <c r="C792" s="3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Z792" s="28"/>
      <c r="AA792" s="28"/>
    </row>
    <row r="793" spans="3:27">
      <c r="C793" s="3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Z793" s="28"/>
      <c r="AA793" s="28"/>
    </row>
    <row r="794" spans="3:27">
      <c r="C794" s="3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Z794" s="28"/>
      <c r="AA794" s="28"/>
    </row>
    <row r="795" spans="3:27">
      <c r="C795" s="3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Z795" s="28"/>
      <c r="AA795" s="28"/>
    </row>
    <row r="796" spans="3:27">
      <c r="C796" s="3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Z796" s="28"/>
      <c r="AA796" s="28"/>
    </row>
    <row r="797" spans="3:27">
      <c r="C797" s="3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Z797" s="28"/>
      <c r="AA797" s="28"/>
    </row>
    <row r="798" spans="3:27">
      <c r="C798" s="3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Z798" s="28"/>
      <c r="AA798" s="28"/>
    </row>
    <row r="799" spans="3:27">
      <c r="C799" s="3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Z799" s="28"/>
      <c r="AA799" s="28"/>
    </row>
    <row r="800" spans="3:27">
      <c r="C800" s="3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Z800" s="28"/>
      <c r="AA800" s="28"/>
    </row>
    <row r="801" spans="3:27">
      <c r="C801" s="3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Z801" s="28"/>
      <c r="AA801" s="28"/>
    </row>
    <row r="802" spans="3:27">
      <c r="C802" s="3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Z802" s="28"/>
      <c r="AA802" s="28"/>
    </row>
    <row r="803" spans="3:27">
      <c r="C803" s="3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Z803" s="28"/>
      <c r="AA803" s="28"/>
    </row>
    <row r="804" spans="3:27">
      <c r="C804" s="3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Z804" s="28"/>
      <c r="AA804" s="28"/>
    </row>
    <row r="805" spans="3:27">
      <c r="C805" s="3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Z805" s="28"/>
      <c r="AA805" s="28"/>
    </row>
    <row r="806" spans="3:27">
      <c r="C806" s="3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Z806" s="28"/>
      <c r="AA806" s="28"/>
    </row>
    <row r="807" spans="3:27">
      <c r="C807" s="3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Z807" s="28"/>
      <c r="AA807" s="28"/>
    </row>
    <row r="808" spans="3:27">
      <c r="C808" s="3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Z808" s="28"/>
      <c r="AA808" s="28"/>
    </row>
    <row r="809" spans="3:27">
      <c r="C809" s="3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Z809" s="28"/>
      <c r="AA809" s="28"/>
    </row>
    <row r="810" spans="3:27">
      <c r="C810" s="3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Z810" s="28"/>
      <c r="AA810" s="28"/>
    </row>
    <row r="811" spans="3:27">
      <c r="C811" s="3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Z811" s="28"/>
      <c r="AA811" s="28"/>
    </row>
    <row r="812" spans="3:27">
      <c r="C812" s="3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Z812" s="28"/>
      <c r="AA812" s="28"/>
    </row>
    <row r="813" spans="3:27">
      <c r="C813" s="3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Z813" s="28"/>
      <c r="AA813" s="28"/>
    </row>
    <row r="814" spans="3:27">
      <c r="C814" s="3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Z814" s="28"/>
      <c r="AA814" s="28"/>
    </row>
    <row r="815" spans="3:27">
      <c r="C815" s="3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Z815" s="28"/>
      <c r="AA815" s="28"/>
    </row>
    <row r="816" spans="3:27">
      <c r="C816" s="3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Z816" s="28"/>
      <c r="AA816" s="28"/>
    </row>
    <row r="817" spans="3:27">
      <c r="C817" s="3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Z817" s="28"/>
      <c r="AA817" s="28"/>
    </row>
    <row r="818" spans="3:27">
      <c r="C818" s="3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Z818" s="28"/>
      <c r="AA818" s="28"/>
    </row>
    <row r="819" spans="3:27">
      <c r="C819" s="3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Z819" s="28"/>
      <c r="AA819" s="28"/>
    </row>
    <row r="820" spans="3:27">
      <c r="C820" s="3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Z820" s="28"/>
      <c r="AA820" s="28"/>
    </row>
    <row r="821" spans="3:27">
      <c r="C821" s="3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Z821" s="28"/>
      <c r="AA821" s="28"/>
    </row>
    <row r="822" spans="3:27">
      <c r="C822" s="3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Z822" s="28"/>
      <c r="AA822" s="28"/>
    </row>
    <row r="823" spans="3:27">
      <c r="C823" s="3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Z823" s="28"/>
      <c r="AA823" s="28"/>
    </row>
    <row r="824" spans="3:27">
      <c r="C824" s="3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Z824" s="28"/>
      <c r="AA824" s="28"/>
    </row>
    <row r="825" spans="3:27">
      <c r="C825" s="3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Z825" s="28"/>
      <c r="AA825" s="28"/>
    </row>
    <row r="826" spans="3:27">
      <c r="C826" s="3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Z826" s="28"/>
      <c r="AA826" s="28"/>
    </row>
    <row r="827" spans="3:27">
      <c r="C827" s="3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Z827" s="28"/>
      <c r="AA827" s="28"/>
    </row>
    <row r="828" spans="3:27">
      <c r="C828" s="3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Z828" s="28"/>
      <c r="AA828" s="28"/>
    </row>
    <row r="829" spans="3:27">
      <c r="C829" s="3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Z829" s="28"/>
      <c r="AA829" s="28"/>
    </row>
    <row r="830" spans="3:27">
      <c r="C830" s="3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Z830" s="28"/>
      <c r="AA830" s="28"/>
    </row>
    <row r="831" spans="3:27">
      <c r="C831" s="3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Z831" s="28"/>
      <c r="AA831" s="28"/>
    </row>
    <row r="832" spans="3:27">
      <c r="C832" s="3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Z832" s="28"/>
      <c r="AA832" s="28"/>
    </row>
    <row r="833" spans="3:27">
      <c r="C833" s="3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Z833" s="28"/>
      <c r="AA833" s="28"/>
    </row>
    <row r="834" spans="3:27">
      <c r="C834" s="3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Z834" s="28"/>
      <c r="AA834" s="28"/>
    </row>
    <row r="835" spans="3:27">
      <c r="C835" s="3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Z835" s="28"/>
      <c r="AA835" s="28"/>
    </row>
    <row r="836" spans="3:27">
      <c r="C836" s="3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Z836" s="28"/>
      <c r="AA836" s="28"/>
    </row>
    <row r="837" spans="3:27">
      <c r="C837" s="3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Z837" s="28"/>
      <c r="AA837" s="28"/>
    </row>
    <row r="838" spans="3:27">
      <c r="C838" s="3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Z838" s="28"/>
      <c r="AA838" s="28"/>
    </row>
    <row r="839" spans="3:27">
      <c r="C839" s="3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Z839" s="28"/>
      <c r="AA839" s="28"/>
    </row>
    <row r="840" spans="3:27">
      <c r="C840" s="3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Z840" s="28"/>
      <c r="AA840" s="28"/>
    </row>
    <row r="841" spans="3:27">
      <c r="C841" s="3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Z841" s="28"/>
      <c r="AA841" s="28"/>
    </row>
    <row r="842" spans="3:27">
      <c r="C842" s="3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Z842" s="28"/>
      <c r="AA842" s="28"/>
    </row>
    <row r="843" spans="3:27">
      <c r="C843" s="3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Z843" s="28"/>
      <c r="AA843" s="28"/>
    </row>
    <row r="844" spans="3:27">
      <c r="C844" s="3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Z844" s="28"/>
      <c r="AA844" s="28"/>
    </row>
    <row r="845" spans="3:27">
      <c r="C845" s="3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Z845" s="28"/>
      <c r="AA845" s="28"/>
    </row>
    <row r="846" spans="3:27">
      <c r="C846" s="3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Z846" s="28"/>
      <c r="AA846" s="28"/>
    </row>
    <row r="847" spans="3:27">
      <c r="C847" s="3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Z847" s="28"/>
      <c r="AA847" s="28"/>
    </row>
    <row r="848" spans="3:27">
      <c r="C848" s="3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Z848" s="28"/>
      <c r="AA848" s="28"/>
    </row>
    <row r="849" spans="3:27">
      <c r="C849" s="3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Z849" s="28"/>
      <c r="AA849" s="28"/>
    </row>
    <row r="850" spans="3:27">
      <c r="C850" s="3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Z850" s="28"/>
      <c r="AA850" s="28"/>
    </row>
    <row r="851" spans="3:27">
      <c r="C851" s="3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Z851" s="28"/>
      <c r="AA851" s="28"/>
    </row>
    <row r="852" spans="3:27">
      <c r="C852" s="3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Z852" s="28"/>
      <c r="AA852" s="28"/>
    </row>
    <row r="853" spans="3:27">
      <c r="C853" s="3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Z853" s="28"/>
      <c r="AA853" s="28"/>
    </row>
    <row r="854" spans="3:27">
      <c r="C854" s="3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Z854" s="28"/>
      <c r="AA854" s="28"/>
    </row>
    <row r="855" spans="3:27">
      <c r="C855" s="3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Z855" s="28"/>
      <c r="AA855" s="28"/>
    </row>
    <row r="856" spans="3:27">
      <c r="C856" s="3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Z856" s="28"/>
      <c r="AA856" s="28"/>
    </row>
    <row r="857" spans="3:27">
      <c r="C857" s="3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Z857" s="28"/>
      <c r="AA857" s="28"/>
    </row>
    <row r="858" spans="3:27">
      <c r="C858" s="3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Z858" s="28"/>
      <c r="AA858" s="28"/>
    </row>
    <row r="859" spans="3:27">
      <c r="C859" s="3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Z859" s="28"/>
      <c r="AA859" s="28"/>
    </row>
    <row r="860" spans="3:27">
      <c r="C860" s="3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Z860" s="28"/>
      <c r="AA860" s="28"/>
    </row>
    <row r="861" spans="3:27">
      <c r="C861" s="3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Z861" s="28"/>
      <c r="AA861" s="28"/>
    </row>
    <row r="862" spans="3:27">
      <c r="C862" s="3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Z862" s="28"/>
      <c r="AA862" s="28"/>
    </row>
    <row r="863" spans="3:27">
      <c r="C863" s="3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Z863" s="28"/>
      <c r="AA863" s="28"/>
    </row>
    <row r="864" spans="3:27">
      <c r="C864" s="3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Z864" s="28"/>
      <c r="AA864" s="28"/>
    </row>
    <row r="865" spans="3:27">
      <c r="C865" s="3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Z865" s="28"/>
      <c r="AA865" s="28"/>
    </row>
    <row r="866" spans="3:27">
      <c r="C866" s="3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Z866" s="28"/>
      <c r="AA866" s="28"/>
    </row>
    <row r="867" spans="3:27">
      <c r="C867" s="3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Z867" s="28"/>
      <c r="AA867" s="28"/>
    </row>
    <row r="868" spans="3:27">
      <c r="C868" s="3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Z868" s="28"/>
      <c r="AA868" s="28"/>
    </row>
    <row r="869" spans="3:27">
      <c r="C869" s="3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Z869" s="28"/>
      <c r="AA869" s="28"/>
    </row>
    <row r="870" spans="3:27">
      <c r="C870" s="3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Z870" s="28"/>
      <c r="AA870" s="28"/>
    </row>
    <row r="871" spans="3:27">
      <c r="C871" s="3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Z871" s="28"/>
      <c r="AA871" s="28"/>
    </row>
    <row r="872" spans="3:27">
      <c r="C872" s="3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Z872" s="28"/>
      <c r="AA872" s="28"/>
    </row>
    <row r="873" spans="3:27">
      <c r="C873" s="3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Z873" s="28"/>
      <c r="AA873" s="28"/>
    </row>
    <row r="874" spans="3:27">
      <c r="C874" s="3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Z874" s="28"/>
      <c r="AA874" s="28"/>
    </row>
    <row r="875" spans="3:27">
      <c r="C875" s="3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Z875" s="28"/>
      <c r="AA875" s="28"/>
    </row>
    <row r="876" spans="3:27">
      <c r="C876" s="3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Z876" s="28"/>
      <c r="AA876" s="28"/>
    </row>
    <row r="877" spans="3:27">
      <c r="C877" s="3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Z877" s="28"/>
      <c r="AA877" s="28"/>
    </row>
    <row r="878" spans="3:27">
      <c r="C878" s="3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Z878" s="28"/>
      <c r="AA878" s="28"/>
    </row>
    <row r="879" spans="3:27">
      <c r="C879" s="3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Z879" s="28"/>
      <c r="AA879" s="28"/>
    </row>
    <row r="880" spans="3:27">
      <c r="C880" s="3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Z880" s="28"/>
      <c r="AA880" s="28"/>
    </row>
    <row r="881" spans="3:27">
      <c r="C881" s="3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Z881" s="28"/>
      <c r="AA881" s="28"/>
    </row>
    <row r="882" spans="3:27">
      <c r="C882" s="3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Z882" s="28"/>
      <c r="AA882" s="28"/>
    </row>
    <row r="883" spans="3:27">
      <c r="C883" s="3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Z883" s="28"/>
      <c r="AA883" s="28"/>
    </row>
    <row r="884" spans="3:27">
      <c r="C884" s="3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Z884" s="28"/>
      <c r="AA884" s="28"/>
    </row>
    <row r="885" spans="3:27">
      <c r="C885" s="3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Z885" s="28"/>
      <c r="AA885" s="28"/>
    </row>
    <row r="886" spans="3:27">
      <c r="C886" s="3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Z886" s="28"/>
      <c r="AA886" s="28"/>
    </row>
    <row r="887" spans="3:27">
      <c r="C887" s="3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Z887" s="28"/>
      <c r="AA887" s="28"/>
    </row>
    <row r="888" spans="3:27">
      <c r="C888" s="3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Z888" s="28"/>
      <c r="AA888" s="28"/>
    </row>
    <row r="889" spans="3:27">
      <c r="C889" s="3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Z889" s="28"/>
      <c r="AA889" s="28"/>
    </row>
    <row r="890" spans="3:27">
      <c r="C890" s="3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Z890" s="28"/>
      <c r="AA890" s="28"/>
    </row>
    <row r="891" spans="3:27">
      <c r="C891" s="3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Z891" s="28"/>
      <c r="AA891" s="28"/>
    </row>
    <row r="892" spans="3:27">
      <c r="C892" s="3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Z892" s="28"/>
      <c r="AA892" s="28"/>
    </row>
    <row r="893" spans="3:27">
      <c r="C893" s="3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Z893" s="28"/>
      <c r="AA893" s="28"/>
    </row>
    <row r="894" spans="3:27">
      <c r="C894" s="3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Z894" s="28"/>
      <c r="AA894" s="28"/>
    </row>
    <row r="895" spans="3:27">
      <c r="C895" s="3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Z895" s="28"/>
      <c r="AA895" s="28"/>
    </row>
    <row r="896" spans="3:27">
      <c r="C896" s="3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Z896" s="28"/>
      <c r="AA896" s="28"/>
    </row>
    <row r="897" spans="3:27">
      <c r="C897" s="3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Z897" s="28"/>
      <c r="AA897" s="28"/>
    </row>
    <row r="898" spans="3:27">
      <c r="C898" s="3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Z898" s="28"/>
      <c r="AA898" s="28"/>
    </row>
    <row r="899" spans="3:27">
      <c r="C899" s="3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Z899" s="28"/>
      <c r="AA899" s="28"/>
    </row>
    <row r="900" spans="3:27">
      <c r="C900" s="3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Z900" s="28"/>
      <c r="AA900" s="28"/>
    </row>
    <row r="901" spans="3:27">
      <c r="C901" s="3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Z901" s="28"/>
      <c r="AA901" s="28"/>
    </row>
    <row r="902" spans="3:27">
      <c r="C902" s="3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Z902" s="28"/>
      <c r="AA902" s="28"/>
    </row>
    <row r="903" spans="3:27">
      <c r="C903" s="3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Z903" s="28"/>
      <c r="AA903" s="28"/>
    </row>
    <row r="904" spans="3:27">
      <c r="C904" s="3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Z904" s="28"/>
      <c r="AA904" s="28"/>
    </row>
    <row r="905" spans="3:27">
      <c r="C905" s="3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Z905" s="28"/>
      <c r="AA905" s="28"/>
    </row>
    <row r="906" spans="3:27">
      <c r="C906" s="3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Z906" s="28"/>
      <c r="AA906" s="28"/>
    </row>
    <row r="907" spans="3:27">
      <c r="C907" s="3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Z907" s="28"/>
      <c r="AA907" s="28"/>
    </row>
    <row r="908" spans="3:27">
      <c r="C908" s="3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Z908" s="28"/>
      <c r="AA908" s="28"/>
    </row>
    <row r="909" spans="3:27">
      <c r="C909" s="3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Z909" s="28"/>
      <c r="AA909" s="28"/>
    </row>
    <row r="910" spans="3:27">
      <c r="C910" s="3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Z910" s="28"/>
      <c r="AA910" s="28"/>
    </row>
    <row r="911" spans="3:27">
      <c r="C911" s="3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Z911" s="28"/>
      <c r="AA911" s="28"/>
    </row>
    <row r="912" spans="3:27">
      <c r="C912" s="3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Z912" s="28"/>
      <c r="AA912" s="28"/>
    </row>
    <row r="913" spans="3:27">
      <c r="C913" s="3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Z913" s="28"/>
      <c r="AA913" s="28"/>
    </row>
    <row r="914" spans="3:27">
      <c r="C914" s="3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Z914" s="28"/>
      <c r="AA914" s="28"/>
    </row>
    <row r="915" spans="3:27">
      <c r="C915" s="3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Z915" s="28"/>
      <c r="AA915" s="28"/>
    </row>
    <row r="916" spans="3:27"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Z916" s="28"/>
      <c r="AA916" s="28"/>
    </row>
    <row r="917" spans="3:27"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Z917" s="28"/>
      <c r="AA917" s="28"/>
    </row>
    <row r="918" spans="3:27"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Z918" s="28"/>
      <c r="AA918" s="28"/>
    </row>
    <row r="919" spans="3:27"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Z919" s="28"/>
      <c r="AA919" s="28"/>
    </row>
    <row r="920" spans="3:27"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Z920" s="28"/>
      <c r="AA920" s="28"/>
    </row>
    <row r="921" spans="3:27"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Z921" s="28"/>
      <c r="AA921" s="28"/>
    </row>
    <row r="922" spans="3:27"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Z922" s="28"/>
      <c r="AA922" s="28"/>
    </row>
    <row r="923" spans="3:27"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Z923" s="28"/>
      <c r="AA923" s="28"/>
    </row>
    <row r="924" spans="3:27"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Z924" s="28"/>
      <c r="AA924" s="28"/>
    </row>
    <row r="925" spans="3:27"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Z925" s="28"/>
      <c r="AA925" s="28"/>
    </row>
    <row r="926" spans="3:27"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Z926" s="28"/>
      <c r="AA926" s="28"/>
    </row>
    <row r="927" spans="3:27"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Z927" s="28"/>
      <c r="AA927" s="28"/>
    </row>
    <row r="928" spans="3:27"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Z928" s="28"/>
      <c r="AA928" s="28"/>
    </row>
    <row r="929" spans="4:27"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Z929" s="28"/>
      <c r="AA929" s="28"/>
    </row>
    <row r="930" spans="4:27"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Z930" s="28"/>
      <c r="AA930" s="28"/>
    </row>
    <row r="931" spans="4:27"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Z931" s="28"/>
      <c r="AA931" s="28"/>
    </row>
    <row r="932" spans="4:27"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Z932" s="28"/>
      <c r="AA932" s="28"/>
    </row>
    <row r="933" spans="4:27"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Z933" s="28"/>
      <c r="AA933" s="28"/>
    </row>
    <row r="934" spans="4:27"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Z934" s="28"/>
      <c r="AA934" s="28"/>
    </row>
    <row r="935" spans="4:27"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Z935" s="28"/>
      <c r="AA935" s="28"/>
    </row>
    <row r="936" spans="4:27"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Z936" s="28"/>
      <c r="AA936" s="28"/>
    </row>
    <row r="937" spans="4:27"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Z937" s="28"/>
      <c r="AA937" s="28"/>
    </row>
    <row r="938" spans="4:27"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Z938" s="28"/>
      <c r="AA938" s="28"/>
    </row>
    <row r="939" spans="4:27"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Z939" s="28"/>
      <c r="AA939" s="28"/>
    </row>
    <row r="940" spans="4:27"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Z940" s="28"/>
      <c r="AA940" s="28"/>
    </row>
    <row r="941" spans="4:27"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Z941" s="28"/>
      <c r="AA941" s="28"/>
    </row>
  </sheetData>
  <mergeCells count="3">
    <mergeCell ref="B4:C4"/>
    <mergeCell ref="B2:C2"/>
    <mergeCell ref="E2:F2"/>
  </mergeCells>
  <conditionalFormatting sqref="W5:AW17">
    <cfRule type="expression" dxfId="8996" priority="7">
      <formula>AND(($W5=$AW5),($W5&lt;&gt;""))</formula>
    </cfRule>
    <cfRule type="expression" dxfId="8995" priority="8">
      <formula>$AW5=""</formula>
    </cfRule>
    <cfRule type="expression" dxfId="8994" priority="9">
      <formula>$AW5=0</formula>
    </cfRule>
  </conditionalFormatting>
  <dataValidations count="2">
    <dataValidation type="list" allowBlank="1" showInputMessage="1" showErrorMessage="1" sqref="G2" xr:uid="{00000000-0002-0000-0000-000000000000}">
      <formula1>Semestres</formula1>
    </dataValidation>
    <dataValidation type="list" allowBlank="1" showInputMessage="1" showErrorMessage="1" sqref="D2" xr:uid="{00000000-0002-0000-0000-000001000000}">
      <formula1>Carreras</formula1>
    </dataValidation>
  </dataValidations>
  <pageMargins left="0.7" right="0.7" top="0.75" bottom="0.75" header="0" footer="0"/>
  <pageSetup scal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as_grupo">
                <anchor moveWithCells="1" sizeWithCells="1">
                  <from>
                    <xdr:col>7</xdr:col>
                    <xdr:colOff>482600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HM512"/>
  <sheetViews>
    <sheetView tabSelected="1" topLeftCell="O198" zoomScaleNormal="100" workbookViewId="0">
      <selection activeCell="W3" sqref="W3:W225"/>
    </sheetView>
  </sheetViews>
  <sheetFormatPr baseColWidth="10" defaultColWidth="9.1640625" defaultRowHeight="13"/>
  <cols>
    <col min="1" max="1" width="2.6640625" style="85" customWidth="1"/>
    <col min="2" max="2" width="46.33203125" style="85" customWidth="1"/>
    <col min="3" max="3" width="43.83203125" customWidth="1"/>
    <col min="4" max="4" width="6.1640625" style="85" customWidth="1"/>
    <col min="5" max="5" width="13.5" style="85" customWidth="1"/>
    <col min="6" max="6" width="11.83203125" style="85" customWidth="1"/>
    <col min="7" max="7" width="13.83203125" style="85" customWidth="1"/>
    <col min="8" max="8" width="18.1640625" style="85" customWidth="1"/>
    <col min="9" max="9" width="8.5" style="85" customWidth="1"/>
    <col min="10" max="10" width="5.6640625" style="85" customWidth="1"/>
    <col min="11" max="11" width="9.33203125" style="85" customWidth="1"/>
    <col min="12" max="12" width="10.6640625" style="85" customWidth="1"/>
    <col min="13" max="13" width="7.1640625" style="85" customWidth="1"/>
    <col min="14" max="14" width="7.5" style="85" customWidth="1"/>
    <col min="15" max="15" width="44.5" style="85" customWidth="1"/>
    <col min="16" max="16" width="6.33203125" style="84" customWidth="1"/>
    <col min="17" max="17" width="7.33203125" style="84" customWidth="1"/>
    <col min="18" max="18" width="6.5" style="84" customWidth="1"/>
    <col min="19" max="19" width="5.5" style="84" customWidth="1"/>
    <col min="20" max="20" width="4.5" style="84" customWidth="1"/>
    <col min="21" max="21" width="5.83203125" style="84" customWidth="1"/>
    <col min="22" max="22" width="4.1640625" style="84" customWidth="1"/>
    <col min="23" max="23" width="6.1640625" style="84" customWidth="1"/>
    <col min="24" max="24" width="13" style="85" customWidth="1"/>
    <col min="25" max="25" width="14.83203125" style="85" customWidth="1"/>
    <col min="26" max="26" width="14.5" style="85" customWidth="1"/>
    <col min="27" max="27" width="15" style="85" customWidth="1"/>
    <col min="28" max="28" width="12.5" style="85" customWidth="1"/>
    <col min="29" max="29" width="4.6640625" style="85" customWidth="1"/>
    <col min="30" max="30" width="6" style="85" customWidth="1"/>
    <col min="31" max="31" width="6.5" style="85" customWidth="1"/>
    <col min="32" max="32" width="8.6640625" style="85" customWidth="1"/>
    <col min="33" max="33" width="6.33203125" style="85" customWidth="1"/>
    <col min="34" max="34" width="5.1640625" style="85" customWidth="1"/>
    <col min="35" max="35" width="9.83203125" style="85" customWidth="1"/>
    <col min="36" max="36" width="8.33203125" style="85" customWidth="1"/>
    <col min="37" max="37" width="6" style="85" customWidth="1"/>
    <col min="38" max="38" width="9" style="85" customWidth="1"/>
    <col min="39" max="39" width="7.5" style="85" customWidth="1"/>
    <col min="40" max="40" width="6.5" style="85" customWidth="1"/>
    <col min="41" max="41" width="6.33203125" style="85" customWidth="1"/>
    <col min="42" max="42" width="6.5" style="85" customWidth="1"/>
    <col min="43" max="43" width="7.5" style="85" customWidth="1"/>
    <col min="44" max="44" width="9" style="85" customWidth="1"/>
    <col min="45" max="45" width="8.6640625" style="85" customWidth="1"/>
    <col min="46" max="46" width="7.83203125" style="85" customWidth="1"/>
    <col min="47" max="47" width="9" style="85" customWidth="1"/>
    <col min="48" max="48" width="11" style="85" customWidth="1"/>
    <col min="49" max="49" width="83.83203125" style="85" customWidth="1"/>
    <col min="50" max="50" width="25.1640625" style="85" customWidth="1"/>
    <col min="51" max="52" width="10.6640625" style="85" customWidth="1"/>
    <col min="53" max="16384" width="9.1640625" style="85"/>
  </cols>
  <sheetData>
    <row r="1" spans="1:221" s="6" customFormat="1" ht="14">
      <c r="C1" s="1"/>
    </row>
    <row r="2" spans="1:221" s="6" customFormat="1" ht="104">
      <c r="B2" s="73" t="s">
        <v>19</v>
      </c>
      <c r="C2" s="93" t="s">
        <v>20</v>
      </c>
      <c r="D2" s="74" t="s">
        <v>21</v>
      </c>
      <c r="E2" s="75" t="s">
        <v>22</v>
      </c>
      <c r="F2" s="76" t="s">
        <v>23</v>
      </c>
      <c r="G2" s="73" t="s">
        <v>24</v>
      </c>
      <c r="H2" s="73" t="s">
        <v>0</v>
      </c>
      <c r="I2" s="77" t="s">
        <v>25</v>
      </c>
      <c r="J2" s="77" t="s">
        <v>26</v>
      </c>
      <c r="K2" s="92" t="s">
        <v>27</v>
      </c>
      <c r="L2" s="92" t="s">
        <v>28</v>
      </c>
      <c r="M2" s="92" t="s">
        <v>29</v>
      </c>
      <c r="N2" s="92" t="s">
        <v>30</v>
      </c>
      <c r="O2" s="73" t="s">
        <v>4</v>
      </c>
      <c r="P2" s="172" t="s">
        <v>31</v>
      </c>
      <c r="Q2" s="173" t="s">
        <v>32</v>
      </c>
      <c r="R2" s="172" t="s">
        <v>33</v>
      </c>
      <c r="S2" s="173" t="s">
        <v>34</v>
      </c>
      <c r="T2" s="172" t="s">
        <v>35</v>
      </c>
      <c r="U2" s="172" t="s">
        <v>9</v>
      </c>
      <c r="V2" s="172" t="s">
        <v>36</v>
      </c>
      <c r="W2" s="172" t="s">
        <v>37</v>
      </c>
      <c r="X2" s="77" t="s">
        <v>38</v>
      </c>
      <c r="Y2" s="77" t="s">
        <v>39</v>
      </c>
      <c r="Z2" s="74" t="s">
        <v>40</v>
      </c>
      <c r="AA2" s="77" t="s">
        <v>41</v>
      </c>
      <c r="AB2" s="74" t="s">
        <v>42</v>
      </c>
      <c r="AC2" s="74" t="s">
        <v>43</v>
      </c>
      <c r="AD2" s="74" t="s">
        <v>44</v>
      </c>
      <c r="AE2" s="78" t="s">
        <v>45</v>
      </c>
      <c r="AF2" s="79" t="s">
        <v>46</v>
      </c>
      <c r="AG2" s="78" t="s">
        <v>47</v>
      </c>
      <c r="AH2" s="79" t="s">
        <v>48</v>
      </c>
      <c r="AI2" s="78" t="s">
        <v>49</v>
      </c>
      <c r="AJ2" s="79" t="s">
        <v>50</v>
      </c>
      <c r="AK2" s="78" t="s">
        <v>13</v>
      </c>
      <c r="AL2" s="74" t="s">
        <v>51</v>
      </c>
      <c r="AM2" s="80" t="s">
        <v>52</v>
      </c>
      <c r="AN2" s="80" t="s">
        <v>53</v>
      </c>
      <c r="AO2" s="74" t="s">
        <v>17</v>
      </c>
      <c r="AP2" s="81" t="s">
        <v>54</v>
      </c>
      <c r="AQ2" s="81" t="s">
        <v>55</v>
      </c>
      <c r="AR2" s="81" t="s">
        <v>56</v>
      </c>
      <c r="AS2" s="81" t="s">
        <v>57</v>
      </c>
      <c r="AT2" s="81" t="s">
        <v>58</v>
      </c>
      <c r="AU2" s="81" t="s">
        <v>59</v>
      </c>
      <c r="AV2" s="81" t="s">
        <v>60</v>
      </c>
      <c r="AW2" s="82" t="s">
        <v>61</v>
      </c>
      <c r="AX2" s="82" t="s">
        <v>62</v>
      </c>
    </row>
    <row r="3" spans="1:221" s="160" customFormat="1" ht="15">
      <c r="A3" s="6"/>
      <c r="B3" s="148" t="s">
        <v>63</v>
      </c>
      <c r="C3" s="149" t="s">
        <v>64</v>
      </c>
      <c r="D3" s="150">
        <v>1</v>
      </c>
      <c r="E3" s="151">
        <v>0.79166666666666696</v>
      </c>
      <c r="F3" s="151">
        <v>0.91666666666665697</v>
      </c>
      <c r="G3" s="218" t="s">
        <v>65</v>
      </c>
      <c r="H3" s="215" t="s">
        <v>66</v>
      </c>
      <c r="I3" s="150">
        <f>INDEX(Aulas_capacidad,MATCH(base_de_datos[[#This Row],[Aula]],Aulas,0),2)</f>
        <v>0</v>
      </c>
      <c r="J3" s="175">
        <v>8</v>
      </c>
      <c r="K3" s="150">
        <f>INDEX(Aulas_capacidad,MATCH(base_de_datos[[#This Row],[Aula]],Aulas,0),4)</f>
        <v>0</v>
      </c>
      <c r="L3" s="153">
        <f>base_de_datos[[#This Row],[Cap 1.5]]-base_de_datos[[#This Row],[Inscritos]]</f>
        <v>-8</v>
      </c>
      <c r="M3" s="153">
        <f>INDEX(Aulas_capacidad,MATCH(base_de_datos[[#This Row],[Aula]],Aulas,0),5)</f>
        <v>0</v>
      </c>
      <c r="N3" s="153">
        <f>base_de_datos[[#This Row],[Cap .90]]-base_de_datos[[#This Row],[Inscritos]]</f>
        <v>-8</v>
      </c>
      <c r="O3" s="150">
        <v>1556</v>
      </c>
      <c r="P3" s="154"/>
      <c r="Q3" s="154"/>
      <c r="R3" s="154"/>
      <c r="S3" s="154" t="s">
        <v>67</v>
      </c>
      <c r="T3" s="154"/>
      <c r="U3" s="154"/>
      <c r="V3" s="154" t="s">
        <v>67</v>
      </c>
      <c r="W3" s="154" t="s">
        <v>1650</v>
      </c>
      <c r="X3" s="174">
        <f>_xlfn.XLOOKUP(base_de_datos[[#This Row],[Materia]],Materias,Horas)/16</f>
        <v>3</v>
      </c>
      <c r="Y3" s="174">
        <f>ROUND(((base_de_datos[[#This Row],[Hora fin]]-base_de_datos[[#This Row],[Hora inicio]])*24)*(COUNTA(base_de_datos[[#This Row],[Lunes]:[Sábado]])),1)</f>
        <v>3</v>
      </c>
      <c r="Z3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" s="174">
        <f ca="1">IF(base_de_datos[[#This Row],[No clase]]=OFFSET(base_de_datos[[#This Row],[No clase]],-1,0),0,1)</f>
        <v>1</v>
      </c>
      <c r="AB3" s="174">
        <f ca="1">IF(NOT(OR(base_de_datos[[#This Row],[Horas totales]]=base_de_datos[[#This Row],[HT Plan]],base_de_datos[[#This Row],[Horas totales]]="N/A")),1,0)</f>
        <v>0</v>
      </c>
      <c r="AC3" s="174" t="str">
        <f>_xlfn.XLOOKUP(base_de_datos[[#This Row],[Profesor]],Nombre,Grado)</f>
        <v>L</v>
      </c>
      <c r="AD3" s="156" t="str">
        <f>_xlfn.XLOOKUP(base_de_datos[[#This Row],[Profesor]],Nombre,Tipo)</f>
        <v>TC</v>
      </c>
      <c r="AE3" s="174" t="str">
        <f>IF(IFERROR(VLOOKUP($C3,Planes_de_estudio[],MATCH($AE$2,Carreras,0)+2,0),"")&gt;0,IFERROR(VLOOKUP($C3,Planes_de_estudio[],MATCH($AE$2,Carreras,0)+2,0),""),"")</f>
        <v/>
      </c>
      <c r="AF3" s="174" t="str">
        <f>IF(IFERROR(VLOOKUP($C3,Planes_de_estudio[],MATCH($AF$2,Carreras,0)+2,0),"")&gt;0,IFERROR(VLOOKUP($C3,Planes_de_estudio[],MATCH($AF$2,Carreras,0)+2,0),""),"")</f>
        <v/>
      </c>
      <c r="AG3" s="174" t="str">
        <f>IF(IFERROR(VLOOKUP($C3,Planes_de_estudio[],MATCH($AG$2,Carreras,0)+2,0),"")&gt;0,IFERROR(VLOOKUP($C3,Planes_de_estudio[],MATCH($AG$2,Carreras,0)+2,0),""),"")</f>
        <v/>
      </c>
      <c r="AH3" s="174" t="str">
        <f>IF(IFERROR(VLOOKUP($C3,Planes_de_estudio[],MATCH($AH$2,Carreras,0)+2,0),"")&gt;0,IFERROR(VLOOKUP($C3,Planes_de_estudio[],MATCH($AH$2,Carreras,0)+2,0),""),"")</f>
        <v/>
      </c>
      <c r="AI3" s="174" t="str">
        <f>IF(IFERROR(VLOOKUP($C3,Planes_de_estudio[],MATCH($AI$2,Carreras,0)+2,0),"")&gt;0,IFERROR(VLOOKUP($C3,Planes_de_estudio[],MATCH($AI$2,Carreras,0)+2,0),""),"")</f>
        <v/>
      </c>
      <c r="AJ3" s="174">
        <f>IF(IFERROR(VLOOKUP($C3,Planes_de_estudio[],MATCH($AJ$2,Carreras,0)+2,0),"")&gt;0,IFERROR(VLOOKUP($C3,Planes_de_estudio[],MATCH($AJ$2,Carreras,0)+2,0),""),"")</f>
        <v>9</v>
      </c>
      <c r="AK3" s="174" t="str">
        <f>IF(IFERROR(VLOOKUP($C3,Planes_de_estudio[],MATCH($AK$2,Carreras,0)+2,0),"")&gt;0,IFERROR(VLOOKUP($C3,Planes_de_estudio[],MATCH($AK$2,Carreras,0)+2,0),""),"")</f>
        <v/>
      </c>
      <c r="AL3" s="17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3" s="174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3" s="174">
        <f>base_de_datos[[#This Row],[Pronóstico]]/25</f>
        <v>0.56000000000000005</v>
      </c>
      <c r="AO3" s="174" t="str">
        <f>VLOOKUP($C3,Planes_de_estudio[],2)</f>
        <v>ESC</v>
      </c>
      <c r="AP3" s="176" t="str">
        <f ca="1">IF(AND(base_de_datos[[#This Row],[Industrial]]&lt;&gt;"",base_de_datos[[#This Row],[Misma o no]]=1),base_de_datos[[#This Row],[Índice]],"")</f>
        <v/>
      </c>
      <c r="AQ3" s="176" t="str">
        <f ca="1">IF(AND(base_de_datos[[#This Row],[Mecatrónica]]&lt;&gt;"",base_de_datos[[#This Row],[Misma o no]]=1),base_de_datos[[#This Row],[Índice]],"")</f>
        <v/>
      </c>
      <c r="AR3" s="176" t="str">
        <f ca="1">IF(AND(base_de_datos[[#This Row],[Innovación y Diseño]]&lt;&gt;"",base_de_datos[[#This Row],[Misma o no]]=1),base_de_datos[[#This Row],[Índice]],"")</f>
        <v/>
      </c>
      <c r="AS3" s="176" t="str">
        <f ca="1">IF(AND(base_de_datos[[#This Row],[Inteligencia Artificial]]&lt;&gt;"",base_de_datos[[#This Row],[Misma o no]]=1),base_de_datos[[#This Row],[Índice]],"")</f>
        <v/>
      </c>
      <c r="AT3" s="176" t="str">
        <f ca="1">IF(AND(base_de_datos[[#This Row],[Tecnologías Energéticas]]&lt;&gt;"",base_de_datos[[#This Row],[Misma o no]]=1),base_de_datos[[#This Row],[Índice]],"")</f>
        <v/>
      </c>
      <c r="AU3" s="176">
        <f ca="1">IF(AND(base_de_datos[[#This Row],[Civil y Administración]]&lt;&gt;"",base_de_datos[[#This Row],[Misma o no]]=1),base_de_datos[[#This Row],[Índice]],"")</f>
        <v>1</v>
      </c>
      <c r="AV3" s="176" t="str">
        <f ca="1">IF(AND(base_de_datos[[#This Row],[Bioelectrónica]]&lt;&gt;"",base_de_datos[[#This Row],[Misma o no]]=1),base_de_datos[[#This Row],[Índice]],"")</f>
        <v/>
      </c>
      <c r="AW3" s="214" t="s">
        <v>68</v>
      </c>
      <c r="AX3" s="231" t="s">
        <v>1625</v>
      </c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</row>
    <row r="4" spans="1:221" s="6" customFormat="1" ht="15">
      <c r="B4" s="148" t="s">
        <v>63</v>
      </c>
      <c r="C4" s="149" t="s">
        <v>69</v>
      </c>
      <c r="D4" s="150">
        <v>1</v>
      </c>
      <c r="E4" s="151">
        <v>0.5</v>
      </c>
      <c r="F4" s="151">
        <v>0.624999999999995</v>
      </c>
      <c r="G4" s="218" t="s">
        <v>65</v>
      </c>
      <c r="H4" s="150" t="s">
        <v>70</v>
      </c>
      <c r="I4" s="150">
        <f>INDEX(Aulas_capacidad,MATCH(base_de_datos[[#This Row],[Aula]],Aulas,0),2)</f>
        <v>20</v>
      </c>
      <c r="J4" s="152">
        <v>11</v>
      </c>
      <c r="K4" s="150">
        <f>INDEX(Aulas_capacidad,MATCH(base_de_datos[[#This Row],[Aula]],Aulas,0),4)</f>
        <v>8</v>
      </c>
      <c r="L4" s="153">
        <f>base_de_datos[[#This Row],[Cap 1.5]]-base_de_datos[[#This Row],[Inscritos]]</f>
        <v>-3</v>
      </c>
      <c r="M4" s="153">
        <f>INDEX(Aulas_capacidad,MATCH(base_de_datos[[#This Row],[Aula]],Aulas,0),5)</f>
        <v>10</v>
      </c>
      <c r="N4" s="153">
        <f>base_de_datos[[#This Row],[Cap .90]]-base_de_datos[[#This Row],[Inscritos]]</f>
        <v>-1</v>
      </c>
      <c r="O4" s="150">
        <v>1582</v>
      </c>
      <c r="P4" s="154"/>
      <c r="Q4" s="154" t="s">
        <v>67</v>
      </c>
      <c r="R4" s="154"/>
      <c r="S4" s="154"/>
      <c r="T4" s="154"/>
      <c r="U4" s="154"/>
      <c r="V4" s="154"/>
      <c r="W4" s="154" t="s">
        <v>1651</v>
      </c>
      <c r="X4" s="155">
        <f>_xlfn.XLOOKUP(base_de_datos[[#This Row],[Materia]],Materias,Horas)/16</f>
        <v>3</v>
      </c>
      <c r="Y4" s="155">
        <f>ROUND(((base_de_datos[[#This Row],[Hora fin]]-base_de_datos[[#This Row],[Hora inicio]])*24)*(COUNTA(base_de_datos[[#This Row],[Lunes]:[Sábado]])),1)</f>
        <v>3</v>
      </c>
      <c r="Z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" s="155">
        <f ca="1">IF(base_de_datos[[#This Row],[No clase]]=OFFSET(base_de_datos[[#This Row],[No clase]],-1,0),0,1)</f>
        <v>1</v>
      </c>
      <c r="AB4" s="155">
        <f ca="1">IF(NOT(OR(base_de_datos[[#This Row],[Horas totales]]=base_de_datos[[#This Row],[HT Plan]],base_de_datos[[#This Row],[Horas totales]]="N/A")),1,0)</f>
        <v>0</v>
      </c>
      <c r="AC4" s="155" t="str">
        <f>_xlfn.XLOOKUP(base_de_datos[[#This Row],[Profesor]],Nombre,Grado)</f>
        <v>L</v>
      </c>
      <c r="AD4" s="156" t="str">
        <f>_xlfn.XLOOKUP(base_de_datos[[#This Row],[Profesor]],Nombre,Tipo)</f>
        <v>TC</v>
      </c>
      <c r="AE4" s="155" t="str">
        <f>IF(IFERROR(VLOOKUP($C4,Planes_de_estudio[],MATCH($AE$2,Carreras,0)+2,0),"")&gt;0,IFERROR(VLOOKUP($C4,Planes_de_estudio[],MATCH($AE$2,Carreras,0)+2,0),""),"")</f>
        <v/>
      </c>
      <c r="AF4" s="155" t="str">
        <f>IF(IFERROR(VLOOKUP($C4,Planes_de_estudio[],MATCH($AF$2,Carreras,0)+2,0),"")&gt;0,IFERROR(VLOOKUP($C4,Planes_de_estudio[],MATCH($AF$2,Carreras,0)+2,0),""),"")</f>
        <v/>
      </c>
      <c r="AG4" s="155" t="str">
        <f>IF(IFERROR(VLOOKUP($C4,Planes_de_estudio[],MATCH($AG$2,Carreras,0)+2,0),"")&gt;0,IFERROR(VLOOKUP($C4,Planes_de_estudio[],MATCH($AG$2,Carreras,0)+2,0),""),"")</f>
        <v/>
      </c>
      <c r="AH4" s="155" t="str">
        <f>IF(IFERROR(VLOOKUP($C4,Planes_de_estudio[],MATCH($AH$2,Carreras,0)+2,0),"")&gt;0,IFERROR(VLOOKUP($C4,Planes_de_estudio[],MATCH($AH$2,Carreras,0)+2,0),""),"")</f>
        <v/>
      </c>
      <c r="AI4" s="155" t="str">
        <f>IF(IFERROR(VLOOKUP($C4,Planes_de_estudio[],MATCH($AI$2,Carreras,0)+2,0),"")&gt;0,IFERROR(VLOOKUP($C4,Planes_de_estudio[],MATCH($AI$2,Carreras,0)+2,0),""),"")</f>
        <v/>
      </c>
      <c r="AJ4" s="155">
        <f>IF(IFERROR(VLOOKUP($C4,Planes_de_estudio[],MATCH($AJ$2,Carreras,0)+2,0),"")&gt;0,IFERROR(VLOOKUP($C4,Planes_de_estudio[],MATCH($AJ$2,Carreras,0)+2,0),""),"")</f>
        <v>1</v>
      </c>
      <c r="AK4" s="155" t="str">
        <f>IF(IFERROR(VLOOKUP($C4,Planes_de_estudio[],MATCH($AK$2,Carreras,0)+2,0),"")&gt;0,IFERROR(VLOOKUP($C4,Planes_de_estudio[],MATCH($AK$2,Carreras,0)+2,0),""),"")</f>
        <v/>
      </c>
      <c r="AL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4" s="155">
        <f>base_de_datos[[#This Row],[Pronóstico]]/25</f>
        <v>0.6</v>
      </c>
      <c r="AO4" s="155" t="str">
        <f>VLOOKUP($C4,Planes_de_estudio[],2)</f>
        <v>ESC</v>
      </c>
      <c r="AP4" s="157" t="str">
        <f ca="1">IF(AND(base_de_datos[[#This Row],[Industrial]]&lt;&gt;"",base_de_datos[[#This Row],[Misma o no]]=1),base_de_datos[[#This Row],[Índice]],"")</f>
        <v/>
      </c>
      <c r="AQ4" s="157" t="str">
        <f ca="1">IF(AND(base_de_datos[[#This Row],[Mecatrónica]]&lt;&gt;"",base_de_datos[[#This Row],[Misma o no]]=1),base_de_datos[[#This Row],[Índice]],"")</f>
        <v/>
      </c>
      <c r="AR4" s="157" t="str">
        <f ca="1">IF(AND(base_de_datos[[#This Row],[Innovación y Diseño]]&lt;&gt;"",base_de_datos[[#This Row],[Misma o no]]=1),base_de_datos[[#This Row],[Índice]],"")</f>
        <v/>
      </c>
      <c r="AS4" s="157" t="str">
        <f ca="1">IF(AND(base_de_datos[[#This Row],[Inteligencia Artificial]]&lt;&gt;"",base_de_datos[[#This Row],[Misma o no]]=1),base_de_datos[[#This Row],[Índice]],"")</f>
        <v/>
      </c>
      <c r="AT4" s="157" t="str">
        <f ca="1">IF(AND(base_de_datos[[#This Row],[Tecnologías Energéticas]]&lt;&gt;"",base_de_datos[[#This Row],[Misma o no]]=1),base_de_datos[[#This Row],[Índice]],"")</f>
        <v/>
      </c>
      <c r="AU4" s="157">
        <f ca="1">IF(AND(base_de_datos[[#This Row],[Civil y Administración]]&lt;&gt;"",base_de_datos[[#This Row],[Misma o no]]=1),base_de_datos[[#This Row],[Índice]],"")</f>
        <v>1</v>
      </c>
      <c r="AV4" s="157" t="str">
        <f ca="1">IF(AND(base_de_datos[[#This Row],[Bioelectrónica]]&lt;&gt;"",base_de_datos[[#This Row],[Misma o no]]=1),base_de_datos[[#This Row],[Índice]],"")</f>
        <v/>
      </c>
      <c r="AW4" s="158"/>
      <c r="AX4" s="231" t="s">
        <v>1625</v>
      </c>
    </row>
    <row r="5" spans="1:221" s="6" customFormat="1" ht="15">
      <c r="B5" s="148" t="s">
        <v>71</v>
      </c>
      <c r="C5" s="149" t="s">
        <v>72</v>
      </c>
      <c r="D5" s="150">
        <v>1</v>
      </c>
      <c r="E5" s="151">
        <v>0.29166666666666669</v>
      </c>
      <c r="F5" s="151">
        <v>0.374999999999999</v>
      </c>
      <c r="G5" s="150"/>
      <c r="H5" s="215" t="s">
        <v>73</v>
      </c>
      <c r="I5" s="150">
        <f>INDEX(Aulas_capacidad,MATCH(base_de_datos[[#This Row],[Aula]],Aulas,0),2)</f>
        <v>0</v>
      </c>
      <c r="J5" s="152">
        <v>9</v>
      </c>
      <c r="K5" s="150">
        <f>INDEX(Aulas_capacidad,MATCH(base_de_datos[[#This Row],[Aula]],Aulas,0),4)</f>
        <v>0</v>
      </c>
      <c r="L5" s="153">
        <f>base_de_datos[[#This Row],[Cap 1.5]]-base_de_datos[[#This Row],[Inscritos]]</f>
        <v>-9</v>
      </c>
      <c r="M5" s="153">
        <f>INDEX(Aulas_capacidad,MATCH(base_de_datos[[#This Row],[Aula]],Aulas,0),5)</f>
        <v>0</v>
      </c>
      <c r="N5" s="153">
        <f>base_de_datos[[#This Row],[Cap .90]]-base_de_datos[[#This Row],[Inscritos]]</f>
        <v>-9</v>
      </c>
      <c r="O5" s="150" t="s">
        <v>74</v>
      </c>
      <c r="P5" s="154" t="s">
        <v>67</v>
      </c>
      <c r="Q5" s="154"/>
      <c r="R5" s="154" t="s">
        <v>67</v>
      </c>
      <c r="S5" s="154"/>
      <c r="T5" s="154"/>
      <c r="U5" s="154"/>
      <c r="V5" s="154"/>
      <c r="W5" s="154" t="s">
        <v>1655</v>
      </c>
      <c r="X5" s="155">
        <f>_xlfn.XLOOKUP(base_de_datos[[#This Row],[Materia]],Materias,Horas)/16</f>
        <v>4</v>
      </c>
      <c r="Y5" s="155">
        <f>ROUND(((base_de_datos[[#This Row],[Hora fin]]-base_de_datos[[#This Row],[Hora inicio]])*24)*(COUNTA(base_de_datos[[#This Row],[Lunes]:[Sábado]])),1)</f>
        <v>4</v>
      </c>
      <c r="Z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" s="155">
        <f ca="1">IF(base_de_datos[[#This Row],[No clase]]=OFFSET(base_de_datos[[#This Row],[No clase]],-1,0),0,1)</f>
        <v>1</v>
      </c>
      <c r="AB5" s="155">
        <f ca="1">IF(NOT(OR(base_de_datos[[#This Row],[Horas totales]]=base_de_datos[[#This Row],[HT Plan]],base_de_datos[[#This Row],[Horas totales]]="N/A")),1,0)</f>
        <v>0</v>
      </c>
      <c r="AC5" s="155" t="str">
        <f>_xlfn.XLOOKUP(base_de_datos[[#This Row],[Profesor]],Nombre,Grado)</f>
        <v>SNI</v>
      </c>
      <c r="AD5" s="156" t="str">
        <f>_xlfn.XLOOKUP(base_de_datos[[#This Row],[Profesor]],Nombre,Tipo)</f>
        <v>A</v>
      </c>
      <c r="AE5" s="155">
        <f>IF(IFERROR(VLOOKUP($C5,Planes_de_estudio[],MATCH($AE$2,Carreras,0)+2,0),"")&gt;0,IFERROR(VLOOKUP($C5,Planes_de_estudio[],MATCH($AE$2,Carreras,0)+2,0),""),"")</f>
        <v>2</v>
      </c>
      <c r="AF5" s="155">
        <f>IF(IFERROR(VLOOKUP($C5,Planes_de_estudio[],MATCH($AF$2,Carreras,0)+2,0),"")&gt;0,IFERROR(VLOOKUP($C5,Planes_de_estudio[],MATCH($AF$2,Carreras,0)+2,0),""),"")</f>
        <v>2</v>
      </c>
      <c r="AG5" s="155" t="str">
        <f>IF(IFERROR(VLOOKUP($C5,Planes_de_estudio[],MATCH($AG$2,Carreras,0)+2,0),"")&gt;0,IFERROR(VLOOKUP($C5,Planes_de_estudio[],MATCH($AG$2,Carreras,0)+2,0),""),"")</f>
        <v/>
      </c>
      <c r="AH5" s="155">
        <f>IF(IFERROR(VLOOKUP($C5,Planes_de_estudio[],MATCH($AH$2,Carreras,0)+2,0),"")&gt;0,IFERROR(VLOOKUP($C5,Planes_de_estudio[],MATCH($AH$2,Carreras,0)+2,0),""),"")</f>
        <v>2</v>
      </c>
      <c r="AI5" s="155">
        <f>IF(IFERROR(VLOOKUP($C5,Planes_de_estudio[],MATCH($AI$2,Carreras,0)+2,0),"")&gt;0,IFERROR(VLOOKUP($C5,Planes_de_estudio[],MATCH($AI$2,Carreras,0)+2,0),""),"")</f>
        <v>2</v>
      </c>
      <c r="AJ5" s="155" t="str">
        <f>IF(IFERROR(VLOOKUP($C5,Planes_de_estudio[],MATCH($AJ$2,Carreras,0)+2,0),"")&gt;0,IFERROR(VLOOKUP($C5,Planes_de_estudio[],MATCH($AJ$2,Carreras,0)+2,0),""),"")</f>
        <v/>
      </c>
      <c r="AK5" s="155">
        <f>IF(IFERROR(VLOOKUP($C5,Planes_de_estudio[],MATCH($AK$2,Carreras,0)+2,0),"")&gt;0,IFERROR(VLOOKUP($C5,Planes_de_estudio[],MATCH($AK$2,Carreras,0)+2,0),""),"")</f>
        <v>2</v>
      </c>
      <c r="AL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</v>
      </c>
      <c r="AN5" s="155">
        <f>base_de_datos[[#This Row],[Pronóstico]]/25</f>
        <v>0.2</v>
      </c>
      <c r="AO5" s="155" t="str">
        <f>VLOOKUP($C5,Planes_de_estudio[],2)</f>
        <v>COM</v>
      </c>
      <c r="AP5" s="157">
        <f ca="1">IF(AND(base_de_datos[[#This Row],[Industrial]]&lt;&gt;"",base_de_datos[[#This Row],[Misma o no]]=1),base_de_datos[[#This Row],[Índice]],"")</f>
        <v>6</v>
      </c>
      <c r="AQ5" s="157">
        <f ca="1">IF(AND(base_de_datos[[#This Row],[Mecatrónica]]&lt;&gt;"",base_de_datos[[#This Row],[Misma o no]]=1),base_de_datos[[#This Row],[Índice]],"")</f>
        <v>6</v>
      </c>
      <c r="AR5" s="157" t="str">
        <f ca="1">IF(AND(base_de_datos[[#This Row],[Innovación y Diseño]]&lt;&gt;"",base_de_datos[[#This Row],[Misma o no]]=1),base_de_datos[[#This Row],[Índice]],"")</f>
        <v/>
      </c>
      <c r="AS5" s="157">
        <f ca="1">IF(AND(base_de_datos[[#This Row],[Inteligencia Artificial]]&lt;&gt;"",base_de_datos[[#This Row],[Misma o no]]=1),base_de_datos[[#This Row],[Índice]],"")</f>
        <v>6</v>
      </c>
      <c r="AT5" s="157">
        <f ca="1">IF(AND(base_de_datos[[#This Row],[Tecnologías Energéticas]]&lt;&gt;"",base_de_datos[[#This Row],[Misma o no]]=1),base_de_datos[[#This Row],[Índice]],"")</f>
        <v>6</v>
      </c>
      <c r="AU5" s="157" t="str">
        <f ca="1">IF(AND(base_de_datos[[#This Row],[Civil y Administración]]&lt;&gt;"",base_de_datos[[#This Row],[Misma o no]]=1),base_de_datos[[#This Row],[Índice]],"")</f>
        <v/>
      </c>
      <c r="AV5" s="157">
        <f ca="1">IF(AND(base_de_datos[[#This Row],[Bioelectrónica]]&lt;&gt;"",base_de_datos[[#This Row],[Misma o no]]=1),base_de_datos[[#This Row],[Índice]],"")</f>
        <v>6</v>
      </c>
      <c r="AW5" s="221" t="s">
        <v>75</v>
      </c>
      <c r="AX5" s="231" t="s">
        <v>1625</v>
      </c>
    </row>
    <row r="6" spans="1:221" s="6" customFormat="1" ht="15">
      <c r="B6" s="148" t="s">
        <v>76</v>
      </c>
      <c r="C6" s="149" t="s">
        <v>77</v>
      </c>
      <c r="D6" s="150">
        <v>1</v>
      </c>
      <c r="E6" s="151">
        <v>0.77083333333333304</v>
      </c>
      <c r="F6" s="151">
        <v>0.83333333333332504</v>
      </c>
      <c r="G6" s="150"/>
      <c r="H6" s="150" t="s">
        <v>78</v>
      </c>
      <c r="I6" s="150">
        <f>INDEX(Aulas_capacidad,MATCH(base_de_datos[[#This Row],[Aula]],Aulas,0),2)</f>
        <v>25</v>
      </c>
      <c r="J6" s="152">
        <v>22</v>
      </c>
      <c r="K6" s="150">
        <f>INDEX(Aulas_capacidad,MATCH(base_de_datos[[#This Row],[Aula]],Aulas,0),4)</f>
        <v>12</v>
      </c>
      <c r="L6" s="153">
        <f>base_de_datos[[#This Row],[Cap 1.5]]-base_de_datos[[#This Row],[Inscritos]]</f>
        <v>-10</v>
      </c>
      <c r="M6" s="153">
        <f>INDEX(Aulas_capacidad,MATCH(base_de_datos[[#This Row],[Aula]],Aulas,0),5)</f>
        <v>15</v>
      </c>
      <c r="N6" s="153">
        <f>base_de_datos[[#This Row],[Cap .90]]-base_de_datos[[#This Row],[Inscritos]]</f>
        <v>-7</v>
      </c>
      <c r="O6" s="150" t="s">
        <v>79</v>
      </c>
      <c r="P6" s="154" t="s">
        <v>67</v>
      </c>
      <c r="Q6" s="154"/>
      <c r="R6" s="154"/>
      <c r="S6" s="154"/>
      <c r="T6" s="154"/>
      <c r="U6" s="154"/>
      <c r="V6" s="154" t="s">
        <v>67</v>
      </c>
      <c r="W6" s="154" t="s">
        <v>1650</v>
      </c>
      <c r="X6" s="155">
        <f>_xlfn.XLOOKUP(base_de_datos[[#This Row],[Materia]],Materias,Horas)/16</f>
        <v>3</v>
      </c>
      <c r="Y6" s="155">
        <f>ROUND(((base_de_datos[[#This Row],[Hora fin]]-base_de_datos[[#This Row],[Hora inicio]])*24)*(COUNTA(base_de_datos[[#This Row],[Lunes]:[Sábado]])),1)</f>
        <v>1.5</v>
      </c>
      <c r="Z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" s="155">
        <f ca="1">IF(base_de_datos[[#This Row],[No clase]]=OFFSET(base_de_datos[[#This Row],[No clase]],-1,0),0,1)</f>
        <v>1</v>
      </c>
      <c r="AB6" s="155">
        <f ca="1">IF(NOT(OR(base_de_datos[[#This Row],[Horas totales]]=base_de_datos[[#This Row],[HT Plan]],base_de_datos[[#This Row],[Horas totales]]="N/A")),1,0)</f>
        <v>0</v>
      </c>
      <c r="AC6" s="155" t="str">
        <f>_xlfn.XLOOKUP(base_de_datos[[#This Row],[Profesor]],Nombre,Grado)</f>
        <v>L</v>
      </c>
      <c r="AD6" s="156" t="str">
        <f>_xlfn.XLOOKUP(base_de_datos[[#This Row],[Profesor]],Nombre,Tipo)</f>
        <v>A</v>
      </c>
      <c r="AE6" s="155">
        <f>IF(IFERROR(VLOOKUP($C6,Planes_de_estudio[],MATCH($AE$2,Carreras,0)+2,0),"")&gt;0,IFERROR(VLOOKUP($C6,Planes_de_estudio[],MATCH($AE$2,Carreras,0)+2,0),""),"")</f>
        <v>7</v>
      </c>
      <c r="AF6" s="155" t="str">
        <f>IF(IFERROR(VLOOKUP($C6,Planes_de_estudio[],MATCH($AF$2,Carreras,0)+2,0),"")&gt;0,IFERROR(VLOOKUP($C6,Planes_de_estudio[],MATCH($AF$2,Carreras,0)+2,0),""),"")</f>
        <v/>
      </c>
      <c r="AG6" s="155">
        <f>IF(IFERROR(VLOOKUP($C6,Planes_de_estudio[],MATCH($AG$2,Carreras,0)+2,0),"")&gt;0,IFERROR(VLOOKUP($C6,Planes_de_estudio[],MATCH($AG$2,Carreras,0)+2,0),""),"")</f>
        <v>7</v>
      </c>
      <c r="AH6" s="155" t="str">
        <f>IF(IFERROR(VLOOKUP($C6,Planes_de_estudio[],MATCH($AH$2,Carreras,0)+2,0),"")&gt;0,IFERROR(VLOOKUP($C6,Planes_de_estudio[],MATCH($AH$2,Carreras,0)+2,0),""),"")</f>
        <v/>
      </c>
      <c r="AI6" s="155" t="str">
        <f>IF(IFERROR(VLOOKUP($C6,Planes_de_estudio[],MATCH($AI$2,Carreras,0)+2,0),"")&gt;0,IFERROR(VLOOKUP($C6,Planes_de_estudio[],MATCH($AI$2,Carreras,0)+2,0),""),"")</f>
        <v/>
      </c>
      <c r="AJ6" s="155" t="str">
        <f>IF(IFERROR(VLOOKUP($C6,Planes_de_estudio[],MATCH($AJ$2,Carreras,0)+2,0),"")&gt;0,IFERROR(VLOOKUP($C6,Planes_de_estudio[],MATCH($AJ$2,Carreras,0)+2,0),""),"")</f>
        <v/>
      </c>
      <c r="AK6" s="155" t="str">
        <f>IF(IFERROR(VLOOKUP($C6,Planes_de_estudio[],MATCH($AK$2,Carreras,0)+2,0),"")&gt;0,IFERROR(VLOOKUP($C6,Planes_de_estudio[],MATCH($AK$2,Carreras,0)+2,0),""),"")</f>
        <v/>
      </c>
      <c r="AL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44</v>
      </c>
      <c r="AN6" s="155">
        <f>base_de_datos[[#This Row],[Pronóstico]]/25</f>
        <v>1.76</v>
      </c>
      <c r="AO6" s="155" t="str">
        <f>VLOOKUP($C6,Planes_de_estudio[],2)</f>
        <v>EMP</v>
      </c>
      <c r="AP6" s="157">
        <f ca="1">IF(AND(base_de_datos[[#This Row],[Industrial]]&lt;&gt;"",base_de_datos[[#This Row],[Misma o no]]=1),base_de_datos[[#This Row],[Índice]],"")</f>
        <v>1</v>
      </c>
      <c r="AQ6" s="157" t="str">
        <f ca="1">IF(AND(base_de_datos[[#This Row],[Mecatrónica]]&lt;&gt;"",base_de_datos[[#This Row],[Misma o no]]=1),base_de_datos[[#This Row],[Índice]],"")</f>
        <v/>
      </c>
      <c r="AR6" s="157">
        <f ca="1">IF(AND(base_de_datos[[#This Row],[Innovación y Diseño]]&lt;&gt;"",base_de_datos[[#This Row],[Misma o no]]=1),base_de_datos[[#This Row],[Índice]],"")</f>
        <v>1</v>
      </c>
      <c r="AS6" s="157" t="str">
        <f ca="1">IF(AND(base_de_datos[[#This Row],[Inteligencia Artificial]]&lt;&gt;"",base_de_datos[[#This Row],[Misma o no]]=1),base_de_datos[[#This Row],[Índice]],"")</f>
        <v/>
      </c>
      <c r="AT6" s="157" t="str">
        <f ca="1">IF(AND(base_de_datos[[#This Row],[Tecnologías Energéticas]]&lt;&gt;"",base_de_datos[[#This Row],[Misma o no]]=1),base_de_datos[[#This Row],[Índice]],"")</f>
        <v/>
      </c>
      <c r="AU6" s="157" t="str">
        <f ca="1">IF(AND(base_de_datos[[#This Row],[Civil y Administración]]&lt;&gt;"",base_de_datos[[#This Row],[Misma o no]]=1),base_de_datos[[#This Row],[Índice]],"")</f>
        <v/>
      </c>
      <c r="AV6" s="157" t="str">
        <f ca="1">IF(AND(base_de_datos[[#This Row],[Bioelectrónica]]&lt;&gt;"",base_de_datos[[#This Row],[Misma o no]]=1),base_de_datos[[#This Row],[Índice]],"")</f>
        <v/>
      </c>
      <c r="AW6" s="158"/>
      <c r="AX6" s="231" t="s">
        <v>1625</v>
      </c>
    </row>
    <row r="7" spans="1:221" s="6" customFormat="1" ht="15">
      <c r="B7" s="148" t="s">
        <v>76</v>
      </c>
      <c r="C7" s="149" t="s">
        <v>77</v>
      </c>
      <c r="D7" s="150">
        <v>1</v>
      </c>
      <c r="E7" s="151">
        <v>0.79166666666666696</v>
      </c>
      <c r="F7" s="151">
        <v>0.85416666666665797</v>
      </c>
      <c r="G7" s="150"/>
      <c r="H7" s="150" t="s">
        <v>80</v>
      </c>
      <c r="I7" s="150">
        <f>INDEX(Aulas_capacidad,MATCH(base_de_datos[[#This Row],[Aula]],Aulas,0),2)</f>
        <v>30</v>
      </c>
      <c r="J7" s="152">
        <v>22</v>
      </c>
      <c r="K7" s="150">
        <f>INDEX(Aulas_capacidad,MATCH(base_de_datos[[#This Row],[Aula]],Aulas,0),4)</f>
        <v>0</v>
      </c>
      <c r="L7" s="153">
        <f>base_de_datos[[#This Row],[Cap 1.5]]-base_de_datos[[#This Row],[Inscritos]]</f>
        <v>-22</v>
      </c>
      <c r="M7" s="153">
        <f>INDEX(Aulas_capacidad,MATCH(base_de_datos[[#This Row],[Aula]],Aulas,0),5)</f>
        <v>0</v>
      </c>
      <c r="N7" s="153">
        <f>base_de_datos[[#This Row],[Cap .90]]-base_de_datos[[#This Row],[Inscritos]]</f>
        <v>-22</v>
      </c>
      <c r="O7" s="150" t="s">
        <v>79</v>
      </c>
      <c r="P7" s="154"/>
      <c r="Q7" s="154"/>
      <c r="R7" s="154"/>
      <c r="S7" s="154" t="s">
        <v>67</v>
      </c>
      <c r="T7" s="154"/>
      <c r="U7" s="154"/>
      <c r="V7" s="154" t="s">
        <v>67</v>
      </c>
      <c r="W7" s="154" t="s">
        <v>1650</v>
      </c>
      <c r="X7" s="155">
        <f>_xlfn.XLOOKUP(base_de_datos[[#This Row],[Materia]],Materias,Horas)/16</f>
        <v>3</v>
      </c>
      <c r="Y7" s="155">
        <f>ROUND(((base_de_datos[[#This Row],[Hora fin]]-base_de_datos[[#This Row],[Hora inicio]])*24)*(COUNTA(base_de_datos[[#This Row],[Lunes]:[Sábado]])),1)</f>
        <v>1.5</v>
      </c>
      <c r="Z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" s="155">
        <f ca="1">IF(base_de_datos[[#This Row],[No clase]]=OFFSET(base_de_datos[[#This Row],[No clase]],-1,0),0,1)</f>
        <v>0</v>
      </c>
      <c r="AB7" s="155">
        <f ca="1">IF(NOT(OR(base_de_datos[[#This Row],[Horas totales]]=base_de_datos[[#This Row],[HT Plan]],base_de_datos[[#This Row],[Horas totales]]="N/A")),1,0)</f>
        <v>0</v>
      </c>
      <c r="AC7" s="155" t="str">
        <f>_xlfn.XLOOKUP(base_de_datos[[#This Row],[Profesor]],Nombre,Grado)</f>
        <v>L</v>
      </c>
      <c r="AD7" s="156" t="str">
        <f>_xlfn.XLOOKUP(base_de_datos[[#This Row],[Profesor]],Nombre,Tipo)</f>
        <v>A</v>
      </c>
      <c r="AE7" s="155">
        <f>IF(IFERROR(VLOOKUP($C7,Planes_de_estudio[],MATCH($AE$2,Carreras,0)+2,0),"")&gt;0,IFERROR(VLOOKUP($C7,Planes_de_estudio[],MATCH($AE$2,Carreras,0)+2,0),""),"")</f>
        <v>7</v>
      </c>
      <c r="AF7" s="155" t="str">
        <f>IF(IFERROR(VLOOKUP($C7,Planes_de_estudio[],MATCH($AF$2,Carreras,0)+2,0),"")&gt;0,IFERROR(VLOOKUP($C7,Planes_de_estudio[],MATCH($AF$2,Carreras,0)+2,0),""),"")</f>
        <v/>
      </c>
      <c r="AG7" s="155">
        <f>IF(IFERROR(VLOOKUP($C7,Planes_de_estudio[],MATCH($AG$2,Carreras,0)+2,0),"")&gt;0,IFERROR(VLOOKUP($C7,Planes_de_estudio[],MATCH($AG$2,Carreras,0)+2,0),""),"")</f>
        <v>7</v>
      </c>
      <c r="AH7" s="155" t="str">
        <f>IF(IFERROR(VLOOKUP($C7,Planes_de_estudio[],MATCH($AH$2,Carreras,0)+2,0),"")&gt;0,IFERROR(VLOOKUP($C7,Planes_de_estudio[],MATCH($AH$2,Carreras,0)+2,0),""),"")</f>
        <v/>
      </c>
      <c r="AI7" s="155" t="str">
        <f>IF(IFERROR(VLOOKUP($C7,Planes_de_estudio[],MATCH($AI$2,Carreras,0)+2,0),"")&gt;0,IFERROR(VLOOKUP($C7,Planes_de_estudio[],MATCH($AI$2,Carreras,0)+2,0),""),"")</f>
        <v/>
      </c>
      <c r="AJ7" s="155" t="str">
        <f>IF(IFERROR(VLOOKUP($C7,Planes_de_estudio[],MATCH($AJ$2,Carreras,0)+2,0),"")&gt;0,IFERROR(VLOOKUP($C7,Planes_de_estudio[],MATCH($AJ$2,Carreras,0)+2,0),""),"")</f>
        <v/>
      </c>
      <c r="AK7" s="155" t="str">
        <f>IF(IFERROR(VLOOKUP($C7,Planes_de_estudio[],MATCH($AK$2,Carreras,0)+2,0),"")&gt;0,IFERROR(VLOOKUP($C7,Planes_de_estudio[],MATCH($AK$2,Carreras,0)+2,0),""),"")</f>
        <v/>
      </c>
      <c r="AL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44</v>
      </c>
      <c r="AN7" s="155">
        <f>base_de_datos[[#This Row],[Pronóstico]]/25</f>
        <v>1.76</v>
      </c>
      <c r="AO7" s="155" t="str">
        <f>VLOOKUP($C7,Planes_de_estudio[],2)</f>
        <v>EMP</v>
      </c>
      <c r="AP7" s="157" t="str">
        <f ca="1">IF(AND(base_de_datos[[#This Row],[Industrial]]&lt;&gt;"",base_de_datos[[#This Row],[Misma o no]]=1),base_de_datos[[#This Row],[Índice]],"")</f>
        <v/>
      </c>
      <c r="AQ7" s="157" t="str">
        <f ca="1">IF(AND(base_de_datos[[#This Row],[Mecatrónica]]&lt;&gt;"",base_de_datos[[#This Row],[Misma o no]]=1),base_de_datos[[#This Row],[Índice]],"")</f>
        <v/>
      </c>
      <c r="AR7" s="157" t="str">
        <f ca="1">IF(AND(base_de_datos[[#This Row],[Innovación y Diseño]]&lt;&gt;"",base_de_datos[[#This Row],[Misma o no]]=1),base_de_datos[[#This Row],[Índice]],"")</f>
        <v/>
      </c>
      <c r="AS7" s="157" t="str">
        <f ca="1">IF(AND(base_de_datos[[#This Row],[Inteligencia Artificial]]&lt;&gt;"",base_de_datos[[#This Row],[Misma o no]]=1),base_de_datos[[#This Row],[Índice]],"")</f>
        <v/>
      </c>
      <c r="AT7" s="157" t="str">
        <f ca="1">IF(AND(base_de_datos[[#This Row],[Tecnologías Energéticas]]&lt;&gt;"",base_de_datos[[#This Row],[Misma o no]]=1),base_de_datos[[#This Row],[Índice]],"")</f>
        <v/>
      </c>
      <c r="AU7" s="157" t="str">
        <f ca="1">IF(AND(base_de_datos[[#This Row],[Civil y Administración]]&lt;&gt;"",base_de_datos[[#This Row],[Misma o no]]=1),base_de_datos[[#This Row],[Índice]],"")</f>
        <v/>
      </c>
      <c r="AV7" s="157" t="str">
        <f ca="1">IF(AND(base_de_datos[[#This Row],[Bioelectrónica]]&lt;&gt;"",base_de_datos[[#This Row],[Misma o no]]=1),base_de_datos[[#This Row],[Índice]],"")</f>
        <v/>
      </c>
      <c r="AW7" s="158"/>
      <c r="AX7" s="231" t="s">
        <v>1625</v>
      </c>
    </row>
    <row r="8" spans="1:221" s="6" customFormat="1" ht="30">
      <c r="B8" s="148" t="s">
        <v>81</v>
      </c>
      <c r="C8" s="149" t="s">
        <v>82</v>
      </c>
      <c r="D8" s="150">
        <v>3</v>
      </c>
      <c r="E8" s="151">
        <v>0.70833333333333304</v>
      </c>
      <c r="F8" s="151">
        <v>0.83333333333332504</v>
      </c>
      <c r="G8" s="150"/>
      <c r="H8" s="215" t="s">
        <v>66</v>
      </c>
      <c r="I8" s="150">
        <f>INDEX(Aulas_capacidad,MATCH(base_de_datos[[#This Row],[Aula]],Aulas,0),2)</f>
        <v>0</v>
      </c>
      <c r="J8" s="152">
        <v>21</v>
      </c>
      <c r="K8" s="150">
        <f>INDEX(Aulas_capacidad,MATCH(base_de_datos[[#This Row],[Aula]],Aulas,0),4)</f>
        <v>0</v>
      </c>
      <c r="L8" s="153">
        <f>base_de_datos[[#This Row],[Cap 1.5]]-base_de_datos[[#This Row],[Inscritos]]</f>
        <v>-21</v>
      </c>
      <c r="M8" s="153">
        <f>INDEX(Aulas_capacidad,MATCH(base_de_datos[[#This Row],[Aula]],Aulas,0),5)</f>
        <v>0</v>
      </c>
      <c r="N8" s="153">
        <f>base_de_datos[[#This Row],[Cap .90]]-base_de_datos[[#This Row],[Inscritos]]</f>
        <v>-21</v>
      </c>
      <c r="O8" s="150" t="s">
        <v>1643</v>
      </c>
      <c r="P8" s="154"/>
      <c r="Q8" s="154"/>
      <c r="R8" s="154" t="s">
        <v>67</v>
      </c>
      <c r="S8" s="154"/>
      <c r="T8" s="154"/>
      <c r="U8" s="154"/>
      <c r="V8" s="154"/>
      <c r="W8" s="154" t="s">
        <v>1654</v>
      </c>
      <c r="X8" s="155">
        <f>_xlfn.XLOOKUP(base_de_datos[[#This Row],[Materia]],Materias,Horas)/16</f>
        <v>3</v>
      </c>
      <c r="Y8" s="155">
        <f>ROUND(((base_de_datos[[#This Row],[Hora fin]]-base_de_datos[[#This Row],[Hora inicio]])*24)*(COUNTA(base_de_datos[[#This Row],[Lunes]:[Sábado]])),1)</f>
        <v>3</v>
      </c>
      <c r="Z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" s="155">
        <f ca="1">IF(base_de_datos[[#This Row],[No clase]]=OFFSET(base_de_datos[[#This Row],[No clase]],-1,0),0,1)</f>
        <v>1</v>
      </c>
      <c r="AB8" s="155">
        <f ca="1">IF(NOT(OR(base_de_datos[[#This Row],[Horas totales]]=base_de_datos[[#This Row],[HT Plan]],base_de_datos[[#This Row],[Horas totales]]="N/A")),1,0)</f>
        <v>0</v>
      </c>
      <c r="AC8" s="155" t="e">
        <f>_xlfn.XLOOKUP(base_de_datos[[#This Row],[Profesor]],Nombre,Grado)</f>
        <v>#N/A</v>
      </c>
      <c r="AD8" s="156" t="e">
        <f>_xlfn.XLOOKUP(base_de_datos[[#This Row],[Profesor]],Nombre,Tipo)</f>
        <v>#N/A</v>
      </c>
      <c r="AE8" s="155">
        <f>IF(IFERROR(VLOOKUP($C8,Planes_de_estudio[],MATCH($AE$2,Carreras,0)+2,0),"")&gt;0,IFERROR(VLOOKUP($C8,Planes_de_estudio[],MATCH($AE$2,Carreras,0)+2,0),""),"")</f>
        <v>6</v>
      </c>
      <c r="AF8" s="155">
        <f>IF(IFERROR(VLOOKUP($C8,Planes_de_estudio[],MATCH($AF$2,Carreras,0)+2,0),"")&gt;0,IFERROR(VLOOKUP($C8,Planes_de_estudio[],MATCH($AF$2,Carreras,0)+2,0),""),"")</f>
        <v>7</v>
      </c>
      <c r="AG8" s="155">
        <f>IF(IFERROR(VLOOKUP($C8,Planes_de_estudio[],MATCH($AG$2,Carreras,0)+2,0),"")&gt;0,IFERROR(VLOOKUP($C8,Planes_de_estudio[],MATCH($AG$2,Carreras,0)+2,0),""),"")</f>
        <v>7</v>
      </c>
      <c r="AH8" s="155">
        <f>IF(IFERROR(VLOOKUP($C8,Planes_de_estudio[],MATCH($AH$2,Carreras,0)+2,0),"")&gt;0,IFERROR(VLOOKUP($C8,Planes_de_estudio[],MATCH($AH$2,Carreras,0)+2,0),""),"")</f>
        <v>7</v>
      </c>
      <c r="AI8" s="155" t="str">
        <f>IF(IFERROR(VLOOKUP($C8,Planes_de_estudio[],MATCH($AI$2,Carreras,0)+2,0),"")&gt;0,IFERROR(VLOOKUP($C8,Planes_de_estudio[],MATCH($AI$2,Carreras,0)+2,0),""),"")</f>
        <v/>
      </c>
      <c r="AJ8" s="155">
        <f>IF(IFERROR(VLOOKUP($C8,Planes_de_estudio[],MATCH($AJ$2,Carreras,0)+2,0),"")&gt;0,IFERROR(VLOOKUP($C8,Planes_de_estudio[],MATCH($AJ$2,Carreras,0)+2,0),""),"")</f>
        <v>9</v>
      </c>
      <c r="AK8" s="155">
        <f>IF(IFERROR(VLOOKUP($C8,Planes_de_estudio[],MATCH($AK$2,Carreras,0)+2,0),"")&gt;0,IFERROR(VLOOKUP($C8,Planes_de_estudio[],MATCH($AK$2,Carreras,0)+2,0),""),"")</f>
        <v>5</v>
      </c>
      <c r="AL8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76</v>
      </c>
      <c r="AN8" s="155">
        <f>base_de_datos[[#This Row],[Pronóstico]]/25</f>
        <v>3.04</v>
      </c>
      <c r="AO8" s="155" t="str">
        <f>VLOOKUP($C8,Planes_de_estudio[],2)</f>
        <v>EMP</v>
      </c>
      <c r="AP8" s="157" t="e">
        <f ca="1">IF(AND(base_de_datos[[#This Row],[Industrial]]&lt;&gt;"",base_de_datos[[#This Row],[Misma o no]]=1),base_de_datos[[#This Row],[Índice]],"")</f>
        <v>#N/A</v>
      </c>
      <c r="AQ8" s="157" t="e">
        <f ca="1">IF(AND(base_de_datos[[#This Row],[Mecatrónica]]&lt;&gt;"",base_de_datos[[#This Row],[Misma o no]]=1),base_de_datos[[#This Row],[Índice]],"")</f>
        <v>#N/A</v>
      </c>
      <c r="AR8" s="157" t="e">
        <f ca="1">IF(AND(base_de_datos[[#This Row],[Innovación y Diseño]]&lt;&gt;"",base_de_datos[[#This Row],[Misma o no]]=1),base_de_datos[[#This Row],[Índice]],"")</f>
        <v>#N/A</v>
      </c>
      <c r="AS8" s="157" t="e">
        <f ca="1">IF(AND(base_de_datos[[#This Row],[Inteligencia Artificial]]&lt;&gt;"",base_de_datos[[#This Row],[Misma o no]]=1),base_de_datos[[#This Row],[Índice]],"")</f>
        <v>#N/A</v>
      </c>
      <c r="AT8" s="157" t="str">
        <f ca="1">IF(AND(base_de_datos[[#This Row],[Tecnologías Energéticas]]&lt;&gt;"",base_de_datos[[#This Row],[Misma o no]]=1),base_de_datos[[#This Row],[Índice]],"")</f>
        <v/>
      </c>
      <c r="AU8" s="157" t="e">
        <f ca="1">IF(AND(base_de_datos[[#This Row],[Civil y Administración]]&lt;&gt;"",base_de_datos[[#This Row],[Misma o no]]=1),base_de_datos[[#This Row],[Índice]],"")</f>
        <v>#N/A</v>
      </c>
      <c r="AV8" s="157" t="e">
        <f ca="1">IF(AND(base_de_datos[[#This Row],[Bioelectrónica]]&lt;&gt;"",base_de_datos[[#This Row],[Misma o no]]=1),base_de_datos[[#This Row],[Índice]],"")</f>
        <v>#N/A</v>
      </c>
      <c r="AW8" s="222" t="s">
        <v>83</v>
      </c>
      <c r="AX8" s="231">
        <v>2</v>
      </c>
    </row>
    <row r="9" spans="1:221" s="6" customFormat="1" ht="15">
      <c r="B9" s="148" t="s">
        <v>84</v>
      </c>
      <c r="C9" s="149" t="s">
        <v>85</v>
      </c>
      <c r="D9" s="150">
        <v>1</v>
      </c>
      <c r="E9" s="151">
        <v>0.72916666666666696</v>
      </c>
      <c r="F9" s="151">
        <v>0.79166666666665897</v>
      </c>
      <c r="G9" s="150"/>
      <c r="H9" s="150" t="s">
        <v>86</v>
      </c>
      <c r="I9" s="150">
        <f>INDEX(Aulas_capacidad,MATCH(base_de_datos[[#This Row],[Aula]],Aulas,0),2)</f>
        <v>40</v>
      </c>
      <c r="J9" s="152">
        <v>10</v>
      </c>
      <c r="K9" s="150">
        <f>INDEX(Aulas_capacidad,MATCH(base_de_datos[[#This Row],[Aula]],Aulas,0),4)</f>
        <v>10</v>
      </c>
      <c r="L9" s="153">
        <f>base_de_datos[[#This Row],[Cap 1.5]]-base_de_datos[[#This Row],[Inscritos]]</f>
        <v>0</v>
      </c>
      <c r="M9" s="153">
        <f>INDEX(Aulas_capacidad,MATCH(base_de_datos[[#This Row],[Aula]],Aulas,0),5)</f>
        <v>25</v>
      </c>
      <c r="N9" s="153">
        <f>base_de_datos[[#This Row],[Cap .90]]-base_de_datos[[#This Row],[Inscritos]]</f>
        <v>15</v>
      </c>
      <c r="O9" s="150">
        <v>5586</v>
      </c>
      <c r="P9" s="154"/>
      <c r="Q9" s="154" t="s">
        <v>67</v>
      </c>
      <c r="R9" s="154"/>
      <c r="S9" s="154"/>
      <c r="T9" s="154"/>
      <c r="U9" s="154"/>
      <c r="V9" s="154"/>
      <c r="W9" s="154" t="s">
        <v>1651</v>
      </c>
      <c r="X9" s="155">
        <f>_xlfn.XLOOKUP(base_de_datos[[#This Row],[Materia]],Materias,Horas)/16</f>
        <v>3</v>
      </c>
      <c r="Y9" s="155">
        <f>ROUND(((base_de_datos[[#This Row],[Hora fin]]-base_de_datos[[#This Row],[Hora inicio]])*24)*(COUNTA(base_de_datos[[#This Row],[Lunes]:[Sábado]])),1)</f>
        <v>1.5</v>
      </c>
      <c r="Z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" s="155">
        <f ca="1">IF(base_de_datos[[#This Row],[No clase]]=OFFSET(base_de_datos[[#This Row],[No clase]],-1,0),0,1)</f>
        <v>1</v>
      </c>
      <c r="AB9" s="155">
        <f ca="1">IF(NOT(OR(base_de_datos[[#This Row],[Horas totales]]=base_de_datos[[#This Row],[HT Plan]],base_de_datos[[#This Row],[Horas totales]]="N/A")),1,0)</f>
        <v>0</v>
      </c>
      <c r="AC9" s="155" t="e">
        <f>_xlfn.XLOOKUP(base_de_datos[[#This Row],[Profesor]],Nombre,Grado)</f>
        <v>#N/A</v>
      </c>
      <c r="AD9" s="156" t="e">
        <f>_xlfn.XLOOKUP(base_de_datos[[#This Row],[Profesor]],Nombre,Tipo)</f>
        <v>#N/A</v>
      </c>
      <c r="AE9" s="155" t="str">
        <f>IF(IFERROR(VLOOKUP($C9,Planes_de_estudio[],MATCH($AE$2,Carreras,0)+2,0),"")&gt;0,IFERROR(VLOOKUP($C9,Planes_de_estudio[],MATCH($AE$2,Carreras,0)+2,0),""),"")</f>
        <v/>
      </c>
      <c r="AF9" s="155" t="str">
        <f>IF(IFERROR(VLOOKUP($C9,Planes_de_estudio[],MATCH($AF$2,Carreras,0)+2,0),"")&gt;0,IFERROR(VLOOKUP($C9,Planes_de_estudio[],MATCH($AF$2,Carreras,0)+2,0),""),"")</f>
        <v/>
      </c>
      <c r="AG9" s="155" t="str">
        <f>IF(IFERROR(VLOOKUP($C9,Planes_de_estudio[],MATCH($AG$2,Carreras,0)+2,0),"")&gt;0,IFERROR(VLOOKUP($C9,Planes_de_estudio[],MATCH($AG$2,Carreras,0)+2,0),""),"")</f>
        <v/>
      </c>
      <c r="AH9" s="155" t="str">
        <f>IF(IFERROR(VLOOKUP($C9,Planes_de_estudio[],MATCH($AH$2,Carreras,0)+2,0),"")&gt;0,IFERROR(VLOOKUP($C9,Planes_de_estudio[],MATCH($AH$2,Carreras,0)+2,0),""),"")</f>
        <v/>
      </c>
      <c r="AI9" s="155" t="str">
        <f>IF(IFERROR(VLOOKUP($C9,Planes_de_estudio[],MATCH($AI$2,Carreras,0)+2,0),"")&gt;0,IFERROR(VLOOKUP($C9,Planes_de_estudio[],MATCH($AI$2,Carreras,0)+2,0),""),"")</f>
        <v/>
      </c>
      <c r="AJ9" s="155">
        <f>IF(IFERROR(VLOOKUP($C9,Planes_de_estudio[],MATCH($AJ$2,Carreras,0)+2,0),"")&gt;0,IFERROR(VLOOKUP($C9,Planes_de_estudio[],MATCH($AJ$2,Carreras,0)+2,0),""),"")</f>
        <v>9</v>
      </c>
      <c r="AK9" s="155" t="str">
        <f>IF(IFERROR(VLOOKUP($C9,Planes_de_estudio[],MATCH($AK$2,Carreras,0)+2,0),"")&gt;0,IFERROR(VLOOKUP($C9,Planes_de_estudio[],MATCH($AK$2,Carreras,0)+2,0),""),"")</f>
        <v/>
      </c>
      <c r="AL9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9" s="155">
        <f>base_de_datos[[#This Row],[Pronóstico]]/25</f>
        <v>0.56000000000000005</v>
      </c>
      <c r="AO9" s="155" t="str">
        <f>VLOOKUP($C9,Planes_de_estudio[],2)</f>
        <v>ESC</v>
      </c>
      <c r="AP9" s="157" t="str">
        <f ca="1">IF(AND(base_de_datos[[#This Row],[Industrial]]&lt;&gt;"",base_de_datos[[#This Row],[Misma o no]]=1),base_de_datos[[#This Row],[Índice]],"")</f>
        <v/>
      </c>
      <c r="AQ9" s="157" t="str">
        <f ca="1">IF(AND(base_de_datos[[#This Row],[Mecatrónica]]&lt;&gt;"",base_de_datos[[#This Row],[Misma o no]]=1),base_de_datos[[#This Row],[Índice]],"")</f>
        <v/>
      </c>
      <c r="AR9" s="157" t="str">
        <f ca="1">IF(AND(base_de_datos[[#This Row],[Innovación y Diseño]]&lt;&gt;"",base_de_datos[[#This Row],[Misma o no]]=1),base_de_datos[[#This Row],[Índice]],"")</f>
        <v/>
      </c>
      <c r="AS9" s="157" t="str">
        <f ca="1">IF(AND(base_de_datos[[#This Row],[Inteligencia Artificial]]&lt;&gt;"",base_de_datos[[#This Row],[Misma o no]]=1),base_de_datos[[#This Row],[Índice]],"")</f>
        <v/>
      </c>
      <c r="AT9" s="157" t="str">
        <f ca="1">IF(AND(base_de_datos[[#This Row],[Tecnologías Energéticas]]&lt;&gt;"",base_de_datos[[#This Row],[Misma o no]]=1),base_de_datos[[#This Row],[Índice]],"")</f>
        <v/>
      </c>
      <c r="AU9" s="157" t="e">
        <f ca="1">IF(AND(base_de_datos[[#This Row],[Civil y Administración]]&lt;&gt;"",base_de_datos[[#This Row],[Misma o no]]=1),base_de_datos[[#This Row],[Índice]],"")</f>
        <v>#N/A</v>
      </c>
      <c r="AV9" s="157" t="str">
        <f ca="1">IF(AND(base_de_datos[[#This Row],[Bioelectrónica]]&lt;&gt;"",base_de_datos[[#This Row],[Misma o no]]=1),base_de_datos[[#This Row],[Índice]],"")</f>
        <v/>
      </c>
      <c r="AW9" s="158"/>
      <c r="AX9" s="231">
        <v>2</v>
      </c>
    </row>
    <row r="10" spans="1:221" s="6" customFormat="1" ht="15">
      <c r="B10" s="148" t="s">
        <v>84</v>
      </c>
      <c r="C10" s="149" t="s">
        <v>85</v>
      </c>
      <c r="D10" s="150">
        <v>1</v>
      </c>
      <c r="E10" s="151">
        <v>0.72916666666666696</v>
      </c>
      <c r="F10" s="151">
        <v>0.79166666666665897</v>
      </c>
      <c r="G10" s="150"/>
      <c r="H10" s="150" t="s">
        <v>87</v>
      </c>
      <c r="I10" s="150">
        <f>INDEX(Aulas_capacidad,MATCH(base_de_datos[[#This Row],[Aula]],Aulas,0),2)</f>
        <v>40</v>
      </c>
      <c r="J10" s="152">
        <v>10</v>
      </c>
      <c r="K10" s="150">
        <f>INDEX(Aulas_capacidad,MATCH(base_de_datos[[#This Row],[Aula]],Aulas,0),4)</f>
        <v>0</v>
      </c>
      <c r="L10" s="153">
        <f>base_de_datos[[#This Row],[Cap 1.5]]-base_de_datos[[#This Row],[Inscritos]]</f>
        <v>-10</v>
      </c>
      <c r="M10" s="153">
        <f>INDEX(Aulas_capacidad,MATCH(base_de_datos[[#This Row],[Aula]],Aulas,0),5)</f>
        <v>0</v>
      </c>
      <c r="N10" s="153">
        <f>base_de_datos[[#This Row],[Cap .90]]-base_de_datos[[#This Row],[Inscritos]]</f>
        <v>-10</v>
      </c>
      <c r="O10" s="150">
        <v>5586</v>
      </c>
      <c r="P10" s="154"/>
      <c r="Q10" s="154"/>
      <c r="R10" s="154"/>
      <c r="S10" s="154" t="s">
        <v>67</v>
      </c>
      <c r="T10" s="154"/>
      <c r="U10" s="154"/>
      <c r="V10" s="154"/>
      <c r="W10" s="154" t="s">
        <v>1651</v>
      </c>
      <c r="X10" s="155">
        <f>_xlfn.XLOOKUP(base_de_datos[[#This Row],[Materia]],Materias,Horas)/16</f>
        <v>3</v>
      </c>
      <c r="Y10" s="155">
        <f>ROUND(((base_de_datos[[#This Row],[Hora fin]]-base_de_datos[[#This Row],[Hora inicio]])*24)*(COUNTA(base_de_datos[[#This Row],[Lunes]:[Sábado]])),1)</f>
        <v>1.5</v>
      </c>
      <c r="Z1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" s="155">
        <f ca="1">IF(base_de_datos[[#This Row],[No clase]]=OFFSET(base_de_datos[[#This Row],[No clase]],-1,0),0,1)</f>
        <v>0</v>
      </c>
      <c r="AB10" s="155">
        <f ca="1">IF(NOT(OR(base_de_datos[[#This Row],[Horas totales]]=base_de_datos[[#This Row],[HT Plan]],base_de_datos[[#This Row],[Horas totales]]="N/A")),1,0)</f>
        <v>0</v>
      </c>
      <c r="AC10" s="155" t="e">
        <f>_xlfn.XLOOKUP(base_de_datos[[#This Row],[Profesor]],Nombre,Grado)</f>
        <v>#N/A</v>
      </c>
      <c r="AD10" s="156" t="e">
        <f>_xlfn.XLOOKUP(base_de_datos[[#This Row],[Profesor]],Nombre,Tipo)</f>
        <v>#N/A</v>
      </c>
      <c r="AE10" s="155" t="str">
        <f>IF(IFERROR(VLOOKUP($C10,Planes_de_estudio[],MATCH($AE$2,Carreras,0)+2,0),"")&gt;0,IFERROR(VLOOKUP($C10,Planes_de_estudio[],MATCH($AE$2,Carreras,0)+2,0),""),"")</f>
        <v/>
      </c>
      <c r="AF10" s="155" t="str">
        <f>IF(IFERROR(VLOOKUP($C10,Planes_de_estudio[],MATCH($AF$2,Carreras,0)+2,0),"")&gt;0,IFERROR(VLOOKUP($C10,Planes_de_estudio[],MATCH($AF$2,Carreras,0)+2,0),""),"")</f>
        <v/>
      </c>
      <c r="AG10" s="155" t="str">
        <f>IF(IFERROR(VLOOKUP($C10,Planes_de_estudio[],MATCH($AG$2,Carreras,0)+2,0),"")&gt;0,IFERROR(VLOOKUP($C10,Planes_de_estudio[],MATCH($AG$2,Carreras,0)+2,0),""),"")</f>
        <v/>
      </c>
      <c r="AH10" s="155" t="str">
        <f>IF(IFERROR(VLOOKUP($C10,Planes_de_estudio[],MATCH($AH$2,Carreras,0)+2,0),"")&gt;0,IFERROR(VLOOKUP($C10,Planes_de_estudio[],MATCH($AH$2,Carreras,0)+2,0),""),"")</f>
        <v/>
      </c>
      <c r="AI10" s="155" t="str">
        <f>IF(IFERROR(VLOOKUP($C10,Planes_de_estudio[],MATCH($AI$2,Carreras,0)+2,0),"")&gt;0,IFERROR(VLOOKUP($C10,Planes_de_estudio[],MATCH($AI$2,Carreras,0)+2,0),""),"")</f>
        <v/>
      </c>
      <c r="AJ10" s="155">
        <f>IF(IFERROR(VLOOKUP($C10,Planes_de_estudio[],MATCH($AJ$2,Carreras,0)+2,0),"")&gt;0,IFERROR(VLOOKUP($C10,Planes_de_estudio[],MATCH($AJ$2,Carreras,0)+2,0),""),"")</f>
        <v>9</v>
      </c>
      <c r="AK10" s="155" t="str">
        <f>IF(IFERROR(VLOOKUP($C10,Planes_de_estudio[],MATCH($AK$2,Carreras,0)+2,0),"")&gt;0,IFERROR(VLOOKUP($C10,Planes_de_estudio[],MATCH($AK$2,Carreras,0)+2,0),""),"")</f>
        <v/>
      </c>
      <c r="AL10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0" s="155">
        <f>base_de_datos[[#This Row],[Pronóstico]]/25</f>
        <v>0.56000000000000005</v>
      </c>
      <c r="AO10" s="155" t="str">
        <f>VLOOKUP($C10,Planes_de_estudio[],2)</f>
        <v>ESC</v>
      </c>
      <c r="AP10" s="157" t="str">
        <f ca="1">IF(AND(base_de_datos[[#This Row],[Industrial]]&lt;&gt;"",base_de_datos[[#This Row],[Misma o no]]=1),base_de_datos[[#This Row],[Índice]],"")</f>
        <v/>
      </c>
      <c r="AQ10" s="157" t="str">
        <f ca="1">IF(AND(base_de_datos[[#This Row],[Mecatrónica]]&lt;&gt;"",base_de_datos[[#This Row],[Misma o no]]=1),base_de_datos[[#This Row],[Índice]],"")</f>
        <v/>
      </c>
      <c r="AR10" s="157" t="str">
        <f ca="1">IF(AND(base_de_datos[[#This Row],[Innovación y Diseño]]&lt;&gt;"",base_de_datos[[#This Row],[Misma o no]]=1),base_de_datos[[#This Row],[Índice]],"")</f>
        <v/>
      </c>
      <c r="AS10" s="157" t="str">
        <f ca="1">IF(AND(base_de_datos[[#This Row],[Inteligencia Artificial]]&lt;&gt;"",base_de_datos[[#This Row],[Misma o no]]=1),base_de_datos[[#This Row],[Índice]],"")</f>
        <v/>
      </c>
      <c r="AT10" s="157" t="str">
        <f ca="1">IF(AND(base_de_datos[[#This Row],[Tecnologías Energéticas]]&lt;&gt;"",base_de_datos[[#This Row],[Misma o no]]=1),base_de_datos[[#This Row],[Índice]],"")</f>
        <v/>
      </c>
      <c r="AU10" s="157" t="str">
        <f ca="1">IF(AND(base_de_datos[[#This Row],[Civil y Administración]]&lt;&gt;"",base_de_datos[[#This Row],[Misma o no]]=1),base_de_datos[[#This Row],[Índice]],"")</f>
        <v/>
      </c>
      <c r="AV10" s="157" t="str">
        <f ca="1">IF(AND(base_de_datos[[#This Row],[Bioelectrónica]]&lt;&gt;"",base_de_datos[[#This Row],[Misma o no]]=1),base_de_datos[[#This Row],[Índice]],"")</f>
        <v/>
      </c>
      <c r="AW10" s="158"/>
      <c r="AX10" s="231">
        <v>2</v>
      </c>
    </row>
    <row r="11" spans="1:221" s="6" customFormat="1" ht="15">
      <c r="B11" s="148" t="s">
        <v>88</v>
      </c>
      <c r="C11" s="149" t="s">
        <v>89</v>
      </c>
      <c r="D11" s="150">
        <v>1</v>
      </c>
      <c r="E11" s="151">
        <v>0.79166666666666696</v>
      </c>
      <c r="F11" s="151">
        <v>0.87499999999999001</v>
      </c>
      <c r="G11" s="150"/>
      <c r="H11" s="150" t="s">
        <v>1</v>
      </c>
      <c r="I11" s="150">
        <f>INDEX(Aulas_capacidad,MATCH(base_de_datos[[#This Row],[Aula]],Aulas,0),2)</f>
        <v>30</v>
      </c>
      <c r="J11" s="152">
        <v>2</v>
      </c>
      <c r="K11" s="150">
        <f>INDEX(Aulas_capacidad,MATCH(base_de_datos[[#This Row],[Aula]],Aulas,0),4)</f>
        <v>0</v>
      </c>
      <c r="L11" s="153">
        <f>base_de_datos[[#This Row],[Cap 1.5]]-base_de_datos[[#This Row],[Inscritos]]</f>
        <v>-2</v>
      </c>
      <c r="M11" s="153">
        <f>INDEX(Aulas_capacidad,MATCH(base_de_datos[[#This Row],[Aula]],Aulas,0),5)</f>
        <v>0</v>
      </c>
      <c r="N11" s="153">
        <f>base_de_datos[[#This Row],[Cap .90]]-base_de_datos[[#This Row],[Inscritos]]</f>
        <v>-2</v>
      </c>
      <c r="O11" s="150" t="s">
        <v>90</v>
      </c>
      <c r="P11" s="154" t="s">
        <v>67</v>
      </c>
      <c r="Q11" s="154"/>
      <c r="R11" s="154"/>
      <c r="S11" s="154" t="s">
        <v>67</v>
      </c>
      <c r="T11" s="154"/>
      <c r="U11" s="154"/>
      <c r="V11" s="154"/>
      <c r="W11" s="154" t="s">
        <v>1653</v>
      </c>
      <c r="X11" s="155">
        <f>_xlfn.XLOOKUP(base_de_datos[[#This Row],[Materia]],Materias,Horas)/16</f>
        <v>4</v>
      </c>
      <c r="Y11" s="155">
        <f>ROUND(((base_de_datos[[#This Row],[Hora fin]]-base_de_datos[[#This Row],[Hora inicio]])*24)*(COUNTA(base_de_datos[[#This Row],[Lunes]:[Sábado]])),1)</f>
        <v>4</v>
      </c>
      <c r="Z1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" s="155">
        <f ca="1">IF(base_de_datos[[#This Row],[No clase]]=OFFSET(base_de_datos[[#This Row],[No clase]],-1,0),0,1)</f>
        <v>1</v>
      </c>
      <c r="AB11" s="155">
        <f ca="1">IF(NOT(OR(base_de_datos[[#This Row],[Horas totales]]=base_de_datos[[#This Row],[HT Plan]],base_de_datos[[#This Row],[Horas totales]]="N/A")),1,0)</f>
        <v>0</v>
      </c>
      <c r="AC11" s="155" t="str">
        <f>_xlfn.XLOOKUP(base_de_datos[[#This Row],[Profesor]],Nombre,Grado)</f>
        <v>M</v>
      </c>
      <c r="AD11" s="156" t="str">
        <f>_xlfn.XLOOKUP(base_de_datos[[#This Row],[Profesor]],Nombre,Tipo)</f>
        <v>A</v>
      </c>
      <c r="AE11" s="155" t="str">
        <f>IF(IFERROR(VLOOKUP($C11,Planes_de_estudio[],MATCH($AE$2,Carreras,0)+2,0),"")&gt;0,IFERROR(VLOOKUP($C11,Planes_de_estudio[],MATCH($AE$2,Carreras,0)+2,0),""),"")</f>
        <v/>
      </c>
      <c r="AF11" s="155" t="str">
        <f>IF(IFERROR(VLOOKUP($C11,Planes_de_estudio[],MATCH($AF$2,Carreras,0)+2,0),"")&gt;0,IFERROR(VLOOKUP($C11,Planes_de_estudio[],MATCH($AF$2,Carreras,0)+2,0),""),"")</f>
        <v/>
      </c>
      <c r="AG11" s="155" t="str">
        <f>IF(IFERROR(VLOOKUP($C11,Planes_de_estudio[],MATCH($AG$2,Carreras,0)+2,0),"")&gt;0,IFERROR(VLOOKUP($C11,Planes_de_estudio[],MATCH($AG$2,Carreras,0)+2,0),""),"")</f>
        <v/>
      </c>
      <c r="AH11" s="155" t="str">
        <f>IF(IFERROR(VLOOKUP($C11,Planes_de_estudio[],MATCH($AH$2,Carreras,0)+2,0),"")&gt;0,IFERROR(VLOOKUP($C11,Planes_de_estudio[],MATCH($AH$2,Carreras,0)+2,0),""),"")</f>
        <v/>
      </c>
      <c r="AI11" s="155">
        <f>IF(IFERROR(VLOOKUP($C11,Planes_de_estudio[],MATCH($AI$2,Carreras,0)+2,0),"")&gt;0,IFERROR(VLOOKUP($C11,Planes_de_estudio[],MATCH($AI$2,Carreras,0)+2,0),""),"")</f>
        <v>7</v>
      </c>
      <c r="AJ11" s="155" t="str">
        <f>IF(IFERROR(VLOOKUP($C11,Planes_de_estudio[],MATCH($AJ$2,Carreras,0)+2,0),"")&gt;0,IFERROR(VLOOKUP($C11,Planes_de_estudio[],MATCH($AJ$2,Carreras,0)+2,0),""),"")</f>
        <v/>
      </c>
      <c r="AK11" s="155" t="str">
        <f>IF(IFERROR(VLOOKUP($C11,Planes_de_estudio[],MATCH($AK$2,Carreras,0)+2,0),"")&gt;0,IFERROR(VLOOKUP($C11,Planes_de_estudio[],MATCH($AK$2,Carreras,0)+2,0),""),"")</f>
        <v/>
      </c>
      <c r="AL1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11" s="155">
        <f>base_de_datos[[#This Row],[Pronóstico]]/25</f>
        <v>0.08</v>
      </c>
      <c r="AO11" s="155" t="str">
        <f>VLOOKUP($C11,Planes_de_estudio[],2)</f>
        <v>ETF</v>
      </c>
      <c r="AP11" s="157" t="str">
        <f ca="1">IF(AND(base_de_datos[[#This Row],[Industrial]]&lt;&gt;"",base_de_datos[[#This Row],[Misma o no]]=1),base_de_datos[[#This Row],[Índice]],"")</f>
        <v/>
      </c>
      <c r="AQ11" s="157" t="str">
        <f ca="1">IF(AND(base_de_datos[[#This Row],[Mecatrónica]]&lt;&gt;"",base_de_datos[[#This Row],[Misma o no]]=1),base_de_datos[[#This Row],[Índice]],"")</f>
        <v/>
      </c>
      <c r="AR11" s="157" t="str">
        <f ca="1">IF(AND(base_de_datos[[#This Row],[Innovación y Diseño]]&lt;&gt;"",base_de_datos[[#This Row],[Misma o no]]=1),base_de_datos[[#This Row],[Índice]],"")</f>
        <v/>
      </c>
      <c r="AS11" s="157" t="str">
        <f ca="1">IF(AND(base_de_datos[[#This Row],[Inteligencia Artificial]]&lt;&gt;"",base_de_datos[[#This Row],[Misma o no]]=1),base_de_datos[[#This Row],[Índice]],"")</f>
        <v/>
      </c>
      <c r="AT11" s="157">
        <f ca="1">IF(AND(base_de_datos[[#This Row],[Tecnologías Energéticas]]&lt;&gt;"",base_de_datos[[#This Row],[Misma o no]]=1),base_de_datos[[#This Row],[Índice]],"")</f>
        <v>4</v>
      </c>
      <c r="AU11" s="157" t="str">
        <f ca="1">IF(AND(base_de_datos[[#This Row],[Civil y Administración]]&lt;&gt;"",base_de_datos[[#This Row],[Misma o no]]=1),base_de_datos[[#This Row],[Índice]],"")</f>
        <v/>
      </c>
      <c r="AV11" s="157" t="str">
        <f ca="1">IF(AND(base_de_datos[[#This Row],[Bioelectrónica]]&lt;&gt;"",base_de_datos[[#This Row],[Misma o no]]=1),base_de_datos[[#This Row],[Índice]],"")</f>
        <v/>
      </c>
      <c r="AW11" s="158"/>
      <c r="AX11" s="231" t="s">
        <v>1626</v>
      </c>
    </row>
    <row r="12" spans="1:221" s="6" customFormat="1" ht="15">
      <c r="B12" s="148" t="s">
        <v>91</v>
      </c>
      <c r="C12" s="149" t="s">
        <v>92</v>
      </c>
      <c r="D12" s="150">
        <v>1</v>
      </c>
      <c r="E12" s="151">
        <v>0.66666666666666696</v>
      </c>
      <c r="F12" s="151">
        <v>0.79166666666665897</v>
      </c>
      <c r="G12" s="150"/>
      <c r="H12" s="182" t="s">
        <v>93</v>
      </c>
      <c r="I12" s="150">
        <f>INDEX(Aulas_capacidad,MATCH(base_de_datos[[#This Row],[Aula]],Aulas,0),2)</f>
        <v>40</v>
      </c>
      <c r="J12" s="152">
        <v>14</v>
      </c>
      <c r="K12" s="150">
        <f>INDEX(Aulas_capacidad,MATCH(base_de_datos[[#This Row],[Aula]],Aulas,0),4)</f>
        <v>11</v>
      </c>
      <c r="L12" s="153">
        <f>base_de_datos[[#This Row],[Cap 1.5]]-base_de_datos[[#This Row],[Inscritos]]</f>
        <v>-3</v>
      </c>
      <c r="M12" s="153">
        <f>INDEX(Aulas_capacidad,MATCH(base_de_datos[[#This Row],[Aula]],Aulas,0),5)</f>
        <v>19</v>
      </c>
      <c r="N12" s="153">
        <f>base_de_datos[[#This Row],[Cap .90]]-base_de_datos[[#This Row],[Inscritos]]</f>
        <v>5</v>
      </c>
      <c r="O12" s="150">
        <v>1558</v>
      </c>
      <c r="P12" s="154"/>
      <c r="Q12" s="154"/>
      <c r="R12" s="154"/>
      <c r="S12" s="154" t="s">
        <v>67</v>
      </c>
      <c r="T12" s="154"/>
      <c r="U12" s="154"/>
      <c r="V12" s="154" t="s">
        <v>67</v>
      </c>
      <c r="W12" s="154" t="s">
        <v>1650</v>
      </c>
      <c r="X12" s="155">
        <f>_xlfn.XLOOKUP(base_de_datos[[#This Row],[Materia]],Materias,Horas)/16</f>
        <v>3</v>
      </c>
      <c r="Y12" s="155">
        <f>ROUND(((base_de_datos[[#This Row],[Hora fin]]-base_de_datos[[#This Row],[Hora inicio]])*24)*(COUNTA(base_de_datos[[#This Row],[Lunes]:[Sábado]])),1)</f>
        <v>3</v>
      </c>
      <c r="Z1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" s="155">
        <f ca="1">IF(base_de_datos[[#This Row],[No clase]]=OFFSET(base_de_datos[[#This Row],[No clase]],-1,0),0,1)</f>
        <v>1</v>
      </c>
      <c r="AB12" s="155">
        <f ca="1">IF(NOT(OR(base_de_datos[[#This Row],[Horas totales]]=base_de_datos[[#This Row],[HT Plan]],base_de_datos[[#This Row],[Horas totales]]="N/A")),1,0)</f>
        <v>0</v>
      </c>
      <c r="AC12" s="155" t="str">
        <f>_xlfn.XLOOKUP(base_de_datos[[#This Row],[Profesor]],Nombre,Grado)</f>
        <v>E</v>
      </c>
      <c r="AD12" s="156" t="str">
        <f>_xlfn.XLOOKUP(base_de_datos[[#This Row],[Profesor]],Nombre,Tipo)</f>
        <v>A</v>
      </c>
      <c r="AE12" s="155" t="str">
        <f>IF(IFERROR(VLOOKUP($C12,Planes_de_estudio[],MATCH($AE$2,Carreras,0)+2,0),"")&gt;0,IFERROR(VLOOKUP($C12,Planes_de_estudio[],MATCH($AE$2,Carreras,0)+2,0),""),"")</f>
        <v/>
      </c>
      <c r="AF12" s="155" t="str">
        <f>IF(IFERROR(VLOOKUP($C12,Planes_de_estudio[],MATCH($AF$2,Carreras,0)+2,0),"")&gt;0,IFERROR(VLOOKUP($C12,Planes_de_estudio[],MATCH($AF$2,Carreras,0)+2,0),""),"")</f>
        <v/>
      </c>
      <c r="AG12" s="155" t="str">
        <f>IF(IFERROR(VLOOKUP($C12,Planes_de_estudio[],MATCH($AG$2,Carreras,0)+2,0),"")&gt;0,IFERROR(VLOOKUP($C12,Planes_de_estudio[],MATCH($AG$2,Carreras,0)+2,0),""),"")</f>
        <v/>
      </c>
      <c r="AH12" s="155">
        <f>IF(IFERROR(VLOOKUP($C12,Planes_de_estudio[],MATCH($AH$2,Carreras,0)+2,0),"")&gt;0,IFERROR(VLOOKUP($C12,Planes_de_estudio[],MATCH($AH$2,Carreras,0)+2,0),""),"")</f>
        <v>7</v>
      </c>
      <c r="AI12" s="155" t="str">
        <f>IF(IFERROR(VLOOKUP($C12,Planes_de_estudio[],MATCH($AI$2,Carreras,0)+2,0),"")&gt;0,IFERROR(VLOOKUP($C12,Planes_de_estudio[],MATCH($AI$2,Carreras,0)+2,0),""),"")</f>
        <v/>
      </c>
      <c r="AJ12" s="155" t="str">
        <f>IF(IFERROR(VLOOKUP($C12,Planes_de_estudio[],MATCH($AJ$2,Carreras,0)+2,0),"")&gt;0,IFERROR(VLOOKUP($C12,Planes_de_estudio[],MATCH($AJ$2,Carreras,0)+2,0),""),"")</f>
        <v/>
      </c>
      <c r="AK12" s="155" t="str">
        <f>IF(IFERROR(VLOOKUP($C12,Planes_de_estudio[],MATCH($AK$2,Carreras,0)+2,0),"")&gt;0,IFERROR(VLOOKUP($C12,Planes_de_estudio[],MATCH($AK$2,Carreras,0)+2,0),""),"")</f>
        <v/>
      </c>
      <c r="AL1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12" s="155">
        <f>base_de_datos[[#This Row],[Pronóstico]]/25</f>
        <v>0.56000000000000005</v>
      </c>
      <c r="AO12" s="155" t="str">
        <f>VLOOKUP($C12,Planes_de_estudio[],2)</f>
        <v>COM</v>
      </c>
      <c r="AP12" s="157" t="str">
        <f ca="1">IF(AND(base_de_datos[[#This Row],[Industrial]]&lt;&gt;"",base_de_datos[[#This Row],[Misma o no]]=1),base_de_datos[[#This Row],[Índice]],"")</f>
        <v/>
      </c>
      <c r="AQ12" s="157" t="str">
        <f ca="1">IF(AND(base_de_datos[[#This Row],[Mecatrónica]]&lt;&gt;"",base_de_datos[[#This Row],[Misma o no]]=1),base_de_datos[[#This Row],[Índice]],"")</f>
        <v/>
      </c>
      <c r="AR12" s="157" t="str">
        <f ca="1">IF(AND(base_de_datos[[#This Row],[Innovación y Diseño]]&lt;&gt;"",base_de_datos[[#This Row],[Misma o no]]=1),base_de_datos[[#This Row],[Índice]],"")</f>
        <v/>
      </c>
      <c r="AS12" s="157">
        <f ca="1">IF(AND(base_de_datos[[#This Row],[Inteligencia Artificial]]&lt;&gt;"",base_de_datos[[#This Row],[Misma o no]]=1),base_de_datos[[#This Row],[Índice]],"")</f>
        <v>2</v>
      </c>
      <c r="AT12" s="157" t="str">
        <f ca="1">IF(AND(base_de_datos[[#This Row],[Tecnologías Energéticas]]&lt;&gt;"",base_de_datos[[#This Row],[Misma o no]]=1),base_de_datos[[#This Row],[Índice]],"")</f>
        <v/>
      </c>
      <c r="AU12" s="157" t="str">
        <f ca="1">IF(AND(base_de_datos[[#This Row],[Civil y Administración]]&lt;&gt;"",base_de_datos[[#This Row],[Misma o no]]=1),base_de_datos[[#This Row],[Índice]],"")</f>
        <v/>
      </c>
      <c r="AV12" s="157" t="str">
        <f ca="1">IF(AND(base_de_datos[[#This Row],[Bioelectrónica]]&lt;&gt;"",base_de_datos[[#This Row],[Misma o no]]=1),base_de_datos[[#This Row],[Índice]],"")</f>
        <v/>
      </c>
      <c r="AW12" s="158"/>
      <c r="AX12" s="231" t="s">
        <v>1627</v>
      </c>
    </row>
    <row r="13" spans="1:221" s="6" customFormat="1" ht="15">
      <c r="B13" s="148" t="s">
        <v>91</v>
      </c>
      <c r="C13" s="149" t="s">
        <v>94</v>
      </c>
      <c r="D13" s="150">
        <v>1</v>
      </c>
      <c r="E13" s="151">
        <v>0.79166666666666696</v>
      </c>
      <c r="F13" s="151">
        <v>0.91666666666665697</v>
      </c>
      <c r="G13" s="150"/>
      <c r="H13" s="182" t="s">
        <v>95</v>
      </c>
      <c r="I13" s="150">
        <f>INDEX(Aulas_capacidad,MATCH(base_de_datos[[#This Row],[Aula]],Aulas,0),2)</f>
        <v>30</v>
      </c>
      <c r="J13" s="152">
        <v>13</v>
      </c>
      <c r="K13" s="150">
        <f>INDEX(Aulas_capacidad,MATCH(base_de_datos[[#This Row],[Aula]],Aulas,0),4)</f>
        <v>10</v>
      </c>
      <c r="L13" s="153">
        <f>base_de_datos[[#This Row],[Cap 1.5]]-base_de_datos[[#This Row],[Inscritos]]</f>
        <v>-3</v>
      </c>
      <c r="M13" s="153">
        <f>INDEX(Aulas_capacidad,MATCH(base_de_datos[[#This Row],[Aula]],Aulas,0),5)</f>
        <v>15</v>
      </c>
      <c r="N13" s="153">
        <f>base_de_datos[[#This Row],[Cap .90]]-base_de_datos[[#This Row],[Inscritos]]</f>
        <v>2</v>
      </c>
      <c r="O13" s="150">
        <v>1562</v>
      </c>
      <c r="P13" s="154"/>
      <c r="Q13" s="154"/>
      <c r="R13" s="154" t="s">
        <v>67</v>
      </c>
      <c r="S13" s="154"/>
      <c r="T13" s="154"/>
      <c r="U13" s="154"/>
      <c r="V13" s="154" t="s">
        <v>67</v>
      </c>
      <c r="W13" s="154" t="s">
        <v>1658</v>
      </c>
      <c r="X13" s="155">
        <f>_xlfn.XLOOKUP(base_de_datos[[#This Row],[Materia]],Materias,Horas)/16</f>
        <v>3</v>
      </c>
      <c r="Y13" s="155">
        <f>ROUND(((base_de_datos[[#This Row],[Hora fin]]-base_de_datos[[#This Row],[Hora inicio]])*24)*(COUNTA(base_de_datos[[#This Row],[Lunes]:[Sábado]])),1)</f>
        <v>3</v>
      </c>
      <c r="Z1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" s="155">
        <f ca="1">IF(base_de_datos[[#This Row],[No clase]]=OFFSET(base_de_datos[[#This Row],[No clase]],-1,0),0,1)</f>
        <v>1</v>
      </c>
      <c r="AB13" s="155">
        <f ca="1">IF(NOT(OR(base_de_datos[[#This Row],[Horas totales]]=base_de_datos[[#This Row],[HT Plan]],base_de_datos[[#This Row],[Horas totales]]="N/A")),1,0)</f>
        <v>0</v>
      </c>
      <c r="AC13" s="155" t="str">
        <f>_xlfn.XLOOKUP(base_de_datos[[#This Row],[Profesor]],Nombre,Grado)</f>
        <v>E</v>
      </c>
      <c r="AD13" s="156" t="str">
        <f>_xlfn.XLOOKUP(base_de_datos[[#This Row],[Profesor]],Nombre,Tipo)</f>
        <v>A</v>
      </c>
      <c r="AE13" s="155" t="str">
        <f>IF(IFERROR(VLOOKUP($C13,Planes_de_estudio[],MATCH($AE$2,Carreras,0)+2,0),"")&gt;0,IFERROR(VLOOKUP($C13,Planes_de_estudio[],MATCH($AE$2,Carreras,0)+2,0),""),"")</f>
        <v/>
      </c>
      <c r="AF13" s="155" t="str">
        <f>IF(IFERROR(VLOOKUP($C13,Planes_de_estudio[],MATCH($AF$2,Carreras,0)+2,0),"")&gt;0,IFERROR(VLOOKUP($C13,Planes_de_estudio[],MATCH($AF$2,Carreras,0)+2,0),""),"")</f>
        <v/>
      </c>
      <c r="AG13" s="155" t="str">
        <f>IF(IFERROR(VLOOKUP($C13,Planes_de_estudio[],MATCH($AG$2,Carreras,0)+2,0),"")&gt;0,IFERROR(VLOOKUP($C13,Planes_de_estudio[],MATCH($AG$2,Carreras,0)+2,0),""),"")</f>
        <v/>
      </c>
      <c r="AH13" s="155" t="str">
        <f>IF(IFERROR(VLOOKUP($C13,Planes_de_estudio[],MATCH($AH$2,Carreras,0)+2,0),"")&gt;0,IFERROR(VLOOKUP($C13,Planes_de_estudio[],MATCH($AH$2,Carreras,0)+2,0),""),"")</f>
        <v/>
      </c>
      <c r="AI13" s="155" t="str">
        <f>IF(IFERROR(VLOOKUP($C13,Planes_de_estudio[],MATCH($AI$2,Carreras,0)+2,0),"")&gt;0,IFERROR(VLOOKUP($C13,Planes_de_estudio[],MATCH($AI$2,Carreras,0)+2,0),""),"")</f>
        <v/>
      </c>
      <c r="AJ13" s="155">
        <f>IF(IFERROR(VLOOKUP($C13,Planes_de_estudio[],MATCH($AJ$2,Carreras,0)+2,0),"")&gt;0,IFERROR(VLOOKUP($C13,Planes_de_estudio[],MATCH($AJ$2,Carreras,0)+2,0),""),"")</f>
        <v>7</v>
      </c>
      <c r="AK13" s="155" t="str">
        <f>IF(IFERROR(VLOOKUP($C13,Planes_de_estudio[],MATCH($AK$2,Carreras,0)+2,0),"")&gt;0,IFERROR(VLOOKUP($C13,Planes_de_estudio[],MATCH($AK$2,Carreras,0)+2,0),""),"")</f>
        <v/>
      </c>
      <c r="AL1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3" s="155">
        <f>base_de_datos[[#This Row],[Pronóstico]]/25</f>
        <v>0.52</v>
      </c>
      <c r="AO13" s="155" t="str">
        <f>VLOOKUP($C13,Planes_de_estudio[],2)</f>
        <v>COM</v>
      </c>
      <c r="AP13" s="157" t="str">
        <f ca="1">IF(AND(base_de_datos[[#This Row],[Industrial]]&lt;&gt;"",base_de_datos[[#This Row],[Misma o no]]=1),base_de_datos[[#This Row],[Índice]],"")</f>
        <v/>
      </c>
      <c r="AQ13" s="157" t="str">
        <f ca="1">IF(AND(base_de_datos[[#This Row],[Mecatrónica]]&lt;&gt;"",base_de_datos[[#This Row],[Misma o no]]=1),base_de_datos[[#This Row],[Índice]],"")</f>
        <v/>
      </c>
      <c r="AR13" s="157" t="str">
        <f ca="1">IF(AND(base_de_datos[[#This Row],[Innovación y Diseño]]&lt;&gt;"",base_de_datos[[#This Row],[Misma o no]]=1),base_de_datos[[#This Row],[Índice]],"")</f>
        <v/>
      </c>
      <c r="AS13" s="157" t="str">
        <f ca="1">IF(AND(base_de_datos[[#This Row],[Inteligencia Artificial]]&lt;&gt;"",base_de_datos[[#This Row],[Misma o no]]=1),base_de_datos[[#This Row],[Índice]],"")</f>
        <v/>
      </c>
      <c r="AT13" s="157" t="str">
        <f ca="1">IF(AND(base_de_datos[[#This Row],[Tecnologías Energéticas]]&lt;&gt;"",base_de_datos[[#This Row],[Misma o no]]=1),base_de_datos[[#This Row],[Índice]],"")</f>
        <v/>
      </c>
      <c r="AU13" s="157">
        <f ca="1">IF(AND(base_de_datos[[#This Row],[Civil y Administración]]&lt;&gt;"",base_de_datos[[#This Row],[Misma o no]]=1),base_de_datos[[#This Row],[Índice]],"")</f>
        <v>2</v>
      </c>
      <c r="AV13" s="157" t="str">
        <f ca="1">IF(AND(base_de_datos[[#This Row],[Bioelectrónica]]&lt;&gt;"",base_de_datos[[#This Row],[Misma o no]]=1),base_de_datos[[#This Row],[Índice]],"")</f>
        <v/>
      </c>
      <c r="AW13" s="158"/>
      <c r="AX13" s="231" t="s">
        <v>1627</v>
      </c>
    </row>
    <row r="14" spans="1:221" s="6" customFormat="1" ht="15">
      <c r="B14" s="148" t="s">
        <v>96</v>
      </c>
      <c r="C14" s="149" t="s">
        <v>97</v>
      </c>
      <c r="D14" s="150">
        <v>3</v>
      </c>
      <c r="E14" s="151">
        <v>0.29166666666666669</v>
      </c>
      <c r="F14" s="151">
        <v>0.45833333333333098</v>
      </c>
      <c r="G14" s="150"/>
      <c r="H14" s="150" t="s">
        <v>98</v>
      </c>
      <c r="I14" s="150" t="e">
        <f>INDEX(Aulas_capacidad,MATCH(base_de_datos[[#This Row],[Aula]],Aulas,0),2)</f>
        <v>#N/A</v>
      </c>
      <c r="J14" s="152">
        <v>26</v>
      </c>
      <c r="K14" s="150" t="e">
        <f>INDEX(Aulas_capacidad,MATCH(base_de_datos[[#This Row],[Aula]],Aulas,0),4)</f>
        <v>#N/A</v>
      </c>
      <c r="L14" s="153" t="e">
        <f>base_de_datos[[#This Row],[Cap 1.5]]-base_de_datos[[#This Row],[Inscritos]]</f>
        <v>#N/A</v>
      </c>
      <c r="M14" s="153" t="e">
        <f>INDEX(Aulas_capacidad,MATCH(base_de_datos[[#This Row],[Aula]],Aulas,0),5)</f>
        <v>#N/A</v>
      </c>
      <c r="N14" s="153" t="e">
        <f>base_de_datos[[#This Row],[Cap .90]]-base_de_datos[[#This Row],[Inscritos]]</f>
        <v>#N/A</v>
      </c>
      <c r="O14" s="150" t="s">
        <v>1644</v>
      </c>
      <c r="P14" s="154"/>
      <c r="Q14" s="154" t="s">
        <v>67</v>
      </c>
      <c r="R14" s="154"/>
      <c r="S14" s="154" t="s">
        <v>67</v>
      </c>
      <c r="T14" s="154"/>
      <c r="U14" s="154"/>
      <c r="V14" s="154"/>
      <c r="W14" s="154" t="s">
        <v>1651</v>
      </c>
      <c r="X14" s="155">
        <f>_xlfn.XLOOKUP(base_de_datos[[#This Row],[Materia]],Materias,Horas)/16</f>
        <v>4</v>
      </c>
      <c r="Y14" s="155">
        <f>ROUND(((base_de_datos[[#This Row],[Hora fin]]-base_de_datos[[#This Row],[Hora inicio]])*24)*(COUNTA(base_de_datos[[#This Row],[Lunes]:[Sábado]])),1)</f>
        <v>8</v>
      </c>
      <c r="Z14" s="155">
        <f ca="1">IF(base_de_datos[[#This Row],[Misma o no]]=0,"N/A",IF((OFFSET(base_de_datos[[#This Row],[Misma o no]],1,0))=0,base_de_datos[[#This Row],[Horas]]+(OFFSET(base_de_datos[[#This Row],[Horas]],1,0)),base_de_datos[[#This Row],[Horas]]))</f>
        <v>8</v>
      </c>
      <c r="AA14" s="155">
        <f ca="1">IF(base_de_datos[[#This Row],[No clase]]=OFFSET(base_de_datos[[#This Row],[No clase]],-1,0),0,1)</f>
        <v>1</v>
      </c>
      <c r="AB14" s="155">
        <f ca="1">IF(NOT(OR(base_de_datos[[#This Row],[Horas totales]]=base_de_datos[[#This Row],[HT Plan]],base_de_datos[[#This Row],[Horas totales]]="N/A")),1,0)</f>
        <v>1</v>
      </c>
      <c r="AC14" s="155" t="str">
        <f>_xlfn.XLOOKUP(base_de_datos[[#This Row],[Profesor]],Nombre,Grado)</f>
        <v>L</v>
      </c>
      <c r="AD14" s="156" t="str">
        <f>_xlfn.XLOOKUP(base_de_datos[[#This Row],[Profesor]],Nombre,Tipo)</f>
        <v>A</v>
      </c>
      <c r="AE14" s="155">
        <f>IF(IFERROR(VLOOKUP($C14,Planes_de_estudio[],MATCH($AE$2,Carreras,0)+2,0),"")&gt;0,IFERROR(VLOOKUP($C14,Planes_de_estudio[],MATCH($AE$2,Carreras,0)+2,0),""),"")</f>
        <v>1</v>
      </c>
      <c r="AF14" s="155">
        <f>IF(IFERROR(VLOOKUP($C14,Planes_de_estudio[],MATCH($AF$2,Carreras,0)+2,0),"")&gt;0,IFERROR(VLOOKUP($C14,Planes_de_estudio[],MATCH($AF$2,Carreras,0)+2,0),""),"")</f>
        <v>1</v>
      </c>
      <c r="AG14" s="155">
        <f>IF(IFERROR(VLOOKUP($C14,Planes_de_estudio[],MATCH($AG$2,Carreras,0)+2,0),"")&gt;0,IFERROR(VLOOKUP($C14,Planes_de_estudio[],MATCH($AG$2,Carreras,0)+2,0),""),"")</f>
        <v>1</v>
      </c>
      <c r="AH14" s="155">
        <f>IF(IFERROR(VLOOKUP($C14,Planes_de_estudio[],MATCH($AH$2,Carreras,0)+2,0),"")&gt;0,IFERROR(VLOOKUP($C14,Planes_de_estudio[],MATCH($AH$2,Carreras,0)+2,0),""),"")</f>
        <v>1</v>
      </c>
      <c r="AI14" s="155">
        <f>IF(IFERROR(VLOOKUP($C14,Planes_de_estudio[],MATCH($AI$2,Carreras,0)+2,0),"")&gt;0,IFERROR(VLOOKUP($C14,Planes_de_estudio[],MATCH($AI$2,Carreras,0)+2,0),""),"")</f>
        <v>1</v>
      </c>
      <c r="AJ14" s="155">
        <f>IF(IFERROR(VLOOKUP($C14,Planes_de_estudio[],MATCH($AJ$2,Carreras,0)+2,0),"")&gt;0,IFERROR(VLOOKUP($C14,Planes_de_estudio[],MATCH($AJ$2,Carreras,0)+2,0),""),"")</f>
        <v>1</v>
      </c>
      <c r="AK14" s="155">
        <f>IF(IFERROR(VLOOKUP($C14,Planes_de_estudio[],MATCH($AK$2,Carreras,0)+2,0),"")&gt;0,IFERROR(VLOOKUP($C14,Planes_de_estudio[],MATCH($AK$2,Carreras,0)+2,0),""),"")</f>
        <v>1</v>
      </c>
      <c r="AL1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4" s="155">
        <f>base_de_datos[[#This Row],[Pronóstico]]/25</f>
        <v>4.3600000000000003</v>
      </c>
      <c r="AO14" s="155" t="str">
        <f>VLOOKUP($C14,Planes_de_estudio[],2)</f>
        <v>MAT</v>
      </c>
      <c r="AP14" s="157">
        <f ca="1">IF(AND(base_de_datos[[#This Row],[Industrial]]&lt;&gt;"",base_de_datos[[#This Row],[Misma o no]]=1),base_de_datos[[#This Row],[Índice]],"")</f>
        <v>1</v>
      </c>
      <c r="AQ14" s="157">
        <f ca="1">IF(AND(base_de_datos[[#This Row],[Mecatrónica]]&lt;&gt;"",base_de_datos[[#This Row],[Misma o no]]=1),base_de_datos[[#This Row],[Índice]],"")</f>
        <v>1</v>
      </c>
      <c r="AR14" s="157">
        <f ca="1">IF(AND(base_de_datos[[#This Row],[Innovación y Diseño]]&lt;&gt;"",base_de_datos[[#This Row],[Misma o no]]=1),base_de_datos[[#This Row],[Índice]],"")</f>
        <v>1</v>
      </c>
      <c r="AS14" s="157">
        <f ca="1">IF(AND(base_de_datos[[#This Row],[Inteligencia Artificial]]&lt;&gt;"",base_de_datos[[#This Row],[Misma o no]]=1),base_de_datos[[#This Row],[Índice]],"")</f>
        <v>1</v>
      </c>
      <c r="AT14" s="157">
        <f ca="1">IF(AND(base_de_datos[[#This Row],[Tecnologías Energéticas]]&lt;&gt;"",base_de_datos[[#This Row],[Misma o no]]=1),base_de_datos[[#This Row],[Índice]],"")</f>
        <v>1</v>
      </c>
      <c r="AU14" s="157">
        <f ca="1">IF(AND(base_de_datos[[#This Row],[Civil y Administración]]&lt;&gt;"",base_de_datos[[#This Row],[Misma o no]]=1),base_de_datos[[#This Row],[Índice]],"")</f>
        <v>1</v>
      </c>
      <c r="AV14" s="157">
        <f ca="1">IF(AND(base_de_datos[[#This Row],[Bioelectrónica]]&lt;&gt;"",base_de_datos[[#This Row],[Misma o no]]=1),base_de_datos[[#This Row],[Índice]],"")</f>
        <v>1</v>
      </c>
      <c r="AW14" s="158"/>
      <c r="AX14" s="231" t="s">
        <v>1627</v>
      </c>
    </row>
    <row r="15" spans="1:221" s="6" customFormat="1" ht="15">
      <c r="B15" s="148" t="s">
        <v>99</v>
      </c>
      <c r="C15" s="149" t="s">
        <v>100</v>
      </c>
      <c r="D15" s="150">
        <v>1</v>
      </c>
      <c r="E15" s="151">
        <v>0.8125</v>
      </c>
      <c r="F15" s="151">
        <v>0.89583333333332305</v>
      </c>
      <c r="G15" s="150"/>
      <c r="H15" s="150" t="s">
        <v>93</v>
      </c>
      <c r="I15" s="150">
        <f>INDEX(Aulas_capacidad,MATCH(base_de_datos[[#This Row],[Aula]],Aulas,0),2)</f>
        <v>40</v>
      </c>
      <c r="J15" s="152">
        <v>13</v>
      </c>
      <c r="K15" s="150">
        <f>INDEX(Aulas_capacidad,MATCH(base_de_datos[[#This Row],[Aula]],Aulas,0),4)</f>
        <v>11</v>
      </c>
      <c r="L15" s="153">
        <f>base_de_datos[[#This Row],[Cap 1.5]]-base_de_datos[[#This Row],[Inscritos]]</f>
        <v>-2</v>
      </c>
      <c r="M15" s="153">
        <f>INDEX(Aulas_capacidad,MATCH(base_de_datos[[#This Row],[Aula]],Aulas,0),5)</f>
        <v>19</v>
      </c>
      <c r="N15" s="153">
        <f>base_de_datos[[#This Row],[Cap .90]]-base_de_datos[[#This Row],[Inscritos]]</f>
        <v>6</v>
      </c>
      <c r="O15" s="150">
        <v>5820</v>
      </c>
      <c r="P15" s="154" t="s">
        <v>67</v>
      </c>
      <c r="Q15" s="154"/>
      <c r="R15" s="154"/>
      <c r="S15" s="154"/>
      <c r="T15" s="154"/>
      <c r="U15" s="154"/>
      <c r="V15" s="154"/>
      <c r="W15" s="154" t="s">
        <v>1653</v>
      </c>
      <c r="X15" s="155">
        <f>_xlfn.XLOOKUP(base_de_datos[[#This Row],[Materia]],Materias,Horas)/16</f>
        <v>4</v>
      </c>
      <c r="Y15" s="155">
        <f>ROUND(((base_de_datos[[#This Row],[Hora fin]]-base_de_datos[[#This Row],[Hora inicio]])*24)*(COUNTA(base_de_datos[[#This Row],[Lunes]:[Sábado]])),1)</f>
        <v>2</v>
      </c>
      <c r="Z1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" s="155">
        <f ca="1">IF(base_de_datos[[#This Row],[No clase]]=OFFSET(base_de_datos[[#This Row],[No clase]],-1,0),0,1)</f>
        <v>1</v>
      </c>
      <c r="AB15" s="155">
        <f ca="1">IF(NOT(OR(base_de_datos[[#This Row],[Horas totales]]=base_de_datos[[#This Row],[HT Plan]],base_de_datos[[#This Row],[Horas totales]]="N/A")),1,0)</f>
        <v>0</v>
      </c>
      <c r="AC15" s="155" t="e">
        <f>_xlfn.XLOOKUP(base_de_datos[[#This Row],[Profesor]],Nombre,Grado)</f>
        <v>#N/A</v>
      </c>
      <c r="AD15" s="156" t="e">
        <f>_xlfn.XLOOKUP(base_de_datos[[#This Row],[Profesor]],Nombre,Tipo)</f>
        <v>#N/A</v>
      </c>
      <c r="AE15" s="155" t="str">
        <f>IF(IFERROR(VLOOKUP($C15,Planes_de_estudio[],MATCH($AE$2,Carreras,0)+2,0),"")&gt;0,IFERROR(VLOOKUP($C15,Planes_de_estudio[],MATCH($AE$2,Carreras,0)+2,0),""),"")</f>
        <v/>
      </c>
      <c r="AF15" s="155" t="str">
        <f>IF(IFERROR(VLOOKUP($C15,Planes_de_estudio[],MATCH($AF$2,Carreras,0)+2,0),"")&gt;0,IFERROR(VLOOKUP($C15,Planes_de_estudio[],MATCH($AF$2,Carreras,0)+2,0),""),"")</f>
        <v/>
      </c>
      <c r="AG15" s="155">
        <f>IF(IFERROR(VLOOKUP($C15,Planes_de_estudio[],MATCH($AG$2,Carreras,0)+2,0),"")&gt;0,IFERROR(VLOOKUP($C15,Planes_de_estudio[],MATCH($AG$2,Carreras,0)+2,0),""),"")</f>
        <v>5</v>
      </c>
      <c r="AH15" s="155" t="str">
        <f>IF(IFERROR(VLOOKUP($C15,Planes_de_estudio[],MATCH($AH$2,Carreras,0)+2,0),"")&gt;0,IFERROR(VLOOKUP($C15,Planes_de_estudio[],MATCH($AH$2,Carreras,0)+2,0),""),"")</f>
        <v/>
      </c>
      <c r="AI15" s="155" t="str">
        <f>IF(IFERROR(VLOOKUP($C15,Planes_de_estudio[],MATCH($AI$2,Carreras,0)+2,0),"")&gt;0,IFERROR(VLOOKUP($C15,Planes_de_estudio[],MATCH($AI$2,Carreras,0)+2,0),""),"")</f>
        <v/>
      </c>
      <c r="AJ15" s="155" t="str">
        <f>IF(IFERROR(VLOOKUP($C15,Planes_de_estudio[],MATCH($AJ$2,Carreras,0)+2,0),"")&gt;0,IFERROR(VLOOKUP($C15,Planes_de_estudio[],MATCH($AJ$2,Carreras,0)+2,0),""),"")</f>
        <v/>
      </c>
      <c r="AK15" s="155" t="str">
        <f>IF(IFERROR(VLOOKUP($C15,Planes_de_estudio[],MATCH($AK$2,Carreras,0)+2,0),"")&gt;0,IFERROR(VLOOKUP($C15,Planes_de_estudio[],MATCH($AK$2,Carreras,0)+2,0),""),"")</f>
        <v/>
      </c>
      <c r="AL15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5" s="155">
        <f>base_de_datos[[#This Row],[Pronóstico]]/25</f>
        <v>0.6</v>
      </c>
      <c r="AO15" s="155" t="str">
        <f>VLOOKUP($C15,Planes_de_estudio[],2)</f>
        <v>HUM</v>
      </c>
      <c r="AP15" s="157" t="str">
        <f ca="1">IF(AND(base_de_datos[[#This Row],[Industrial]]&lt;&gt;"",base_de_datos[[#This Row],[Misma o no]]=1),base_de_datos[[#This Row],[Índice]],"")</f>
        <v/>
      </c>
      <c r="AQ15" s="157" t="str">
        <f ca="1">IF(AND(base_de_datos[[#This Row],[Mecatrónica]]&lt;&gt;"",base_de_datos[[#This Row],[Misma o no]]=1),base_de_datos[[#This Row],[Índice]],"")</f>
        <v/>
      </c>
      <c r="AR15" s="157" t="e">
        <f ca="1">IF(AND(base_de_datos[[#This Row],[Innovación y Diseño]]&lt;&gt;"",base_de_datos[[#This Row],[Misma o no]]=1),base_de_datos[[#This Row],[Índice]],"")</f>
        <v>#N/A</v>
      </c>
      <c r="AS15" s="157" t="str">
        <f ca="1">IF(AND(base_de_datos[[#This Row],[Inteligencia Artificial]]&lt;&gt;"",base_de_datos[[#This Row],[Misma o no]]=1),base_de_datos[[#This Row],[Índice]],"")</f>
        <v/>
      </c>
      <c r="AT15" s="157" t="str">
        <f ca="1">IF(AND(base_de_datos[[#This Row],[Tecnologías Energéticas]]&lt;&gt;"",base_de_datos[[#This Row],[Misma o no]]=1),base_de_datos[[#This Row],[Índice]],"")</f>
        <v/>
      </c>
      <c r="AU15" s="157" t="str">
        <f ca="1">IF(AND(base_de_datos[[#This Row],[Civil y Administración]]&lt;&gt;"",base_de_datos[[#This Row],[Misma o no]]=1),base_de_datos[[#This Row],[Índice]],"")</f>
        <v/>
      </c>
      <c r="AV15" s="157" t="str">
        <f ca="1">IF(AND(base_de_datos[[#This Row],[Bioelectrónica]]&lt;&gt;"",base_de_datos[[#This Row],[Misma o no]]=1),base_de_datos[[#This Row],[Índice]],"")</f>
        <v/>
      </c>
      <c r="AW15" s="158"/>
      <c r="AX15" s="231" t="s">
        <v>1627</v>
      </c>
    </row>
    <row r="16" spans="1:221" s="6" customFormat="1" ht="15">
      <c r="B16" s="148" t="s">
        <v>99</v>
      </c>
      <c r="C16" s="149" t="s">
        <v>100</v>
      </c>
      <c r="D16" s="150">
        <v>1</v>
      </c>
      <c r="E16" s="151">
        <v>0.75</v>
      </c>
      <c r="F16" s="151">
        <v>0.83333333333332504</v>
      </c>
      <c r="G16" s="150"/>
      <c r="H16" s="150" t="s">
        <v>93</v>
      </c>
      <c r="I16" s="150">
        <f>INDEX(Aulas_capacidad,MATCH(base_de_datos[[#This Row],[Aula]],Aulas,0),2)</f>
        <v>40</v>
      </c>
      <c r="J16" s="152">
        <v>13</v>
      </c>
      <c r="K16" s="150">
        <f>INDEX(Aulas_capacidad,MATCH(base_de_datos[[#This Row],[Aula]],Aulas,0),4)</f>
        <v>11</v>
      </c>
      <c r="L16" s="153">
        <f>base_de_datos[[#This Row],[Cap 1.5]]-base_de_datos[[#This Row],[Inscritos]]</f>
        <v>-2</v>
      </c>
      <c r="M16" s="153">
        <f>INDEX(Aulas_capacidad,MATCH(base_de_datos[[#This Row],[Aula]],Aulas,0),5)</f>
        <v>19</v>
      </c>
      <c r="N16" s="153">
        <f>base_de_datos[[#This Row],[Cap .90]]-base_de_datos[[#This Row],[Inscritos]]</f>
        <v>6</v>
      </c>
      <c r="O16" s="150">
        <v>5820</v>
      </c>
      <c r="P16" s="154"/>
      <c r="Q16" s="154"/>
      <c r="R16" s="154"/>
      <c r="S16" s="154"/>
      <c r="T16" s="154" t="s">
        <v>67</v>
      </c>
      <c r="U16" s="154"/>
      <c r="V16" s="154"/>
      <c r="W16" s="154" t="s">
        <v>1653</v>
      </c>
      <c r="X16" s="155">
        <f>_xlfn.XLOOKUP(base_de_datos[[#This Row],[Materia]],Materias,Horas)/16</f>
        <v>4</v>
      </c>
      <c r="Y16" s="155">
        <f>ROUND(((base_de_datos[[#This Row],[Hora fin]]-base_de_datos[[#This Row],[Hora inicio]])*24)*(COUNTA(base_de_datos[[#This Row],[Lunes]:[Sábado]])),1)</f>
        <v>2</v>
      </c>
      <c r="Z1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" s="155">
        <f ca="1">IF(base_de_datos[[#This Row],[No clase]]=OFFSET(base_de_datos[[#This Row],[No clase]],-1,0),0,1)</f>
        <v>0</v>
      </c>
      <c r="AB16" s="155">
        <f ca="1">IF(NOT(OR(base_de_datos[[#This Row],[Horas totales]]=base_de_datos[[#This Row],[HT Plan]],base_de_datos[[#This Row],[Horas totales]]="N/A")),1,0)</f>
        <v>0</v>
      </c>
      <c r="AC16" s="155" t="e">
        <f>_xlfn.XLOOKUP(base_de_datos[[#This Row],[Profesor]],Nombre,Grado)</f>
        <v>#N/A</v>
      </c>
      <c r="AD16" s="156" t="e">
        <f>_xlfn.XLOOKUP(base_de_datos[[#This Row],[Profesor]],Nombre,Tipo)</f>
        <v>#N/A</v>
      </c>
      <c r="AE16" s="155" t="str">
        <f>IF(IFERROR(VLOOKUP($C16,Planes_de_estudio[],MATCH($AE$2,Carreras,0)+2,0),"")&gt;0,IFERROR(VLOOKUP($C16,Planes_de_estudio[],MATCH($AE$2,Carreras,0)+2,0),""),"")</f>
        <v/>
      </c>
      <c r="AF16" s="155" t="str">
        <f>IF(IFERROR(VLOOKUP($C16,Planes_de_estudio[],MATCH($AF$2,Carreras,0)+2,0),"")&gt;0,IFERROR(VLOOKUP($C16,Planes_de_estudio[],MATCH($AF$2,Carreras,0)+2,0),""),"")</f>
        <v/>
      </c>
      <c r="AG16" s="155">
        <f>IF(IFERROR(VLOOKUP($C16,Planes_de_estudio[],MATCH($AG$2,Carreras,0)+2,0),"")&gt;0,IFERROR(VLOOKUP($C16,Planes_de_estudio[],MATCH($AG$2,Carreras,0)+2,0),""),"")</f>
        <v>5</v>
      </c>
      <c r="AH16" s="155" t="str">
        <f>IF(IFERROR(VLOOKUP($C16,Planes_de_estudio[],MATCH($AH$2,Carreras,0)+2,0),"")&gt;0,IFERROR(VLOOKUP($C16,Planes_de_estudio[],MATCH($AH$2,Carreras,0)+2,0),""),"")</f>
        <v/>
      </c>
      <c r="AI16" s="155" t="str">
        <f>IF(IFERROR(VLOOKUP($C16,Planes_de_estudio[],MATCH($AI$2,Carreras,0)+2,0),"")&gt;0,IFERROR(VLOOKUP($C16,Planes_de_estudio[],MATCH($AI$2,Carreras,0)+2,0),""),"")</f>
        <v/>
      </c>
      <c r="AJ16" s="155" t="str">
        <f>IF(IFERROR(VLOOKUP($C16,Planes_de_estudio[],MATCH($AJ$2,Carreras,0)+2,0),"")&gt;0,IFERROR(VLOOKUP($C16,Planes_de_estudio[],MATCH($AJ$2,Carreras,0)+2,0),""),"")</f>
        <v/>
      </c>
      <c r="AK16" s="155" t="str">
        <f>IF(IFERROR(VLOOKUP($C16,Planes_de_estudio[],MATCH($AK$2,Carreras,0)+2,0),"")&gt;0,IFERROR(VLOOKUP($C16,Planes_de_estudio[],MATCH($AK$2,Carreras,0)+2,0),""),"")</f>
        <v/>
      </c>
      <c r="AL16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16" s="155">
        <f>base_de_datos[[#This Row],[Pronóstico]]/25</f>
        <v>0.6</v>
      </c>
      <c r="AO16" s="155" t="str">
        <f>VLOOKUP($C16,Planes_de_estudio[],2)</f>
        <v>HUM</v>
      </c>
      <c r="AP16" s="157" t="str">
        <f ca="1">IF(AND(base_de_datos[[#This Row],[Industrial]]&lt;&gt;"",base_de_datos[[#This Row],[Misma o no]]=1),base_de_datos[[#This Row],[Índice]],"")</f>
        <v/>
      </c>
      <c r="AQ16" s="157" t="str">
        <f ca="1">IF(AND(base_de_datos[[#This Row],[Mecatrónica]]&lt;&gt;"",base_de_datos[[#This Row],[Misma o no]]=1),base_de_datos[[#This Row],[Índice]],"")</f>
        <v/>
      </c>
      <c r="AR16" s="157" t="str">
        <f ca="1">IF(AND(base_de_datos[[#This Row],[Innovación y Diseño]]&lt;&gt;"",base_de_datos[[#This Row],[Misma o no]]=1),base_de_datos[[#This Row],[Índice]],"")</f>
        <v/>
      </c>
      <c r="AS16" s="157" t="str">
        <f ca="1">IF(AND(base_de_datos[[#This Row],[Inteligencia Artificial]]&lt;&gt;"",base_de_datos[[#This Row],[Misma o no]]=1),base_de_datos[[#This Row],[Índice]],"")</f>
        <v/>
      </c>
      <c r="AT16" s="157" t="str">
        <f ca="1">IF(AND(base_de_datos[[#This Row],[Tecnologías Energéticas]]&lt;&gt;"",base_de_datos[[#This Row],[Misma o no]]=1),base_de_datos[[#This Row],[Índice]],"")</f>
        <v/>
      </c>
      <c r="AU16" s="157" t="str">
        <f ca="1">IF(AND(base_de_datos[[#This Row],[Civil y Administración]]&lt;&gt;"",base_de_datos[[#This Row],[Misma o no]]=1),base_de_datos[[#This Row],[Índice]],"")</f>
        <v/>
      </c>
      <c r="AV16" s="157" t="str">
        <f ca="1">IF(AND(base_de_datos[[#This Row],[Bioelectrónica]]&lt;&gt;"",base_de_datos[[#This Row],[Misma o no]]=1),base_de_datos[[#This Row],[Índice]],"")</f>
        <v/>
      </c>
      <c r="AW16" s="158"/>
      <c r="AX16" s="231" t="s">
        <v>1627</v>
      </c>
    </row>
    <row r="17" spans="2:50" s="6" customFormat="1" ht="15">
      <c r="B17" s="148" t="s">
        <v>99</v>
      </c>
      <c r="C17" s="149" t="s">
        <v>101</v>
      </c>
      <c r="D17" s="150">
        <v>1</v>
      </c>
      <c r="E17" s="151">
        <v>0.79166666666666696</v>
      </c>
      <c r="F17" s="151">
        <v>0.91666666666665697</v>
      </c>
      <c r="G17" s="150"/>
      <c r="H17" s="150" t="s">
        <v>102</v>
      </c>
      <c r="I17" s="150">
        <f>INDEX(Aulas_capacidad,MATCH(base_de_datos[[#This Row],[Aula]],Aulas,0),2)</f>
        <v>20</v>
      </c>
      <c r="J17" s="152">
        <v>15</v>
      </c>
      <c r="K17" s="150">
        <f>INDEX(Aulas_capacidad,MATCH(base_de_datos[[#This Row],[Aula]],Aulas,0),4)</f>
        <v>20</v>
      </c>
      <c r="L17" s="153">
        <f>base_de_datos[[#This Row],[Cap 1.5]]-base_de_datos[[#This Row],[Inscritos]]</f>
        <v>5</v>
      </c>
      <c r="M17" s="153">
        <f>INDEX(Aulas_capacidad,MATCH(base_de_datos[[#This Row],[Aula]],Aulas,0),5)</f>
        <v>18</v>
      </c>
      <c r="N17" s="153">
        <f>base_de_datos[[#This Row],[Cap .90]]-base_de_datos[[#This Row],[Inscritos]]</f>
        <v>3</v>
      </c>
      <c r="O17" s="150" t="s">
        <v>1645</v>
      </c>
      <c r="P17" s="154"/>
      <c r="Q17" s="154"/>
      <c r="R17" s="154"/>
      <c r="S17" s="154" t="s">
        <v>67</v>
      </c>
      <c r="T17" s="154"/>
      <c r="U17" s="154"/>
      <c r="V17" s="154"/>
      <c r="W17" s="154" t="s">
        <v>1656</v>
      </c>
      <c r="X17" s="155">
        <f>_xlfn.XLOOKUP(base_de_datos[[#This Row],[Materia]],Materias,Horas)/16</f>
        <v>5</v>
      </c>
      <c r="Y17" s="155">
        <f>ROUND(((base_de_datos[[#This Row],[Hora fin]]-base_de_datos[[#This Row],[Hora inicio]])*24)*(COUNTA(base_de_datos[[#This Row],[Lunes]:[Sábado]])),1)</f>
        <v>3</v>
      </c>
      <c r="Z17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" s="155">
        <f ca="1">IF(base_de_datos[[#This Row],[No clase]]=OFFSET(base_de_datos[[#This Row],[No clase]],-1,0),0,1)</f>
        <v>1</v>
      </c>
      <c r="AB17" s="155">
        <f ca="1">IF(NOT(OR(base_de_datos[[#This Row],[Horas totales]]=base_de_datos[[#This Row],[HT Plan]],base_de_datos[[#This Row],[Horas totales]]="N/A")),1,0)</f>
        <v>1</v>
      </c>
      <c r="AC17" s="155" t="e">
        <f>_xlfn.XLOOKUP(base_de_datos[[#This Row],[Profesor]],Nombre,Grado)</f>
        <v>#N/A</v>
      </c>
      <c r="AD17" s="156" t="e">
        <f>_xlfn.XLOOKUP(base_de_datos[[#This Row],[Profesor]],Nombre,Tipo)</f>
        <v>#N/A</v>
      </c>
      <c r="AE17" s="155" t="str">
        <f>IF(IFERROR(VLOOKUP($C17,Planes_de_estudio[],MATCH($AE$2,Carreras,0)+2,0),"")&gt;0,IFERROR(VLOOKUP($C17,Planes_de_estudio[],MATCH($AE$2,Carreras,0)+2,0),""),"")</f>
        <v/>
      </c>
      <c r="AF17" s="155" t="str">
        <f>IF(IFERROR(VLOOKUP($C17,Planes_de_estudio[],MATCH($AF$2,Carreras,0)+2,0),"")&gt;0,IFERROR(VLOOKUP($C17,Planes_de_estudio[],MATCH($AF$2,Carreras,0)+2,0),""),"")</f>
        <v/>
      </c>
      <c r="AG17" s="155">
        <f>IF(IFERROR(VLOOKUP($C17,Planes_de_estudio[],MATCH($AG$2,Carreras,0)+2,0),"")&gt;0,IFERROR(VLOOKUP($C17,Planes_de_estudio[],MATCH($AG$2,Carreras,0)+2,0),""),"")</f>
        <v>5</v>
      </c>
      <c r="AH17" s="155" t="str">
        <f>IF(IFERROR(VLOOKUP($C17,Planes_de_estudio[],MATCH($AH$2,Carreras,0)+2,0),"")&gt;0,IFERROR(VLOOKUP($C17,Planes_de_estudio[],MATCH($AH$2,Carreras,0)+2,0),""),"")</f>
        <v/>
      </c>
      <c r="AI17" s="155" t="str">
        <f>IF(IFERROR(VLOOKUP($C17,Planes_de_estudio[],MATCH($AI$2,Carreras,0)+2,0),"")&gt;0,IFERROR(VLOOKUP($C17,Planes_de_estudio[],MATCH($AI$2,Carreras,0)+2,0),""),"")</f>
        <v/>
      </c>
      <c r="AJ17" s="155" t="str">
        <f>IF(IFERROR(VLOOKUP($C17,Planes_de_estudio[],MATCH($AJ$2,Carreras,0)+2,0),"")&gt;0,IFERROR(VLOOKUP($C17,Planes_de_estudio[],MATCH($AJ$2,Carreras,0)+2,0),""),"")</f>
        <v/>
      </c>
      <c r="AK17" s="155" t="str">
        <f>IF(IFERROR(VLOOKUP($C17,Planes_de_estudio[],MATCH($AK$2,Carreras,0)+2,0),"")&gt;0,IFERROR(VLOOKUP($C17,Planes_de_estudio[],MATCH($AK$2,Carreras,0)+2,0),""),"")</f>
        <v/>
      </c>
      <c r="AL17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7" s="155">
        <f>base_de_datos[[#This Row],[Pronóstico]]/25</f>
        <v>0.6</v>
      </c>
      <c r="AO17" s="155" t="str">
        <f>VLOOKUP($C17,Planes_de_estudio[],2)</f>
        <v>IID</v>
      </c>
      <c r="AP17" s="157" t="str">
        <f ca="1">IF(AND(base_de_datos[[#This Row],[Industrial]]&lt;&gt;"",base_de_datos[[#This Row],[Misma o no]]=1),base_de_datos[[#This Row],[Índice]],"")</f>
        <v/>
      </c>
      <c r="AQ17" s="157" t="str">
        <f ca="1">IF(AND(base_de_datos[[#This Row],[Mecatrónica]]&lt;&gt;"",base_de_datos[[#This Row],[Misma o no]]=1),base_de_datos[[#This Row],[Índice]],"")</f>
        <v/>
      </c>
      <c r="AR17" s="157" t="e">
        <f ca="1">IF(AND(base_de_datos[[#This Row],[Innovación y Diseño]]&lt;&gt;"",base_de_datos[[#This Row],[Misma o no]]=1),base_de_datos[[#This Row],[Índice]],"")</f>
        <v>#N/A</v>
      </c>
      <c r="AS17" s="157" t="str">
        <f ca="1">IF(AND(base_de_datos[[#This Row],[Inteligencia Artificial]]&lt;&gt;"",base_de_datos[[#This Row],[Misma o no]]=1),base_de_datos[[#This Row],[Índice]],"")</f>
        <v/>
      </c>
      <c r="AT17" s="157" t="str">
        <f ca="1">IF(AND(base_de_datos[[#This Row],[Tecnologías Energéticas]]&lt;&gt;"",base_de_datos[[#This Row],[Misma o no]]=1),base_de_datos[[#This Row],[Índice]],"")</f>
        <v/>
      </c>
      <c r="AU17" s="157" t="str">
        <f ca="1">IF(AND(base_de_datos[[#This Row],[Civil y Administración]]&lt;&gt;"",base_de_datos[[#This Row],[Misma o no]]=1),base_de_datos[[#This Row],[Índice]],"")</f>
        <v/>
      </c>
      <c r="AV17" s="157" t="str">
        <f ca="1">IF(AND(base_de_datos[[#This Row],[Bioelectrónica]]&lt;&gt;"",base_de_datos[[#This Row],[Misma o no]]=1),base_de_datos[[#This Row],[Índice]],"")</f>
        <v/>
      </c>
      <c r="AW17" s="158"/>
      <c r="AX17" s="231" t="s">
        <v>1628</v>
      </c>
    </row>
    <row r="18" spans="2:50" s="6" customFormat="1" ht="15">
      <c r="B18" s="148" t="s">
        <v>103</v>
      </c>
      <c r="C18" s="149" t="s">
        <v>104</v>
      </c>
      <c r="D18" s="150">
        <v>2</v>
      </c>
      <c r="E18" s="151">
        <v>0.29166666666666669</v>
      </c>
      <c r="F18" s="151">
        <v>0.374999999999999</v>
      </c>
      <c r="G18" s="150"/>
      <c r="H18" s="150" t="s">
        <v>102</v>
      </c>
      <c r="I18" s="150">
        <f>INDEX(Aulas_capacidad,MATCH(base_de_datos[[#This Row],[Aula]],Aulas,0),2)</f>
        <v>20</v>
      </c>
      <c r="J18" s="152">
        <v>21</v>
      </c>
      <c r="K18" s="150">
        <f>INDEX(Aulas_capacidad,MATCH(base_de_datos[[#This Row],[Aula]],Aulas,0),4)</f>
        <v>20</v>
      </c>
      <c r="L18" s="153">
        <f>base_de_datos[[#This Row],[Cap 1.5]]-base_de_datos[[#This Row],[Inscritos]]</f>
        <v>-1</v>
      </c>
      <c r="M18" s="153">
        <f>INDEX(Aulas_capacidad,MATCH(base_de_datos[[#This Row],[Aula]],Aulas,0),5)</f>
        <v>18</v>
      </c>
      <c r="N18" s="153">
        <f>base_de_datos[[#This Row],[Cap .90]]-base_de_datos[[#This Row],[Inscritos]]</f>
        <v>-3</v>
      </c>
      <c r="O18" s="150" t="s">
        <v>105</v>
      </c>
      <c r="P18" s="154"/>
      <c r="Q18" s="154"/>
      <c r="R18" s="154"/>
      <c r="S18" s="154"/>
      <c r="T18" s="154" t="s">
        <v>67</v>
      </c>
      <c r="U18" s="154"/>
      <c r="V18" s="154"/>
      <c r="W18" s="154" t="s">
        <v>1655</v>
      </c>
      <c r="X18" s="155">
        <f>_xlfn.XLOOKUP(base_de_datos[[#This Row],[Materia]],Materias,Horas)/16</f>
        <v>5</v>
      </c>
      <c r="Y18" s="155">
        <f>ROUND(((base_de_datos[[#This Row],[Hora fin]]-base_de_datos[[#This Row],[Hora inicio]])*24)*(COUNTA(base_de_datos[[#This Row],[Lunes]:[Sábado]])),1)</f>
        <v>2</v>
      </c>
      <c r="Z18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8" s="155">
        <f ca="1">IF(base_de_datos[[#This Row],[No clase]]=OFFSET(base_de_datos[[#This Row],[No clase]],-1,0),0,1)</f>
        <v>1</v>
      </c>
      <c r="AB18" s="155">
        <f ca="1">IF(NOT(OR(base_de_datos[[#This Row],[Horas totales]]=base_de_datos[[#This Row],[HT Plan]],base_de_datos[[#This Row],[Horas totales]]="N/A")),1,0)</f>
        <v>1</v>
      </c>
      <c r="AC18" s="155" t="str">
        <f>_xlfn.XLOOKUP(base_de_datos[[#This Row],[Profesor]],Nombre,Grado)</f>
        <v>A</v>
      </c>
      <c r="AD18" s="156" t="str">
        <f>_xlfn.XLOOKUP(base_de_datos[[#This Row],[Profesor]],Nombre,Tipo)</f>
        <v>A</v>
      </c>
      <c r="AE18" s="155" t="str">
        <f>IF(IFERROR(VLOOKUP($C18,Planes_de_estudio[],MATCH($AE$2,Carreras,0)+2,0),"")&gt;0,IFERROR(VLOOKUP($C18,Planes_de_estudio[],MATCH($AE$2,Carreras,0)+2,0),""),"")</f>
        <v/>
      </c>
      <c r="AF18" s="155" t="str">
        <f>IF(IFERROR(VLOOKUP($C18,Planes_de_estudio[],MATCH($AF$2,Carreras,0)+2,0),"")&gt;0,IFERROR(VLOOKUP($C18,Planes_de_estudio[],MATCH($AF$2,Carreras,0)+2,0),""),"")</f>
        <v/>
      </c>
      <c r="AG18" s="155">
        <f>IF(IFERROR(VLOOKUP($C18,Planes_de_estudio[],MATCH($AG$2,Carreras,0)+2,0),"")&gt;0,IFERROR(VLOOKUP($C18,Planes_de_estudio[],MATCH($AG$2,Carreras,0)+2,0),""),"")</f>
        <v>3</v>
      </c>
      <c r="AH18" s="155" t="str">
        <f>IF(IFERROR(VLOOKUP($C18,Planes_de_estudio[],MATCH($AH$2,Carreras,0)+2,0),"")&gt;0,IFERROR(VLOOKUP($C18,Planes_de_estudio[],MATCH($AH$2,Carreras,0)+2,0),""),"")</f>
        <v/>
      </c>
      <c r="AI18" s="155" t="str">
        <f>IF(IFERROR(VLOOKUP($C18,Planes_de_estudio[],MATCH($AI$2,Carreras,0)+2,0),"")&gt;0,IFERROR(VLOOKUP($C18,Planes_de_estudio[],MATCH($AI$2,Carreras,0)+2,0),""),"")</f>
        <v/>
      </c>
      <c r="AJ18" s="155" t="str">
        <f>IF(IFERROR(VLOOKUP($C18,Planes_de_estudio[],MATCH($AJ$2,Carreras,0)+2,0),"")&gt;0,IFERROR(VLOOKUP($C18,Planes_de_estudio[],MATCH($AJ$2,Carreras,0)+2,0),""),"")</f>
        <v/>
      </c>
      <c r="AK18" s="155" t="str">
        <f>IF(IFERROR(VLOOKUP($C18,Planes_de_estudio[],MATCH($AK$2,Carreras,0)+2,0),"")&gt;0,IFERROR(VLOOKUP($C18,Planes_de_estudio[],MATCH($AK$2,Carreras,0)+2,0),""),"")</f>
        <v/>
      </c>
      <c r="AL1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0</v>
      </c>
      <c r="AM1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18" s="155">
        <f>base_de_datos[[#This Row],[Pronóstico]]/25</f>
        <v>0.68</v>
      </c>
      <c r="AO18" s="155" t="str">
        <f>VLOOKUP($C18,Planes_de_estudio[],2)</f>
        <v>IID</v>
      </c>
      <c r="AP18" s="157" t="str">
        <f ca="1">IF(AND(base_de_datos[[#This Row],[Industrial]]&lt;&gt;"",base_de_datos[[#This Row],[Misma o no]]=1),base_de_datos[[#This Row],[Índice]],"")</f>
        <v/>
      </c>
      <c r="AQ18" s="157" t="str">
        <f ca="1">IF(AND(base_de_datos[[#This Row],[Mecatrónica]]&lt;&gt;"",base_de_datos[[#This Row],[Misma o no]]=1),base_de_datos[[#This Row],[Índice]],"")</f>
        <v/>
      </c>
      <c r="AR18" s="157">
        <f ca="1">IF(AND(base_de_datos[[#This Row],[Innovación y Diseño]]&lt;&gt;"",base_de_datos[[#This Row],[Misma o no]]=1),base_de_datos[[#This Row],[Índice]],"")</f>
        <v>0</v>
      </c>
      <c r="AS18" s="157" t="str">
        <f ca="1">IF(AND(base_de_datos[[#This Row],[Inteligencia Artificial]]&lt;&gt;"",base_de_datos[[#This Row],[Misma o no]]=1),base_de_datos[[#This Row],[Índice]],"")</f>
        <v/>
      </c>
      <c r="AT18" s="157" t="str">
        <f ca="1">IF(AND(base_de_datos[[#This Row],[Tecnologías Energéticas]]&lt;&gt;"",base_de_datos[[#This Row],[Misma o no]]=1),base_de_datos[[#This Row],[Índice]],"")</f>
        <v/>
      </c>
      <c r="AU18" s="157" t="str">
        <f ca="1">IF(AND(base_de_datos[[#This Row],[Civil y Administración]]&lt;&gt;"",base_de_datos[[#This Row],[Misma o no]]=1),base_de_datos[[#This Row],[Índice]],"")</f>
        <v/>
      </c>
      <c r="AV18" s="157" t="str">
        <f ca="1">IF(AND(base_de_datos[[#This Row],[Bioelectrónica]]&lt;&gt;"",base_de_datos[[#This Row],[Misma o no]]=1),base_de_datos[[#This Row],[Índice]],"")</f>
        <v/>
      </c>
      <c r="AW18" s="158"/>
      <c r="AX18" s="231">
        <v>3</v>
      </c>
    </row>
    <row r="19" spans="2:50" s="6" customFormat="1" ht="15">
      <c r="B19" s="148" t="s">
        <v>106</v>
      </c>
      <c r="C19" s="149" t="s">
        <v>107</v>
      </c>
      <c r="D19" s="150">
        <v>1</v>
      </c>
      <c r="E19" s="151">
        <v>0.5</v>
      </c>
      <c r="F19" s="151">
        <v>0.562499999999996</v>
      </c>
      <c r="G19" s="218" t="s">
        <v>65</v>
      </c>
      <c r="H19" s="150" t="s">
        <v>108</v>
      </c>
      <c r="I19" s="150">
        <f>INDEX(Aulas_capacidad,MATCH(base_de_datos[[#This Row],[Aula]],Aulas,0),2)</f>
        <v>30</v>
      </c>
      <c r="J19" s="212">
        <v>28</v>
      </c>
      <c r="K19" s="150">
        <f>INDEX(Aulas_capacidad,MATCH(base_de_datos[[#This Row],[Aula]],Aulas,0),4)</f>
        <v>12</v>
      </c>
      <c r="L19" s="153">
        <f>base_de_datos[[#This Row],[Cap 1.5]]-base_de_datos[[#This Row],[Inscritos]]</f>
        <v>-16</v>
      </c>
      <c r="M19" s="153">
        <f>INDEX(Aulas_capacidad,MATCH(base_de_datos[[#This Row],[Aula]],Aulas,0),5)</f>
        <v>18</v>
      </c>
      <c r="N19" s="153">
        <f>base_de_datos[[#This Row],[Cap .90]]-base_de_datos[[#This Row],[Inscritos]]</f>
        <v>-10</v>
      </c>
      <c r="O19" s="150" t="s">
        <v>109</v>
      </c>
      <c r="P19" s="154" t="s">
        <v>67</v>
      </c>
      <c r="Q19" s="154"/>
      <c r="R19" s="154" t="s">
        <v>67</v>
      </c>
      <c r="S19" s="154"/>
      <c r="T19" s="154"/>
      <c r="U19" s="154"/>
      <c r="V19" s="154"/>
      <c r="W19" s="154" t="s">
        <v>1655</v>
      </c>
      <c r="X19" s="155">
        <f>_xlfn.XLOOKUP(base_de_datos[[#This Row],[Materia]],Materias,Horas)/16</f>
        <v>3</v>
      </c>
      <c r="Y19" s="155">
        <f>ROUND(((base_de_datos[[#This Row],[Hora fin]]-base_de_datos[[#This Row],[Hora inicio]])*24)*(COUNTA(base_de_datos[[#This Row],[Lunes]:[Sábado]])),1)</f>
        <v>3</v>
      </c>
      <c r="Z1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" s="155">
        <f ca="1">IF(base_de_datos[[#This Row],[No clase]]=OFFSET(base_de_datos[[#This Row],[No clase]],-1,0),0,1)</f>
        <v>1</v>
      </c>
      <c r="AB19" s="155">
        <f ca="1">IF(NOT(OR(base_de_datos[[#This Row],[Horas totales]]=base_de_datos[[#This Row],[HT Plan]],base_de_datos[[#This Row],[Horas totales]]="N/A")),1,0)</f>
        <v>0</v>
      </c>
      <c r="AC19" s="155" t="str">
        <f>_xlfn.XLOOKUP(base_de_datos[[#This Row],[Profesor]],Nombre,Grado)</f>
        <v>M</v>
      </c>
      <c r="AD19" s="156" t="str">
        <f>_xlfn.XLOOKUP(base_de_datos[[#This Row],[Profesor]],Nombre,Tipo)</f>
        <v>TC</v>
      </c>
      <c r="AE19" s="155" t="str">
        <f>IF(IFERROR(VLOOKUP($C19,Planes_de_estudio[],MATCH($AE$2,Carreras,0)+2,0),"")&gt;0,IFERROR(VLOOKUP($C19,Planes_de_estudio[],MATCH($AE$2,Carreras,0)+2,0),""),"")</f>
        <v/>
      </c>
      <c r="AF19" s="155">
        <f>IF(IFERROR(VLOOKUP($C19,Planes_de_estudio[],MATCH($AF$2,Carreras,0)+2,0),"")&gt;0,IFERROR(VLOOKUP($C19,Planes_de_estudio[],MATCH($AF$2,Carreras,0)+2,0),""),"")</f>
        <v>3</v>
      </c>
      <c r="AG19" s="155" t="str">
        <f>IF(IFERROR(VLOOKUP($C19,Planes_de_estudio[],MATCH($AG$2,Carreras,0)+2,0),"")&gt;0,IFERROR(VLOOKUP($C19,Planes_de_estudio[],MATCH($AG$2,Carreras,0)+2,0),""),"")</f>
        <v/>
      </c>
      <c r="AH19" s="155">
        <f>IF(IFERROR(VLOOKUP($C19,Planes_de_estudio[],MATCH($AH$2,Carreras,0)+2,0),"")&gt;0,IFERROR(VLOOKUP($C19,Planes_de_estudio[],MATCH($AH$2,Carreras,0)+2,0),""),"")</f>
        <v>3</v>
      </c>
      <c r="AI19" s="155">
        <f>IF(IFERROR(VLOOKUP($C19,Planes_de_estudio[],MATCH($AI$2,Carreras,0)+2,0),"")&gt;0,IFERROR(VLOOKUP($C19,Planes_de_estudio[],MATCH($AI$2,Carreras,0)+2,0),""),"")</f>
        <v>4</v>
      </c>
      <c r="AJ19" s="155" t="str">
        <f>IF(IFERROR(VLOOKUP($C19,Planes_de_estudio[],MATCH($AJ$2,Carreras,0)+2,0),"")&gt;0,IFERROR(VLOOKUP($C19,Planes_de_estudio[],MATCH($AJ$2,Carreras,0)+2,0),""),"")</f>
        <v/>
      </c>
      <c r="AK19" s="155">
        <f>IF(IFERROR(VLOOKUP($C19,Planes_de_estudio[],MATCH($AK$2,Carreras,0)+2,0),"")&gt;0,IFERROR(VLOOKUP($C19,Planes_de_estudio[],MATCH($AK$2,Carreras,0)+2,0),""),"")</f>
        <v>3</v>
      </c>
      <c r="AL1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55</v>
      </c>
      <c r="AN19" s="155">
        <f>base_de_datos[[#This Row],[Pronóstico]]/25</f>
        <v>2.2000000000000002</v>
      </c>
      <c r="AO19" s="155" t="str">
        <f>VLOOKUP($C19,Planes_de_estudio[],2)</f>
        <v>EEC</v>
      </c>
      <c r="AP19" s="157" t="str">
        <f ca="1">IF(AND(base_de_datos[[#This Row],[Industrial]]&lt;&gt;"",base_de_datos[[#This Row],[Misma o no]]=1),base_de_datos[[#This Row],[Índice]],"")</f>
        <v/>
      </c>
      <c r="AQ19" s="157">
        <f ca="1">IF(AND(base_de_datos[[#This Row],[Mecatrónica]]&lt;&gt;"",base_de_datos[[#This Row],[Misma o no]]=1),base_de_datos[[#This Row],[Índice]],"")</f>
        <v>4</v>
      </c>
      <c r="AR19" s="157" t="str">
        <f ca="1">IF(AND(base_de_datos[[#This Row],[Innovación y Diseño]]&lt;&gt;"",base_de_datos[[#This Row],[Misma o no]]=1),base_de_datos[[#This Row],[Índice]],"")</f>
        <v/>
      </c>
      <c r="AS19" s="157">
        <f ca="1">IF(AND(base_de_datos[[#This Row],[Inteligencia Artificial]]&lt;&gt;"",base_de_datos[[#This Row],[Misma o no]]=1),base_de_datos[[#This Row],[Índice]],"")</f>
        <v>4</v>
      </c>
      <c r="AT19" s="157">
        <f ca="1">IF(AND(base_de_datos[[#This Row],[Tecnologías Energéticas]]&lt;&gt;"",base_de_datos[[#This Row],[Misma o no]]=1),base_de_datos[[#This Row],[Índice]],"")</f>
        <v>4</v>
      </c>
      <c r="AU19" s="157" t="str">
        <f ca="1">IF(AND(base_de_datos[[#This Row],[Civil y Administración]]&lt;&gt;"",base_de_datos[[#This Row],[Misma o no]]=1),base_de_datos[[#This Row],[Índice]],"")</f>
        <v/>
      </c>
      <c r="AV19" s="157">
        <f ca="1">IF(AND(base_de_datos[[#This Row],[Bioelectrónica]]&lt;&gt;"",base_de_datos[[#This Row],[Misma o no]]=1),base_de_datos[[#This Row],[Índice]],"")</f>
        <v>4</v>
      </c>
      <c r="AW19" s="158"/>
      <c r="AX19" s="231">
        <v>3</v>
      </c>
    </row>
    <row r="20" spans="2:50" s="6" customFormat="1" ht="15">
      <c r="B20" s="148" t="s">
        <v>106</v>
      </c>
      <c r="C20" s="149" t="s">
        <v>110</v>
      </c>
      <c r="D20" s="150">
        <v>1</v>
      </c>
      <c r="E20" s="151">
        <v>0.83333333333333304</v>
      </c>
      <c r="F20" s="151">
        <v>0.91666666666665697</v>
      </c>
      <c r="G20" s="218" t="s">
        <v>111</v>
      </c>
      <c r="H20" s="150" t="s">
        <v>112</v>
      </c>
      <c r="I20" s="150">
        <f>INDEX(Aulas_capacidad,MATCH(base_de_datos[[#This Row],[Aula]],Aulas,0),2)</f>
        <v>30</v>
      </c>
      <c r="J20" s="152">
        <v>2</v>
      </c>
      <c r="K20" s="150">
        <f>INDEX(Aulas_capacidad,MATCH(base_de_datos[[#This Row],[Aula]],Aulas,0),4)</f>
        <v>0</v>
      </c>
      <c r="L20" s="153">
        <f>base_de_datos[[#This Row],[Cap 1.5]]-base_de_datos[[#This Row],[Inscritos]]</f>
        <v>-2</v>
      </c>
      <c r="M20" s="153">
        <f>INDEX(Aulas_capacidad,MATCH(base_de_datos[[#This Row],[Aula]],Aulas,0),5)</f>
        <v>0</v>
      </c>
      <c r="N20" s="153">
        <f>base_de_datos[[#This Row],[Cap .90]]-base_de_datos[[#This Row],[Inscritos]]</f>
        <v>-2</v>
      </c>
      <c r="O20" s="150" t="s">
        <v>113</v>
      </c>
      <c r="P20" s="154"/>
      <c r="Q20" s="154"/>
      <c r="R20" s="154" t="s">
        <v>67</v>
      </c>
      <c r="S20" s="154"/>
      <c r="T20" s="154"/>
      <c r="U20" s="154"/>
      <c r="V20" s="154"/>
      <c r="W20" s="154" t="s">
        <v>1652</v>
      </c>
      <c r="X20" s="155">
        <f>_xlfn.XLOOKUP(base_de_datos[[#This Row],[Materia]],Materias,Horas)/16</f>
        <v>4</v>
      </c>
      <c r="Y20" s="155">
        <f>ROUND(((base_de_datos[[#This Row],[Hora fin]]-base_de_datos[[#This Row],[Hora inicio]])*24)*(COUNTA(base_de_datos[[#This Row],[Lunes]:[Sábado]])),1)</f>
        <v>2</v>
      </c>
      <c r="Z2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" s="155">
        <f ca="1">IF(base_de_datos[[#This Row],[No clase]]=OFFSET(base_de_datos[[#This Row],[No clase]],-1,0),0,1)</f>
        <v>1</v>
      </c>
      <c r="AB20" s="155">
        <f ca="1">IF(NOT(OR(base_de_datos[[#This Row],[Horas totales]]=base_de_datos[[#This Row],[HT Plan]],base_de_datos[[#This Row],[Horas totales]]="N/A")),1,0)</f>
        <v>0</v>
      </c>
      <c r="AC20" s="155" t="str">
        <f>_xlfn.XLOOKUP(base_de_datos[[#This Row],[Profesor]],Nombre,Grado)</f>
        <v>M</v>
      </c>
      <c r="AD20" s="156" t="str">
        <f>_xlfn.XLOOKUP(base_de_datos[[#This Row],[Profesor]],Nombre,Tipo)</f>
        <v>TC</v>
      </c>
      <c r="AE20" s="155" t="str">
        <f>IF(IFERROR(VLOOKUP($C20,Planes_de_estudio[],MATCH($AE$2,Carreras,0)+2,0),"")&gt;0,IFERROR(VLOOKUP($C20,Planes_de_estudio[],MATCH($AE$2,Carreras,0)+2,0),""),"")</f>
        <v/>
      </c>
      <c r="AF20" s="155" t="str">
        <f>IF(IFERROR(VLOOKUP($C20,Planes_de_estudio[],MATCH($AF$2,Carreras,0)+2,0),"")&gt;0,IFERROR(VLOOKUP($C20,Planes_de_estudio[],MATCH($AF$2,Carreras,0)+2,0),""),"")</f>
        <v/>
      </c>
      <c r="AG20" s="155" t="str">
        <f>IF(IFERROR(VLOOKUP($C20,Planes_de_estudio[],MATCH($AG$2,Carreras,0)+2,0),"")&gt;0,IFERROR(VLOOKUP($C20,Planes_de_estudio[],MATCH($AG$2,Carreras,0)+2,0),""),"")</f>
        <v/>
      </c>
      <c r="AH20" s="155" t="str">
        <f>IF(IFERROR(VLOOKUP($C20,Planes_de_estudio[],MATCH($AH$2,Carreras,0)+2,0),"")&gt;0,IFERROR(VLOOKUP($C20,Planes_de_estudio[],MATCH($AH$2,Carreras,0)+2,0),""),"")</f>
        <v/>
      </c>
      <c r="AI20" s="155">
        <f>IF(IFERROR(VLOOKUP($C20,Planes_de_estudio[],MATCH($AI$2,Carreras,0)+2,0),"")&gt;0,IFERROR(VLOOKUP($C20,Planes_de_estudio[],MATCH($AI$2,Carreras,0)+2,0),""),"")</f>
        <v>7</v>
      </c>
      <c r="AJ20" s="155" t="str">
        <f>IF(IFERROR(VLOOKUP($C20,Planes_de_estudio[],MATCH($AJ$2,Carreras,0)+2,0),"")&gt;0,IFERROR(VLOOKUP($C20,Planes_de_estudio[],MATCH($AJ$2,Carreras,0)+2,0),""),"")</f>
        <v/>
      </c>
      <c r="AK20" s="155" t="str">
        <f>IF(IFERROR(VLOOKUP($C20,Planes_de_estudio[],MATCH($AK$2,Carreras,0)+2,0),"")&gt;0,IFERROR(VLOOKUP($C20,Planes_de_estudio[],MATCH($AK$2,Carreras,0)+2,0),""),"")</f>
        <v/>
      </c>
      <c r="AL2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20" s="155">
        <f>base_de_datos[[#This Row],[Pronóstico]]/25</f>
        <v>0.08</v>
      </c>
      <c r="AO20" s="155" t="str">
        <f>VLOOKUP($C20,Planes_de_estudio[],2)</f>
        <v>EEC</v>
      </c>
      <c r="AP20" s="157" t="str">
        <f ca="1">IF(AND(base_de_datos[[#This Row],[Industrial]]&lt;&gt;"",base_de_datos[[#This Row],[Misma o no]]=1),base_de_datos[[#This Row],[Índice]],"")</f>
        <v/>
      </c>
      <c r="AQ20" s="157" t="str">
        <f ca="1">IF(AND(base_de_datos[[#This Row],[Mecatrónica]]&lt;&gt;"",base_de_datos[[#This Row],[Misma o no]]=1),base_de_datos[[#This Row],[Índice]],"")</f>
        <v/>
      </c>
      <c r="AR20" s="157" t="str">
        <f ca="1">IF(AND(base_de_datos[[#This Row],[Innovación y Diseño]]&lt;&gt;"",base_de_datos[[#This Row],[Misma o no]]=1),base_de_datos[[#This Row],[Índice]],"")</f>
        <v/>
      </c>
      <c r="AS20" s="157" t="str">
        <f ca="1">IF(AND(base_de_datos[[#This Row],[Inteligencia Artificial]]&lt;&gt;"",base_de_datos[[#This Row],[Misma o no]]=1),base_de_datos[[#This Row],[Índice]],"")</f>
        <v/>
      </c>
      <c r="AT20" s="157">
        <f ca="1">IF(AND(base_de_datos[[#This Row],[Tecnologías Energéticas]]&lt;&gt;"",base_de_datos[[#This Row],[Misma o no]]=1),base_de_datos[[#This Row],[Índice]],"")</f>
        <v>4</v>
      </c>
      <c r="AU20" s="157" t="str">
        <f ca="1">IF(AND(base_de_datos[[#This Row],[Civil y Administración]]&lt;&gt;"",base_de_datos[[#This Row],[Misma o no]]=1),base_de_datos[[#This Row],[Índice]],"")</f>
        <v/>
      </c>
      <c r="AV20" s="157" t="str">
        <f ca="1">IF(AND(base_de_datos[[#This Row],[Bioelectrónica]]&lt;&gt;"",base_de_datos[[#This Row],[Misma o no]]=1),base_de_datos[[#This Row],[Índice]],"")</f>
        <v/>
      </c>
      <c r="AW20" s="158"/>
      <c r="AX20" s="231" t="s">
        <v>1627</v>
      </c>
    </row>
    <row r="21" spans="2:50" s="6" customFormat="1" ht="15">
      <c r="B21" s="148" t="s">
        <v>106</v>
      </c>
      <c r="C21" s="149" t="s">
        <v>110</v>
      </c>
      <c r="D21" s="150">
        <v>1</v>
      </c>
      <c r="E21" s="151">
        <v>0.79166666666666696</v>
      </c>
      <c r="F21" s="151">
        <v>0.87499999999999001</v>
      </c>
      <c r="G21" s="218" t="s">
        <v>111</v>
      </c>
      <c r="H21" s="150" t="s">
        <v>114</v>
      </c>
      <c r="I21" s="150">
        <f>INDEX(Aulas_capacidad,MATCH(base_de_datos[[#This Row],[Aula]],Aulas,0),2)</f>
        <v>36</v>
      </c>
      <c r="J21" s="152">
        <v>2</v>
      </c>
      <c r="K21" s="150">
        <f>INDEX(Aulas_capacidad,MATCH(base_de_datos[[#This Row],[Aula]],Aulas,0),4)</f>
        <v>18</v>
      </c>
      <c r="L21" s="153">
        <f>base_de_datos[[#This Row],[Cap 1.5]]-base_de_datos[[#This Row],[Inscritos]]</f>
        <v>16</v>
      </c>
      <c r="M21" s="153">
        <f>INDEX(Aulas_capacidad,MATCH(base_de_datos[[#This Row],[Aula]],Aulas,0),5)</f>
        <v>18</v>
      </c>
      <c r="N21" s="153">
        <f>base_de_datos[[#This Row],[Cap .90]]-base_de_datos[[#This Row],[Inscritos]]</f>
        <v>16</v>
      </c>
      <c r="O21" s="150" t="s">
        <v>113</v>
      </c>
      <c r="P21" s="154"/>
      <c r="Q21" s="154"/>
      <c r="R21" s="154"/>
      <c r="S21" s="154"/>
      <c r="T21" s="154" t="s">
        <v>67</v>
      </c>
      <c r="U21" s="154"/>
      <c r="V21" s="154"/>
      <c r="W21" s="154" t="s">
        <v>1652</v>
      </c>
      <c r="X21" s="155">
        <f>_xlfn.XLOOKUP(base_de_datos[[#This Row],[Materia]],Materias,Horas)/16</f>
        <v>4</v>
      </c>
      <c r="Y21" s="155">
        <f>ROUND(((base_de_datos[[#This Row],[Hora fin]]-base_de_datos[[#This Row],[Hora inicio]])*24)*(COUNTA(base_de_datos[[#This Row],[Lunes]:[Sábado]])),1)</f>
        <v>2</v>
      </c>
      <c r="Z2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" s="155">
        <f ca="1">IF(base_de_datos[[#This Row],[No clase]]=OFFSET(base_de_datos[[#This Row],[No clase]],-1,0),0,1)</f>
        <v>0</v>
      </c>
      <c r="AB21" s="155">
        <f ca="1">IF(NOT(OR(base_de_datos[[#This Row],[Horas totales]]=base_de_datos[[#This Row],[HT Plan]],base_de_datos[[#This Row],[Horas totales]]="N/A")),1,0)</f>
        <v>0</v>
      </c>
      <c r="AC21" s="155" t="str">
        <f>_xlfn.XLOOKUP(base_de_datos[[#This Row],[Profesor]],Nombre,Grado)</f>
        <v>M</v>
      </c>
      <c r="AD21" s="156" t="str">
        <f>_xlfn.XLOOKUP(base_de_datos[[#This Row],[Profesor]],Nombre,Tipo)</f>
        <v>TC</v>
      </c>
      <c r="AE21" s="155" t="str">
        <f>IF(IFERROR(VLOOKUP($C21,Planes_de_estudio[],MATCH($AE$2,Carreras,0)+2,0),"")&gt;0,IFERROR(VLOOKUP($C21,Planes_de_estudio[],MATCH($AE$2,Carreras,0)+2,0),""),"")</f>
        <v/>
      </c>
      <c r="AF21" s="155" t="str">
        <f>IF(IFERROR(VLOOKUP($C21,Planes_de_estudio[],MATCH($AF$2,Carreras,0)+2,0),"")&gt;0,IFERROR(VLOOKUP($C21,Planes_de_estudio[],MATCH($AF$2,Carreras,0)+2,0),""),"")</f>
        <v/>
      </c>
      <c r="AG21" s="155" t="str">
        <f>IF(IFERROR(VLOOKUP($C21,Planes_de_estudio[],MATCH($AG$2,Carreras,0)+2,0),"")&gt;0,IFERROR(VLOOKUP($C21,Planes_de_estudio[],MATCH($AG$2,Carreras,0)+2,0),""),"")</f>
        <v/>
      </c>
      <c r="AH21" s="155" t="str">
        <f>IF(IFERROR(VLOOKUP($C21,Planes_de_estudio[],MATCH($AH$2,Carreras,0)+2,0),"")&gt;0,IFERROR(VLOOKUP($C21,Planes_de_estudio[],MATCH($AH$2,Carreras,0)+2,0),""),"")</f>
        <v/>
      </c>
      <c r="AI21" s="155">
        <f>IF(IFERROR(VLOOKUP($C21,Planes_de_estudio[],MATCH($AI$2,Carreras,0)+2,0),"")&gt;0,IFERROR(VLOOKUP($C21,Planes_de_estudio[],MATCH($AI$2,Carreras,0)+2,0),""),"")</f>
        <v>7</v>
      </c>
      <c r="AJ21" s="155" t="str">
        <f>IF(IFERROR(VLOOKUP($C21,Planes_de_estudio[],MATCH($AJ$2,Carreras,0)+2,0),"")&gt;0,IFERROR(VLOOKUP($C21,Planes_de_estudio[],MATCH($AJ$2,Carreras,0)+2,0),""),"")</f>
        <v/>
      </c>
      <c r="AK21" s="155" t="str">
        <f>IF(IFERROR(VLOOKUP($C21,Planes_de_estudio[],MATCH($AK$2,Carreras,0)+2,0),"")&gt;0,IFERROR(VLOOKUP($C21,Planes_de_estudio[],MATCH($AK$2,Carreras,0)+2,0),""),"")</f>
        <v/>
      </c>
      <c r="AL2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21" s="155">
        <f>base_de_datos[[#This Row],[Pronóstico]]/25</f>
        <v>0.08</v>
      </c>
      <c r="AO21" s="155" t="str">
        <f>VLOOKUP($C21,Planes_de_estudio[],2)</f>
        <v>EEC</v>
      </c>
      <c r="AP21" s="157" t="str">
        <f ca="1">IF(AND(base_de_datos[[#This Row],[Industrial]]&lt;&gt;"",base_de_datos[[#This Row],[Misma o no]]=1),base_de_datos[[#This Row],[Índice]],"")</f>
        <v/>
      </c>
      <c r="AQ21" s="157" t="str">
        <f ca="1">IF(AND(base_de_datos[[#This Row],[Mecatrónica]]&lt;&gt;"",base_de_datos[[#This Row],[Misma o no]]=1),base_de_datos[[#This Row],[Índice]],"")</f>
        <v/>
      </c>
      <c r="AR21" s="157" t="str">
        <f ca="1">IF(AND(base_de_datos[[#This Row],[Innovación y Diseño]]&lt;&gt;"",base_de_datos[[#This Row],[Misma o no]]=1),base_de_datos[[#This Row],[Índice]],"")</f>
        <v/>
      </c>
      <c r="AS21" s="157" t="str">
        <f ca="1">IF(AND(base_de_datos[[#This Row],[Inteligencia Artificial]]&lt;&gt;"",base_de_datos[[#This Row],[Misma o no]]=1),base_de_datos[[#This Row],[Índice]],"")</f>
        <v/>
      </c>
      <c r="AT21" s="157" t="str">
        <f ca="1">IF(AND(base_de_datos[[#This Row],[Tecnologías Energéticas]]&lt;&gt;"",base_de_datos[[#This Row],[Misma o no]]=1),base_de_datos[[#This Row],[Índice]],"")</f>
        <v/>
      </c>
      <c r="AU21" s="157" t="str">
        <f ca="1">IF(AND(base_de_datos[[#This Row],[Civil y Administración]]&lt;&gt;"",base_de_datos[[#This Row],[Misma o no]]=1),base_de_datos[[#This Row],[Índice]],"")</f>
        <v/>
      </c>
      <c r="AV21" s="157" t="str">
        <f ca="1">IF(AND(base_de_datos[[#This Row],[Bioelectrónica]]&lt;&gt;"",base_de_datos[[#This Row],[Misma o no]]=1),base_de_datos[[#This Row],[Índice]],"")</f>
        <v/>
      </c>
      <c r="AW21" s="158"/>
      <c r="AX21" s="231">
        <v>3</v>
      </c>
    </row>
    <row r="22" spans="2:50" s="6" customFormat="1" ht="15">
      <c r="B22" s="148" t="s">
        <v>106</v>
      </c>
      <c r="C22" s="149" t="s">
        <v>115</v>
      </c>
      <c r="D22" s="150">
        <v>1</v>
      </c>
      <c r="E22" s="151">
        <v>0.79166666666666696</v>
      </c>
      <c r="F22" s="151">
        <v>0.87499999999999001</v>
      </c>
      <c r="G22" s="218" t="s">
        <v>111</v>
      </c>
      <c r="H22" s="150" t="s">
        <v>114</v>
      </c>
      <c r="I22" s="150">
        <f>INDEX(Aulas_capacidad,MATCH(base_de_datos[[#This Row],[Aula]],Aulas,0),2)</f>
        <v>36</v>
      </c>
      <c r="J22" s="152">
        <v>16</v>
      </c>
      <c r="K22" s="150">
        <f>INDEX(Aulas_capacidad,MATCH(base_de_datos[[#This Row],[Aula]],Aulas,0),4)</f>
        <v>18</v>
      </c>
      <c r="L22" s="153">
        <f>base_de_datos[[#This Row],[Cap 1.5]]-base_de_datos[[#This Row],[Inscritos]]</f>
        <v>2</v>
      </c>
      <c r="M22" s="153">
        <f>INDEX(Aulas_capacidad,MATCH(base_de_datos[[#This Row],[Aula]],Aulas,0),5)</f>
        <v>18</v>
      </c>
      <c r="N22" s="153">
        <f>base_de_datos[[#This Row],[Cap .90]]-base_de_datos[[#This Row],[Inscritos]]</f>
        <v>2</v>
      </c>
      <c r="O22" s="150" t="s">
        <v>116</v>
      </c>
      <c r="P22" s="154"/>
      <c r="Q22" s="154"/>
      <c r="R22" s="154"/>
      <c r="S22" s="154"/>
      <c r="T22" s="154" t="s">
        <v>67</v>
      </c>
      <c r="U22" s="154"/>
      <c r="V22" s="154"/>
      <c r="W22" s="154" t="s">
        <v>1657</v>
      </c>
      <c r="X22" s="155">
        <f>_xlfn.XLOOKUP(base_de_datos[[#This Row],[Materia]],Materias,Horas)/16</f>
        <v>4</v>
      </c>
      <c r="Y22" s="155">
        <f>ROUND(((base_de_datos[[#This Row],[Hora fin]]-base_de_datos[[#This Row],[Hora inicio]])*24)*(COUNTA(base_de_datos[[#This Row],[Lunes]:[Sábado]])),1)</f>
        <v>2</v>
      </c>
      <c r="Z2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" s="155">
        <f ca="1">IF(base_de_datos[[#This Row],[No clase]]=OFFSET(base_de_datos[[#This Row],[No clase]],-1,0),0,1)</f>
        <v>1</v>
      </c>
      <c r="AB22" s="155">
        <f ca="1">IF(NOT(OR(base_de_datos[[#This Row],[Horas totales]]=base_de_datos[[#This Row],[HT Plan]],base_de_datos[[#This Row],[Horas totales]]="N/A")),1,0)</f>
        <v>0</v>
      </c>
      <c r="AC22" s="155" t="str">
        <f>_xlfn.XLOOKUP(base_de_datos[[#This Row],[Profesor]],Nombre,Grado)</f>
        <v>M</v>
      </c>
      <c r="AD22" s="156" t="str">
        <f>_xlfn.XLOOKUP(base_de_datos[[#This Row],[Profesor]],Nombre,Tipo)</f>
        <v>TC</v>
      </c>
      <c r="AE22" s="155" t="str">
        <f>IF(IFERROR(VLOOKUP($C22,Planes_de_estudio[],MATCH($AE$2,Carreras,0)+2,0),"")&gt;0,IFERROR(VLOOKUP($C22,Planes_de_estudio[],MATCH($AE$2,Carreras,0)+2,0),""),"")</f>
        <v/>
      </c>
      <c r="AF22" s="155">
        <f>IF(IFERROR(VLOOKUP($C22,Planes_de_estudio[],MATCH($AF$2,Carreras,0)+2,0),"")&gt;0,IFERROR(VLOOKUP($C22,Planes_de_estudio[],MATCH($AF$2,Carreras,0)+2,0),""),"")</f>
        <v>7</v>
      </c>
      <c r="AG22" s="155" t="str">
        <f>IF(IFERROR(VLOOKUP($C22,Planes_de_estudio[],MATCH($AG$2,Carreras,0)+2,0),"")&gt;0,IFERROR(VLOOKUP($C22,Planes_de_estudio[],MATCH($AG$2,Carreras,0)+2,0),""),"")</f>
        <v/>
      </c>
      <c r="AH22" s="155" t="str">
        <f>IF(IFERROR(VLOOKUP($C22,Planes_de_estudio[],MATCH($AH$2,Carreras,0)+2,0),"")&gt;0,IFERROR(VLOOKUP($C22,Planes_de_estudio[],MATCH($AH$2,Carreras,0)+2,0),""),"")</f>
        <v/>
      </c>
      <c r="AI22" s="155" t="str">
        <f>IF(IFERROR(VLOOKUP($C22,Planes_de_estudio[],MATCH($AI$2,Carreras,0)+2,0),"")&gt;0,IFERROR(VLOOKUP($C22,Planes_de_estudio[],MATCH($AI$2,Carreras,0)+2,0),""),"")</f>
        <v/>
      </c>
      <c r="AJ22" s="155" t="str">
        <f>IF(IFERROR(VLOOKUP($C22,Planes_de_estudio[],MATCH($AJ$2,Carreras,0)+2,0),"")&gt;0,IFERROR(VLOOKUP($C22,Planes_de_estudio[],MATCH($AJ$2,Carreras,0)+2,0),""),"")</f>
        <v/>
      </c>
      <c r="AK22" s="155" t="str">
        <f>IF(IFERROR(VLOOKUP($C22,Planes_de_estudio[],MATCH($AK$2,Carreras,0)+2,0),"")&gt;0,IFERROR(VLOOKUP($C22,Planes_de_estudio[],MATCH($AK$2,Carreras,0)+2,0),""),"")</f>
        <v/>
      </c>
      <c r="AL2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22" s="155">
        <f>base_de_datos[[#This Row],[Pronóstico]]/25</f>
        <v>0.72</v>
      </c>
      <c r="AO22" s="155" t="str">
        <f>VLOOKUP($C22,Planes_de_estudio[],2)</f>
        <v>EEC</v>
      </c>
      <c r="AP22" s="157" t="str">
        <f ca="1">IF(AND(base_de_datos[[#This Row],[Industrial]]&lt;&gt;"",base_de_datos[[#This Row],[Misma o no]]=1),base_de_datos[[#This Row],[Índice]],"")</f>
        <v/>
      </c>
      <c r="AQ22" s="157">
        <f ca="1">IF(AND(base_de_datos[[#This Row],[Mecatrónica]]&lt;&gt;"",base_de_datos[[#This Row],[Misma o no]]=1),base_de_datos[[#This Row],[Índice]],"")</f>
        <v>4</v>
      </c>
      <c r="AR22" s="157" t="str">
        <f ca="1">IF(AND(base_de_datos[[#This Row],[Innovación y Diseño]]&lt;&gt;"",base_de_datos[[#This Row],[Misma o no]]=1),base_de_datos[[#This Row],[Índice]],"")</f>
        <v/>
      </c>
      <c r="AS22" s="157" t="str">
        <f ca="1">IF(AND(base_de_datos[[#This Row],[Inteligencia Artificial]]&lt;&gt;"",base_de_datos[[#This Row],[Misma o no]]=1),base_de_datos[[#This Row],[Índice]],"")</f>
        <v/>
      </c>
      <c r="AT22" s="157" t="str">
        <f ca="1">IF(AND(base_de_datos[[#This Row],[Tecnologías Energéticas]]&lt;&gt;"",base_de_datos[[#This Row],[Misma o no]]=1),base_de_datos[[#This Row],[Índice]],"")</f>
        <v/>
      </c>
      <c r="AU22" s="157" t="str">
        <f ca="1">IF(AND(base_de_datos[[#This Row],[Civil y Administración]]&lt;&gt;"",base_de_datos[[#This Row],[Misma o no]]=1),base_de_datos[[#This Row],[Índice]],"")</f>
        <v/>
      </c>
      <c r="AV22" s="157" t="str">
        <f ca="1">IF(AND(base_de_datos[[#This Row],[Bioelectrónica]]&lt;&gt;"",base_de_datos[[#This Row],[Misma o no]]=1),base_de_datos[[#This Row],[Índice]],"")</f>
        <v/>
      </c>
      <c r="AW22" s="158"/>
      <c r="AX22" s="231">
        <v>3</v>
      </c>
    </row>
    <row r="23" spans="2:50" s="6" customFormat="1" ht="15">
      <c r="B23" s="148" t="s">
        <v>106</v>
      </c>
      <c r="C23" s="149" t="s">
        <v>115</v>
      </c>
      <c r="D23" s="150">
        <v>1</v>
      </c>
      <c r="E23" s="151">
        <v>0.83333333333333304</v>
      </c>
      <c r="F23" s="151">
        <v>0.91666666666665697</v>
      </c>
      <c r="G23" s="218" t="s">
        <v>111</v>
      </c>
      <c r="H23" s="150" t="s">
        <v>112</v>
      </c>
      <c r="I23" s="150">
        <f>INDEX(Aulas_capacidad,MATCH(base_de_datos[[#This Row],[Aula]],Aulas,0),2)</f>
        <v>30</v>
      </c>
      <c r="J23" s="152">
        <v>16</v>
      </c>
      <c r="K23" s="150">
        <f>INDEX(Aulas_capacidad,MATCH(base_de_datos[[#This Row],[Aula]],Aulas,0),4)</f>
        <v>0</v>
      </c>
      <c r="L23" s="153">
        <f>base_de_datos[[#This Row],[Cap 1.5]]-base_de_datos[[#This Row],[Inscritos]]</f>
        <v>-16</v>
      </c>
      <c r="M23" s="153">
        <f>INDEX(Aulas_capacidad,MATCH(base_de_datos[[#This Row],[Aula]],Aulas,0),5)</f>
        <v>0</v>
      </c>
      <c r="N23" s="153">
        <f>base_de_datos[[#This Row],[Cap .90]]-base_de_datos[[#This Row],[Inscritos]]</f>
        <v>-16</v>
      </c>
      <c r="O23" s="150" t="s">
        <v>116</v>
      </c>
      <c r="P23" s="154"/>
      <c r="Q23" s="154"/>
      <c r="R23" s="154" t="s">
        <v>67</v>
      </c>
      <c r="S23" s="154"/>
      <c r="T23" s="154"/>
      <c r="U23" s="154"/>
      <c r="V23" s="154"/>
      <c r="W23" s="154" t="s">
        <v>1657</v>
      </c>
      <c r="X23" s="155">
        <f>_xlfn.XLOOKUP(base_de_datos[[#This Row],[Materia]],Materias,Horas)/16</f>
        <v>4</v>
      </c>
      <c r="Y23" s="155">
        <f>ROUND(((base_de_datos[[#This Row],[Hora fin]]-base_de_datos[[#This Row],[Hora inicio]])*24)*(COUNTA(base_de_datos[[#This Row],[Lunes]:[Sábado]])),1)</f>
        <v>2</v>
      </c>
      <c r="Z2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3" s="155">
        <f ca="1">IF(base_de_datos[[#This Row],[No clase]]=OFFSET(base_de_datos[[#This Row],[No clase]],-1,0),0,1)</f>
        <v>0</v>
      </c>
      <c r="AB23" s="155">
        <f ca="1">IF(NOT(OR(base_de_datos[[#This Row],[Horas totales]]=base_de_datos[[#This Row],[HT Plan]],base_de_datos[[#This Row],[Horas totales]]="N/A")),1,0)</f>
        <v>0</v>
      </c>
      <c r="AC23" s="155" t="str">
        <f>_xlfn.XLOOKUP(base_de_datos[[#This Row],[Profesor]],Nombre,Grado)</f>
        <v>M</v>
      </c>
      <c r="AD23" s="156" t="str">
        <f>_xlfn.XLOOKUP(base_de_datos[[#This Row],[Profesor]],Nombre,Tipo)</f>
        <v>TC</v>
      </c>
      <c r="AE23" s="155" t="str">
        <f>IF(IFERROR(VLOOKUP($C23,Planes_de_estudio[],MATCH($AE$2,Carreras,0)+2,0),"")&gt;0,IFERROR(VLOOKUP($C23,Planes_de_estudio[],MATCH($AE$2,Carreras,0)+2,0),""),"")</f>
        <v/>
      </c>
      <c r="AF23" s="155">
        <f>IF(IFERROR(VLOOKUP($C23,Planes_de_estudio[],MATCH($AF$2,Carreras,0)+2,0),"")&gt;0,IFERROR(VLOOKUP($C23,Planes_de_estudio[],MATCH($AF$2,Carreras,0)+2,0),""),"")</f>
        <v>7</v>
      </c>
      <c r="AG23" s="155" t="str">
        <f>IF(IFERROR(VLOOKUP($C23,Planes_de_estudio[],MATCH($AG$2,Carreras,0)+2,0),"")&gt;0,IFERROR(VLOOKUP($C23,Planes_de_estudio[],MATCH($AG$2,Carreras,0)+2,0),""),"")</f>
        <v/>
      </c>
      <c r="AH23" s="155" t="str">
        <f>IF(IFERROR(VLOOKUP($C23,Planes_de_estudio[],MATCH($AH$2,Carreras,0)+2,0),"")&gt;0,IFERROR(VLOOKUP($C23,Planes_de_estudio[],MATCH($AH$2,Carreras,0)+2,0),""),"")</f>
        <v/>
      </c>
      <c r="AI23" s="155" t="str">
        <f>IF(IFERROR(VLOOKUP($C23,Planes_de_estudio[],MATCH($AI$2,Carreras,0)+2,0),"")&gt;0,IFERROR(VLOOKUP($C23,Planes_de_estudio[],MATCH($AI$2,Carreras,0)+2,0),""),"")</f>
        <v/>
      </c>
      <c r="AJ23" s="155" t="str">
        <f>IF(IFERROR(VLOOKUP($C23,Planes_de_estudio[],MATCH($AJ$2,Carreras,0)+2,0),"")&gt;0,IFERROR(VLOOKUP($C23,Planes_de_estudio[],MATCH($AJ$2,Carreras,0)+2,0),""),"")</f>
        <v/>
      </c>
      <c r="AK23" s="155" t="str">
        <f>IF(IFERROR(VLOOKUP($C23,Planes_de_estudio[],MATCH($AK$2,Carreras,0)+2,0),"")&gt;0,IFERROR(VLOOKUP($C23,Planes_de_estudio[],MATCH($AK$2,Carreras,0)+2,0),""),"")</f>
        <v/>
      </c>
      <c r="AL2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23" s="155">
        <f>base_de_datos[[#This Row],[Pronóstico]]/25</f>
        <v>0.72</v>
      </c>
      <c r="AO23" s="155" t="str">
        <f>VLOOKUP($C23,Planes_de_estudio[],2)</f>
        <v>EEC</v>
      </c>
      <c r="AP23" s="157" t="str">
        <f ca="1">IF(AND(base_de_datos[[#This Row],[Industrial]]&lt;&gt;"",base_de_datos[[#This Row],[Misma o no]]=1),base_de_datos[[#This Row],[Índice]],"")</f>
        <v/>
      </c>
      <c r="AQ23" s="157" t="str">
        <f ca="1">IF(AND(base_de_datos[[#This Row],[Mecatrónica]]&lt;&gt;"",base_de_datos[[#This Row],[Misma o no]]=1),base_de_datos[[#This Row],[Índice]],"")</f>
        <v/>
      </c>
      <c r="AR23" s="157" t="str">
        <f ca="1">IF(AND(base_de_datos[[#This Row],[Innovación y Diseño]]&lt;&gt;"",base_de_datos[[#This Row],[Misma o no]]=1),base_de_datos[[#This Row],[Índice]],"")</f>
        <v/>
      </c>
      <c r="AS23" s="157" t="str">
        <f ca="1">IF(AND(base_de_datos[[#This Row],[Inteligencia Artificial]]&lt;&gt;"",base_de_datos[[#This Row],[Misma o no]]=1),base_de_datos[[#This Row],[Índice]],"")</f>
        <v/>
      </c>
      <c r="AT23" s="157" t="str">
        <f ca="1">IF(AND(base_de_datos[[#This Row],[Tecnologías Energéticas]]&lt;&gt;"",base_de_datos[[#This Row],[Misma o no]]=1),base_de_datos[[#This Row],[Índice]],"")</f>
        <v/>
      </c>
      <c r="AU23" s="157" t="str">
        <f ca="1">IF(AND(base_de_datos[[#This Row],[Civil y Administración]]&lt;&gt;"",base_de_datos[[#This Row],[Misma o no]]=1),base_de_datos[[#This Row],[Índice]],"")</f>
        <v/>
      </c>
      <c r="AV23" s="157" t="str">
        <f ca="1">IF(AND(base_de_datos[[#This Row],[Bioelectrónica]]&lt;&gt;"",base_de_datos[[#This Row],[Misma o no]]=1),base_de_datos[[#This Row],[Índice]],"")</f>
        <v/>
      </c>
      <c r="AW23" s="158"/>
      <c r="AX23" s="231">
        <v>1</v>
      </c>
    </row>
    <row r="24" spans="2:50" s="6" customFormat="1" ht="15">
      <c r="B24" s="148" t="s">
        <v>117</v>
      </c>
      <c r="C24" s="149" t="s">
        <v>118</v>
      </c>
      <c r="D24" s="150">
        <v>2</v>
      </c>
      <c r="E24" s="151">
        <v>0.375</v>
      </c>
      <c r="F24" s="151">
        <v>0.45833333333333098</v>
      </c>
      <c r="G24" s="150"/>
      <c r="H24" s="150" t="s">
        <v>119</v>
      </c>
      <c r="I24" s="150">
        <f>INDEX(Aulas_capacidad,MATCH(base_de_datos[[#This Row],[Aula]],Aulas,0),2)</f>
        <v>20</v>
      </c>
      <c r="J24" s="152">
        <v>16</v>
      </c>
      <c r="K24" s="150">
        <f>INDEX(Aulas_capacidad,MATCH(base_de_datos[[#This Row],[Aula]],Aulas,0),4)</f>
        <v>7</v>
      </c>
      <c r="L24" s="153">
        <f>base_de_datos[[#This Row],[Cap 1.5]]-base_de_datos[[#This Row],[Inscritos]]</f>
        <v>-9</v>
      </c>
      <c r="M24" s="153">
        <f>INDEX(Aulas_capacidad,MATCH(base_de_datos[[#This Row],[Aula]],Aulas,0),5)</f>
        <v>8</v>
      </c>
      <c r="N24" s="153">
        <f>base_de_datos[[#This Row],[Cap .90]]-base_de_datos[[#This Row],[Inscritos]]</f>
        <v>-8</v>
      </c>
      <c r="O24" s="150" t="s">
        <v>120</v>
      </c>
      <c r="P24" s="154"/>
      <c r="Q24" s="154" t="s">
        <v>67</v>
      </c>
      <c r="R24" s="154"/>
      <c r="S24" s="154"/>
      <c r="T24" s="154"/>
      <c r="U24" s="154"/>
      <c r="V24" s="154"/>
      <c r="W24" s="154" t="s">
        <v>1659</v>
      </c>
      <c r="X24" s="155">
        <f>_xlfn.XLOOKUP(base_de_datos[[#This Row],[Materia]],Materias,Horas)/16</f>
        <v>4</v>
      </c>
      <c r="Y24" s="155">
        <f>ROUND(((base_de_datos[[#This Row],[Hora fin]]-base_de_datos[[#This Row],[Hora inicio]])*24)*(COUNTA(base_de_datos[[#This Row],[Lunes]:[Sábado]])),1)</f>
        <v>2</v>
      </c>
      <c r="Z2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4" s="155">
        <f ca="1">IF(base_de_datos[[#This Row],[No clase]]=OFFSET(base_de_datos[[#This Row],[No clase]],-1,0),0,1)</f>
        <v>1</v>
      </c>
      <c r="AB24" s="155">
        <f ca="1">IF(NOT(OR(base_de_datos[[#This Row],[Horas totales]]=base_de_datos[[#This Row],[HT Plan]],base_de_datos[[#This Row],[Horas totales]]="N/A")),1,0)</f>
        <v>0</v>
      </c>
      <c r="AC24" s="155" t="str">
        <f>_xlfn.XLOOKUP(base_de_datos[[#This Row],[Profesor]],Nombre,Grado)</f>
        <v>M</v>
      </c>
      <c r="AD24" s="156" t="str">
        <f>_xlfn.XLOOKUP(base_de_datos[[#This Row],[Profesor]],Nombre,Tipo)</f>
        <v>A</v>
      </c>
      <c r="AE24" s="155" t="str">
        <f>IF(IFERROR(VLOOKUP($C24,Planes_de_estudio[],MATCH($AE$2,Carreras,0)+2,0),"")&gt;0,IFERROR(VLOOKUP($C24,Planes_de_estudio[],MATCH($AE$2,Carreras,0)+2,0),""),"")</f>
        <v/>
      </c>
      <c r="AF24" s="155">
        <f>IF(IFERROR(VLOOKUP($C24,Planes_de_estudio[],MATCH($AF$2,Carreras,0)+2,0),"")&gt;0,IFERROR(VLOOKUP($C24,Planes_de_estudio[],MATCH($AF$2,Carreras,0)+2,0),""),"")</f>
        <v>3</v>
      </c>
      <c r="AG24" s="155" t="str">
        <f>IF(IFERROR(VLOOKUP($C24,Planes_de_estudio[],MATCH($AG$2,Carreras,0)+2,0),"")&gt;0,IFERROR(VLOOKUP($C24,Planes_de_estudio[],MATCH($AG$2,Carreras,0)+2,0),""),"")</f>
        <v/>
      </c>
      <c r="AH24" s="155" t="str">
        <f>IF(IFERROR(VLOOKUP($C24,Planes_de_estudio[],MATCH($AH$2,Carreras,0)+2,0),"")&gt;0,IFERROR(VLOOKUP($C24,Planes_de_estudio[],MATCH($AH$2,Carreras,0)+2,0),""),"")</f>
        <v/>
      </c>
      <c r="AI24" s="155" t="str">
        <f>IF(IFERROR(VLOOKUP($C24,Planes_de_estudio[],MATCH($AI$2,Carreras,0)+2,0),"")&gt;0,IFERROR(VLOOKUP($C24,Planes_de_estudio[],MATCH($AI$2,Carreras,0)+2,0),""),"")</f>
        <v/>
      </c>
      <c r="AJ24" s="155">
        <f>IF(IFERROR(VLOOKUP($C24,Planes_de_estudio[],MATCH($AJ$2,Carreras,0)+2,0),"")&gt;0,IFERROR(VLOOKUP($C24,Planes_de_estudio[],MATCH($AJ$2,Carreras,0)+2,0),""),"")</f>
        <v>3</v>
      </c>
      <c r="AK24" s="155" t="str">
        <f>IF(IFERROR(VLOOKUP($C24,Planes_de_estudio[],MATCH($AK$2,Carreras,0)+2,0),"")&gt;0,IFERROR(VLOOKUP($C24,Planes_de_estudio[],MATCH($AK$2,Carreras,0)+2,0),""),"")</f>
        <v/>
      </c>
      <c r="AL2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38</v>
      </c>
      <c r="AN24" s="155">
        <f>base_de_datos[[#This Row],[Pronóstico]]/25</f>
        <v>1.52</v>
      </c>
      <c r="AO24" s="155" t="str">
        <f>VLOOKUP($C24,Planes_de_estudio[],2)</f>
        <v>MEC</v>
      </c>
      <c r="AP24" s="157" t="str">
        <f ca="1">IF(AND(base_de_datos[[#This Row],[Industrial]]&lt;&gt;"",base_de_datos[[#This Row],[Misma o no]]=1),base_de_datos[[#This Row],[Índice]],"")</f>
        <v/>
      </c>
      <c r="AQ24" s="157">
        <f ca="1">IF(AND(base_de_datos[[#This Row],[Mecatrónica]]&lt;&gt;"",base_de_datos[[#This Row],[Misma o no]]=1),base_de_datos[[#This Row],[Índice]],"")</f>
        <v>4</v>
      </c>
      <c r="AR24" s="157" t="str">
        <f ca="1">IF(AND(base_de_datos[[#This Row],[Innovación y Diseño]]&lt;&gt;"",base_de_datos[[#This Row],[Misma o no]]=1),base_de_datos[[#This Row],[Índice]],"")</f>
        <v/>
      </c>
      <c r="AS24" s="157" t="str">
        <f ca="1">IF(AND(base_de_datos[[#This Row],[Inteligencia Artificial]]&lt;&gt;"",base_de_datos[[#This Row],[Misma o no]]=1),base_de_datos[[#This Row],[Índice]],"")</f>
        <v/>
      </c>
      <c r="AT24" s="157" t="str">
        <f ca="1">IF(AND(base_de_datos[[#This Row],[Tecnologías Energéticas]]&lt;&gt;"",base_de_datos[[#This Row],[Misma o no]]=1),base_de_datos[[#This Row],[Índice]],"")</f>
        <v/>
      </c>
      <c r="AU24" s="157">
        <f ca="1">IF(AND(base_de_datos[[#This Row],[Civil y Administración]]&lt;&gt;"",base_de_datos[[#This Row],[Misma o no]]=1),base_de_datos[[#This Row],[Índice]],"")</f>
        <v>4</v>
      </c>
      <c r="AV24" s="157" t="str">
        <f ca="1">IF(AND(base_de_datos[[#This Row],[Bioelectrónica]]&lt;&gt;"",base_de_datos[[#This Row],[Misma o no]]=1),base_de_datos[[#This Row],[Índice]],"")</f>
        <v/>
      </c>
      <c r="AW24" s="158"/>
      <c r="AX24" s="231">
        <v>1</v>
      </c>
    </row>
    <row r="25" spans="2:50" s="6" customFormat="1" ht="15">
      <c r="B25" s="148" t="s">
        <v>117</v>
      </c>
      <c r="C25" s="149" t="s">
        <v>118</v>
      </c>
      <c r="D25" s="150">
        <v>2</v>
      </c>
      <c r="E25" s="151">
        <v>0.375</v>
      </c>
      <c r="F25" s="151">
        <v>0.45833333333333098</v>
      </c>
      <c r="G25" s="150"/>
      <c r="H25" s="150" t="s">
        <v>121</v>
      </c>
      <c r="I25" s="150">
        <f>INDEX(Aulas_capacidad,MATCH(base_de_datos[[#This Row],[Aula]],Aulas,0),2)</f>
        <v>20</v>
      </c>
      <c r="J25" s="152">
        <v>16</v>
      </c>
      <c r="K25" s="150">
        <f>INDEX(Aulas_capacidad,MATCH(base_de_datos[[#This Row],[Aula]],Aulas,0),4)</f>
        <v>8</v>
      </c>
      <c r="L25" s="153">
        <f>base_de_datos[[#This Row],[Cap 1.5]]-base_de_datos[[#This Row],[Inscritos]]</f>
        <v>-8</v>
      </c>
      <c r="M25" s="153">
        <f>INDEX(Aulas_capacidad,MATCH(base_de_datos[[#This Row],[Aula]],Aulas,0),5)</f>
        <v>10</v>
      </c>
      <c r="N25" s="153">
        <f>base_de_datos[[#This Row],[Cap .90]]-base_de_datos[[#This Row],[Inscritos]]</f>
        <v>-6</v>
      </c>
      <c r="O25" s="150" t="s">
        <v>120</v>
      </c>
      <c r="P25" s="154"/>
      <c r="Q25" s="154"/>
      <c r="R25" s="154"/>
      <c r="S25" s="154" t="s">
        <v>67</v>
      </c>
      <c r="T25" s="154"/>
      <c r="U25" s="154"/>
      <c r="V25" s="154"/>
      <c r="W25" s="154" t="s">
        <v>1659</v>
      </c>
      <c r="X25" s="155">
        <f>_xlfn.XLOOKUP(base_de_datos[[#This Row],[Materia]],Materias,Horas)/16</f>
        <v>4</v>
      </c>
      <c r="Y25" s="155">
        <f>ROUND(((base_de_datos[[#This Row],[Hora fin]]-base_de_datos[[#This Row],[Hora inicio]])*24)*(COUNTA(base_de_datos[[#This Row],[Lunes]:[Sábado]])),1)</f>
        <v>2</v>
      </c>
      <c r="Z2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5" s="155">
        <f ca="1">IF(base_de_datos[[#This Row],[No clase]]=OFFSET(base_de_datos[[#This Row],[No clase]],-1,0),0,1)</f>
        <v>0</v>
      </c>
      <c r="AB25" s="155">
        <f ca="1">IF(NOT(OR(base_de_datos[[#This Row],[Horas totales]]=base_de_datos[[#This Row],[HT Plan]],base_de_datos[[#This Row],[Horas totales]]="N/A")),1,0)</f>
        <v>0</v>
      </c>
      <c r="AC25" s="155" t="str">
        <f>_xlfn.XLOOKUP(base_de_datos[[#This Row],[Profesor]],Nombre,Grado)</f>
        <v>M</v>
      </c>
      <c r="AD25" s="156" t="str">
        <f>_xlfn.XLOOKUP(base_de_datos[[#This Row],[Profesor]],Nombre,Tipo)</f>
        <v>A</v>
      </c>
      <c r="AE25" s="155" t="str">
        <f>IF(IFERROR(VLOOKUP($C25,Planes_de_estudio[],MATCH($AE$2,Carreras,0)+2,0),"")&gt;0,IFERROR(VLOOKUP($C25,Planes_de_estudio[],MATCH($AE$2,Carreras,0)+2,0),""),"")</f>
        <v/>
      </c>
      <c r="AF25" s="155">
        <f>IF(IFERROR(VLOOKUP($C25,Planes_de_estudio[],MATCH($AF$2,Carreras,0)+2,0),"")&gt;0,IFERROR(VLOOKUP($C25,Planes_de_estudio[],MATCH($AF$2,Carreras,0)+2,0),""),"")</f>
        <v>3</v>
      </c>
      <c r="AG25" s="155" t="str">
        <f>IF(IFERROR(VLOOKUP($C25,Planes_de_estudio[],MATCH($AG$2,Carreras,0)+2,0),"")&gt;0,IFERROR(VLOOKUP($C25,Planes_de_estudio[],MATCH($AG$2,Carreras,0)+2,0),""),"")</f>
        <v/>
      </c>
      <c r="AH25" s="155" t="str">
        <f>IF(IFERROR(VLOOKUP($C25,Planes_de_estudio[],MATCH($AH$2,Carreras,0)+2,0),"")&gt;0,IFERROR(VLOOKUP($C25,Planes_de_estudio[],MATCH($AH$2,Carreras,0)+2,0),""),"")</f>
        <v/>
      </c>
      <c r="AI25" s="155" t="str">
        <f>IF(IFERROR(VLOOKUP($C25,Planes_de_estudio[],MATCH($AI$2,Carreras,0)+2,0),"")&gt;0,IFERROR(VLOOKUP($C25,Planes_de_estudio[],MATCH($AI$2,Carreras,0)+2,0),""),"")</f>
        <v/>
      </c>
      <c r="AJ25" s="155">
        <f>IF(IFERROR(VLOOKUP($C25,Planes_de_estudio[],MATCH($AJ$2,Carreras,0)+2,0),"")&gt;0,IFERROR(VLOOKUP($C25,Planes_de_estudio[],MATCH($AJ$2,Carreras,0)+2,0),""),"")</f>
        <v>3</v>
      </c>
      <c r="AK25" s="155" t="str">
        <f>IF(IFERROR(VLOOKUP($C25,Planes_de_estudio[],MATCH($AK$2,Carreras,0)+2,0),"")&gt;0,IFERROR(VLOOKUP($C25,Planes_de_estudio[],MATCH($AK$2,Carreras,0)+2,0),""),"")</f>
        <v/>
      </c>
      <c r="AL2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38</v>
      </c>
      <c r="AN25" s="155">
        <f>base_de_datos[[#This Row],[Pronóstico]]/25</f>
        <v>1.52</v>
      </c>
      <c r="AO25" s="155" t="str">
        <f>VLOOKUP($C25,Planes_de_estudio[],2)</f>
        <v>MEC</v>
      </c>
      <c r="AP25" s="157" t="str">
        <f ca="1">IF(AND(base_de_datos[[#This Row],[Industrial]]&lt;&gt;"",base_de_datos[[#This Row],[Misma o no]]=1),base_de_datos[[#This Row],[Índice]],"")</f>
        <v/>
      </c>
      <c r="AQ25" s="157" t="str">
        <f ca="1">IF(AND(base_de_datos[[#This Row],[Mecatrónica]]&lt;&gt;"",base_de_datos[[#This Row],[Misma o no]]=1),base_de_datos[[#This Row],[Índice]],"")</f>
        <v/>
      </c>
      <c r="AR25" s="157" t="str">
        <f ca="1">IF(AND(base_de_datos[[#This Row],[Innovación y Diseño]]&lt;&gt;"",base_de_datos[[#This Row],[Misma o no]]=1),base_de_datos[[#This Row],[Índice]],"")</f>
        <v/>
      </c>
      <c r="AS25" s="157" t="str">
        <f ca="1">IF(AND(base_de_datos[[#This Row],[Inteligencia Artificial]]&lt;&gt;"",base_de_datos[[#This Row],[Misma o no]]=1),base_de_datos[[#This Row],[Índice]],"")</f>
        <v/>
      </c>
      <c r="AT25" s="157" t="str">
        <f ca="1">IF(AND(base_de_datos[[#This Row],[Tecnologías Energéticas]]&lt;&gt;"",base_de_datos[[#This Row],[Misma o no]]=1),base_de_datos[[#This Row],[Índice]],"")</f>
        <v/>
      </c>
      <c r="AU25" s="157" t="str">
        <f ca="1">IF(AND(base_de_datos[[#This Row],[Civil y Administración]]&lt;&gt;"",base_de_datos[[#This Row],[Misma o no]]=1),base_de_datos[[#This Row],[Índice]],"")</f>
        <v/>
      </c>
      <c r="AV25" s="157" t="str">
        <f ca="1">IF(AND(base_de_datos[[#This Row],[Bioelectrónica]]&lt;&gt;"",base_de_datos[[#This Row],[Misma o no]]=1),base_de_datos[[#This Row],[Índice]],"")</f>
        <v/>
      </c>
      <c r="AW25" s="158"/>
      <c r="AX25" s="231">
        <v>3</v>
      </c>
    </row>
    <row r="26" spans="2:50" s="6" customFormat="1" ht="15">
      <c r="B26" s="148" t="s">
        <v>122</v>
      </c>
      <c r="C26" s="149" t="s">
        <v>123</v>
      </c>
      <c r="D26" s="150"/>
      <c r="E26" s="151">
        <v>0.29166666666666669</v>
      </c>
      <c r="F26" s="151">
        <v>0.374999999999999</v>
      </c>
      <c r="G26" s="150"/>
      <c r="H26" s="150" t="s">
        <v>124</v>
      </c>
      <c r="I26" s="150">
        <f>INDEX(Aulas_capacidad,MATCH(base_de_datos[[#This Row],[Aula]],Aulas,0),2)</f>
        <v>0</v>
      </c>
      <c r="J26" s="152">
        <v>11</v>
      </c>
      <c r="K26" s="150">
        <f>INDEX(Aulas_capacidad,MATCH(base_de_datos[[#This Row],[Aula]],Aulas,0),4)</f>
        <v>0</v>
      </c>
      <c r="L26" s="153">
        <f>base_de_datos[[#This Row],[Cap 1.5]]-base_de_datos[[#This Row],[Inscritos]]</f>
        <v>-11</v>
      </c>
      <c r="M26" s="153">
        <f>INDEX(Aulas_capacidad,MATCH(base_de_datos[[#This Row],[Aula]],Aulas,0),5)</f>
        <v>0</v>
      </c>
      <c r="N26" s="153">
        <f>base_de_datos[[#This Row],[Cap .90]]-base_de_datos[[#This Row],[Inscritos]]</f>
        <v>-11</v>
      </c>
      <c r="O26" s="150">
        <v>7850</v>
      </c>
      <c r="P26" s="154"/>
      <c r="Q26" s="154"/>
      <c r="R26" s="154"/>
      <c r="S26" s="154" t="s">
        <v>67</v>
      </c>
      <c r="T26" s="154"/>
      <c r="U26" s="154"/>
      <c r="V26" s="154"/>
      <c r="W26" s="154" t="s">
        <v>1656</v>
      </c>
      <c r="X26" s="155">
        <f>_xlfn.XLOOKUP(base_de_datos[[#This Row],[Materia]],Materias,Horas)/16</f>
        <v>4</v>
      </c>
      <c r="Y26" s="155">
        <f>ROUND(((base_de_datos[[#This Row],[Hora fin]]-base_de_datos[[#This Row],[Hora inicio]])*24)*(COUNTA(base_de_datos[[#This Row],[Lunes]:[Sábado]])),1)</f>
        <v>2</v>
      </c>
      <c r="Z2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6" s="155">
        <f ca="1">IF(base_de_datos[[#This Row],[No clase]]=OFFSET(base_de_datos[[#This Row],[No clase]],-1,0),0,1)</f>
        <v>1</v>
      </c>
      <c r="AB26" s="155">
        <f ca="1">IF(NOT(OR(base_de_datos[[#This Row],[Horas totales]]=base_de_datos[[#This Row],[HT Plan]],base_de_datos[[#This Row],[Horas totales]]="N/A")),1,0)</f>
        <v>0</v>
      </c>
      <c r="AC26" s="155" t="str">
        <f>_xlfn.XLOOKUP(base_de_datos[[#This Row],[Profesor]],Nombre,Grado)</f>
        <v>M</v>
      </c>
      <c r="AD26" s="156" t="str">
        <f>_xlfn.XLOOKUP(base_de_datos[[#This Row],[Profesor]],Nombre,Tipo)</f>
        <v>OA</v>
      </c>
      <c r="AE26" s="155" t="str">
        <f>IF(IFERROR(VLOOKUP($C26,Planes_de_estudio[],MATCH($AE$2,Carreras,0)+2,0),"")&gt;0,IFERROR(VLOOKUP($C26,Planes_de_estudio[],MATCH($AE$2,Carreras,0)+2,0),""),"")</f>
        <v/>
      </c>
      <c r="AF26" s="155" t="str">
        <f>IF(IFERROR(VLOOKUP($C26,Planes_de_estudio[],MATCH($AF$2,Carreras,0)+2,0),"")&gt;0,IFERROR(VLOOKUP($C26,Planes_de_estudio[],MATCH($AF$2,Carreras,0)+2,0),""),"")</f>
        <v/>
      </c>
      <c r="AG26" s="155" t="str">
        <f>IF(IFERROR(VLOOKUP($C26,Planes_de_estudio[],MATCH($AG$2,Carreras,0)+2,0),"")&gt;0,IFERROR(VLOOKUP($C26,Planes_de_estudio[],MATCH($AG$2,Carreras,0)+2,0),""),"")</f>
        <v/>
      </c>
      <c r="AH26" s="155" t="str">
        <f>IF(IFERROR(VLOOKUP($C26,Planes_de_estudio[],MATCH($AH$2,Carreras,0)+2,0),"")&gt;0,IFERROR(VLOOKUP($C26,Planes_de_estudio[],MATCH($AH$2,Carreras,0)+2,0),""),"")</f>
        <v/>
      </c>
      <c r="AI26" s="155" t="str">
        <f>IF(IFERROR(VLOOKUP($C26,Planes_de_estudio[],MATCH($AI$2,Carreras,0)+2,0),"")&gt;0,IFERROR(VLOOKUP($C26,Planes_de_estudio[],MATCH($AI$2,Carreras,0)+2,0),""),"")</f>
        <v/>
      </c>
      <c r="AJ26" s="155">
        <f>IF(IFERROR(VLOOKUP($C26,Planes_de_estudio[],MATCH($AJ$2,Carreras,0)+2,0),"")&gt;0,IFERROR(VLOOKUP($C26,Planes_de_estudio[],MATCH($AJ$2,Carreras,0)+2,0),""),"")</f>
        <v>3</v>
      </c>
      <c r="AK26" s="155" t="str">
        <f>IF(IFERROR(VLOOKUP($C26,Planes_de_estudio[],MATCH($AK$2,Carreras,0)+2,0),"")&gt;0,IFERROR(VLOOKUP($C26,Planes_de_estudio[],MATCH($AK$2,Carreras,0)+2,0),""),"")</f>
        <v/>
      </c>
      <c r="AL2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26" s="155">
        <f>base_de_datos[[#This Row],[Pronóstico]]/25</f>
        <v>0.6</v>
      </c>
      <c r="AO26" s="155" t="str">
        <f>VLOOKUP($C26,Planes_de_estudio[],2)</f>
        <v>EEC</v>
      </c>
      <c r="AP26" s="157" t="str">
        <f ca="1">IF(AND(base_de_datos[[#This Row],[Industrial]]&lt;&gt;"",base_de_datos[[#This Row],[Misma o no]]=1),base_de_datos[[#This Row],[Índice]],"")</f>
        <v/>
      </c>
      <c r="AQ26" s="157" t="str">
        <f ca="1">IF(AND(base_de_datos[[#This Row],[Mecatrónica]]&lt;&gt;"",base_de_datos[[#This Row],[Misma o no]]=1),base_de_datos[[#This Row],[Índice]],"")</f>
        <v/>
      </c>
      <c r="AR26" s="157" t="str">
        <f ca="1">IF(AND(base_de_datos[[#This Row],[Innovación y Diseño]]&lt;&gt;"",base_de_datos[[#This Row],[Misma o no]]=1),base_de_datos[[#This Row],[Índice]],"")</f>
        <v/>
      </c>
      <c r="AS26" s="157" t="str">
        <f ca="1">IF(AND(base_de_datos[[#This Row],[Inteligencia Artificial]]&lt;&gt;"",base_de_datos[[#This Row],[Misma o no]]=1),base_de_datos[[#This Row],[Índice]],"")</f>
        <v/>
      </c>
      <c r="AT26" s="157" t="str">
        <f ca="1">IF(AND(base_de_datos[[#This Row],[Tecnologías Energéticas]]&lt;&gt;"",base_de_datos[[#This Row],[Misma o no]]=1),base_de_datos[[#This Row],[Índice]],"")</f>
        <v/>
      </c>
      <c r="AU26" s="157">
        <f ca="1">IF(AND(base_de_datos[[#This Row],[Civil y Administración]]&lt;&gt;"",base_de_datos[[#This Row],[Misma o no]]=1),base_de_datos[[#This Row],[Índice]],"")</f>
        <v>4</v>
      </c>
      <c r="AV26" s="157" t="str">
        <f ca="1">IF(AND(base_de_datos[[#This Row],[Bioelectrónica]]&lt;&gt;"",base_de_datos[[#This Row],[Misma o no]]=1),base_de_datos[[#This Row],[Índice]],"")</f>
        <v/>
      </c>
      <c r="AW26" s="158"/>
      <c r="AX26" s="231">
        <v>3</v>
      </c>
    </row>
    <row r="27" spans="2:50" s="6" customFormat="1" ht="15">
      <c r="B27" s="148" t="s">
        <v>122</v>
      </c>
      <c r="C27" s="149" t="s">
        <v>123</v>
      </c>
      <c r="D27" s="150"/>
      <c r="E27" s="151">
        <v>0.375</v>
      </c>
      <c r="F27" s="151">
        <v>0.45833333333333098</v>
      </c>
      <c r="G27" s="150"/>
      <c r="H27" s="150" t="s">
        <v>124</v>
      </c>
      <c r="I27" s="150">
        <f>INDEX(Aulas_capacidad,MATCH(base_de_datos[[#This Row],[Aula]],Aulas,0),2)</f>
        <v>0</v>
      </c>
      <c r="J27" s="152">
        <v>11</v>
      </c>
      <c r="K27" s="150">
        <f>INDEX(Aulas_capacidad,MATCH(base_de_datos[[#This Row],[Aula]],Aulas,0),4)</f>
        <v>0</v>
      </c>
      <c r="L27" s="153">
        <f>base_de_datos[[#This Row],[Cap 1.5]]-base_de_datos[[#This Row],[Inscritos]]</f>
        <v>-11</v>
      </c>
      <c r="M27" s="153">
        <f>INDEX(Aulas_capacidad,MATCH(base_de_datos[[#This Row],[Aula]],Aulas,0),5)</f>
        <v>0</v>
      </c>
      <c r="N27" s="153">
        <f>base_de_datos[[#This Row],[Cap .90]]-base_de_datos[[#This Row],[Inscritos]]</f>
        <v>-11</v>
      </c>
      <c r="O27" s="150">
        <v>7850</v>
      </c>
      <c r="P27" s="154"/>
      <c r="Q27" s="154"/>
      <c r="R27" s="154"/>
      <c r="S27" s="154"/>
      <c r="T27" s="154" t="s">
        <v>67</v>
      </c>
      <c r="U27" s="154"/>
      <c r="V27" s="154"/>
      <c r="W27" s="154" t="s">
        <v>1656</v>
      </c>
      <c r="X27" s="155">
        <f>_xlfn.XLOOKUP(base_de_datos[[#This Row],[Materia]],Materias,Horas)/16</f>
        <v>4</v>
      </c>
      <c r="Y27" s="155">
        <f>ROUND(((base_de_datos[[#This Row],[Hora fin]]-base_de_datos[[#This Row],[Hora inicio]])*24)*(COUNTA(base_de_datos[[#This Row],[Lunes]:[Sábado]])),1)</f>
        <v>2</v>
      </c>
      <c r="Z2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7" s="155">
        <f ca="1">IF(base_de_datos[[#This Row],[No clase]]=OFFSET(base_de_datos[[#This Row],[No clase]],-1,0),0,1)</f>
        <v>0</v>
      </c>
      <c r="AB27" s="155">
        <f ca="1">IF(NOT(OR(base_de_datos[[#This Row],[Horas totales]]=base_de_datos[[#This Row],[HT Plan]],base_de_datos[[#This Row],[Horas totales]]="N/A")),1,0)</f>
        <v>0</v>
      </c>
      <c r="AC27" s="155" t="str">
        <f>_xlfn.XLOOKUP(base_de_datos[[#This Row],[Profesor]],Nombre,Grado)</f>
        <v>M</v>
      </c>
      <c r="AD27" s="156" t="str">
        <f>_xlfn.XLOOKUP(base_de_datos[[#This Row],[Profesor]],Nombre,Tipo)</f>
        <v>OA</v>
      </c>
      <c r="AE27" s="155" t="str">
        <f>IF(IFERROR(VLOOKUP($C27,Planes_de_estudio[],MATCH($AE$2,Carreras,0)+2,0),"")&gt;0,IFERROR(VLOOKUP($C27,Planes_de_estudio[],MATCH($AE$2,Carreras,0)+2,0),""),"")</f>
        <v/>
      </c>
      <c r="AF27" s="155" t="str">
        <f>IF(IFERROR(VLOOKUP($C27,Planes_de_estudio[],MATCH($AF$2,Carreras,0)+2,0),"")&gt;0,IFERROR(VLOOKUP($C27,Planes_de_estudio[],MATCH($AF$2,Carreras,0)+2,0),""),"")</f>
        <v/>
      </c>
      <c r="AG27" s="155" t="str">
        <f>IF(IFERROR(VLOOKUP($C27,Planes_de_estudio[],MATCH($AG$2,Carreras,0)+2,0),"")&gt;0,IFERROR(VLOOKUP($C27,Planes_de_estudio[],MATCH($AG$2,Carreras,0)+2,0),""),"")</f>
        <v/>
      </c>
      <c r="AH27" s="155" t="str">
        <f>IF(IFERROR(VLOOKUP($C27,Planes_de_estudio[],MATCH($AH$2,Carreras,0)+2,0),"")&gt;0,IFERROR(VLOOKUP($C27,Planes_de_estudio[],MATCH($AH$2,Carreras,0)+2,0),""),"")</f>
        <v/>
      </c>
      <c r="AI27" s="155" t="str">
        <f>IF(IFERROR(VLOOKUP($C27,Planes_de_estudio[],MATCH($AI$2,Carreras,0)+2,0),"")&gt;0,IFERROR(VLOOKUP($C27,Planes_de_estudio[],MATCH($AI$2,Carreras,0)+2,0),""),"")</f>
        <v/>
      </c>
      <c r="AJ27" s="155">
        <f>IF(IFERROR(VLOOKUP($C27,Planes_de_estudio[],MATCH($AJ$2,Carreras,0)+2,0),"")&gt;0,IFERROR(VLOOKUP($C27,Planes_de_estudio[],MATCH($AJ$2,Carreras,0)+2,0),""),"")</f>
        <v>3</v>
      </c>
      <c r="AK27" s="155" t="str">
        <f>IF(IFERROR(VLOOKUP($C27,Planes_de_estudio[],MATCH($AK$2,Carreras,0)+2,0),"")&gt;0,IFERROR(VLOOKUP($C27,Planes_de_estudio[],MATCH($AK$2,Carreras,0)+2,0),""),"")</f>
        <v/>
      </c>
      <c r="AL2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27" s="155">
        <f>base_de_datos[[#This Row],[Pronóstico]]/25</f>
        <v>0.6</v>
      </c>
      <c r="AO27" s="155" t="str">
        <f>VLOOKUP($C27,Planes_de_estudio[],2)</f>
        <v>EEC</v>
      </c>
      <c r="AP27" s="157" t="str">
        <f ca="1">IF(AND(base_de_datos[[#This Row],[Industrial]]&lt;&gt;"",base_de_datos[[#This Row],[Misma o no]]=1),base_de_datos[[#This Row],[Índice]],"")</f>
        <v/>
      </c>
      <c r="AQ27" s="157" t="str">
        <f ca="1">IF(AND(base_de_datos[[#This Row],[Mecatrónica]]&lt;&gt;"",base_de_datos[[#This Row],[Misma o no]]=1),base_de_datos[[#This Row],[Índice]],"")</f>
        <v/>
      </c>
      <c r="AR27" s="157" t="str">
        <f ca="1">IF(AND(base_de_datos[[#This Row],[Innovación y Diseño]]&lt;&gt;"",base_de_datos[[#This Row],[Misma o no]]=1),base_de_datos[[#This Row],[Índice]],"")</f>
        <v/>
      </c>
      <c r="AS27" s="157" t="str">
        <f ca="1">IF(AND(base_de_datos[[#This Row],[Inteligencia Artificial]]&lt;&gt;"",base_de_datos[[#This Row],[Misma o no]]=1),base_de_datos[[#This Row],[Índice]],"")</f>
        <v/>
      </c>
      <c r="AT27" s="157" t="str">
        <f ca="1">IF(AND(base_de_datos[[#This Row],[Tecnologías Energéticas]]&lt;&gt;"",base_de_datos[[#This Row],[Misma o no]]=1),base_de_datos[[#This Row],[Índice]],"")</f>
        <v/>
      </c>
      <c r="AU27" s="157" t="str">
        <f ca="1">IF(AND(base_de_datos[[#This Row],[Civil y Administración]]&lt;&gt;"",base_de_datos[[#This Row],[Misma o no]]=1),base_de_datos[[#This Row],[Índice]],"")</f>
        <v/>
      </c>
      <c r="AV27" s="157" t="str">
        <f ca="1">IF(AND(base_de_datos[[#This Row],[Bioelectrónica]]&lt;&gt;"",base_de_datos[[#This Row],[Misma o no]]=1),base_de_datos[[#This Row],[Índice]],"")</f>
        <v/>
      </c>
      <c r="AW27" s="158"/>
      <c r="AX27" s="231" t="s">
        <v>1629</v>
      </c>
    </row>
    <row r="28" spans="2:50" s="6" customFormat="1" ht="15">
      <c r="B28" s="148" t="s">
        <v>125</v>
      </c>
      <c r="C28" s="149" t="s">
        <v>126</v>
      </c>
      <c r="D28" s="150">
        <v>1</v>
      </c>
      <c r="E28" s="151">
        <v>0.70833333333333304</v>
      </c>
      <c r="F28" s="151">
        <v>0.83333333333332504</v>
      </c>
      <c r="G28" s="150"/>
      <c r="H28" s="150" t="s">
        <v>127</v>
      </c>
      <c r="I28" s="150">
        <f>INDEX(Aulas_capacidad,MATCH(base_de_datos[[#This Row],[Aula]],Aulas,0),2)</f>
        <v>30</v>
      </c>
      <c r="J28" s="152">
        <v>23</v>
      </c>
      <c r="K28" s="150">
        <f>INDEX(Aulas_capacidad,MATCH(base_de_datos[[#This Row],[Aula]],Aulas,0),4)</f>
        <v>12</v>
      </c>
      <c r="L28" s="153">
        <f>base_de_datos[[#This Row],[Cap 1.5]]-base_de_datos[[#This Row],[Inscritos]]</f>
        <v>-11</v>
      </c>
      <c r="M28" s="153">
        <f>INDEX(Aulas_capacidad,MATCH(base_de_datos[[#This Row],[Aula]],Aulas,0),5)</f>
        <v>18</v>
      </c>
      <c r="N28" s="153">
        <f>base_de_datos[[#This Row],[Cap .90]]-base_de_datos[[#This Row],[Inscritos]]</f>
        <v>-5</v>
      </c>
      <c r="O28" s="150">
        <v>1504</v>
      </c>
      <c r="P28" s="154"/>
      <c r="Q28" s="154" t="s">
        <v>67</v>
      </c>
      <c r="R28" s="154"/>
      <c r="S28" s="154"/>
      <c r="T28" s="154"/>
      <c r="U28" s="154"/>
      <c r="V28" s="154" t="s">
        <v>67</v>
      </c>
      <c r="W28" s="154" t="s">
        <v>1659</v>
      </c>
      <c r="X28" s="155">
        <f>_xlfn.XLOOKUP(base_de_datos[[#This Row],[Materia]],Materias,Horas)/16</f>
        <v>3</v>
      </c>
      <c r="Y28" s="155">
        <f>ROUND(((base_de_datos[[#This Row],[Hora fin]]-base_de_datos[[#This Row],[Hora inicio]])*24)*(COUNTA(base_de_datos[[#This Row],[Lunes]:[Sábado]])),1)</f>
        <v>3</v>
      </c>
      <c r="Z2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8" s="155">
        <f ca="1">IF(base_de_datos[[#This Row],[No clase]]=OFFSET(base_de_datos[[#This Row],[No clase]],-1,0),0,1)</f>
        <v>1</v>
      </c>
      <c r="AB28" s="155">
        <f ca="1">IF(NOT(OR(base_de_datos[[#This Row],[Horas totales]]=base_de_datos[[#This Row],[HT Plan]],base_de_datos[[#This Row],[Horas totales]]="N/A")),1,0)</f>
        <v>0</v>
      </c>
      <c r="AC28" s="155" t="str">
        <f>_xlfn.XLOOKUP(base_de_datos[[#This Row],[Profesor]],Nombre,Grado)</f>
        <v>M</v>
      </c>
      <c r="AD28" s="156" t="str">
        <f>_xlfn.XLOOKUP(base_de_datos[[#This Row],[Profesor]],Nombre,Tipo)</f>
        <v>OA</v>
      </c>
      <c r="AE28" s="155">
        <f>IF(IFERROR(VLOOKUP($C28,Planes_de_estudio[],MATCH($AE$2,Carreras,0)+2,0),"")&gt;0,IFERROR(VLOOKUP($C28,Planes_de_estudio[],MATCH($AE$2,Carreras,0)+2,0),""),"")</f>
        <v>5</v>
      </c>
      <c r="AF28" s="155" t="str">
        <f>IF(IFERROR(VLOOKUP($C28,Planes_de_estudio[],MATCH($AF$2,Carreras,0)+2,0),"")&gt;0,IFERROR(VLOOKUP($C28,Planes_de_estudio[],MATCH($AF$2,Carreras,0)+2,0),""),"")</f>
        <v/>
      </c>
      <c r="AG28" s="155" t="str">
        <f>IF(IFERROR(VLOOKUP($C28,Planes_de_estudio[],MATCH($AG$2,Carreras,0)+2,0),"")&gt;0,IFERROR(VLOOKUP($C28,Planes_de_estudio[],MATCH($AG$2,Carreras,0)+2,0),""),"")</f>
        <v/>
      </c>
      <c r="AH28" s="155" t="str">
        <f>IF(IFERROR(VLOOKUP($C28,Planes_de_estudio[],MATCH($AH$2,Carreras,0)+2,0),"")&gt;0,IFERROR(VLOOKUP($C28,Planes_de_estudio[],MATCH($AH$2,Carreras,0)+2,0),""),"")</f>
        <v/>
      </c>
      <c r="AI28" s="155" t="str">
        <f>IF(IFERROR(VLOOKUP($C28,Planes_de_estudio[],MATCH($AI$2,Carreras,0)+2,0),"")&gt;0,IFERROR(VLOOKUP($C28,Planes_de_estudio[],MATCH($AI$2,Carreras,0)+2,0),""),"")</f>
        <v/>
      </c>
      <c r="AJ28" s="155" t="str">
        <f>IF(IFERROR(VLOOKUP($C28,Planes_de_estudio[],MATCH($AJ$2,Carreras,0)+2,0),"")&gt;0,IFERROR(VLOOKUP($C28,Planes_de_estudio[],MATCH($AJ$2,Carreras,0)+2,0),""),"")</f>
        <v/>
      </c>
      <c r="AK28" s="155" t="str">
        <f>IF(IFERROR(VLOOKUP($C28,Planes_de_estudio[],MATCH($AK$2,Carreras,0)+2,0),"")&gt;0,IFERROR(VLOOKUP($C28,Planes_de_estudio[],MATCH($AK$2,Carreras,0)+2,0),""),"")</f>
        <v/>
      </c>
      <c r="AL2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28" s="155">
        <f>base_de_datos[[#This Row],[Pronóstico]]/25</f>
        <v>0.76</v>
      </c>
      <c r="AO28" s="155" t="str">
        <f>VLOOKUP($C28,Planes_de_estudio[],2)</f>
        <v>DOP</v>
      </c>
      <c r="AP28" s="157">
        <f ca="1">IF(AND(base_de_datos[[#This Row],[Industrial]]&lt;&gt;"",base_de_datos[[#This Row],[Misma o no]]=1),base_de_datos[[#This Row],[Índice]],"")</f>
        <v>4</v>
      </c>
      <c r="AQ28" s="157" t="str">
        <f ca="1">IF(AND(base_de_datos[[#This Row],[Mecatrónica]]&lt;&gt;"",base_de_datos[[#This Row],[Misma o no]]=1),base_de_datos[[#This Row],[Índice]],"")</f>
        <v/>
      </c>
      <c r="AR28" s="157" t="str">
        <f ca="1">IF(AND(base_de_datos[[#This Row],[Innovación y Diseño]]&lt;&gt;"",base_de_datos[[#This Row],[Misma o no]]=1),base_de_datos[[#This Row],[Índice]],"")</f>
        <v/>
      </c>
      <c r="AS28" s="157" t="str">
        <f ca="1">IF(AND(base_de_datos[[#This Row],[Inteligencia Artificial]]&lt;&gt;"",base_de_datos[[#This Row],[Misma o no]]=1),base_de_datos[[#This Row],[Índice]],"")</f>
        <v/>
      </c>
      <c r="AT28" s="157" t="str">
        <f ca="1">IF(AND(base_de_datos[[#This Row],[Tecnologías Energéticas]]&lt;&gt;"",base_de_datos[[#This Row],[Misma o no]]=1),base_de_datos[[#This Row],[Índice]],"")</f>
        <v/>
      </c>
      <c r="AU28" s="157" t="str">
        <f ca="1">IF(AND(base_de_datos[[#This Row],[Civil y Administración]]&lt;&gt;"",base_de_datos[[#This Row],[Misma o no]]=1),base_de_datos[[#This Row],[Índice]],"")</f>
        <v/>
      </c>
      <c r="AV28" s="157" t="str">
        <f ca="1">IF(AND(base_de_datos[[#This Row],[Bioelectrónica]]&lt;&gt;"",base_de_datos[[#This Row],[Misma o no]]=1),base_de_datos[[#This Row],[Índice]],"")</f>
        <v/>
      </c>
      <c r="AW28" s="158"/>
      <c r="AX28" s="231">
        <v>1</v>
      </c>
    </row>
    <row r="29" spans="2:50" s="6" customFormat="1" ht="15">
      <c r="B29" s="148" t="s">
        <v>128</v>
      </c>
      <c r="C29" s="149" t="s">
        <v>104</v>
      </c>
      <c r="D29" s="150">
        <v>1</v>
      </c>
      <c r="E29" s="151">
        <v>0.375</v>
      </c>
      <c r="F29" s="151">
        <v>0.45833333333333098</v>
      </c>
      <c r="G29" s="150"/>
      <c r="H29" s="150" t="s">
        <v>129</v>
      </c>
      <c r="I29" s="150">
        <f>INDEX(Aulas_capacidad,MATCH(base_de_datos[[#This Row],[Aula]],Aulas,0),2)</f>
        <v>15</v>
      </c>
      <c r="J29" s="152">
        <v>21</v>
      </c>
      <c r="K29" s="150">
        <f>INDEX(Aulas_capacidad,MATCH(base_de_datos[[#This Row],[Aula]],Aulas,0),4)</f>
        <v>20</v>
      </c>
      <c r="L29" s="153">
        <f>base_de_datos[[#This Row],[Cap 1.5]]-base_de_datos[[#This Row],[Inscritos]]</f>
        <v>-1</v>
      </c>
      <c r="M29" s="153">
        <f>INDEX(Aulas_capacidad,MATCH(base_de_datos[[#This Row],[Aula]],Aulas,0),5)</f>
        <v>28</v>
      </c>
      <c r="N29" s="153">
        <f>base_de_datos[[#This Row],[Cap .90]]-base_de_datos[[#This Row],[Inscritos]]</f>
        <v>7</v>
      </c>
      <c r="O29" s="150" t="s">
        <v>105</v>
      </c>
      <c r="P29" s="154" t="s">
        <v>67</v>
      </c>
      <c r="Q29" s="154"/>
      <c r="R29" s="154"/>
      <c r="S29" s="154"/>
      <c r="T29" s="154"/>
      <c r="U29" s="154"/>
      <c r="V29" s="154"/>
      <c r="W29" s="154" t="s">
        <v>1655</v>
      </c>
      <c r="X29" s="155">
        <f>_xlfn.XLOOKUP(base_de_datos[[#This Row],[Materia]],Materias,Horas)/16</f>
        <v>5</v>
      </c>
      <c r="Y29" s="155">
        <f>ROUND(((base_de_datos[[#This Row],[Hora fin]]-base_de_datos[[#This Row],[Hora inicio]])*24)*(COUNTA(base_de_datos[[#This Row],[Lunes]:[Sábado]])),1)</f>
        <v>2</v>
      </c>
      <c r="Z2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9" s="155">
        <f ca="1">IF(base_de_datos[[#This Row],[No clase]]=OFFSET(base_de_datos[[#This Row],[No clase]],-1,0),0,1)</f>
        <v>1</v>
      </c>
      <c r="AB29" s="155">
        <f ca="1">IF(NOT(OR(base_de_datos[[#This Row],[Horas totales]]=base_de_datos[[#This Row],[HT Plan]],base_de_datos[[#This Row],[Horas totales]]="N/A")),1,0)</f>
        <v>1</v>
      </c>
      <c r="AC29" s="155" t="e">
        <f>_xlfn.XLOOKUP(base_de_datos[[#This Row],[Profesor]],Nombre,Grado)</f>
        <v>#N/A</v>
      </c>
      <c r="AD29" s="156" t="e">
        <f>_xlfn.XLOOKUP(base_de_datos[[#This Row],[Profesor]],Nombre,Tipo)</f>
        <v>#N/A</v>
      </c>
      <c r="AE29" s="155" t="str">
        <f>IF(IFERROR(VLOOKUP($C29,Planes_de_estudio[],MATCH($AE$2,Carreras,0)+2,0),"")&gt;0,IFERROR(VLOOKUP($C29,Planes_de_estudio[],MATCH($AE$2,Carreras,0)+2,0),""),"")</f>
        <v/>
      </c>
      <c r="AF29" s="155" t="str">
        <f>IF(IFERROR(VLOOKUP($C29,Planes_de_estudio[],MATCH($AF$2,Carreras,0)+2,0),"")&gt;0,IFERROR(VLOOKUP($C29,Planes_de_estudio[],MATCH($AF$2,Carreras,0)+2,0),""),"")</f>
        <v/>
      </c>
      <c r="AG29" s="155">
        <f>IF(IFERROR(VLOOKUP($C29,Planes_de_estudio[],MATCH($AG$2,Carreras,0)+2,0),"")&gt;0,IFERROR(VLOOKUP($C29,Planes_de_estudio[],MATCH($AG$2,Carreras,0)+2,0),""),"")</f>
        <v>3</v>
      </c>
      <c r="AH29" s="155" t="str">
        <f>IF(IFERROR(VLOOKUP($C29,Planes_de_estudio[],MATCH($AH$2,Carreras,0)+2,0),"")&gt;0,IFERROR(VLOOKUP($C29,Planes_de_estudio[],MATCH($AH$2,Carreras,0)+2,0),""),"")</f>
        <v/>
      </c>
      <c r="AI29" s="155" t="str">
        <f>IF(IFERROR(VLOOKUP($C29,Planes_de_estudio[],MATCH($AI$2,Carreras,0)+2,0),"")&gt;0,IFERROR(VLOOKUP($C29,Planes_de_estudio[],MATCH($AI$2,Carreras,0)+2,0),""),"")</f>
        <v/>
      </c>
      <c r="AJ29" s="155" t="str">
        <f>IF(IFERROR(VLOOKUP($C29,Planes_de_estudio[],MATCH($AJ$2,Carreras,0)+2,0),"")&gt;0,IFERROR(VLOOKUP($C29,Planes_de_estudio[],MATCH($AJ$2,Carreras,0)+2,0),""),"")</f>
        <v/>
      </c>
      <c r="AK29" s="155" t="str">
        <f>IF(IFERROR(VLOOKUP($C29,Planes_de_estudio[],MATCH($AK$2,Carreras,0)+2,0),"")&gt;0,IFERROR(VLOOKUP($C29,Planes_de_estudio[],MATCH($AK$2,Carreras,0)+2,0),""),"")</f>
        <v/>
      </c>
      <c r="AL29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29" s="155">
        <f>base_de_datos[[#This Row],[Pronóstico]]/25</f>
        <v>0.68</v>
      </c>
      <c r="AO29" s="155" t="str">
        <f>VLOOKUP($C29,Planes_de_estudio[],2)</f>
        <v>IID</v>
      </c>
      <c r="AP29" s="157" t="str">
        <f ca="1">IF(AND(base_de_datos[[#This Row],[Industrial]]&lt;&gt;"",base_de_datos[[#This Row],[Misma o no]]=1),base_de_datos[[#This Row],[Índice]],"")</f>
        <v/>
      </c>
      <c r="AQ29" s="157" t="str">
        <f ca="1">IF(AND(base_de_datos[[#This Row],[Mecatrónica]]&lt;&gt;"",base_de_datos[[#This Row],[Misma o no]]=1),base_de_datos[[#This Row],[Índice]],"")</f>
        <v/>
      </c>
      <c r="AR29" s="157" t="e">
        <f ca="1">IF(AND(base_de_datos[[#This Row],[Innovación y Diseño]]&lt;&gt;"",base_de_datos[[#This Row],[Misma o no]]=1),base_de_datos[[#This Row],[Índice]],"")</f>
        <v>#N/A</v>
      </c>
      <c r="AS29" s="157" t="str">
        <f ca="1">IF(AND(base_de_datos[[#This Row],[Inteligencia Artificial]]&lt;&gt;"",base_de_datos[[#This Row],[Misma o no]]=1),base_de_datos[[#This Row],[Índice]],"")</f>
        <v/>
      </c>
      <c r="AT29" s="157" t="str">
        <f ca="1">IF(AND(base_de_datos[[#This Row],[Tecnologías Energéticas]]&lt;&gt;"",base_de_datos[[#This Row],[Misma o no]]=1),base_de_datos[[#This Row],[Índice]],"")</f>
        <v/>
      </c>
      <c r="AU29" s="157" t="str">
        <f ca="1">IF(AND(base_de_datos[[#This Row],[Civil y Administración]]&lt;&gt;"",base_de_datos[[#This Row],[Misma o no]]=1),base_de_datos[[#This Row],[Índice]],"")</f>
        <v/>
      </c>
      <c r="AV29" s="157" t="str">
        <f ca="1">IF(AND(base_de_datos[[#This Row],[Bioelectrónica]]&lt;&gt;"",base_de_datos[[#This Row],[Misma o no]]=1),base_de_datos[[#This Row],[Índice]],"")</f>
        <v/>
      </c>
      <c r="AW29" s="158"/>
      <c r="AX29" s="231">
        <v>1</v>
      </c>
    </row>
    <row r="30" spans="2:50" s="6" customFormat="1" ht="15">
      <c r="B30" s="148" t="s">
        <v>128</v>
      </c>
      <c r="C30" s="149" t="s">
        <v>104</v>
      </c>
      <c r="D30" s="150">
        <v>1</v>
      </c>
      <c r="E30" s="151">
        <v>0.5</v>
      </c>
      <c r="F30" s="151">
        <v>0.54166666666666297</v>
      </c>
      <c r="G30" s="150"/>
      <c r="H30" s="150" t="s">
        <v>129</v>
      </c>
      <c r="I30" s="150">
        <f>INDEX(Aulas_capacidad,MATCH(base_de_datos[[#This Row],[Aula]],Aulas,0),2)</f>
        <v>15</v>
      </c>
      <c r="J30" s="152">
        <v>21</v>
      </c>
      <c r="K30" s="150">
        <f>INDEX(Aulas_capacidad,MATCH(base_de_datos[[#This Row],[Aula]],Aulas,0),4)</f>
        <v>20</v>
      </c>
      <c r="L30" s="153">
        <f>base_de_datos[[#This Row],[Cap 1.5]]-base_de_datos[[#This Row],[Inscritos]]</f>
        <v>-1</v>
      </c>
      <c r="M30" s="153">
        <f>INDEX(Aulas_capacidad,MATCH(base_de_datos[[#This Row],[Aula]],Aulas,0),5)</f>
        <v>28</v>
      </c>
      <c r="N30" s="153">
        <f>base_de_datos[[#This Row],[Cap .90]]-base_de_datos[[#This Row],[Inscritos]]</f>
        <v>7</v>
      </c>
      <c r="O30" s="150" t="s">
        <v>105</v>
      </c>
      <c r="P30" s="154" t="s">
        <v>67</v>
      </c>
      <c r="Q30" s="154"/>
      <c r="R30" s="154"/>
      <c r="S30" s="154"/>
      <c r="T30" s="154"/>
      <c r="U30" s="154"/>
      <c r="V30" s="154"/>
      <c r="W30" s="154" t="s">
        <v>1655</v>
      </c>
      <c r="X30" s="155">
        <f>_xlfn.XLOOKUP(base_de_datos[[#This Row],[Materia]],Materias,Horas)/16</f>
        <v>5</v>
      </c>
      <c r="Y30" s="155">
        <f>ROUND(((base_de_datos[[#This Row],[Hora fin]]-base_de_datos[[#This Row],[Hora inicio]])*24)*(COUNTA(base_de_datos[[#This Row],[Lunes]:[Sábado]])),1)</f>
        <v>1</v>
      </c>
      <c r="Z3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0" s="155">
        <f ca="1">IF(base_de_datos[[#This Row],[No clase]]=OFFSET(base_de_datos[[#This Row],[No clase]],-1,0),0,1)</f>
        <v>0</v>
      </c>
      <c r="AB30" s="155">
        <f ca="1">IF(NOT(OR(base_de_datos[[#This Row],[Horas totales]]=base_de_datos[[#This Row],[HT Plan]],base_de_datos[[#This Row],[Horas totales]]="N/A")),1,0)</f>
        <v>0</v>
      </c>
      <c r="AC30" s="155" t="e">
        <f>_xlfn.XLOOKUP(base_de_datos[[#This Row],[Profesor]],Nombre,Grado)</f>
        <v>#N/A</v>
      </c>
      <c r="AD30" s="156" t="e">
        <f>_xlfn.XLOOKUP(base_de_datos[[#This Row],[Profesor]],Nombre,Tipo)</f>
        <v>#N/A</v>
      </c>
      <c r="AE30" s="155" t="str">
        <f>IF(IFERROR(VLOOKUP($C30,Planes_de_estudio[],MATCH($AE$2,Carreras,0)+2,0),"")&gt;0,IFERROR(VLOOKUP($C30,Planes_de_estudio[],MATCH($AE$2,Carreras,0)+2,0),""),"")</f>
        <v/>
      </c>
      <c r="AF30" s="155" t="str">
        <f>IF(IFERROR(VLOOKUP($C30,Planes_de_estudio[],MATCH($AF$2,Carreras,0)+2,0),"")&gt;0,IFERROR(VLOOKUP($C30,Planes_de_estudio[],MATCH($AF$2,Carreras,0)+2,0),""),"")</f>
        <v/>
      </c>
      <c r="AG30" s="155">
        <f>IF(IFERROR(VLOOKUP($C30,Planes_de_estudio[],MATCH($AG$2,Carreras,0)+2,0),"")&gt;0,IFERROR(VLOOKUP($C30,Planes_de_estudio[],MATCH($AG$2,Carreras,0)+2,0),""),"")</f>
        <v>3</v>
      </c>
      <c r="AH30" s="155" t="str">
        <f>IF(IFERROR(VLOOKUP($C30,Planes_de_estudio[],MATCH($AH$2,Carreras,0)+2,0),"")&gt;0,IFERROR(VLOOKUP($C30,Planes_de_estudio[],MATCH($AH$2,Carreras,0)+2,0),""),"")</f>
        <v/>
      </c>
      <c r="AI30" s="155" t="str">
        <f>IF(IFERROR(VLOOKUP($C30,Planes_de_estudio[],MATCH($AI$2,Carreras,0)+2,0),"")&gt;0,IFERROR(VLOOKUP($C30,Planes_de_estudio[],MATCH($AI$2,Carreras,0)+2,0),""),"")</f>
        <v/>
      </c>
      <c r="AJ30" s="155" t="str">
        <f>IF(IFERROR(VLOOKUP($C30,Planes_de_estudio[],MATCH($AJ$2,Carreras,0)+2,0),"")&gt;0,IFERROR(VLOOKUP($C30,Planes_de_estudio[],MATCH($AJ$2,Carreras,0)+2,0),""),"")</f>
        <v/>
      </c>
      <c r="AK30" s="155" t="str">
        <f>IF(IFERROR(VLOOKUP($C30,Planes_de_estudio[],MATCH($AK$2,Carreras,0)+2,0),"")&gt;0,IFERROR(VLOOKUP($C30,Planes_de_estudio[],MATCH($AK$2,Carreras,0)+2,0),""),"")</f>
        <v/>
      </c>
      <c r="AL30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3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30" s="155">
        <f>base_de_datos[[#This Row],[Pronóstico]]/25</f>
        <v>0.68</v>
      </c>
      <c r="AO30" s="155" t="str">
        <f>VLOOKUP($C30,Planes_de_estudio[],2)</f>
        <v>IID</v>
      </c>
      <c r="AP30" s="157" t="str">
        <f ca="1">IF(AND(base_de_datos[[#This Row],[Industrial]]&lt;&gt;"",base_de_datos[[#This Row],[Misma o no]]=1),base_de_datos[[#This Row],[Índice]],"")</f>
        <v/>
      </c>
      <c r="AQ30" s="157" t="str">
        <f ca="1">IF(AND(base_de_datos[[#This Row],[Mecatrónica]]&lt;&gt;"",base_de_datos[[#This Row],[Misma o no]]=1),base_de_datos[[#This Row],[Índice]],"")</f>
        <v/>
      </c>
      <c r="AR30" s="157" t="str">
        <f ca="1">IF(AND(base_de_datos[[#This Row],[Innovación y Diseño]]&lt;&gt;"",base_de_datos[[#This Row],[Misma o no]]=1),base_de_datos[[#This Row],[Índice]],"")</f>
        <v/>
      </c>
      <c r="AS30" s="157" t="str">
        <f ca="1">IF(AND(base_de_datos[[#This Row],[Inteligencia Artificial]]&lt;&gt;"",base_de_datos[[#This Row],[Misma o no]]=1),base_de_datos[[#This Row],[Índice]],"")</f>
        <v/>
      </c>
      <c r="AT30" s="157" t="str">
        <f ca="1">IF(AND(base_de_datos[[#This Row],[Tecnologías Energéticas]]&lt;&gt;"",base_de_datos[[#This Row],[Misma o no]]=1),base_de_datos[[#This Row],[Índice]],"")</f>
        <v/>
      </c>
      <c r="AU30" s="157" t="str">
        <f ca="1">IF(AND(base_de_datos[[#This Row],[Civil y Administración]]&lt;&gt;"",base_de_datos[[#This Row],[Misma o no]]=1),base_de_datos[[#This Row],[Índice]],"")</f>
        <v/>
      </c>
      <c r="AV30" s="157" t="str">
        <f ca="1">IF(AND(base_de_datos[[#This Row],[Bioelectrónica]]&lt;&gt;"",base_de_datos[[#This Row],[Misma o no]]=1),base_de_datos[[#This Row],[Índice]],"")</f>
        <v/>
      </c>
      <c r="AW30" s="158"/>
      <c r="AX30" s="231">
        <v>1</v>
      </c>
    </row>
    <row r="31" spans="2:50" s="6" customFormat="1" ht="15">
      <c r="B31" s="148" t="s">
        <v>130</v>
      </c>
      <c r="C31" s="149" t="s">
        <v>131</v>
      </c>
      <c r="D31" s="150">
        <v>1</v>
      </c>
      <c r="E31" s="151">
        <v>0.70833333333333304</v>
      </c>
      <c r="F31" s="151">
        <v>0.79166666666665897</v>
      </c>
      <c r="G31" s="150"/>
      <c r="H31" s="150" t="s">
        <v>132</v>
      </c>
      <c r="I31" s="150">
        <f>INDEX(Aulas_capacidad,MATCH(base_de_datos[[#This Row],[Aula]],Aulas,0),2)</f>
        <v>30</v>
      </c>
      <c r="J31" s="152">
        <v>20</v>
      </c>
      <c r="K31" s="150">
        <f>INDEX(Aulas_capacidad,MATCH(base_de_datos[[#This Row],[Aula]],Aulas,0),4)</f>
        <v>12</v>
      </c>
      <c r="L31" s="153">
        <f>base_de_datos[[#This Row],[Cap 1.5]]-base_de_datos[[#This Row],[Inscritos]]</f>
        <v>-8</v>
      </c>
      <c r="M31" s="153">
        <f>INDEX(Aulas_capacidad,MATCH(base_de_datos[[#This Row],[Aula]],Aulas,0),5)</f>
        <v>18</v>
      </c>
      <c r="N31" s="153">
        <f>base_de_datos[[#This Row],[Cap .90]]-base_de_datos[[#This Row],[Inscritos]]</f>
        <v>-2</v>
      </c>
      <c r="O31" s="150">
        <v>1565</v>
      </c>
      <c r="P31" s="154"/>
      <c r="Q31" s="154" t="s">
        <v>67</v>
      </c>
      <c r="R31" s="154"/>
      <c r="S31" s="154"/>
      <c r="T31" s="154"/>
      <c r="U31" s="154"/>
      <c r="V31" s="154"/>
      <c r="W31" s="154" t="s">
        <v>1656</v>
      </c>
      <c r="X31" s="155">
        <f>_xlfn.XLOOKUP(base_de_datos[[#This Row],[Materia]],Materias,Horas)/16</f>
        <v>4</v>
      </c>
      <c r="Y31" s="155">
        <f>ROUND(((base_de_datos[[#This Row],[Hora fin]]-base_de_datos[[#This Row],[Hora inicio]])*24)*(COUNTA(base_de_datos[[#This Row],[Lunes]:[Sábado]])),1)</f>
        <v>2</v>
      </c>
      <c r="Z3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1" s="155">
        <f ca="1">IF(base_de_datos[[#This Row],[No clase]]=OFFSET(base_de_datos[[#This Row],[No clase]],-1,0),0,1)</f>
        <v>1</v>
      </c>
      <c r="AB31" s="155">
        <f ca="1">IF(NOT(OR(base_de_datos[[#This Row],[Horas totales]]=base_de_datos[[#This Row],[HT Plan]],base_de_datos[[#This Row],[Horas totales]]="N/A")),1,0)</f>
        <v>0</v>
      </c>
      <c r="AC31" s="155" t="str">
        <f>_xlfn.XLOOKUP(base_de_datos[[#This Row],[Profesor]],Nombre,Grado)</f>
        <v>M</v>
      </c>
      <c r="AD31" s="156" t="str">
        <f>_xlfn.XLOOKUP(base_de_datos[[#This Row],[Profesor]],Nombre,Tipo)</f>
        <v>A</v>
      </c>
      <c r="AE31" s="155">
        <f>IF(IFERROR(VLOOKUP($C31,Planes_de_estudio[],MATCH($AE$2,Carreras,0)+2,0),"")&gt;0,IFERROR(VLOOKUP($C31,Planes_de_estudio[],MATCH($AE$2,Carreras,0)+2,0),""),"")</f>
        <v>7</v>
      </c>
      <c r="AF31" s="155" t="str">
        <f>IF(IFERROR(VLOOKUP($C31,Planes_de_estudio[],MATCH($AF$2,Carreras,0)+2,0),"")&gt;0,IFERROR(VLOOKUP($C31,Planes_de_estudio[],MATCH($AF$2,Carreras,0)+2,0),""),"")</f>
        <v/>
      </c>
      <c r="AG31" s="155" t="str">
        <f>IF(IFERROR(VLOOKUP($C31,Planes_de_estudio[],MATCH($AG$2,Carreras,0)+2,0),"")&gt;0,IFERROR(VLOOKUP($C31,Planes_de_estudio[],MATCH($AG$2,Carreras,0)+2,0),""),"")</f>
        <v/>
      </c>
      <c r="AH31" s="155" t="str">
        <f>IF(IFERROR(VLOOKUP($C31,Planes_de_estudio[],MATCH($AH$2,Carreras,0)+2,0),"")&gt;0,IFERROR(VLOOKUP($C31,Planes_de_estudio[],MATCH($AH$2,Carreras,0)+2,0),""),"")</f>
        <v/>
      </c>
      <c r="AI31" s="155" t="str">
        <f>IF(IFERROR(VLOOKUP($C31,Planes_de_estudio[],MATCH($AI$2,Carreras,0)+2,0),"")&gt;0,IFERROR(VLOOKUP($C31,Planes_de_estudio[],MATCH($AI$2,Carreras,0)+2,0),""),"")</f>
        <v/>
      </c>
      <c r="AJ31" s="155" t="str">
        <f>IF(IFERROR(VLOOKUP($C31,Planes_de_estudio[],MATCH($AJ$2,Carreras,0)+2,0),"")&gt;0,IFERROR(VLOOKUP($C31,Planes_de_estudio[],MATCH($AJ$2,Carreras,0)+2,0),""),"")</f>
        <v/>
      </c>
      <c r="AK31" s="155" t="str">
        <f>IF(IFERROR(VLOOKUP($C31,Planes_de_estudio[],MATCH($AK$2,Carreras,0)+2,0),"")&gt;0,IFERROR(VLOOKUP($C31,Planes_de_estudio[],MATCH($AK$2,Carreras,0)+2,0),""),"")</f>
        <v/>
      </c>
      <c r="AL3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31" s="155">
        <f>base_de_datos[[#This Row],[Pronóstico]]/25</f>
        <v>0.96</v>
      </c>
      <c r="AO31" s="155" t="str">
        <f>VLOOKUP($C31,Planes_de_estudio[],2)</f>
        <v>DOP</v>
      </c>
      <c r="AP31" s="157">
        <f ca="1">IF(AND(base_de_datos[[#This Row],[Industrial]]&lt;&gt;"",base_de_datos[[#This Row],[Misma o no]]=1),base_de_datos[[#This Row],[Índice]],"")</f>
        <v>4</v>
      </c>
      <c r="AQ31" s="157" t="str">
        <f ca="1">IF(AND(base_de_datos[[#This Row],[Mecatrónica]]&lt;&gt;"",base_de_datos[[#This Row],[Misma o no]]=1),base_de_datos[[#This Row],[Índice]],"")</f>
        <v/>
      </c>
      <c r="AR31" s="157" t="str">
        <f ca="1">IF(AND(base_de_datos[[#This Row],[Innovación y Diseño]]&lt;&gt;"",base_de_datos[[#This Row],[Misma o no]]=1),base_de_datos[[#This Row],[Índice]],"")</f>
        <v/>
      </c>
      <c r="AS31" s="157" t="str">
        <f ca="1">IF(AND(base_de_datos[[#This Row],[Inteligencia Artificial]]&lt;&gt;"",base_de_datos[[#This Row],[Misma o no]]=1),base_de_datos[[#This Row],[Índice]],"")</f>
        <v/>
      </c>
      <c r="AT31" s="157" t="str">
        <f ca="1">IF(AND(base_de_datos[[#This Row],[Tecnologías Energéticas]]&lt;&gt;"",base_de_datos[[#This Row],[Misma o no]]=1),base_de_datos[[#This Row],[Índice]],"")</f>
        <v/>
      </c>
      <c r="AU31" s="157" t="str">
        <f ca="1">IF(AND(base_de_datos[[#This Row],[Civil y Administración]]&lt;&gt;"",base_de_datos[[#This Row],[Misma o no]]=1),base_de_datos[[#This Row],[Índice]],"")</f>
        <v/>
      </c>
      <c r="AV31" s="157" t="str">
        <f ca="1">IF(AND(base_de_datos[[#This Row],[Bioelectrónica]]&lt;&gt;"",base_de_datos[[#This Row],[Misma o no]]=1),base_de_datos[[#This Row],[Índice]],"")</f>
        <v/>
      </c>
      <c r="AW31" s="158"/>
      <c r="AX31" s="231">
        <v>3</v>
      </c>
    </row>
    <row r="32" spans="2:50" s="6" customFormat="1" ht="15">
      <c r="B32" s="148" t="s">
        <v>130</v>
      </c>
      <c r="C32" s="149" t="s">
        <v>131</v>
      </c>
      <c r="D32" s="150">
        <v>1</v>
      </c>
      <c r="E32" s="151">
        <v>0.70833333333333304</v>
      </c>
      <c r="F32" s="151">
        <v>0.79166666666665897</v>
      </c>
      <c r="G32" s="150"/>
      <c r="H32" s="150" t="s">
        <v>127</v>
      </c>
      <c r="I32" s="150">
        <f>INDEX(Aulas_capacidad,MATCH(base_de_datos[[#This Row],[Aula]],Aulas,0),2)</f>
        <v>30</v>
      </c>
      <c r="J32" s="152">
        <v>20</v>
      </c>
      <c r="K32" s="150">
        <f>INDEX(Aulas_capacidad,MATCH(base_de_datos[[#This Row],[Aula]],Aulas,0),4)</f>
        <v>12</v>
      </c>
      <c r="L32" s="153">
        <f>base_de_datos[[#This Row],[Cap 1.5]]-base_de_datos[[#This Row],[Inscritos]]</f>
        <v>-8</v>
      </c>
      <c r="M32" s="153">
        <f>INDEX(Aulas_capacidad,MATCH(base_de_datos[[#This Row],[Aula]],Aulas,0),5)</f>
        <v>18</v>
      </c>
      <c r="N32" s="153">
        <f>base_de_datos[[#This Row],[Cap .90]]-base_de_datos[[#This Row],[Inscritos]]</f>
        <v>-2</v>
      </c>
      <c r="O32" s="150">
        <v>1565</v>
      </c>
      <c r="P32" s="154"/>
      <c r="Q32" s="154"/>
      <c r="R32" s="154"/>
      <c r="S32" s="154" t="s">
        <v>67</v>
      </c>
      <c r="T32" s="154"/>
      <c r="U32" s="154"/>
      <c r="V32" s="154"/>
      <c r="W32" s="154" t="s">
        <v>1656</v>
      </c>
      <c r="X32" s="155">
        <f>_xlfn.XLOOKUP(base_de_datos[[#This Row],[Materia]],Materias,Horas)/16</f>
        <v>4</v>
      </c>
      <c r="Y32" s="155">
        <f>ROUND(((base_de_datos[[#This Row],[Hora fin]]-base_de_datos[[#This Row],[Hora inicio]])*24)*(COUNTA(base_de_datos[[#This Row],[Lunes]:[Sábado]])),1)</f>
        <v>2</v>
      </c>
      <c r="Z3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2" s="155">
        <f ca="1">IF(base_de_datos[[#This Row],[No clase]]=OFFSET(base_de_datos[[#This Row],[No clase]],-1,0),0,1)</f>
        <v>0</v>
      </c>
      <c r="AB32" s="155">
        <f ca="1">IF(NOT(OR(base_de_datos[[#This Row],[Horas totales]]=base_de_datos[[#This Row],[HT Plan]],base_de_datos[[#This Row],[Horas totales]]="N/A")),1,0)</f>
        <v>0</v>
      </c>
      <c r="AC32" s="155" t="str">
        <f>_xlfn.XLOOKUP(base_de_datos[[#This Row],[Profesor]],Nombre,Grado)</f>
        <v>M</v>
      </c>
      <c r="AD32" s="156" t="str">
        <f>_xlfn.XLOOKUP(base_de_datos[[#This Row],[Profesor]],Nombre,Tipo)</f>
        <v>A</v>
      </c>
      <c r="AE32" s="155">
        <f>IF(IFERROR(VLOOKUP($C32,Planes_de_estudio[],MATCH($AE$2,Carreras,0)+2,0),"")&gt;0,IFERROR(VLOOKUP($C32,Planes_de_estudio[],MATCH($AE$2,Carreras,0)+2,0),""),"")</f>
        <v>7</v>
      </c>
      <c r="AF32" s="155" t="str">
        <f>IF(IFERROR(VLOOKUP($C32,Planes_de_estudio[],MATCH($AF$2,Carreras,0)+2,0),"")&gt;0,IFERROR(VLOOKUP($C32,Planes_de_estudio[],MATCH($AF$2,Carreras,0)+2,0),""),"")</f>
        <v/>
      </c>
      <c r="AG32" s="155" t="str">
        <f>IF(IFERROR(VLOOKUP($C32,Planes_de_estudio[],MATCH($AG$2,Carreras,0)+2,0),"")&gt;0,IFERROR(VLOOKUP($C32,Planes_de_estudio[],MATCH($AG$2,Carreras,0)+2,0),""),"")</f>
        <v/>
      </c>
      <c r="AH32" s="155" t="str">
        <f>IF(IFERROR(VLOOKUP($C32,Planes_de_estudio[],MATCH($AH$2,Carreras,0)+2,0),"")&gt;0,IFERROR(VLOOKUP($C32,Planes_de_estudio[],MATCH($AH$2,Carreras,0)+2,0),""),"")</f>
        <v/>
      </c>
      <c r="AI32" s="155" t="str">
        <f>IF(IFERROR(VLOOKUP($C32,Planes_de_estudio[],MATCH($AI$2,Carreras,0)+2,0),"")&gt;0,IFERROR(VLOOKUP($C32,Planes_de_estudio[],MATCH($AI$2,Carreras,0)+2,0),""),"")</f>
        <v/>
      </c>
      <c r="AJ32" s="155" t="str">
        <f>IF(IFERROR(VLOOKUP($C32,Planes_de_estudio[],MATCH($AJ$2,Carreras,0)+2,0),"")&gt;0,IFERROR(VLOOKUP($C32,Planes_de_estudio[],MATCH($AJ$2,Carreras,0)+2,0),""),"")</f>
        <v/>
      </c>
      <c r="AK32" s="155" t="str">
        <f>IF(IFERROR(VLOOKUP($C32,Planes_de_estudio[],MATCH($AK$2,Carreras,0)+2,0),"")&gt;0,IFERROR(VLOOKUP($C32,Planes_de_estudio[],MATCH($AK$2,Carreras,0)+2,0),""),"")</f>
        <v/>
      </c>
      <c r="AL3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32" s="155">
        <f>base_de_datos[[#This Row],[Pronóstico]]/25</f>
        <v>0.96</v>
      </c>
      <c r="AO32" s="155" t="str">
        <f>VLOOKUP($C32,Planes_de_estudio[],2)</f>
        <v>DOP</v>
      </c>
      <c r="AP32" s="157" t="str">
        <f ca="1">IF(AND(base_de_datos[[#This Row],[Industrial]]&lt;&gt;"",base_de_datos[[#This Row],[Misma o no]]=1),base_de_datos[[#This Row],[Índice]],"")</f>
        <v/>
      </c>
      <c r="AQ32" s="157" t="str">
        <f ca="1">IF(AND(base_de_datos[[#This Row],[Mecatrónica]]&lt;&gt;"",base_de_datos[[#This Row],[Misma o no]]=1),base_de_datos[[#This Row],[Índice]],"")</f>
        <v/>
      </c>
      <c r="AR32" s="157" t="str">
        <f ca="1">IF(AND(base_de_datos[[#This Row],[Innovación y Diseño]]&lt;&gt;"",base_de_datos[[#This Row],[Misma o no]]=1),base_de_datos[[#This Row],[Índice]],"")</f>
        <v/>
      </c>
      <c r="AS32" s="157" t="str">
        <f ca="1">IF(AND(base_de_datos[[#This Row],[Inteligencia Artificial]]&lt;&gt;"",base_de_datos[[#This Row],[Misma o no]]=1),base_de_datos[[#This Row],[Índice]],"")</f>
        <v/>
      </c>
      <c r="AT32" s="157" t="str">
        <f ca="1">IF(AND(base_de_datos[[#This Row],[Tecnologías Energéticas]]&lt;&gt;"",base_de_datos[[#This Row],[Misma o no]]=1),base_de_datos[[#This Row],[Índice]],"")</f>
        <v/>
      </c>
      <c r="AU32" s="157" t="str">
        <f ca="1">IF(AND(base_de_datos[[#This Row],[Civil y Administración]]&lt;&gt;"",base_de_datos[[#This Row],[Misma o no]]=1),base_de_datos[[#This Row],[Índice]],"")</f>
        <v/>
      </c>
      <c r="AV32" s="157" t="str">
        <f ca="1">IF(AND(base_de_datos[[#This Row],[Bioelectrónica]]&lt;&gt;"",base_de_datos[[#This Row],[Misma o no]]=1),base_de_datos[[#This Row],[Índice]],"")</f>
        <v/>
      </c>
      <c r="AW32" s="158"/>
      <c r="AX32" s="231">
        <v>3</v>
      </c>
    </row>
    <row r="33" spans="2:50" s="6" customFormat="1" ht="15">
      <c r="B33" s="148" t="s">
        <v>130</v>
      </c>
      <c r="C33" s="149" t="s">
        <v>133</v>
      </c>
      <c r="D33" s="150">
        <v>1</v>
      </c>
      <c r="E33" s="151">
        <v>0.70833333333333304</v>
      </c>
      <c r="F33" s="151">
        <v>0.83333333333332504</v>
      </c>
      <c r="G33" s="150"/>
      <c r="H33" s="215" t="s">
        <v>66</v>
      </c>
      <c r="I33" s="150">
        <f>INDEX(Aulas_capacidad,MATCH(base_de_datos[[#This Row],[Aula]],Aulas,0),2)</f>
        <v>0</v>
      </c>
      <c r="J33" s="152">
        <v>22</v>
      </c>
      <c r="K33" s="150">
        <f>INDEX(Aulas_capacidad,MATCH(base_de_datos[[#This Row],[Aula]],Aulas,0),4)</f>
        <v>0</v>
      </c>
      <c r="L33" s="153">
        <f>base_de_datos[[#This Row],[Cap 1.5]]-base_de_datos[[#This Row],[Inscritos]]</f>
        <v>-22</v>
      </c>
      <c r="M33" s="153">
        <f>INDEX(Aulas_capacidad,MATCH(base_de_datos[[#This Row],[Aula]],Aulas,0),5)</f>
        <v>0</v>
      </c>
      <c r="N33" s="153">
        <f>base_de_datos[[#This Row],[Cap .90]]-base_de_datos[[#This Row],[Inscritos]]</f>
        <v>-22</v>
      </c>
      <c r="O33" s="150" t="s">
        <v>134</v>
      </c>
      <c r="P33" s="154"/>
      <c r="Q33" s="154"/>
      <c r="R33" s="154"/>
      <c r="S33" s="154"/>
      <c r="T33" s="154" t="s">
        <v>67</v>
      </c>
      <c r="U33" s="154"/>
      <c r="V33" s="154"/>
      <c r="W33" s="154" t="s">
        <v>1651</v>
      </c>
      <c r="X33" s="155">
        <f>_xlfn.XLOOKUP(base_de_datos[[#This Row],[Materia]],Materias,Horas)/16</f>
        <v>3</v>
      </c>
      <c r="Y33" s="155">
        <f>ROUND(((base_de_datos[[#This Row],[Hora fin]]-base_de_datos[[#This Row],[Hora inicio]])*24)*(COUNTA(base_de_datos[[#This Row],[Lunes]:[Sábado]])),1)</f>
        <v>3</v>
      </c>
      <c r="Z3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3" s="155">
        <f ca="1">IF(base_de_datos[[#This Row],[No clase]]=OFFSET(base_de_datos[[#This Row],[No clase]],-1,0),0,1)</f>
        <v>1</v>
      </c>
      <c r="AB33" s="155">
        <f ca="1">IF(NOT(OR(base_de_datos[[#This Row],[Horas totales]]=base_de_datos[[#This Row],[HT Plan]],base_de_datos[[#This Row],[Horas totales]]="N/A")),1,0)</f>
        <v>0</v>
      </c>
      <c r="AC33" s="155" t="str">
        <f>_xlfn.XLOOKUP(base_de_datos[[#This Row],[Profesor]],Nombre,Grado)</f>
        <v>M</v>
      </c>
      <c r="AD33" s="156" t="str">
        <f>_xlfn.XLOOKUP(base_de_datos[[#This Row],[Profesor]],Nombre,Tipo)</f>
        <v>A</v>
      </c>
      <c r="AE33" s="155">
        <f>IF(IFERROR(VLOOKUP($C33,Planes_de_estudio[],MATCH($AE$2,Carreras,0)+2,0),"")&gt;0,IFERROR(VLOOKUP($C33,Planes_de_estudio[],MATCH($AE$2,Carreras,0)+2,0),""),"")</f>
        <v>7</v>
      </c>
      <c r="AF33" s="155" t="str">
        <f>IF(IFERROR(VLOOKUP($C33,Planes_de_estudio[],MATCH($AF$2,Carreras,0)+2,0),"")&gt;0,IFERROR(VLOOKUP($C33,Planes_de_estudio[],MATCH($AF$2,Carreras,0)+2,0),""),"")</f>
        <v/>
      </c>
      <c r="AG33" s="155">
        <f>IF(IFERROR(VLOOKUP($C33,Planes_de_estudio[],MATCH($AG$2,Carreras,0)+2,0),"")&gt;0,IFERROR(VLOOKUP($C33,Planes_de_estudio[],MATCH($AG$2,Carreras,0)+2,0),""),"")</f>
        <v>7</v>
      </c>
      <c r="AH33" s="155">
        <f>IF(IFERROR(VLOOKUP($C33,Planes_de_estudio[],MATCH($AH$2,Carreras,0)+2,0),"")&gt;0,IFERROR(VLOOKUP($C33,Planes_de_estudio[],MATCH($AH$2,Carreras,0)+2,0),""),"")</f>
        <v>8</v>
      </c>
      <c r="AI33" s="155" t="str">
        <f>IF(IFERROR(VLOOKUP($C33,Planes_de_estudio[],MATCH($AI$2,Carreras,0)+2,0),"")&gt;0,IFERROR(VLOOKUP($C33,Planes_de_estudio[],MATCH($AI$2,Carreras,0)+2,0),""),"")</f>
        <v/>
      </c>
      <c r="AJ33" s="155" t="str">
        <f>IF(IFERROR(VLOOKUP($C33,Planes_de_estudio[],MATCH($AJ$2,Carreras,0)+2,0),"")&gt;0,IFERROR(VLOOKUP($C33,Planes_de_estudio[],MATCH($AJ$2,Carreras,0)+2,0),""),"")</f>
        <v/>
      </c>
      <c r="AK33" s="155" t="str">
        <f>IF(IFERROR(VLOOKUP($C33,Planes_de_estudio[],MATCH($AK$2,Carreras,0)+2,0),"")&gt;0,IFERROR(VLOOKUP($C33,Planes_de_estudio[],MATCH($AK$2,Carreras,0)+2,0),""),"")</f>
        <v/>
      </c>
      <c r="AL3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44</v>
      </c>
      <c r="AN33" s="155">
        <f>base_de_datos[[#This Row],[Pronóstico]]/25</f>
        <v>1.76</v>
      </c>
      <c r="AO33" s="155" t="str">
        <f>VLOOKUP($C33,Planes_de_estudio[],2)</f>
        <v>EMP</v>
      </c>
      <c r="AP33" s="157">
        <f ca="1">IF(AND(base_de_datos[[#This Row],[Industrial]]&lt;&gt;"",base_de_datos[[#This Row],[Misma o no]]=1),base_de_datos[[#This Row],[Índice]],"")</f>
        <v>4</v>
      </c>
      <c r="AQ33" s="157" t="str">
        <f ca="1">IF(AND(base_de_datos[[#This Row],[Mecatrónica]]&lt;&gt;"",base_de_datos[[#This Row],[Misma o no]]=1),base_de_datos[[#This Row],[Índice]],"")</f>
        <v/>
      </c>
      <c r="AR33" s="157">
        <f ca="1">IF(AND(base_de_datos[[#This Row],[Innovación y Diseño]]&lt;&gt;"",base_de_datos[[#This Row],[Misma o no]]=1),base_de_datos[[#This Row],[Índice]],"")</f>
        <v>4</v>
      </c>
      <c r="AS33" s="157">
        <f ca="1">IF(AND(base_de_datos[[#This Row],[Inteligencia Artificial]]&lt;&gt;"",base_de_datos[[#This Row],[Misma o no]]=1),base_de_datos[[#This Row],[Índice]],"")</f>
        <v>4</v>
      </c>
      <c r="AT33" s="157" t="str">
        <f ca="1">IF(AND(base_de_datos[[#This Row],[Tecnologías Energéticas]]&lt;&gt;"",base_de_datos[[#This Row],[Misma o no]]=1),base_de_datos[[#This Row],[Índice]],"")</f>
        <v/>
      </c>
      <c r="AU33" s="157" t="str">
        <f ca="1">IF(AND(base_de_datos[[#This Row],[Civil y Administración]]&lt;&gt;"",base_de_datos[[#This Row],[Misma o no]]=1),base_de_datos[[#This Row],[Índice]],"")</f>
        <v/>
      </c>
      <c r="AV33" s="157" t="str">
        <f ca="1">IF(AND(base_de_datos[[#This Row],[Bioelectrónica]]&lt;&gt;"",base_de_datos[[#This Row],[Misma o no]]=1),base_de_datos[[#This Row],[Índice]],"")</f>
        <v/>
      </c>
      <c r="AW33" s="161" t="s">
        <v>135</v>
      </c>
      <c r="AX33" s="231">
        <v>3</v>
      </c>
    </row>
    <row r="34" spans="2:50" s="6" customFormat="1" ht="14.25" customHeight="1">
      <c r="B34" s="148" t="s">
        <v>130</v>
      </c>
      <c r="C34" s="149" t="s">
        <v>136</v>
      </c>
      <c r="D34" s="150">
        <v>1</v>
      </c>
      <c r="E34" s="151">
        <v>0.625</v>
      </c>
      <c r="F34" s="151">
        <v>0.70833333333332704</v>
      </c>
      <c r="G34" s="150"/>
      <c r="H34" s="150" t="s">
        <v>114</v>
      </c>
      <c r="I34" s="150">
        <f>INDEX(Aulas_capacidad,MATCH(base_de_datos[[#This Row],[Aula]],Aulas,0),2)</f>
        <v>36</v>
      </c>
      <c r="J34" s="152">
        <v>15</v>
      </c>
      <c r="K34" s="150">
        <f>INDEX(Aulas_capacidad,MATCH(base_de_datos[[#This Row],[Aula]],Aulas,0),4)</f>
        <v>18</v>
      </c>
      <c r="L34" s="153">
        <f>base_de_datos[[#This Row],[Cap 1.5]]-base_de_datos[[#This Row],[Inscritos]]</f>
        <v>3</v>
      </c>
      <c r="M34" s="153">
        <f>INDEX(Aulas_capacidad,MATCH(base_de_datos[[#This Row],[Aula]],Aulas,0),5)</f>
        <v>18</v>
      </c>
      <c r="N34" s="153">
        <f>base_de_datos[[#This Row],[Cap .90]]-base_de_datos[[#This Row],[Inscritos]]</f>
        <v>3</v>
      </c>
      <c r="O34" s="150">
        <v>1627</v>
      </c>
      <c r="P34" s="154"/>
      <c r="Q34" s="154" t="s">
        <v>67</v>
      </c>
      <c r="R34" s="154"/>
      <c r="S34" s="154" t="s">
        <v>67</v>
      </c>
      <c r="T34" s="154"/>
      <c r="U34" s="154"/>
      <c r="V34" s="154"/>
      <c r="W34" s="154" t="s">
        <v>1650</v>
      </c>
      <c r="X34" s="155">
        <f>_xlfn.XLOOKUP(base_de_datos[[#This Row],[Materia]],Materias,Horas)/16</f>
        <v>4</v>
      </c>
      <c r="Y34" s="155">
        <f>ROUND(((base_de_datos[[#This Row],[Hora fin]]-base_de_datos[[#This Row],[Hora inicio]])*24)*(COUNTA(base_de_datos[[#This Row],[Lunes]:[Sábado]])),1)</f>
        <v>4</v>
      </c>
      <c r="Z3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4" s="155">
        <f ca="1">IF(base_de_datos[[#This Row],[No clase]]=OFFSET(base_de_datos[[#This Row],[No clase]],-1,0),0,1)</f>
        <v>1</v>
      </c>
      <c r="AB34" s="155">
        <f ca="1">IF(NOT(OR(base_de_datos[[#This Row],[Horas totales]]=base_de_datos[[#This Row],[HT Plan]],base_de_datos[[#This Row],[Horas totales]]="N/A")),1,0)</f>
        <v>0</v>
      </c>
      <c r="AC34" s="155" t="str">
        <f>_xlfn.XLOOKUP(base_de_datos[[#This Row],[Profesor]],Nombre,Grado)</f>
        <v>M</v>
      </c>
      <c r="AD34" s="156" t="str">
        <f>_xlfn.XLOOKUP(base_de_datos[[#This Row],[Profesor]],Nombre,Tipo)</f>
        <v>A</v>
      </c>
      <c r="AE34" s="155" t="str">
        <f>IF(IFERROR(VLOOKUP($C34,Planes_de_estudio[],MATCH($AE$2,Carreras,0)+2,0),"")&gt;0,IFERROR(VLOOKUP($C34,Planes_de_estudio[],MATCH($AE$2,Carreras,0)+2,0),""),"")</f>
        <v/>
      </c>
      <c r="AF34" s="155" t="str">
        <f>IF(IFERROR(VLOOKUP($C34,Planes_de_estudio[],MATCH($AF$2,Carreras,0)+2,0),"")&gt;0,IFERROR(VLOOKUP($C34,Planes_de_estudio[],MATCH($AF$2,Carreras,0)+2,0),""),"")</f>
        <v/>
      </c>
      <c r="AG34" s="155">
        <f>IF(IFERROR(VLOOKUP($C34,Planes_de_estudio[],MATCH($AG$2,Carreras,0)+2,0),"")&gt;0,IFERROR(VLOOKUP($C34,Planes_de_estudio[],MATCH($AG$2,Carreras,0)+2,0),""),"")</f>
        <v>5</v>
      </c>
      <c r="AH34" s="155" t="str">
        <f>IF(IFERROR(VLOOKUP($C34,Planes_de_estudio[],MATCH($AH$2,Carreras,0)+2,0),"")&gt;0,IFERROR(VLOOKUP($C34,Planes_de_estudio[],MATCH($AH$2,Carreras,0)+2,0),""),"")</f>
        <v/>
      </c>
      <c r="AI34" s="155" t="str">
        <f>IF(IFERROR(VLOOKUP($C34,Planes_de_estudio[],MATCH($AI$2,Carreras,0)+2,0),"")&gt;0,IFERROR(VLOOKUP($C34,Planes_de_estudio[],MATCH($AI$2,Carreras,0)+2,0),""),"")</f>
        <v/>
      </c>
      <c r="AJ34" s="155" t="str">
        <f>IF(IFERROR(VLOOKUP($C34,Planes_de_estudio[],MATCH($AJ$2,Carreras,0)+2,0),"")&gt;0,IFERROR(VLOOKUP($C34,Planes_de_estudio[],MATCH($AJ$2,Carreras,0)+2,0),""),"")</f>
        <v/>
      </c>
      <c r="AK34" s="155" t="str">
        <f>IF(IFERROR(VLOOKUP($C34,Planes_de_estudio[],MATCH($AK$2,Carreras,0)+2,0),"")&gt;0,IFERROR(VLOOKUP($C34,Planes_de_estudio[],MATCH($AK$2,Carreras,0)+2,0),""),"")</f>
        <v/>
      </c>
      <c r="AL3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34" s="155">
        <f>base_de_datos[[#This Row],[Pronóstico]]/25</f>
        <v>0.6</v>
      </c>
      <c r="AO34" s="155" t="str">
        <f>VLOOKUP($C34,Planes_de_estudio[],2)</f>
        <v>IID</v>
      </c>
      <c r="AP34" s="157" t="str">
        <f ca="1">IF(AND(base_de_datos[[#This Row],[Industrial]]&lt;&gt;"",base_de_datos[[#This Row],[Misma o no]]=1),base_de_datos[[#This Row],[Índice]],"")</f>
        <v/>
      </c>
      <c r="AQ34" s="157" t="str">
        <f ca="1">IF(AND(base_de_datos[[#This Row],[Mecatrónica]]&lt;&gt;"",base_de_datos[[#This Row],[Misma o no]]=1),base_de_datos[[#This Row],[Índice]],"")</f>
        <v/>
      </c>
      <c r="AR34" s="157">
        <f ca="1">IF(AND(base_de_datos[[#This Row],[Innovación y Diseño]]&lt;&gt;"",base_de_datos[[#This Row],[Misma o no]]=1),base_de_datos[[#This Row],[Índice]],"")</f>
        <v>4</v>
      </c>
      <c r="AS34" s="157" t="str">
        <f ca="1">IF(AND(base_de_datos[[#This Row],[Inteligencia Artificial]]&lt;&gt;"",base_de_datos[[#This Row],[Misma o no]]=1),base_de_datos[[#This Row],[Índice]],"")</f>
        <v/>
      </c>
      <c r="AT34" s="157" t="str">
        <f ca="1">IF(AND(base_de_datos[[#This Row],[Tecnologías Energéticas]]&lt;&gt;"",base_de_datos[[#This Row],[Misma o no]]=1),base_de_datos[[#This Row],[Índice]],"")</f>
        <v/>
      </c>
      <c r="AU34" s="157" t="str">
        <f ca="1">IF(AND(base_de_datos[[#This Row],[Civil y Administración]]&lt;&gt;"",base_de_datos[[#This Row],[Misma o no]]=1),base_de_datos[[#This Row],[Índice]],"")</f>
        <v/>
      </c>
      <c r="AV34" s="157" t="str">
        <f ca="1">IF(AND(base_de_datos[[#This Row],[Bioelectrónica]]&lt;&gt;"",base_de_datos[[#This Row],[Misma o no]]=1),base_de_datos[[#This Row],[Índice]],"")</f>
        <v/>
      </c>
      <c r="AW34" s="158"/>
      <c r="AX34" s="231">
        <v>1</v>
      </c>
    </row>
    <row r="35" spans="2:50" s="6" customFormat="1" ht="14.25" customHeight="1">
      <c r="B35" s="148" t="s">
        <v>137</v>
      </c>
      <c r="C35" s="149" t="s">
        <v>138</v>
      </c>
      <c r="D35" s="150">
        <v>2</v>
      </c>
      <c r="E35" s="151">
        <v>0.39583333333333398</v>
      </c>
      <c r="F35" s="151">
        <v>0.45833333333333098</v>
      </c>
      <c r="G35" s="150"/>
      <c r="H35" s="150" t="s">
        <v>86</v>
      </c>
      <c r="I35" s="150">
        <f>INDEX(Aulas_capacidad,MATCH(base_de_datos[[#This Row],[Aula]],Aulas,0),2)</f>
        <v>40</v>
      </c>
      <c r="J35" s="152"/>
      <c r="K35" s="150">
        <f>INDEX(Aulas_capacidad,MATCH(base_de_datos[[#This Row],[Aula]],Aulas,0),4)</f>
        <v>10</v>
      </c>
      <c r="L35" s="153">
        <f>base_de_datos[[#This Row],[Cap 1.5]]-base_de_datos[[#This Row],[Inscritos]]</f>
        <v>10</v>
      </c>
      <c r="M35" s="153">
        <f>INDEX(Aulas_capacidad,MATCH(base_de_datos[[#This Row],[Aula]],Aulas,0),5)</f>
        <v>25</v>
      </c>
      <c r="N35" s="153">
        <f>base_de_datos[[#This Row],[Cap .90]]-base_de_datos[[#This Row],[Inscritos]]</f>
        <v>25</v>
      </c>
      <c r="O35" s="150" t="s">
        <v>139</v>
      </c>
      <c r="P35" s="154"/>
      <c r="Q35" s="154"/>
      <c r="R35" s="154" t="s">
        <v>67</v>
      </c>
      <c r="S35" s="154"/>
      <c r="T35" s="154"/>
      <c r="U35" s="154"/>
      <c r="V35" s="154"/>
      <c r="W35" s="154" t="s">
        <v>1654</v>
      </c>
      <c r="X35" s="155">
        <f>_xlfn.XLOOKUP(base_de_datos[[#This Row],[Materia]],Materias,Horas)/16</f>
        <v>3</v>
      </c>
      <c r="Y35" s="155">
        <f>ROUND(((base_de_datos[[#This Row],[Hora fin]]-base_de_datos[[#This Row],[Hora inicio]])*24)*(COUNTA(base_de_datos[[#This Row],[Lunes]:[Sábado]])),1)</f>
        <v>1.5</v>
      </c>
      <c r="Z3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5" s="155">
        <f ca="1">IF(base_de_datos[[#This Row],[No clase]]=OFFSET(base_de_datos[[#This Row],[No clase]],-1,0),0,1)</f>
        <v>1</v>
      </c>
      <c r="AB35" s="155">
        <f ca="1">IF(NOT(OR(base_de_datos[[#This Row],[Horas totales]]=base_de_datos[[#This Row],[HT Plan]],base_de_datos[[#This Row],[Horas totales]]="N/A")),1,0)</f>
        <v>0</v>
      </c>
      <c r="AC35" s="155" t="str">
        <f>_xlfn.XLOOKUP(base_de_datos[[#This Row],[Profesor]],Nombre,Grado)</f>
        <v>D</v>
      </c>
      <c r="AD35" s="156" t="str">
        <f>_xlfn.XLOOKUP(base_de_datos[[#This Row],[Profesor]],Nombre,Tipo)</f>
        <v>H</v>
      </c>
      <c r="AE35" s="155">
        <f>IF(IFERROR(VLOOKUP($C35,Planes_de_estudio[],MATCH($AE$2,Carreras,0)+2,0),"")&gt;0,IFERROR(VLOOKUP($C35,Planes_de_estudio[],MATCH($AE$2,Carreras,0)+2,0),""),"")</f>
        <v>1</v>
      </c>
      <c r="AF35" s="155">
        <f>IF(IFERROR(VLOOKUP($C35,Planes_de_estudio[],MATCH($AF$2,Carreras,0)+2,0),"")&gt;0,IFERROR(VLOOKUP($C35,Planes_de_estudio[],MATCH($AF$2,Carreras,0)+2,0),""),"")</f>
        <v>1</v>
      </c>
      <c r="AG35" s="155">
        <f>IF(IFERROR(VLOOKUP($C35,Planes_de_estudio[],MATCH($AG$2,Carreras,0)+2,0),"")&gt;0,IFERROR(VLOOKUP($C35,Planes_de_estudio[],MATCH($AG$2,Carreras,0)+2,0),""),"")</f>
        <v>1</v>
      </c>
      <c r="AH35" s="155">
        <f>IF(IFERROR(VLOOKUP($C35,Planes_de_estudio[],MATCH($AH$2,Carreras,0)+2,0),"")&gt;0,IFERROR(VLOOKUP($C35,Planes_de_estudio[],MATCH($AH$2,Carreras,0)+2,0),""),"")</f>
        <v>1</v>
      </c>
      <c r="AI35" s="155">
        <f>IF(IFERROR(VLOOKUP($C35,Planes_de_estudio[],MATCH($AI$2,Carreras,0)+2,0),"")&gt;0,IFERROR(VLOOKUP($C35,Planes_de_estudio[],MATCH($AI$2,Carreras,0)+2,0),""),"")</f>
        <v>1</v>
      </c>
      <c r="AJ35" s="155">
        <f>IF(IFERROR(VLOOKUP($C35,Planes_de_estudio[],MATCH($AJ$2,Carreras,0)+2,0),"")&gt;0,IFERROR(VLOOKUP($C35,Planes_de_estudio[],MATCH($AJ$2,Carreras,0)+2,0),""),"")</f>
        <v>1</v>
      </c>
      <c r="AK35" s="155">
        <f>IF(IFERROR(VLOOKUP($C35,Planes_de_estudio[],MATCH($AK$2,Carreras,0)+2,0),"")&gt;0,IFERROR(VLOOKUP($C35,Planes_de_estudio[],MATCH($AK$2,Carreras,0)+2,0),""),"")</f>
        <v>1</v>
      </c>
      <c r="AL3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35" s="155">
        <f>base_de_datos[[#This Row],[Pronóstico]]/25</f>
        <v>4.3600000000000003</v>
      </c>
      <c r="AO35" s="155" t="str">
        <f>VLOOKUP($C35,Planes_de_estudio[],2)</f>
        <v>HUM</v>
      </c>
      <c r="AP35" s="157">
        <f ca="1">IF(AND(base_de_datos[[#This Row],[Industrial]]&lt;&gt;"",base_de_datos[[#This Row],[Misma o no]]=1),base_de_datos[[#This Row],[Índice]],"")</f>
        <v>6</v>
      </c>
      <c r="AQ35" s="157">
        <f ca="1">IF(AND(base_de_datos[[#This Row],[Mecatrónica]]&lt;&gt;"",base_de_datos[[#This Row],[Misma o no]]=1),base_de_datos[[#This Row],[Índice]],"")</f>
        <v>6</v>
      </c>
      <c r="AR35" s="157">
        <f ca="1">IF(AND(base_de_datos[[#This Row],[Innovación y Diseño]]&lt;&gt;"",base_de_datos[[#This Row],[Misma o no]]=1),base_de_datos[[#This Row],[Índice]],"")</f>
        <v>6</v>
      </c>
      <c r="AS35" s="157">
        <f ca="1">IF(AND(base_de_datos[[#This Row],[Inteligencia Artificial]]&lt;&gt;"",base_de_datos[[#This Row],[Misma o no]]=1),base_de_datos[[#This Row],[Índice]],"")</f>
        <v>6</v>
      </c>
      <c r="AT35" s="157">
        <f ca="1">IF(AND(base_de_datos[[#This Row],[Tecnologías Energéticas]]&lt;&gt;"",base_de_datos[[#This Row],[Misma o no]]=1),base_de_datos[[#This Row],[Índice]],"")</f>
        <v>6</v>
      </c>
      <c r="AU35" s="157">
        <f ca="1">IF(AND(base_de_datos[[#This Row],[Civil y Administración]]&lt;&gt;"",base_de_datos[[#This Row],[Misma o no]]=1),base_de_datos[[#This Row],[Índice]],"")</f>
        <v>6</v>
      </c>
      <c r="AV35" s="157">
        <f ca="1">IF(AND(base_de_datos[[#This Row],[Bioelectrónica]]&lt;&gt;"",base_de_datos[[#This Row],[Misma o no]]=1),base_de_datos[[#This Row],[Índice]],"")</f>
        <v>6</v>
      </c>
      <c r="AW35" s="158"/>
      <c r="AX35" s="231">
        <v>2</v>
      </c>
    </row>
    <row r="36" spans="2:50" s="6" customFormat="1" ht="14.25" customHeight="1">
      <c r="B36" s="148" t="s">
        <v>137</v>
      </c>
      <c r="C36" s="149" t="s">
        <v>138</v>
      </c>
      <c r="D36" s="150">
        <v>2</v>
      </c>
      <c r="E36" s="151">
        <v>0.39583333333333398</v>
      </c>
      <c r="F36" s="151">
        <v>0.45833333333333098</v>
      </c>
      <c r="G36" s="150"/>
      <c r="H36" s="150" t="s">
        <v>140</v>
      </c>
      <c r="I36" s="150">
        <f>INDEX(Aulas_capacidad,MATCH(base_de_datos[[#This Row],[Aula]],Aulas,0),2)</f>
        <v>40</v>
      </c>
      <c r="J36" s="152"/>
      <c r="K36" s="150">
        <f>INDEX(Aulas_capacidad,MATCH(base_de_datos[[#This Row],[Aula]],Aulas,0),4)</f>
        <v>15</v>
      </c>
      <c r="L36" s="153">
        <f>base_de_datos[[#This Row],[Cap 1.5]]-base_de_datos[[#This Row],[Inscritos]]</f>
        <v>15</v>
      </c>
      <c r="M36" s="153">
        <f>INDEX(Aulas_capacidad,MATCH(base_de_datos[[#This Row],[Aula]],Aulas,0),5)</f>
        <v>25</v>
      </c>
      <c r="N36" s="153">
        <f>base_de_datos[[#This Row],[Cap .90]]-base_de_datos[[#This Row],[Inscritos]]</f>
        <v>25</v>
      </c>
      <c r="O36" s="150" t="s">
        <v>139</v>
      </c>
      <c r="P36" s="154"/>
      <c r="Q36" s="154"/>
      <c r="R36" s="154"/>
      <c r="S36" s="154"/>
      <c r="T36" s="154" t="s">
        <v>67</v>
      </c>
      <c r="U36" s="154"/>
      <c r="V36" s="154"/>
      <c r="W36" s="154" t="s">
        <v>1654</v>
      </c>
      <c r="X36" s="155">
        <f>_xlfn.XLOOKUP(base_de_datos[[#This Row],[Materia]],Materias,Horas)/16</f>
        <v>3</v>
      </c>
      <c r="Y36" s="155">
        <f>ROUND(((base_de_datos[[#This Row],[Hora fin]]-base_de_datos[[#This Row],[Hora inicio]])*24)*(COUNTA(base_de_datos[[#This Row],[Lunes]:[Sábado]])),1)</f>
        <v>1.5</v>
      </c>
      <c r="Z3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6" s="155">
        <f ca="1">IF(base_de_datos[[#This Row],[No clase]]=OFFSET(base_de_datos[[#This Row],[No clase]],-1,0),0,1)</f>
        <v>0</v>
      </c>
      <c r="AB36" s="155">
        <f ca="1">IF(NOT(OR(base_de_datos[[#This Row],[Horas totales]]=base_de_datos[[#This Row],[HT Plan]],base_de_datos[[#This Row],[Horas totales]]="N/A")),1,0)</f>
        <v>0</v>
      </c>
      <c r="AC36" s="155" t="str">
        <f>_xlfn.XLOOKUP(base_de_datos[[#This Row],[Profesor]],Nombre,Grado)</f>
        <v>D</v>
      </c>
      <c r="AD36" s="156" t="str">
        <f>_xlfn.XLOOKUP(base_de_datos[[#This Row],[Profesor]],Nombre,Tipo)</f>
        <v>H</v>
      </c>
      <c r="AE36" s="155">
        <f>IF(IFERROR(VLOOKUP($C36,Planes_de_estudio[],MATCH($AE$2,Carreras,0)+2,0),"")&gt;0,IFERROR(VLOOKUP($C36,Planes_de_estudio[],MATCH($AE$2,Carreras,0)+2,0),""),"")</f>
        <v>1</v>
      </c>
      <c r="AF36" s="155">
        <f>IF(IFERROR(VLOOKUP($C36,Planes_de_estudio[],MATCH($AF$2,Carreras,0)+2,0),"")&gt;0,IFERROR(VLOOKUP($C36,Planes_de_estudio[],MATCH($AF$2,Carreras,0)+2,0),""),"")</f>
        <v>1</v>
      </c>
      <c r="AG36" s="155">
        <f>IF(IFERROR(VLOOKUP($C36,Planes_de_estudio[],MATCH($AG$2,Carreras,0)+2,0),"")&gt;0,IFERROR(VLOOKUP($C36,Planes_de_estudio[],MATCH($AG$2,Carreras,0)+2,0),""),"")</f>
        <v>1</v>
      </c>
      <c r="AH36" s="155">
        <f>IF(IFERROR(VLOOKUP($C36,Planes_de_estudio[],MATCH($AH$2,Carreras,0)+2,0),"")&gt;0,IFERROR(VLOOKUP($C36,Planes_de_estudio[],MATCH($AH$2,Carreras,0)+2,0),""),"")</f>
        <v>1</v>
      </c>
      <c r="AI36" s="155">
        <f>IF(IFERROR(VLOOKUP($C36,Planes_de_estudio[],MATCH($AI$2,Carreras,0)+2,0),"")&gt;0,IFERROR(VLOOKUP($C36,Planes_de_estudio[],MATCH($AI$2,Carreras,0)+2,0),""),"")</f>
        <v>1</v>
      </c>
      <c r="AJ36" s="155">
        <f>IF(IFERROR(VLOOKUP($C36,Planes_de_estudio[],MATCH($AJ$2,Carreras,0)+2,0),"")&gt;0,IFERROR(VLOOKUP($C36,Planes_de_estudio[],MATCH($AJ$2,Carreras,0)+2,0),""),"")</f>
        <v>1</v>
      </c>
      <c r="AK36" s="155">
        <f>IF(IFERROR(VLOOKUP($C36,Planes_de_estudio[],MATCH($AK$2,Carreras,0)+2,0),"")&gt;0,IFERROR(VLOOKUP($C36,Planes_de_estudio[],MATCH($AK$2,Carreras,0)+2,0),""),"")</f>
        <v>1</v>
      </c>
      <c r="AL3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36" s="155">
        <f>base_de_datos[[#This Row],[Pronóstico]]/25</f>
        <v>4.3600000000000003</v>
      </c>
      <c r="AO36" s="155" t="str">
        <f>VLOOKUP($C36,Planes_de_estudio[],2)</f>
        <v>HUM</v>
      </c>
      <c r="AP36" s="157" t="str">
        <f ca="1">IF(AND(base_de_datos[[#This Row],[Industrial]]&lt;&gt;"",base_de_datos[[#This Row],[Misma o no]]=1),base_de_datos[[#This Row],[Índice]],"")</f>
        <v/>
      </c>
      <c r="AQ36" s="157" t="str">
        <f ca="1">IF(AND(base_de_datos[[#This Row],[Mecatrónica]]&lt;&gt;"",base_de_datos[[#This Row],[Misma o no]]=1),base_de_datos[[#This Row],[Índice]],"")</f>
        <v/>
      </c>
      <c r="AR36" s="157" t="str">
        <f ca="1">IF(AND(base_de_datos[[#This Row],[Innovación y Diseño]]&lt;&gt;"",base_de_datos[[#This Row],[Misma o no]]=1),base_de_datos[[#This Row],[Índice]],"")</f>
        <v/>
      </c>
      <c r="AS36" s="157" t="str">
        <f ca="1">IF(AND(base_de_datos[[#This Row],[Inteligencia Artificial]]&lt;&gt;"",base_de_datos[[#This Row],[Misma o no]]=1),base_de_datos[[#This Row],[Índice]],"")</f>
        <v/>
      </c>
      <c r="AT36" s="157" t="str">
        <f ca="1">IF(AND(base_de_datos[[#This Row],[Tecnologías Energéticas]]&lt;&gt;"",base_de_datos[[#This Row],[Misma o no]]=1),base_de_datos[[#This Row],[Índice]],"")</f>
        <v/>
      </c>
      <c r="AU36" s="157" t="str">
        <f ca="1">IF(AND(base_de_datos[[#This Row],[Civil y Administración]]&lt;&gt;"",base_de_datos[[#This Row],[Misma o no]]=1),base_de_datos[[#This Row],[Índice]],"")</f>
        <v/>
      </c>
      <c r="AV36" s="157" t="str">
        <f ca="1">IF(AND(base_de_datos[[#This Row],[Bioelectrónica]]&lt;&gt;"",base_de_datos[[#This Row],[Misma o no]]=1),base_de_datos[[#This Row],[Índice]],"")</f>
        <v/>
      </c>
      <c r="AW36" s="158"/>
      <c r="AX36" s="231">
        <v>3</v>
      </c>
    </row>
    <row r="37" spans="2:50" s="6" customFormat="1" ht="15">
      <c r="B37" s="148" t="s">
        <v>141</v>
      </c>
      <c r="C37" s="149" t="s">
        <v>142</v>
      </c>
      <c r="D37" s="150">
        <v>1</v>
      </c>
      <c r="E37" s="151">
        <v>0.70833333333333304</v>
      </c>
      <c r="F37" s="151">
        <v>0.79166666666665897</v>
      </c>
      <c r="G37" s="150"/>
      <c r="H37" s="150" t="s">
        <v>114</v>
      </c>
      <c r="I37" s="150">
        <f>INDEX(Aulas_capacidad,MATCH(base_de_datos[[#This Row],[Aula]],Aulas,0),2)</f>
        <v>36</v>
      </c>
      <c r="J37" s="152">
        <v>9</v>
      </c>
      <c r="K37" s="150">
        <f>INDEX(Aulas_capacidad,MATCH(base_de_datos[[#This Row],[Aula]],Aulas,0),4)</f>
        <v>18</v>
      </c>
      <c r="L37" s="153">
        <f>base_de_datos[[#This Row],[Cap 1.5]]-base_de_datos[[#This Row],[Inscritos]]</f>
        <v>9</v>
      </c>
      <c r="M37" s="153">
        <f>INDEX(Aulas_capacidad,MATCH(base_de_datos[[#This Row],[Aula]],Aulas,0),5)</f>
        <v>18</v>
      </c>
      <c r="N37" s="153">
        <f>base_de_datos[[#This Row],[Cap .90]]-base_de_datos[[#This Row],[Inscritos]]</f>
        <v>9</v>
      </c>
      <c r="O37" s="150">
        <v>1636</v>
      </c>
      <c r="P37" s="154"/>
      <c r="Q37" s="154" t="s">
        <v>67</v>
      </c>
      <c r="R37" s="154"/>
      <c r="S37" s="154"/>
      <c r="T37" s="154"/>
      <c r="U37" s="154"/>
      <c r="V37" s="154"/>
      <c r="W37" s="154" t="s">
        <v>1656</v>
      </c>
      <c r="X37" s="155">
        <f>_xlfn.XLOOKUP(base_de_datos[[#This Row],[Materia]],Materias,Horas)/16</f>
        <v>5</v>
      </c>
      <c r="Y37" s="155">
        <f>ROUND(((base_de_datos[[#This Row],[Hora fin]]-base_de_datos[[#This Row],[Hora inicio]])*24)*(COUNTA(base_de_datos[[#This Row],[Lunes]:[Sábado]])),1)</f>
        <v>2</v>
      </c>
      <c r="Z37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37" s="155">
        <f ca="1">IF(base_de_datos[[#This Row],[No clase]]=OFFSET(base_de_datos[[#This Row],[No clase]],-1,0),0,1)</f>
        <v>1</v>
      </c>
      <c r="AB37" s="155">
        <f ca="1">IF(NOT(OR(base_de_datos[[#This Row],[Horas totales]]=base_de_datos[[#This Row],[HT Plan]],base_de_datos[[#This Row],[Horas totales]]="N/A")),1,0)</f>
        <v>0</v>
      </c>
      <c r="AC37" s="155" t="str">
        <f>_xlfn.XLOOKUP(base_de_datos[[#This Row],[Profesor]],Nombre,Grado)</f>
        <v>M</v>
      </c>
      <c r="AD37" s="156" t="str">
        <f>_xlfn.XLOOKUP(base_de_datos[[#This Row],[Profesor]],Nombre,Tipo)</f>
        <v>A</v>
      </c>
      <c r="AE37" s="155" t="str">
        <f>IF(IFERROR(VLOOKUP($C37,Planes_de_estudio[],MATCH($AE$2,Carreras,0)+2,0),"")&gt;0,IFERROR(VLOOKUP($C37,Planes_de_estudio[],MATCH($AE$2,Carreras,0)+2,0),""),"")</f>
        <v/>
      </c>
      <c r="AF37" s="155" t="str">
        <f>IF(IFERROR(VLOOKUP($C37,Planes_de_estudio[],MATCH($AF$2,Carreras,0)+2,0),"")&gt;0,IFERROR(VLOOKUP($C37,Planes_de_estudio[],MATCH($AF$2,Carreras,0)+2,0),""),"")</f>
        <v/>
      </c>
      <c r="AG37" s="155">
        <f>IF(IFERROR(VLOOKUP($C37,Planes_de_estudio[],MATCH($AG$2,Carreras,0)+2,0),"")&gt;0,IFERROR(VLOOKUP($C37,Planes_de_estudio[],MATCH($AG$2,Carreras,0)+2,0),""),"")</f>
        <v>7</v>
      </c>
      <c r="AH37" s="155" t="str">
        <f>IF(IFERROR(VLOOKUP($C37,Planes_de_estudio[],MATCH($AH$2,Carreras,0)+2,0),"")&gt;0,IFERROR(VLOOKUP($C37,Planes_de_estudio[],MATCH($AH$2,Carreras,0)+2,0),""),"")</f>
        <v/>
      </c>
      <c r="AI37" s="155" t="str">
        <f>IF(IFERROR(VLOOKUP($C37,Planes_de_estudio[],MATCH($AI$2,Carreras,0)+2,0),"")&gt;0,IFERROR(VLOOKUP($C37,Planes_de_estudio[],MATCH($AI$2,Carreras,0)+2,0),""),"")</f>
        <v/>
      </c>
      <c r="AJ37" s="155" t="str">
        <f>IF(IFERROR(VLOOKUP($C37,Planes_de_estudio[],MATCH($AJ$2,Carreras,0)+2,0),"")&gt;0,IFERROR(VLOOKUP($C37,Planes_de_estudio[],MATCH($AJ$2,Carreras,0)+2,0),""),"")</f>
        <v/>
      </c>
      <c r="AK37" s="155" t="str">
        <f>IF(IFERROR(VLOOKUP($C37,Planes_de_estudio[],MATCH($AK$2,Carreras,0)+2,0),"")&gt;0,IFERROR(VLOOKUP($C37,Planes_de_estudio[],MATCH($AK$2,Carreras,0)+2,0),""),"")</f>
        <v/>
      </c>
      <c r="AL3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37" s="155">
        <f>base_de_datos[[#This Row],[Pronóstico]]/25</f>
        <v>0.8</v>
      </c>
      <c r="AO37" s="155" t="str">
        <f>VLOOKUP($C37,Planes_de_estudio[],2)</f>
        <v>IID</v>
      </c>
      <c r="AP37" s="157" t="str">
        <f ca="1">IF(AND(base_de_datos[[#This Row],[Industrial]]&lt;&gt;"",base_de_datos[[#This Row],[Misma o no]]=1),base_de_datos[[#This Row],[Índice]],"")</f>
        <v/>
      </c>
      <c r="AQ37" s="157" t="str">
        <f ca="1">IF(AND(base_de_datos[[#This Row],[Mecatrónica]]&lt;&gt;"",base_de_datos[[#This Row],[Misma o no]]=1),base_de_datos[[#This Row],[Índice]],"")</f>
        <v/>
      </c>
      <c r="AR37" s="157">
        <f ca="1">IF(AND(base_de_datos[[#This Row],[Innovación y Diseño]]&lt;&gt;"",base_de_datos[[#This Row],[Misma o no]]=1),base_de_datos[[#This Row],[Índice]],"")</f>
        <v>4</v>
      </c>
      <c r="AS37" s="157" t="str">
        <f ca="1">IF(AND(base_de_datos[[#This Row],[Inteligencia Artificial]]&lt;&gt;"",base_de_datos[[#This Row],[Misma o no]]=1),base_de_datos[[#This Row],[Índice]],"")</f>
        <v/>
      </c>
      <c r="AT37" s="157" t="str">
        <f ca="1">IF(AND(base_de_datos[[#This Row],[Tecnologías Energéticas]]&lt;&gt;"",base_de_datos[[#This Row],[Misma o no]]=1),base_de_datos[[#This Row],[Índice]],"")</f>
        <v/>
      </c>
      <c r="AU37" s="157" t="str">
        <f ca="1">IF(AND(base_de_datos[[#This Row],[Civil y Administración]]&lt;&gt;"",base_de_datos[[#This Row],[Misma o no]]=1),base_de_datos[[#This Row],[Índice]],"")</f>
        <v/>
      </c>
      <c r="AV37" s="157" t="str">
        <f ca="1">IF(AND(base_de_datos[[#This Row],[Bioelectrónica]]&lt;&gt;"",base_de_datos[[#This Row],[Misma o no]]=1),base_de_datos[[#This Row],[Índice]],"")</f>
        <v/>
      </c>
      <c r="AW37" s="158"/>
      <c r="AX37" s="231">
        <v>3</v>
      </c>
    </row>
    <row r="38" spans="2:50" s="6" customFormat="1" ht="15">
      <c r="B38" s="148" t="s">
        <v>141</v>
      </c>
      <c r="C38" s="149" t="s">
        <v>142</v>
      </c>
      <c r="D38" s="150">
        <v>1</v>
      </c>
      <c r="E38" s="151">
        <v>0.75</v>
      </c>
      <c r="F38" s="151">
        <v>0.87499999999999001</v>
      </c>
      <c r="G38" s="150"/>
      <c r="H38" s="150" t="s">
        <v>114</v>
      </c>
      <c r="I38" s="150">
        <f>INDEX(Aulas_capacidad,MATCH(base_de_datos[[#This Row],[Aula]],Aulas,0),2)</f>
        <v>36</v>
      </c>
      <c r="J38" s="152">
        <v>9</v>
      </c>
      <c r="K38" s="150">
        <f>INDEX(Aulas_capacidad,MATCH(base_de_datos[[#This Row],[Aula]],Aulas,0),4)</f>
        <v>18</v>
      </c>
      <c r="L38" s="153">
        <f>base_de_datos[[#This Row],[Cap 1.5]]-base_de_datos[[#This Row],[Inscritos]]</f>
        <v>9</v>
      </c>
      <c r="M38" s="153">
        <f>INDEX(Aulas_capacidad,MATCH(base_de_datos[[#This Row],[Aula]],Aulas,0),5)</f>
        <v>18</v>
      </c>
      <c r="N38" s="153">
        <f>base_de_datos[[#This Row],[Cap .90]]-base_de_datos[[#This Row],[Inscritos]]</f>
        <v>9</v>
      </c>
      <c r="O38" s="150">
        <v>1636</v>
      </c>
      <c r="P38" s="154"/>
      <c r="Q38" s="154"/>
      <c r="R38" s="154"/>
      <c r="S38" s="154" t="s">
        <v>67</v>
      </c>
      <c r="T38" s="154"/>
      <c r="U38" s="154"/>
      <c r="V38" s="154"/>
      <c r="W38" s="154" t="s">
        <v>1656</v>
      </c>
      <c r="X38" s="155">
        <f>_xlfn.XLOOKUP(base_de_datos[[#This Row],[Materia]],Materias,Horas)/16</f>
        <v>5</v>
      </c>
      <c r="Y38" s="155">
        <f>ROUND(((base_de_datos[[#This Row],[Hora fin]]-base_de_datos[[#This Row],[Hora inicio]])*24)*(COUNTA(base_de_datos[[#This Row],[Lunes]:[Sábado]])),1)</f>
        <v>3</v>
      </c>
      <c r="Z38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8" s="155">
        <f ca="1">IF(base_de_datos[[#This Row],[No clase]]=OFFSET(base_de_datos[[#This Row],[No clase]],-1,0),0,1)</f>
        <v>0</v>
      </c>
      <c r="AB38" s="155">
        <f ca="1">IF(NOT(OR(base_de_datos[[#This Row],[Horas totales]]=base_de_datos[[#This Row],[HT Plan]],base_de_datos[[#This Row],[Horas totales]]="N/A")),1,0)</f>
        <v>0</v>
      </c>
      <c r="AC38" s="155" t="str">
        <f>_xlfn.XLOOKUP(base_de_datos[[#This Row],[Profesor]],Nombre,Grado)</f>
        <v>M</v>
      </c>
      <c r="AD38" s="156" t="str">
        <f>_xlfn.XLOOKUP(base_de_datos[[#This Row],[Profesor]],Nombre,Tipo)</f>
        <v>A</v>
      </c>
      <c r="AE38" s="155" t="str">
        <f>IF(IFERROR(VLOOKUP($C38,Planes_de_estudio[],MATCH($AE$2,Carreras,0)+2,0),"")&gt;0,IFERROR(VLOOKUP($C38,Planes_de_estudio[],MATCH($AE$2,Carreras,0)+2,0),""),"")</f>
        <v/>
      </c>
      <c r="AF38" s="155" t="str">
        <f>IF(IFERROR(VLOOKUP($C38,Planes_de_estudio[],MATCH($AF$2,Carreras,0)+2,0),"")&gt;0,IFERROR(VLOOKUP($C38,Planes_de_estudio[],MATCH($AF$2,Carreras,0)+2,0),""),"")</f>
        <v/>
      </c>
      <c r="AG38" s="155">
        <f>IF(IFERROR(VLOOKUP($C38,Planes_de_estudio[],MATCH($AG$2,Carreras,0)+2,0),"")&gt;0,IFERROR(VLOOKUP($C38,Planes_de_estudio[],MATCH($AG$2,Carreras,0)+2,0),""),"")</f>
        <v>7</v>
      </c>
      <c r="AH38" s="155" t="str">
        <f>IF(IFERROR(VLOOKUP($C38,Planes_de_estudio[],MATCH($AH$2,Carreras,0)+2,0),"")&gt;0,IFERROR(VLOOKUP($C38,Planes_de_estudio[],MATCH($AH$2,Carreras,0)+2,0),""),"")</f>
        <v/>
      </c>
      <c r="AI38" s="155" t="str">
        <f>IF(IFERROR(VLOOKUP($C38,Planes_de_estudio[],MATCH($AI$2,Carreras,0)+2,0),"")&gt;0,IFERROR(VLOOKUP($C38,Planes_de_estudio[],MATCH($AI$2,Carreras,0)+2,0),""),"")</f>
        <v/>
      </c>
      <c r="AJ38" s="155" t="str">
        <f>IF(IFERROR(VLOOKUP($C38,Planes_de_estudio[],MATCH($AJ$2,Carreras,0)+2,0),"")&gt;0,IFERROR(VLOOKUP($C38,Planes_de_estudio[],MATCH($AJ$2,Carreras,0)+2,0),""),"")</f>
        <v/>
      </c>
      <c r="AK38" s="155" t="str">
        <f>IF(IFERROR(VLOOKUP($C38,Planes_de_estudio[],MATCH($AK$2,Carreras,0)+2,0),"")&gt;0,IFERROR(VLOOKUP($C38,Planes_de_estudio[],MATCH($AK$2,Carreras,0)+2,0),""),"")</f>
        <v/>
      </c>
      <c r="AL3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38" s="155">
        <f>base_de_datos[[#This Row],[Pronóstico]]/25</f>
        <v>0.8</v>
      </c>
      <c r="AO38" s="155" t="str">
        <f>VLOOKUP($C38,Planes_de_estudio[],2)</f>
        <v>IID</v>
      </c>
      <c r="AP38" s="157" t="str">
        <f ca="1">IF(AND(base_de_datos[[#This Row],[Industrial]]&lt;&gt;"",base_de_datos[[#This Row],[Misma o no]]=1),base_de_datos[[#This Row],[Índice]],"")</f>
        <v/>
      </c>
      <c r="AQ38" s="157" t="str">
        <f ca="1">IF(AND(base_de_datos[[#This Row],[Mecatrónica]]&lt;&gt;"",base_de_datos[[#This Row],[Misma o no]]=1),base_de_datos[[#This Row],[Índice]],"")</f>
        <v/>
      </c>
      <c r="AR38" s="157" t="str">
        <f ca="1">IF(AND(base_de_datos[[#This Row],[Innovación y Diseño]]&lt;&gt;"",base_de_datos[[#This Row],[Misma o no]]=1),base_de_datos[[#This Row],[Índice]],"")</f>
        <v/>
      </c>
      <c r="AS38" s="157" t="str">
        <f ca="1">IF(AND(base_de_datos[[#This Row],[Inteligencia Artificial]]&lt;&gt;"",base_de_datos[[#This Row],[Misma o no]]=1),base_de_datos[[#This Row],[Índice]],"")</f>
        <v/>
      </c>
      <c r="AT38" s="157" t="str">
        <f ca="1">IF(AND(base_de_datos[[#This Row],[Tecnologías Energéticas]]&lt;&gt;"",base_de_datos[[#This Row],[Misma o no]]=1),base_de_datos[[#This Row],[Índice]],"")</f>
        <v/>
      </c>
      <c r="AU38" s="157" t="str">
        <f ca="1">IF(AND(base_de_datos[[#This Row],[Civil y Administración]]&lt;&gt;"",base_de_datos[[#This Row],[Misma o no]]=1),base_de_datos[[#This Row],[Índice]],"")</f>
        <v/>
      </c>
      <c r="AV38" s="157" t="str">
        <f ca="1">IF(AND(base_de_datos[[#This Row],[Bioelectrónica]]&lt;&gt;"",base_de_datos[[#This Row],[Misma o no]]=1),base_de_datos[[#This Row],[Índice]],"")</f>
        <v/>
      </c>
      <c r="AW38" s="158"/>
      <c r="AX38" s="231">
        <v>2</v>
      </c>
    </row>
    <row r="39" spans="2:50" s="6" customFormat="1" ht="30">
      <c r="B39" s="148" t="s">
        <v>143</v>
      </c>
      <c r="C39" s="149" t="s">
        <v>144</v>
      </c>
      <c r="D39" s="150">
        <v>2</v>
      </c>
      <c r="E39" s="151">
        <v>0.29166666666666669</v>
      </c>
      <c r="F39" s="151">
        <v>0.374999999999999</v>
      </c>
      <c r="G39" s="150"/>
      <c r="H39" s="150" t="s">
        <v>145</v>
      </c>
      <c r="I39" s="150">
        <f>INDEX(Aulas_capacidad,MATCH(base_de_datos[[#This Row],[Aula]],Aulas,0),2)</f>
        <v>0</v>
      </c>
      <c r="J39" s="212">
        <v>27</v>
      </c>
      <c r="K39" s="150">
        <f>INDEX(Aulas_capacidad,MATCH(base_de_datos[[#This Row],[Aula]],Aulas,0),4)</f>
        <v>0</v>
      </c>
      <c r="L39" s="153">
        <f>base_de_datos[[#This Row],[Cap 1.5]]-base_de_datos[[#This Row],[Inscritos]]</f>
        <v>-27</v>
      </c>
      <c r="M39" s="153">
        <f>INDEX(Aulas_capacidad,MATCH(base_de_datos[[#This Row],[Aula]],Aulas,0),5)</f>
        <v>0</v>
      </c>
      <c r="N39" s="153">
        <f>base_de_datos[[#This Row],[Cap .90]]-base_de_datos[[#This Row],[Inscritos]]</f>
        <v>-27</v>
      </c>
      <c r="O39" s="150" t="s">
        <v>146</v>
      </c>
      <c r="P39" s="154" t="s">
        <v>67</v>
      </c>
      <c r="Q39" s="154"/>
      <c r="R39" s="154" t="s">
        <v>67</v>
      </c>
      <c r="S39" s="154"/>
      <c r="T39" s="154"/>
      <c r="U39" s="154"/>
      <c r="V39" s="154"/>
      <c r="W39" s="154" t="s">
        <v>1654</v>
      </c>
      <c r="X39" s="155">
        <f>_xlfn.XLOOKUP(base_de_datos[[#This Row],[Materia]],Materias,Horas)/16</f>
        <v>4</v>
      </c>
      <c r="Y39" s="155">
        <f>ROUND(((base_de_datos[[#This Row],[Hora fin]]-base_de_datos[[#This Row],[Hora inicio]])*24)*(COUNTA(base_de_datos[[#This Row],[Lunes]:[Sábado]])),1)</f>
        <v>4</v>
      </c>
      <c r="Z3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9" s="155">
        <f ca="1">IF(base_de_datos[[#This Row],[No clase]]=OFFSET(base_de_datos[[#This Row],[No clase]],-1,0),0,1)</f>
        <v>1</v>
      </c>
      <c r="AB39" s="155">
        <f ca="1">IF(NOT(OR(base_de_datos[[#This Row],[Horas totales]]=base_de_datos[[#This Row],[HT Plan]],base_de_datos[[#This Row],[Horas totales]]="N/A")),1,0)</f>
        <v>0</v>
      </c>
      <c r="AC39" s="155" t="str">
        <f>_xlfn.XLOOKUP(base_de_datos[[#This Row],[Profesor]],Nombre,Grado)</f>
        <v>M</v>
      </c>
      <c r="AD39" s="156" t="str">
        <f>_xlfn.XLOOKUP(base_de_datos[[#This Row],[Profesor]],Nombre,Tipo)</f>
        <v>A</v>
      </c>
      <c r="AE39" s="155">
        <f>IF(IFERROR(VLOOKUP($C39,Planes_de_estudio[],MATCH($AE$2,Carreras,0)+2,0),"")&gt;0,IFERROR(VLOOKUP($C39,Planes_de_estudio[],MATCH($AE$2,Carreras,0)+2,0),""),"")</f>
        <v>1</v>
      </c>
      <c r="AF39" s="155">
        <f>IF(IFERROR(VLOOKUP($C39,Planes_de_estudio[],MATCH($AF$2,Carreras,0)+2,0),"")&gt;0,IFERROR(VLOOKUP($C39,Planes_de_estudio[],MATCH($AF$2,Carreras,0)+2,0),""),"")</f>
        <v>1</v>
      </c>
      <c r="AG39" s="155">
        <f>IF(IFERROR(VLOOKUP($C39,Planes_de_estudio[],MATCH($AG$2,Carreras,0)+2,0),"")&gt;0,IFERROR(VLOOKUP($C39,Planes_de_estudio[],MATCH($AG$2,Carreras,0)+2,0),""),"")</f>
        <v>3</v>
      </c>
      <c r="AH39" s="155">
        <f>IF(IFERROR(VLOOKUP($C39,Planes_de_estudio[],MATCH($AH$2,Carreras,0)+2,0),"")&gt;0,IFERROR(VLOOKUP($C39,Planes_de_estudio[],MATCH($AH$2,Carreras,0)+2,0),""),"")</f>
        <v>1</v>
      </c>
      <c r="AI39" s="155">
        <f>IF(IFERROR(VLOOKUP($C39,Planes_de_estudio[],MATCH($AI$2,Carreras,0)+2,0),"")&gt;0,IFERROR(VLOOKUP($C39,Planes_de_estudio[],MATCH($AI$2,Carreras,0)+2,0),""),"")</f>
        <v>1</v>
      </c>
      <c r="AJ39" s="155">
        <f>IF(IFERROR(VLOOKUP($C39,Planes_de_estudio[],MATCH($AJ$2,Carreras,0)+2,0),"")&gt;0,IFERROR(VLOOKUP($C39,Planes_de_estudio[],MATCH($AJ$2,Carreras,0)+2,0),""),"")</f>
        <v>1</v>
      </c>
      <c r="AK39" s="155">
        <f>IF(IFERROR(VLOOKUP($C39,Planes_de_estudio[],MATCH($AK$2,Carreras,0)+2,0),"")&gt;0,IFERROR(VLOOKUP($C39,Planes_de_estudio[],MATCH($AK$2,Carreras,0)+2,0),""),"")</f>
        <v>1</v>
      </c>
      <c r="AL3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39" s="155">
        <f>base_de_datos[[#This Row],[Pronóstico]]/25</f>
        <v>4.4400000000000004</v>
      </c>
      <c r="AO39" s="155" t="str">
        <f>VLOOKUP($C39,Planes_de_estudio[],2)</f>
        <v>COM</v>
      </c>
      <c r="AP39" s="157">
        <f ca="1">IF(AND(base_de_datos[[#This Row],[Industrial]]&lt;&gt;"",base_de_datos[[#This Row],[Misma o no]]=1),base_de_datos[[#This Row],[Índice]],"")</f>
        <v>4</v>
      </c>
      <c r="AQ39" s="157">
        <f ca="1">IF(AND(base_de_datos[[#This Row],[Mecatrónica]]&lt;&gt;"",base_de_datos[[#This Row],[Misma o no]]=1),base_de_datos[[#This Row],[Índice]],"")</f>
        <v>4</v>
      </c>
      <c r="AR39" s="157">
        <f ca="1">IF(AND(base_de_datos[[#This Row],[Innovación y Diseño]]&lt;&gt;"",base_de_datos[[#This Row],[Misma o no]]=1),base_de_datos[[#This Row],[Índice]],"")</f>
        <v>4</v>
      </c>
      <c r="AS39" s="157">
        <f ca="1">IF(AND(base_de_datos[[#This Row],[Inteligencia Artificial]]&lt;&gt;"",base_de_datos[[#This Row],[Misma o no]]=1),base_de_datos[[#This Row],[Índice]],"")</f>
        <v>4</v>
      </c>
      <c r="AT39" s="157">
        <f ca="1">IF(AND(base_de_datos[[#This Row],[Tecnologías Energéticas]]&lt;&gt;"",base_de_datos[[#This Row],[Misma o no]]=1),base_de_datos[[#This Row],[Índice]],"")</f>
        <v>4</v>
      </c>
      <c r="AU39" s="157">
        <f ca="1">IF(AND(base_de_datos[[#This Row],[Civil y Administración]]&lt;&gt;"",base_de_datos[[#This Row],[Misma o no]]=1),base_de_datos[[#This Row],[Índice]],"")</f>
        <v>4</v>
      </c>
      <c r="AV39" s="157">
        <f ca="1">IF(AND(base_de_datos[[#This Row],[Bioelectrónica]]&lt;&gt;"",base_de_datos[[#This Row],[Misma o no]]=1),base_de_datos[[#This Row],[Índice]],"")</f>
        <v>4</v>
      </c>
      <c r="AW39" s="158"/>
      <c r="AX39" s="231">
        <v>3</v>
      </c>
    </row>
    <row r="40" spans="2:50" s="6" customFormat="1" ht="15">
      <c r="B40" s="148" t="s">
        <v>143</v>
      </c>
      <c r="C40" s="149" t="s">
        <v>147</v>
      </c>
      <c r="D40" s="150"/>
      <c r="E40" s="151">
        <v>0.70833333333333304</v>
      </c>
      <c r="F40" s="151">
        <v>0.77083333333332604</v>
      </c>
      <c r="G40" s="150"/>
      <c r="H40" s="150" t="s">
        <v>95</v>
      </c>
      <c r="I40" s="150">
        <f>INDEX(Aulas_capacidad,MATCH(base_de_datos[[#This Row],[Aula]],Aulas,0),2)</f>
        <v>30</v>
      </c>
      <c r="J40" s="152">
        <v>22</v>
      </c>
      <c r="K40" s="150">
        <f>INDEX(Aulas_capacidad,MATCH(base_de_datos[[#This Row],[Aula]],Aulas,0),4)</f>
        <v>10</v>
      </c>
      <c r="L40" s="153">
        <f>base_de_datos[[#This Row],[Cap 1.5]]-base_de_datos[[#This Row],[Inscritos]]</f>
        <v>-12</v>
      </c>
      <c r="M40" s="153">
        <f>INDEX(Aulas_capacidad,MATCH(base_de_datos[[#This Row],[Aula]],Aulas,0),5)</f>
        <v>15</v>
      </c>
      <c r="N40" s="153">
        <f>base_de_datos[[#This Row],[Cap .90]]-base_de_datos[[#This Row],[Inscritos]]</f>
        <v>-7</v>
      </c>
      <c r="O40" s="150">
        <v>1563</v>
      </c>
      <c r="P40" s="154" t="s">
        <v>67</v>
      </c>
      <c r="Q40" s="154"/>
      <c r="R40" s="154"/>
      <c r="S40" s="154"/>
      <c r="T40" s="154" t="s">
        <v>67</v>
      </c>
      <c r="U40" s="154"/>
      <c r="V40" s="154"/>
      <c r="W40" s="154" t="s">
        <v>1652</v>
      </c>
      <c r="X40" s="155">
        <f>_xlfn.XLOOKUP(base_de_datos[[#This Row],[Materia]],Materias,Horas)/16</f>
        <v>3</v>
      </c>
      <c r="Y40" s="155">
        <f>ROUND(((base_de_datos[[#This Row],[Hora fin]]-base_de_datos[[#This Row],[Hora inicio]])*24)*(COUNTA(base_de_datos[[#This Row],[Lunes]:[Sábado]])),1)</f>
        <v>3</v>
      </c>
      <c r="Z4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0" s="155">
        <f ca="1">IF(base_de_datos[[#This Row],[No clase]]=OFFSET(base_de_datos[[#This Row],[No clase]],-1,0),0,1)</f>
        <v>1</v>
      </c>
      <c r="AB40" s="155">
        <f ca="1">IF(NOT(OR(base_de_datos[[#This Row],[Horas totales]]=base_de_datos[[#This Row],[HT Plan]],base_de_datos[[#This Row],[Horas totales]]="N/A")),1,0)</f>
        <v>0</v>
      </c>
      <c r="AC40" s="155" t="str">
        <f>_xlfn.XLOOKUP(base_de_datos[[#This Row],[Profesor]],Nombre,Grado)</f>
        <v>M</v>
      </c>
      <c r="AD40" s="156" t="str">
        <f>_xlfn.XLOOKUP(base_de_datos[[#This Row],[Profesor]],Nombre,Tipo)</f>
        <v>A</v>
      </c>
      <c r="AE40" s="155" t="str">
        <f>IF(IFERROR(VLOOKUP($C40,Planes_de_estudio[],MATCH($AE$2,Carreras,0)+2,0),"")&gt;0,IFERROR(VLOOKUP($C40,Planes_de_estudio[],MATCH($AE$2,Carreras,0)+2,0),""),"")</f>
        <v/>
      </c>
      <c r="AF40" s="155" t="str">
        <f>IF(IFERROR(VLOOKUP($C40,Planes_de_estudio[],MATCH($AF$2,Carreras,0)+2,0),"")&gt;0,IFERROR(VLOOKUP($C40,Planes_de_estudio[],MATCH($AF$2,Carreras,0)+2,0),""),"")</f>
        <v/>
      </c>
      <c r="AG40" s="155" t="str">
        <f>IF(IFERROR(VLOOKUP($C40,Planes_de_estudio[],MATCH($AG$2,Carreras,0)+2,0),"")&gt;0,IFERROR(VLOOKUP($C40,Planes_de_estudio[],MATCH($AG$2,Carreras,0)+2,0),""),"")</f>
        <v/>
      </c>
      <c r="AH40" s="155">
        <f>IF(IFERROR(VLOOKUP($C40,Planes_de_estudio[],MATCH($AH$2,Carreras,0)+2,0),"")&gt;0,IFERROR(VLOOKUP($C40,Planes_de_estudio[],MATCH($AH$2,Carreras,0)+2,0),""),"")</f>
        <v>5</v>
      </c>
      <c r="AI40" s="155" t="str">
        <f>IF(IFERROR(VLOOKUP($C40,Planes_de_estudio[],MATCH($AI$2,Carreras,0)+2,0),"")&gt;0,IFERROR(VLOOKUP($C40,Planes_de_estudio[],MATCH($AI$2,Carreras,0)+2,0),""),"")</f>
        <v/>
      </c>
      <c r="AJ40" s="155" t="str">
        <f>IF(IFERROR(VLOOKUP($C40,Planes_de_estudio[],MATCH($AJ$2,Carreras,0)+2,0),"")&gt;0,IFERROR(VLOOKUP($C40,Planes_de_estudio[],MATCH($AJ$2,Carreras,0)+2,0),""),"")</f>
        <v/>
      </c>
      <c r="AK40" s="155" t="str">
        <f>IF(IFERROR(VLOOKUP($C40,Planes_de_estudio[],MATCH($AK$2,Carreras,0)+2,0),"")&gt;0,IFERROR(VLOOKUP($C40,Planes_de_estudio[],MATCH($AK$2,Carreras,0)+2,0),""),"")</f>
        <v/>
      </c>
      <c r="AL4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25</v>
      </c>
      <c r="AN40" s="155">
        <f>base_de_datos[[#This Row],[Pronóstico]]/25</f>
        <v>1</v>
      </c>
      <c r="AO40" s="155" t="str">
        <f>VLOOKUP($C40,Planes_de_estudio[],2)</f>
        <v>COM</v>
      </c>
      <c r="AP40" s="157" t="str">
        <f ca="1">IF(AND(base_de_datos[[#This Row],[Industrial]]&lt;&gt;"",base_de_datos[[#This Row],[Misma o no]]=1),base_de_datos[[#This Row],[Índice]],"")</f>
        <v/>
      </c>
      <c r="AQ40" s="157" t="str">
        <f ca="1">IF(AND(base_de_datos[[#This Row],[Mecatrónica]]&lt;&gt;"",base_de_datos[[#This Row],[Misma o no]]=1),base_de_datos[[#This Row],[Índice]],"")</f>
        <v/>
      </c>
      <c r="AR40" s="157" t="str">
        <f ca="1">IF(AND(base_de_datos[[#This Row],[Innovación y Diseño]]&lt;&gt;"",base_de_datos[[#This Row],[Misma o no]]=1),base_de_datos[[#This Row],[Índice]],"")</f>
        <v/>
      </c>
      <c r="AS40" s="157">
        <f ca="1">IF(AND(base_de_datos[[#This Row],[Inteligencia Artificial]]&lt;&gt;"",base_de_datos[[#This Row],[Misma o no]]=1),base_de_datos[[#This Row],[Índice]],"")</f>
        <v>4</v>
      </c>
      <c r="AT40" s="157" t="str">
        <f ca="1">IF(AND(base_de_datos[[#This Row],[Tecnologías Energéticas]]&lt;&gt;"",base_de_datos[[#This Row],[Misma o no]]=1),base_de_datos[[#This Row],[Índice]],"")</f>
        <v/>
      </c>
      <c r="AU40" s="157" t="str">
        <f ca="1">IF(AND(base_de_datos[[#This Row],[Civil y Administración]]&lt;&gt;"",base_de_datos[[#This Row],[Misma o no]]=1),base_de_datos[[#This Row],[Índice]],"")</f>
        <v/>
      </c>
      <c r="AV40" s="157" t="str">
        <f ca="1">IF(AND(base_de_datos[[#This Row],[Bioelectrónica]]&lt;&gt;"",base_de_datos[[#This Row],[Misma o no]]=1),base_de_datos[[#This Row],[Índice]],"")</f>
        <v/>
      </c>
      <c r="AW40" s="158"/>
      <c r="AX40" s="231">
        <v>3</v>
      </c>
    </row>
    <row r="41" spans="2:50" s="6" customFormat="1" ht="30">
      <c r="B41" s="148" t="s">
        <v>148</v>
      </c>
      <c r="C41" s="149" t="s">
        <v>144</v>
      </c>
      <c r="D41" s="150">
        <v>4</v>
      </c>
      <c r="E41" s="151">
        <v>0.29166666666666669</v>
      </c>
      <c r="F41" s="151">
        <v>0.374999999999999</v>
      </c>
      <c r="G41" s="150"/>
      <c r="H41" s="150" t="s">
        <v>95</v>
      </c>
      <c r="I41" s="150">
        <f>INDEX(Aulas_capacidad,MATCH(base_de_datos[[#This Row],[Aula]],Aulas,0),2)</f>
        <v>30</v>
      </c>
      <c r="J41" s="152">
        <v>23</v>
      </c>
      <c r="K41" s="150">
        <f>INDEX(Aulas_capacidad,MATCH(base_de_datos[[#This Row],[Aula]],Aulas,0),4)</f>
        <v>10</v>
      </c>
      <c r="L41" s="153">
        <f>base_de_datos[[#This Row],[Cap 1.5]]-base_de_datos[[#This Row],[Inscritos]]</f>
        <v>-13</v>
      </c>
      <c r="M41" s="153">
        <f>INDEX(Aulas_capacidad,MATCH(base_de_datos[[#This Row],[Aula]],Aulas,0),5)</f>
        <v>15</v>
      </c>
      <c r="N41" s="153">
        <f>base_de_datos[[#This Row],[Cap .90]]-base_de_datos[[#This Row],[Inscritos]]</f>
        <v>-8</v>
      </c>
      <c r="O41" s="150" t="s">
        <v>149</v>
      </c>
      <c r="P41" s="154" t="s">
        <v>67</v>
      </c>
      <c r="Q41" s="154"/>
      <c r="R41" s="154" t="s">
        <v>67</v>
      </c>
      <c r="S41" s="154"/>
      <c r="T41" s="154"/>
      <c r="U41" s="154"/>
      <c r="V41" s="154"/>
      <c r="W41" s="154" t="s">
        <v>1654</v>
      </c>
      <c r="X41" s="155">
        <f>_xlfn.XLOOKUP(base_de_datos[[#This Row],[Materia]],Materias,Horas)/16</f>
        <v>4</v>
      </c>
      <c r="Y41" s="155">
        <f>ROUND(((base_de_datos[[#This Row],[Hora fin]]-base_de_datos[[#This Row],[Hora inicio]])*24)*(COUNTA(base_de_datos[[#This Row],[Lunes]:[Sábado]])),1)</f>
        <v>4</v>
      </c>
      <c r="Z4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1" s="155">
        <f ca="1">IF(base_de_datos[[#This Row],[No clase]]=OFFSET(base_de_datos[[#This Row],[No clase]],-1,0),0,1)</f>
        <v>1</v>
      </c>
      <c r="AB41" s="155">
        <f ca="1">IF(NOT(OR(base_de_datos[[#This Row],[Horas totales]]=base_de_datos[[#This Row],[HT Plan]],base_de_datos[[#This Row],[Horas totales]]="N/A")),1,0)</f>
        <v>0</v>
      </c>
      <c r="AC41" s="155" t="str">
        <f>_xlfn.XLOOKUP(base_de_datos[[#This Row],[Profesor]],Nombre,Grado)</f>
        <v>L</v>
      </c>
      <c r="AD41" s="156" t="str">
        <f>_xlfn.XLOOKUP(base_de_datos[[#This Row],[Profesor]],Nombre,Tipo)</f>
        <v>A</v>
      </c>
      <c r="AE41" s="155">
        <f>IF(IFERROR(VLOOKUP($C41,Planes_de_estudio[],MATCH($AE$2,Carreras,0)+2,0),"")&gt;0,IFERROR(VLOOKUP($C41,Planes_de_estudio[],MATCH($AE$2,Carreras,0)+2,0),""),"")</f>
        <v>1</v>
      </c>
      <c r="AF41" s="155">
        <f>IF(IFERROR(VLOOKUP($C41,Planes_de_estudio[],MATCH($AF$2,Carreras,0)+2,0),"")&gt;0,IFERROR(VLOOKUP($C41,Planes_de_estudio[],MATCH($AF$2,Carreras,0)+2,0),""),"")</f>
        <v>1</v>
      </c>
      <c r="AG41" s="155">
        <f>IF(IFERROR(VLOOKUP($C41,Planes_de_estudio[],MATCH($AG$2,Carreras,0)+2,0),"")&gt;0,IFERROR(VLOOKUP($C41,Planes_de_estudio[],MATCH($AG$2,Carreras,0)+2,0),""),"")</f>
        <v>3</v>
      </c>
      <c r="AH41" s="155">
        <f>IF(IFERROR(VLOOKUP($C41,Planes_de_estudio[],MATCH($AH$2,Carreras,0)+2,0),"")&gt;0,IFERROR(VLOOKUP($C41,Planes_de_estudio[],MATCH($AH$2,Carreras,0)+2,0),""),"")</f>
        <v>1</v>
      </c>
      <c r="AI41" s="155">
        <f>IF(IFERROR(VLOOKUP($C41,Planes_de_estudio[],MATCH($AI$2,Carreras,0)+2,0),"")&gt;0,IFERROR(VLOOKUP($C41,Planes_de_estudio[],MATCH($AI$2,Carreras,0)+2,0),""),"")</f>
        <v>1</v>
      </c>
      <c r="AJ41" s="155">
        <f>IF(IFERROR(VLOOKUP($C41,Planes_de_estudio[],MATCH($AJ$2,Carreras,0)+2,0),"")&gt;0,IFERROR(VLOOKUP($C41,Planes_de_estudio[],MATCH($AJ$2,Carreras,0)+2,0),""),"")</f>
        <v>1</v>
      </c>
      <c r="AK41" s="155">
        <f>IF(IFERROR(VLOOKUP($C41,Planes_de_estudio[],MATCH($AK$2,Carreras,0)+2,0),"")&gt;0,IFERROR(VLOOKUP($C41,Planes_de_estudio[],MATCH($AK$2,Carreras,0)+2,0),""),"")</f>
        <v>1</v>
      </c>
      <c r="AL4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4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41" s="155">
        <f>base_de_datos[[#This Row],[Pronóstico]]/25</f>
        <v>4.4400000000000004</v>
      </c>
      <c r="AO41" s="155" t="str">
        <f>VLOOKUP($C41,Planes_de_estudio[],2)</f>
        <v>COM</v>
      </c>
      <c r="AP41" s="157">
        <f ca="1">IF(AND(base_de_datos[[#This Row],[Industrial]]&lt;&gt;"",base_de_datos[[#This Row],[Misma o no]]=1),base_de_datos[[#This Row],[Índice]],"")</f>
        <v>1</v>
      </c>
      <c r="AQ41" s="157">
        <f ca="1">IF(AND(base_de_datos[[#This Row],[Mecatrónica]]&lt;&gt;"",base_de_datos[[#This Row],[Misma o no]]=1),base_de_datos[[#This Row],[Índice]],"")</f>
        <v>1</v>
      </c>
      <c r="AR41" s="157">
        <f ca="1">IF(AND(base_de_datos[[#This Row],[Innovación y Diseño]]&lt;&gt;"",base_de_datos[[#This Row],[Misma o no]]=1),base_de_datos[[#This Row],[Índice]],"")</f>
        <v>1</v>
      </c>
      <c r="AS41" s="157">
        <f ca="1">IF(AND(base_de_datos[[#This Row],[Inteligencia Artificial]]&lt;&gt;"",base_de_datos[[#This Row],[Misma o no]]=1),base_de_datos[[#This Row],[Índice]],"")</f>
        <v>1</v>
      </c>
      <c r="AT41" s="157">
        <f ca="1">IF(AND(base_de_datos[[#This Row],[Tecnologías Energéticas]]&lt;&gt;"",base_de_datos[[#This Row],[Misma o no]]=1),base_de_datos[[#This Row],[Índice]],"")</f>
        <v>1</v>
      </c>
      <c r="AU41" s="157">
        <f ca="1">IF(AND(base_de_datos[[#This Row],[Civil y Administración]]&lt;&gt;"",base_de_datos[[#This Row],[Misma o no]]=1),base_de_datos[[#This Row],[Índice]],"")</f>
        <v>1</v>
      </c>
      <c r="AV41" s="157">
        <f ca="1">IF(AND(base_de_datos[[#This Row],[Bioelectrónica]]&lt;&gt;"",base_de_datos[[#This Row],[Misma o no]]=1),base_de_datos[[#This Row],[Índice]],"")</f>
        <v>1</v>
      </c>
      <c r="AW41" s="158"/>
      <c r="AX41" s="231">
        <v>3</v>
      </c>
    </row>
    <row r="42" spans="2:50" s="6" customFormat="1" ht="15">
      <c r="B42" s="148" t="s">
        <v>150</v>
      </c>
      <c r="C42" s="149" t="s">
        <v>151</v>
      </c>
      <c r="D42" s="150">
        <v>1</v>
      </c>
      <c r="E42" s="151">
        <v>0.58333333333333304</v>
      </c>
      <c r="F42" s="151">
        <v>0.70833333333332704</v>
      </c>
      <c r="G42" s="150"/>
      <c r="H42" s="215" t="s">
        <v>66</v>
      </c>
      <c r="I42" s="150">
        <f>INDEX(Aulas_capacidad,MATCH(base_de_datos[[#This Row],[Aula]],Aulas,0),2)</f>
        <v>0</v>
      </c>
      <c r="J42" s="152">
        <v>7</v>
      </c>
      <c r="K42" s="150">
        <f>INDEX(Aulas_capacidad,MATCH(base_de_datos[[#This Row],[Aula]],Aulas,0),4)</f>
        <v>0</v>
      </c>
      <c r="L42" s="153">
        <f>base_de_datos[[#This Row],[Cap 1.5]]-base_de_datos[[#This Row],[Inscritos]]</f>
        <v>-7</v>
      </c>
      <c r="M42" s="153">
        <f>INDEX(Aulas_capacidad,MATCH(base_de_datos[[#This Row],[Aula]],Aulas,0),5)</f>
        <v>0</v>
      </c>
      <c r="N42" s="153">
        <f>base_de_datos[[#This Row],[Cap .90]]-base_de_datos[[#This Row],[Inscritos]]</f>
        <v>-7</v>
      </c>
      <c r="O42" s="150">
        <v>1841</v>
      </c>
      <c r="P42" s="154"/>
      <c r="Q42" s="154"/>
      <c r="R42" s="154"/>
      <c r="S42" s="154" t="s">
        <v>67</v>
      </c>
      <c r="T42" s="154"/>
      <c r="U42" s="154"/>
      <c r="V42" s="154"/>
      <c r="W42" s="154" t="s">
        <v>1656</v>
      </c>
      <c r="X42" s="155">
        <f>_xlfn.XLOOKUP(base_de_datos[[#This Row],[Materia]],Materias,Horas)/16</f>
        <v>3</v>
      </c>
      <c r="Y42" s="155">
        <f>ROUND(((base_de_datos[[#This Row],[Hora fin]]-base_de_datos[[#This Row],[Hora inicio]])*24)*(COUNTA(base_de_datos[[#This Row],[Lunes]:[Sábado]])),1)</f>
        <v>3</v>
      </c>
      <c r="Z4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2" s="155">
        <f ca="1">IF(base_de_datos[[#This Row],[No clase]]=OFFSET(base_de_datos[[#This Row],[No clase]],-1,0),0,1)</f>
        <v>1</v>
      </c>
      <c r="AB42" s="155">
        <f ca="1">IF(NOT(OR(base_de_datos[[#This Row],[Horas totales]]=base_de_datos[[#This Row],[HT Plan]],base_de_datos[[#This Row],[Horas totales]]="N/A")),1,0)</f>
        <v>0</v>
      </c>
      <c r="AC42" s="155" t="str">
        <f>_xlfn.XLOOKUP(base_de_datos[[#This Row],[Profesor]],Nombre,Grado)</f>
        <v>M</v>
      </c>
      <c r="AD42" s="156" t="str">
        <f>_xlfn.XLOOKUP(base_de_datos[[#This Row],[Profesor]],Nombre,Tipo)</f>
        <v>A</v>
      </c>
      <c r="AE42" s="155" t="str">
        <f>IF(IFERROR(VLOOKUP($C42,Planes_de_estudio[],MATCH($AE$2,Carreras,0)+2,0),"")&gt;0,IFERROR(VLOOKUP($C42,Planes_de_estudio[],MATCH($AE$2,Carreras,0)+2,0),""),"")</f>
        <v/>
      </c>
      <c r="AF42" s="155" t="str">
        <f>IF(IFERROR(VLOOKUP($C42,Planes_de_estudio[],MATCH($AF$2,Carreras,0)+2,0),"")&gt;0,IFERROR(VLOOKUP($C42,Planes_de_estudio[],MATCH($AF$2,Carreras,0)+2,0),""),"")</f>
        <v/>
      </c>
      <c r="AG42" s="155" t="str">
        <f>IF(IFERROR(VLOOKUP($C42,Planes_de_estudio[],MATCH($AG$2,Carreras,0)+2,0),"")&gt;0,IFERROR(VLOOKUP($C42,Planes_de_estudio[],MATCH($AG$2,Carreras,0)+2,0),""),"")</f>
        <v/>
      </c>
      <c r="AH42" s="155" t="str">
        <f>IF(IFERROR(VLOOKUP($C42,Planes_de_estudio[],MATCH($AH$2,Carreras,0)+2,0),"")&gt;0,IFERROR(VLOOKUP($C42,Planes_de_estudio[],MATCH($AH$2,Carreras,0)+2,0),""),"")</f>
        <v/>
      </c>
      <c r="AI42" s="155" t="str">
        <f>IF(IFERROR(VLOOKUP($C42,Planes_de_estudio[],MATCH($AI$2,Carreras,0)+2,0),"")&gt;0,IFERROR(VLOOKUP($C42,Planes_de_estudio[],MATCH($AI$2,Carreras,0)+2,0),""),"")</f>
        <v/>
      </c>
      <c r="AJ42" s="155">
        <f>IF(IFERROR(VLOOKUP($C42,Planes_de_estudio[],MATCH($AJ$2,Carreras,0)+2,0),"")&gt;0,IFERROR(VLOOKUP($C42,Planes_de_estudio[],MATCH($AJ$2,Carreras,0)+2,0),""),"")</f>
        <v>7</v>
      </c>
      <c r="AK42" s="155" t="str">
        <f>IF(IFERROR(VLOOKUP($C42,Planes_de_estudio[],MATCH($AK$2,Carreras,0)+2,0),"")&gt;0,IFERROR(VLOOKUP($C42,Planes_de_estudio[],MATCH($AK$2,Carreras,0)+2,0),""),"")</f>
        <v/>
      </c>
      <c r="AL4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42" s="155">
        <f>base_de_datos[[#This Row],[Pronóstico]]/25</f>
        <v>0.52</v>
      </c>
      <c r="AO42" s="155" t="str">
        <f>VLOOKUP($C42,Planes_de_estudio[],2)</f>
        <v>ESC</v>
      </c>
      <c r="AP42" s="157" t="str">
        <f ca="1">IF(AND(base_de_datos[[#This Row],[Industrial]]&lt;&gt;"",base_de_datos[[#This Row],[Misma o no]]=1),base_de_datos[[#This Row],[Índice]],"")</f>
        <v/>
      </c>
      <c r="AQ42" s="157" t="str">
        <f ca="1">IF(AND(base_de_datos[[#This Row],[Mecatrónica]]&lt;&gt;"",base_de_datos[[#This Row],[Misma o no]]=1),base_de_datos[[#This Row],[Índice]],"")</f>
        <v/>
      </c>
      <c r="AR42" s="157" t="str">
        <f ca="1">IF(AND(base_de_datos[[#This Row],[Innovación y Diseño]]&lt;&gt;"",base_de_datos[[#This Row],[Misma o no]]=1),base_de_datos[[#This Row],[Índice]],"")</f>
        <v/>
      </c>
      <c r="AS42" s="157" t="str">
        <f ca="1">IF(AND(base_de_datos[[#This Row],[Inteligencia Artificial]]&lt;&gt;"",base_de_datos[[#This Row],[Misma o no]]=1),base_de_datos[[#This Row],[Índice]],"")</f>
        <v/>
      </c>
      <c r="AT42" s="157" t="str">
        <f ca="1">IF(AND(base_de_datos[[#This Row],[Tecnologías Energéticas]]&lt;&gt;"",base_de_datos[[#This Row],[Misma o no]]=1),base_de_datos[[#This Row],[Índice]],"")</f>
        <v/>
      </c>
      <c r="AU42" s="157">
        <f ca="1">IF(AND(base_de_datos[[#This Row],[Civil y Administración]]&lt;&gt;"",base_de_datos[[#This Row],[Misma o no]]=1),base_de_datos[[#This Row],[Índice]],"")</f>
        <v>4</v>
      </c>
      <c r="AV42" s="157" t="str">
        <f ca="1">IF(AND(base_de_datos[[#This Row],[Bioelectrónica]]&lt;&gt;"",base_de_datos[[#This Row],[Misma o no]]=1),base_de_datos[[#This Row],[Índice]],"")</f>
        <v/>
      </c>
      <c r="AW42" s="161" t="s">
        <v>152</v>
      </c>
      <c r="AX42" s="231">
        <v>2</v>
      </c>
    </row>
    <row r="43" spans="2:50" s="6" customFormat="1" ht="15">
      <c r="B43" s="148" t="s">
        <v>150</v>
      </c>
      <c r="C43" s="149" t="s">
        <v>153</v>
      </c>
      <c r="D43" s="150">
        <v>1</v>
      </c>
      <c r="E43" s="151">
        <v>0.5</v>
      </c>
      <c r="F43" s="151">
        <v>0.624999999999995</v>
      </c>
      <c r="G43" s="150"/>
      <c r="H43" s="150" t="s">
        <v>154</v>
      </c>
      <c r="I43" s="150">
        <f>INDEX(Aulas_capacidad,MATCH(base_de_datos[[#This Row],[Aula]],Aulas,0),2)</f>
        <v>40</v>
      </c>
      <c r="J43" s="152">
        <v>11</v>
      </c>
      <c r="K43" s="150">
        <f>INDEX(Aulas_capacidad,MATCH(base_de_datos[[#This Row],[Aula]],Aulas,0),4)</f>
        <v>10</v>
      </c>
      <c r="L43" s="153">
        <f>base_de_datos[[#This Row],[Cap 1.5]]-base_de_datos[[#This Row],[Inscritos]]</f>
        <v>-1</v>
      </c>
      <c r="M43" s="153">
        <f>INDEX(Aulas_capacidad,MATCH(base_de_datos[[#This Row],[Aula]],Aulas,0),5)</f>
        <v>15</v>
      </c>
      <c r="N43" s="153">
        <f>base_de_datos[[#This Row],[Cap .90]]-base_de_datos[[#This Row],[Inscritos]]</f>
        <v>4</v>
      </c>
      <c r="O43" s="150" t="s">
        <v>155</v>
      </c>
      <c r="P43" s="154"/>
      <c r="Q43" s="154"/>
      <c r="R43" s="154"/>
      <c r="S43" s="154"/>
      <c r="T43" s="154" t="s">
        <v>67</v>
      </c>
      <c r="U43" s="154"/>
      <c r="V43" s="154"/>
      <c r="W43" s="154" t="s">
        <v>1657</v>
      </c>
      <c r="X43" s="155">
        <f>_xlfn.XLOOKUP(base_de_datos[[#This Row],[Materia]],Materias,Horas)/16</f>
        <v>3</v>
      </c>
      <c r="Y43" s="155">
        <f>ROUND(((base_de_datos[[#This Row],[Hora fin]]-base_de_datos[[#This Row],[Hora inicio]])*24)*(COUNTA(base_de_datos[[#This Row],[Lunes]:[Sábado]])),1)</f>
        <v>3</v>
      </c>
      <c r="Z4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3" s="155">
        <f ca="1">IF(base_de_datos[[#This Row],[No clase]]=OFFSET(base_de_datos[[#This Row],[No clase]],-1,0),0,1)</f>
        <v>1</v>
      </c>
      <c r="AB43" s="155">
        <f ca="1">IF(NOT(OR(base_de_datos[[#This Row],[Horas totales]]=base_de_datos[[#This Row],[HT Plan]],base_de_datos[[#This Row],[Horas totales]]="N/A")),1,0)</f>
        <v>0</v>
      </c>
      <c r="AC43" s="155" t="str">
        <f>_xlfn.XLOOKUP(base_de_datos[[#This Row],[Profesor]],Nombre,Grado)</f>
        <v>M</v>
      </c>
      <c r="AD43" s="156" t="str">
        <f>_xlfn.XLOOKUP(base_de_datos[[#This Row],[Profesor]],Nombre,Tipo)</f>
        <v>A</v>
      </c>
      <c r="AE43" s="155" t="str">
        <f>IF(IFERROR(VLOOKUP($C43,Planes_de_estudio[],MATCH($AE$2,Carreras,0)+2,0),"")&gt;0,IFERROR(VLOOKUP($C43,Planes_de_estudio[],MATCH($AE$2,Carreras,0)+2,0),""),"")</f>
        <v/>
      </c>
      <c r="AF43" s="155" t="str">
        <f>IF(IFERROR(VLOOKUP($C43,Planes_de_estudio[],MATCH($AF$2,Carreras,0)+2,0),"")&gt;0,IFERROR(VLOOKUP($C43,Planes_de_estudio[],MATCH($AF$2,Carreras,0)+2,0),""),"")</f>
        <v/>
      </c>
      <c r="AG43" s="155" t="str">
        <f>IF(IFERROR(VLOOKUP($C43,Planes_de_estudio[],MATCH($AG$2,Carreras,0)+2,0),"")&gt;0,IFERROR(VLOOKUP($C43,Planes_de_estudio[],MATCH($AG$2,Carreras,0)+2,0),""),"")</f>
        <v/>
      </c>
      <c r="AH43" s="155" t="str">
        <f>IF(IFERROR(VLOOKUP($C43,Planes_de_estudio[],MATCH($AH$2,Carreras,0)+2,0),"")&gt;0,IFERROR(VLOOKUP($C43,Planes_de_estudio[],MATCH($AH$2,Carreras,0)+2,0),""),"")</f>
        <v/>
      </c>
      <c r="AI43" s="155" t="str">
        <f>IF(IFERROR(VLOOKUP($C43,Planes_de_estudio[],MATCH($AI$2,Carreras,0)+2,0),"")&gt;0,IFERROR(VLOOKUP($C43,Planes_de_estudio[],MATCH($AI$2,Carreras,0)+2,0),""),"")</f>
        <v/>
      </c>
      <c r="AJ43" s="155">
        <f>IF(IFERROR(VLOOKUP($C43,Planes_de_estudio[],MATCH($AJ$2,Carreras,0)+2,0),"")&gt;0,IFERROR(VLOOKUP($C43,Planes_de_estudio[],MATCH($AJ$2,Carreras,0)+2,0),""),"")</f>
        <v>1</v>
      </c>
      <c r="AK43" s="155" t="str">
        <f>IF(IFERROR(VLOOKUP($C43,Planes_de_estudio[],MATCH($AK$2,Carreras,0)+2,0),"")&gt;0,IFERROR(VLOOKUP($C43,Planes_de_estudio[],MATCH($AK$2,Carreras,0)+2,0),""),"")</f>
        <v/>
      </c>
      <c r="AL4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43" s="155">
        <f>base_de_datos[[#This Row],[Pronóstico]]/25</f>
        <v>0.6</v>
      </c>
      <c r="AO43" s="155" t="str">
        <f>VLOOKUP($C43,Planes_de_estudio[],2)</f>
        <v>ESC</v>
      </c>
      <c r="AP43" s="157" t="str">
        <f ca="1">IF(AND(base_de_datos[[#This Row],[Industrial]]&lt;&gt;"",base_de_datos[[#This Row],[Misma o no]]=1),base_de_datos[[#This Row],[Índice]],"")</f>
        <v/>
      </c>
      <c r="AQ43" s="157" t="str">
        <f ca="1">IF(AND(base_de_datos[[#This Row],[Mecatrónica]]&lt;&gt;"",base_de_datos[[#This Row],[Misma o no]]=1),base_de_datos[[#This Row],[Índice]],"")</f>
        <v/>
      </c>
      <c r="AR43" s="157" t="str">
        <f ca="1">IF(AND(base_de_datos[[#This Row],[Innovación y Diseño]]&lt;&gt;"",base_de_datos[[#This Row],[Misma o no]]=1),base_de_datos[[#This Row],[Índice]],"")</f>
        <v/>
      </c>
      <c r="AS43" s="157" t="str">
        <f ca="1">IF(AND(base_de_datos[[#This Row],[Inteligencia Artificial]]&lt;&gt;"",base_de_datos[[#This Row],[Misma o no]]=1),base_de_datos[[#This Row],[Índice]],"")</f>
        <v/>
      </c>
      <c r="AT43" s="157" t="str">
        <f ca="1">IF(AND(base_de_datos[[#This Row],[Tecnologías Energéticas]]&lt;&gt;"",base_de_datos[[#This Row],[Misma o no]]=1),base_de_datos[[#This Row],[Índice]],"")</f>
        <v/>
      </c>
      <c r="AU43" s="157">
        <f ca="1">IF(AND(base_de_datos[[#This Row],[Civil y Administración]]&lt;&gt;"",base_de_datos[[#This Row],[Misma o no]]=1),base_de_datos[[#This Row],[Índice]],"")</f>
        <v>4</v>
      </c>
      <c r="AV43" s="157" t="str">
        <f ca="1">IF(AND(base_de_datos[[#This Row],[Bioelectrónica]]&lt;&gt;"",base_de_datos[[#This Row],[Misma o no]]=1),base_de_datos[[#This Row],[Índice]],"")</f>
        <v/>
      </c>
      <c r="AW43" s="158"/>
      <c r="AX43" s="231">
        <v>2</v>
      </c>
    </row>
    <row r="44" spans="2:50" s="6" customFormat="1" ht="15">
      <c r="B44" s="148" t="s">
        <v>156</v>
      </c>
      <c r="C44" s="149" t="s">
        <v>157</v>
      </c>
      <c r="D44" s="150">
        <v>1</v>
      </c>
      <c r="E44" s="151">
        <v>0.70833333333333304</v>
      </c>
      <c r="F44" s="151">
        <v>0.83333333333332504</v>
      </c>
      <c r="G44" s="218" t="s">
        <v>65</v>
      </c>
      <c r="H44" s="150" t="s">
        <v>145</v>
      </c>
      <c r="I44" s="150">
        <f>INDEX(Aulas_capacidad,MATCH(base_de_datos[[#This Row],[Aula]],Aulas,0),2)</f>
        <v>0</v>
      </c>
      <c r="J44" s="152">
        <v>12</v>
      </c>
      <c r="K44" s="150">
        <f>INDEX(Aulas_capacidad,MATCH(base_de_datos[[#This Row],[Aula]],Aulas,0),4)</f>
        <v>0</v>
      </c>
      <c r="L44" s="153">
        <f>base_de_datos[[#This Row],[Cap 1.5]]-base_de_datos[[#This Row],[Inscritos]]</f>
        <v>-12</v>
      </c>
      <c r="M44" s="153">
        <f>INDEX(Aulas_capacidad,MATCH(base_de_datos[[#This Row],[Aula]],Aulas,0),5)</f>
        <v>0</v>
      </c>
      <c r="N44" s="153">
        <f>base_de_datos[[#This Row],[Cap .90]]-base_de_datos[[#This Row],[Inscritos]]</f>
        <v>-12</v>
      </c>
      <c r="O44" s="150">
        <v>1470</v>
      </c>
      <c r="P44" s="154" t="s">
        <v>67</v>
      </c>
      <c r="Q44" s="154"/>
      <c r="R44" s="154"/>
      <c r="S44" s="154"/>
      <c r="T44" s="154"/>
      <c r="U44" s="154"/>
      <c r="V44" s="154"/>
      <c r="W44" s="154" t="s">
        <v>1655</v>
      </c>
      <c r="X44" s="155">
        <f>_xlfn.XLOOKUP(base_de_datos[[#This Row],[Materia]],Materias,Horas)/16</f>
        <v>3</v>
      </c>
      <c r="Y44" s="155">
        <f>ROUND(((base_de_datos[[#This Row],[Hora fin]]-base_de_datos[[#This Row],[Hora inicio]])*24)*(COUNTA(base_de_datos[[#This Row],[Lunes]:[Sábado]])),1)</f>
        <v>3</v>
      </c>
      <c r="Z4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4" s="155">
        <f ca="1">IF(base_de_datos[[#This Row],[No clase]]=OFFSET(base_de_datos[[#This Row],[No clase]],-1,0),0,1)</f>
        <v>1</v>
      </c>
      <c r="AB44" s="155">
        <f ca="1">IF(NOT(OR(base_de_datos[[#This Row],[Horas totales]]=base_de_datos[[#This Row],[HT Plan]],base_de_datos[[#This Row],[Horas totales]]="N/A")),1,0)</f>
        <v>0</v>
      </c>
      <c r="AC44" s="155" t="str">
        <f>_xlfn.XLOOKUP(base_de_datos[[#This Row],[Profesor]],Nombre,Grado)</f>
        <v>SNI</v>
      </c>
      <c r="AD44" s="156" t="str">
        <f>_xlfn.XLOOKUP(base_de_datos[[#This Row],[Profesor]],Nombre,Tipo)</f>
        <v>TC</v>
      </c>
      <c r="AE44" s="155" t="str">
        <f>IF(IFERROR(VLOOKUP($C44,Planes_de_estudio[],MATCH($AE$2,Carreras,0)+2,0),"")&gt;0,IFERROR(VLOOKUP($C44,Planes_de_estudio[],MATCH($AE$2,Carreras,0)+2,0),""),"")</f>
        <v/>
      </c>
      <c r="AF44" s="155" t="str">
        <f>IF(IFERROR(VLOOKUP($C44,Planes_de_estudio[],MATCH($AF$2,Carreras,0)+2,0),"")&gt;0,IFERROR(VLOOKUP($C44,Planes_de_estudio[],MATCH($AF$2,Carreras,0)+2,0),""),"")</f>
        <v/>
      </c>
      <c r="AG44" s="155" t="str">
        <f>IF(IFERROR(VLOOKUP($C44,Planes_de_estudio[],MATCH($AG$2,Carreras,0)+2,0),"")&gt;0,IFERROR(VLOOKUP($C44,Planes_de_estudio[],MATCH($AG$2,Carreras,0)+2,0),""),"")</f>
        <v/>
      </c>
      <c r="AH44" s="155">
        <f>IF(IFERROR(VLOOKUP($C44,Planes_de_estudio[],MATCH($AH$2,Carreras,0)+2,0),"")&gt;0,IFERROR(VLOOKUP($C44,Planes_de_estudio[],MATCH($AH$2,Carreras,0)+2,0),""),"")</f>
        <v>7</v>
      </c>
      <c r="AI44" s="155" t="str">
        <f>IF(IFERROR(VLOOKUP($C44,Planes_de_estudio[],MATCH($AI$2,Carreras,0)+2,0),"")&gt;0,IFERROR(VLOOKUP($C44,Planes_de_estudio[],MATCH($AI$2,Carreras,0)+2,0),""),"")</f>
        <v/>
      </c>
      <c r="AJ44" s="155" t="str">
        <f>IF(IFERROR(VLOOKUP($C44,Planes_de_estudio[],MATCH($AJ$2,Carreras,0)+2,0),"")&gt;0,IFERROR(VLOOKUP($C44,Planes_de_estudio[],MATCH($AJ$2,Carreras,0)+2,0),""),"")</f>
        <v/>
      </c>
      <c r="AK44" s="155" t="str">
        <f>IF(IFERROR(VLOOKUP($C44,Planes_de_estudio[],MATCH($AK$2,Carreras,0)+2,0),"")&gt;0,IFERROR(VLOOKUP($C44,Planes_de_estudio[],MATCH($AK$2,Carreras,0)+2,0),""),"")</f>
        <v/>
      </c>
      <c r="AL4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44" s="155">
        <f>base_de_datos[[#This Row],[Pronóstico]]/25</f>
        <v>0.56000000000000005</v>
      </c>
      <c r="AO44" s="155" t="str">
        <f>VLOOKUP($C44,Planes_de_estudio[],2)</f>
        <v>COM</v>
      </c>
      <c r="AP44" s="157" t="str">
        <f ca="1">IF(AND(base_de_datos[[#This Row],[Industrial]]&lt;&gt;"",base_de_datos[[#This Row],[Misma o no]]=1),base_de_datos[[#This Row],[Índice]],"")</f>
        <v/>
      </c>
      <c r="AQ44" s="157" t="str">
        <f ca="1">IF(AND(base_de_datos[[#This Row],[Mecatrónica]]&lt;&gt;"",base_de_datos[[#This Row],[Misma o no]]=1),base_de_datos[[#This Row],[Índice]],"")</f>
        <v/>
      </c>
      <c r="AR44" s="157" t="str">
        <f ca="1">IF(AND(base_de_datos[[#This Row],[Innovación y Diseño]]&lt;&gt;"",base_de_datos[[#This Row],[Misma o no]]=1),base_de_datos[[#This Row],[Índice]],"")</f>
        <v/>
      </c>
      <c r="AS44" s="157">
        <f ca="1">IF(AND(base_de_datos[[#This Row],[Inteligencia Artificial]]&lt;&gt;"",base_de_datos[[#This Row],[Misma o no]]=1),base_de_datos[[#This Row],[Índice]],"")</f>
        <v>6</v>
      </c>
      <c r="AT44" s="157" t="str">
        <f ca="1">IF(AND(base_de_datos[[#This Row],[Tecnologías Energéticas]]&lt;&gt;"",base_de_datos[[#This Row],[Misma o no]]=1),base_de_datos[[#This Row],[Índice]],"")</f>
        <v/>
      </c>
      <c r="AU44" s="157" t="str">
        <f ca="1">IF(AND(base_de_datos[[#This Row],[Civil y Administración]]&lt;&gt;"",base_de_datos[[#This Row],[Misma o no]]=1),base_de_datos[[#This Row],[Índice]],"")</f>
        <v/>
      </c>
      <c r="AV44" s="157" t="str">
        <f ca="1">IF(AND(base_de_datos[[#This Row],[Bioelectrónica]]&lt;&gt;"",base_de_datos[[#This Row],[Misma o no]]=1),base_de_datos[[#This Row],[Índice]],"")</f>
        <v/>
      </c>
      <c r="AW44" s="158"/>
      <c r="AX44" s="231">
        <v>2</v>
      </c>
    </row>
    <row r="45" spans="2:50" s="6" customFormat="1" ht="15">
      <c r="B45" s="148" t="s">
        <v>158</v>
      </c>
      <c r="C45" s="149" t="s">
        <v>159</v>
      </c>
      <c r="D45" s="150">
        <v>1</v>
      </c>
      <c r="E45" s="151">
        <v>0.5</v>
      </c>
      <c r="F45" s="151">
        <v>0.624999999999995</v>
      </c>
      <c r="G45" s="150"/>
      <c r="H45" s="150" t="s">
        <v>112</v>
      </c>
      <c r="I45" s="150">
        <f>INDEX(Aulas_capacidad,MATCH(base_de_datos[[#This Row],[Aula]],Aulas,0),2)</f>
        <v>30</v>
      </c>
      <c r="J45" s="152"/>
      <c r="K45" s="150">
        <f>INDEX(Aulas_capacidad,MATCH(base_de_datos[[#This Row],[Aula]],Aulas,0),4)</f>
        <v>0</v>
      </c>
      <c r="L45" s="153">
        <f>base_de_datos[[#This Row],[Cap 1.5]]-base_de_datos[[#This Row],[Inscritos]]</f>
        <v>0</v>
      </c>
      <c r="M45" s="153">
        <f>INDEX(Aulas_capacidad,MATCH(base_de_datos[[#This Row],[Aula]],Aulas,0),5)</f>
        <v>0</v>
      </c>
      <c r="N45" s="153">
        <f>base_de_datos[[#This Row],[Cap .90]]-base_de_datos[[#This Row],[Inscritos]]</f>
        <v>0</v>
      </c>
      <c r="O45" s="150" t="s">
        <v>160</v>
      </c>
      <c r="P45" s="154"/>
      <c r="Q45" s="154"/>
      <c r="R45" s="154"/>
      <c r="S45" s="154"/>
      <c r="T45" s="154" t="s">
        <v>67</v>
      </c>
      <c r="U45" s="154"/>
      <c r="V45" s="154"/>
      <c r="W45" s="154" t="s">
        <v>1652</v>
      </c>
      <c r="X45" s="155">
        <f>_xlfn.XLOOKUP(base_de_datos[[#This Row],[Materia]],Materias,Horas)/16</f>
        <v>3</v>
      </c>
      <c r="Y45" s="155">
        <f>ROUND(((base_de_datos[[#This Row],[Hora fin]]-base_de_datos[[#This Row],[Hora inicio]])*24)*(COUNTA(base_de_datos[[#This Row],[Lunes]:[Sábado]])),1)</f>
        <v>3</v>
      </c>
      <c r="Z4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5" s="155">
        <f ca="1">IF(base_de_datos[[#This Row],[No clase]]=OFFSET(base_de_datos[[#This Row],[No clase]],-1,0),0,1)</f>
        <v>1</v>
      </c>
      <c r="AB45" s="155">
        <f ca="1">IF(NOT(OR(base_de_datos[[#This Row],[Horas totales]]=base_de_datos[[#This Row],[HT Plan]],base_de_datos[[#This Row],[Horas totales]]="N/A")),1,0)</f>
        <v>0</v>
      </c>
      <c r="AC45" s="155" t="str">
        <f>_xlfn.XLOOKUP(base_de_datos[[#This Row],[Profesor]],Nombre,Grado)</f>
        <v>SNI</v>
      </c>
      <c r="AD45" s="156" t="str">
        <f>_xlfn.XLOOKUP(base_de_datos[[#This Row],[Profesor]],Nombre,Tipo)</f>
        <v>H</v>
      </c>
      <c r="AE45" s="155">
        <f>IF(IFERROR(VLOOKUP($C45,Planes_de_estudio[],MATCH($AE$2,Carreras,0)+2,0),"")&gt;0,IFERROR(VLOOKUP($C45,Planes_de_estudio[],MATCH($AE$2,Carreras,0)+2,0),""),"")</f>
        <v>3</v>
      </c>
      <c r="AF45" s="155">
        <f>IF(IFERROR(VLOOKUP($C45,Planes_de_estudio[],MATCH($AF$2,Carreras,0)+2,0),"")&gt;0,IFERROR(VLOOKUP($C45,Planes_de_estudio[],MATCH($AF$2,Carreras,0)+2,0),""),"")</f>
        <v>3</v>
      </c>
      <c r="AG45" s="155">
        <f>IF(IFERROR(VLOOKUP($C45,Planes_de_estudio[],MATCH($AG$2,Carreras,0)+2,0),"")&gt;0,IFERROR(VLOOKUP($C45,Planes_de_estudio[],MATCH($AG$2,Carreras,0)+2,0),""),"")</f>
        <v>3</v>
      </c>
      <c r="AH45" s="155">
        <f>IF(IFERROR(VLOOKUP($C45,Planes_de_estudio[],MATCH($AH$2,Carreras,0)+2,0),"")&gt;0,IFERROR(VLOOKUP($C45,Planes_de_estudio[],MATCH($AH$2,Carreras,0)+2,0),""),"")</f>
        <v>3</v>
      </c>
      <c r="AI45" s="155">
        <f>IF(IFERROR(VLOOKUP($C45,Planes_de_estudio[],MATCH($AI$2,Carreras,0)+2,0),"")&gt;0,IFERROR(VLOOKUP($C45,Planes_de_estudio[],MATCH($AI$2,Carreras,0)+2,0),""),"")</f>
        <v>3</v>
      </c>
      <c r="AJ45" s="155">
        <f>IF(IFERROR(VLOOKUP($C45,Planes_de_estudio[],MATCH($AJ$2,Carreras,0)+2,0),"")&gt;0,IFERROR(VLOOKUP($C45,Planes_de_estudio[],MATCH($AJ$2,Carreras,0)+2,0),""),"")</f>
        <v>3</v>
      </c>
      <c r="AK45" s="155">
        <f>IF(IFERROR(VLOOKUP($C45,Planes_de_estudio[],MATCH($AK$2,Carreras,0)+2,0),"")&gt;0,IFERROR(VLOOKUP($C45,Planes_de_estudio[],MATCH($AK$2,Carreras,0)+2,0),""),"")</f>
        <v>3</v>
      </c>
      <c r="AL4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45" s="155">
        <f>base_de_datos[[#This Row],[Pronóstico]]/25</f>
        <v>4.4000000000000004</v>
      </c>
      <c r="AO45" s="155" t="str">
        <f>VLOOKUP($C45,Planes_de_estudio[],2)</f>
        <v>HUM</v>
      </c>
      <c r="AP45" s="157">
        <f ca="1">IF(AND(base_de_datos[[#This Row],[Industrial]]&lt;&gt;"",base_de_datos[[#This Row],[Misma o no]]=1),base_de_datos[[#This Row],[Índice]],"")</f>
        <v>6</v>
      </c>
      <c r="AQ45" s="157">
        <f ca="1">IF(AND(base_de_datos[[#This Row],[Mecatrónica]]&lt;&gt;"",base_de_datos[[#This Row],[Misma o no]]=1),base_de_datos[[#This Row],[Índice]],"")</f>
        <v>6</v>
      </c>
      <c r="AR45" s="157">
        <f ca="1">IF(AND(base_de_datos[[#This Row],[Innovación y Diseño]]&lt;&gt;"",base_de_datos[[#This Row],[Misma o no]]=1),base_de_datos[[#This Row],[Índice]],"")</f>
        <v>6</v>
      </c>
      <c r="AS45" s="157">
        <f ca="1">IF(AND(base_de_datos[[#This Row],[Inteligencia Artificial]]&lt;&gt;"",base_de_datos[[#This Row],[Misma o no]]=1),base_de_datos[[#This Row],[Índice]],"")</f>
        <v>6</v>
      </c>
      <c r="AT45" s="157">
        <f ca="1">IF(AND(base_de_datos[[#This Row],[Tecnologías Energéticas]]&lt;&gt;"",base_de_datos[[#This Row],[Misma o no]]=1),base_de_datos[[#This Row],[Índice]],"")</f>
        <v>6</v>
      </c>
      <c r="AU45" s="157">
        <f ca="1">IF(AND(base_de_datos[[#This Row],[Civil y Administración]]&lt;&gt;"",base_de_datos[[#This Row],[Misma o no]]=1),base_de_datos[[#This Row],[Índice]],"")</f>
        <v>6</v>
      </c>
      <c r="AV45" s="157">
        <f ca="1">IF(AND(base_de_datos[[#This Row],[Bioelectrónica]]&lt;&gt;"",base_de_datos[[#This Row],[Misma o no]]=1),base_de_datos[[#This Row],[Índice]],"")</f>
        <v>6</v>
      </c>
      <c r="AW45" s="158"/>
      <c r="AX45" s="231">
        <v>3</v>
      </c>
    </row>
    <row r="46" spans="2:50" s="6" customFormat="1" ht="15">
      <c r="B46" s="148" t="s">
        <v>161</v>
      </c>
      <c r="C46" s="149" t="s">
        <v>162</v>
      </c>
      <c r="D46" s="150">
        <v>1</v>
      </c>
      <c r="E46" s="151">
        <v>0.66666666666666696</v>
      </c>
      <c r="F46" s="151">
        <v>0.79166666666665897</v>
      </c>
      <c r="G46" s="218" t="s">
        <v>65</v>
      </c>
      <c r="H46" s="150" t="s">
        <v>114</v>
      </c>
      <c r="I46" s="150">
        <f>INDEX(Aulas_capacidad,MATCH(base_de_datos[[#This Row],[Aula]],Aulas,0),2)</f>
        <v>36</v>
      </c>
      <c r="J46" s="152">
        <v>20</v>
      </c>
      <c r="K46" s="150">
        <f>INDEX(Aulas_capacidad,MATCH(base_de_datos[[#This Row],[Aula]],Aulas,0),4)</f>
        <v>18</v>
      </c>
      <c r="L46" s="153">
        <f>base_de_datos[[#This Row],[Cap 1.5]]-base_de_datos[[#This Row],[Inscritos]]</f>
        <v>-2</v>
      </c>
      <c r="M46" s="153">
        <f>INDEX(Aulas_capacidad,MATCH(base_de_datos[[#This Row],[Aula]],Aulas,0),5)</f>
        <v>18</v>
      </c>
      <c r="N46" s="153">
        <f>base_de_datos[[#This Row],[Cap .90]]-base_de_datos[[#This Row],[Inscritos]]</f>
        <v>-2</v>
      </c>
      <c r="O46" s="150">
        <v>1502</v>
      </c>
      <c r="P46" s="154"/>
      <c r="Q46" s="154"/>
      <c r="R46" s="154"/>
      <c r="S46" s="154"/>
      <c r="T46" s="154" t="s">
        <v>67</v>
      </c>
      <c r="U46" s="154"/>
      <c r="V46" s="154"/>
      <c r="W46" s="154" t="s">
        <v>1657</v>
      </c>
      <c r="X46" s="155">
        <f>_xlfn.XLOOKUP(base_de_datos[[#This Row],[Materia]],Materias,Horas)/16</f>
        <v>3</v>
      </c>
      <c r="Y46" s="155">
        <f>ROUND(((base_de_datos[[#This Row],[Hora fin]]-base_de_datos[[#This Row],[Hora inicio]])*24)*(COUNTA(base_de_datos[[#This Row],[Lunes]:[Sábado]])),1)</f>
        <v>3</v>
      </c>
      <c r="Z4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6" s="155">
        <f ca="1">IF(base_de_datos[[#This Row],[No clase]]=OFFSET(base_de_datos[[#This Row],[No clase]],-1,0),0,1)</f>
        <v>1</v>
      </c>
      <c r="AB46" s="155">
        <f ca="1">IF(NOT(OR(base_de_datos[[#This Row],[Horas totales]]=base_de_datos[[#This Row],[HT Plan]],base_de_datos[[#This Row],[Horas totales]]="N/A")),1,0)</f>
        <v>0</v>
      </c>
      <c r="AC46" s="155" t="str">
        <f>_xlfn.XLOOKUP(base_de_datos[[#This Row],[Profesor]],Nombre,Grado)</f>
        <v>D</v>
      </c>
      <c r="AD46" s="156" t="str">
        <f>_xlfn.XLOOKUP(base_de_datos[[#This Row],[Profesor]],Nombre,Tipo)</f>
        <v>TC</v>
      </c>
      <c r="AE46" s="155">
        <f>IF(IFERROR(VLOOKUP($C46,Planes_de_estudio[],MATCH($AE$2,Carreras,0)+2,0),"")&gt;0,IFERROR(VLOOKUP($C46,Planes_de_estudio[],MATCH($AE$2,Carreras,0)+2,0),""),"")</f>
        <v>5</v>
      </c>
      <c r="AF46" s="155" t="str">
        <f>IF(IFERROR(VLOOKUP($C46,Planes_de_estudio[],MATCH($AF$2,Carreras,0)+2,0),"")&gt;0,IFERROR(VLOOKUP($C46,Planes_de_estudio[],MATCH($AF$2,Carreras,0)+2,0),""),"")</f>
        <v/>
      </c>
      <c r="AG46" s="155" t="str">
        <f>IF(IFERROR(VLOOKUP($C46,Planes_de_estudio[],MATCH($AG$2,Carreras,0)+2,0),"")&gt;0,IFERROR(VLOOKUP($C46,Planes_de_estudio[],MATCH($AG$2,Carreras,0)+2,0),""),"")</f>
        <v/>
      </c>
      <c r="AH46" s="155" t="str">
        <f>IF(IFERROR(VLOOKUP($C46,Planes_de_estudio[],MATCH($AH$2,Carreras,0)+2,0),"")&gt;0,IFERROR(VLOOKUP($C46,Planes_de_estudio[],MATCH($AH$2,Carreras,0)+2,0),""),"")</f>
        <v/>
      </c>
      <c r="AI46" s="155" t="str">
        <f>IF(IFERROR(VLOOKUP($C46,Planes_de_estudio[],MATCH($AI$2,Carreras,0)+2,0),"")&gt;0,IFERROR(VLOOKUP($C46,Planes_de_estudio[],MATCH($AI$2,Carreras,0)+2,0),""),"")</f>
        <v/>
      </c>
      <c r="AJ46" s="155" t="str">
        <f>IF(IFERROR(VLOOKUP($C46,Planes_de_estudio[],MATCH($AJ$2,Carreras,0)+2,0),"")&gt;0,IFERROR(VLOOKUP($C46,Planes_de_estudio[],MATCH($AJ$2,Carreras,0)+2,0),""),"")</f>
        <v/>
      </c>
      <c r="AK46" s="155" t="str">
        <f>IF(IFERROR(VLOOKUP($C46,Planes_de_estudio[],MATCH($AK$2,Carreras,0)+2,0),"")&gt;0,IFERROR(VLOOKUP($C46,Planes_de_estudio[],MATCH($AK$2,Carreras,0)+2,0),""),"")</f>
        <v/>
      </c>
      <c r="AL4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46" s="155">
        <f>base_de_datos[[#This Row],[Pronóstico]]/25</f>
        <v>0.76</v>
      </c>
      <c r="AO46" s="155" t="str">
        <f>VLOOKUP($C46,Planes_de_estudio[],2)</f>
        <v>DOP</v>
      </c>
      <c r="AP46" s="157">
        <f ca="1">IF(AND(base_de_datos[[#This Row],[Industrial]]&lt;&gt;"",base_de_datos[[#This Row],[Misma o no]]=1),base_de_datos[[#This Row],[Índice]],"")</f>
        <v>6</v>
      </c>
      <c r="AQ46" s="157" t="str">
        <f ca="1">IF(AND(base_de_datos[[#This Row],[Mecatrónica]]&lt;&gt;"",base_de_datos[[#This Row],[Misma o no]]=1),base_de_datos[[#This Row],[Índice]],"")</f>
        <v/>
      </c>
      <c r="AR46" s="157" t="str">
        <f ca="1">IF(AND(base_de_datos[[#This Row],[Innovación y Diseño]]&lt;&gt;"",base_de_datos[[#This Row],[Misma o no]]=1),base_de_datos[[#This Row],[Índice]],"")</f>
        <v/>
      </c>
      <c r="AS46" s="157" t="str">
        <f ca="1">IF(AND(base_de_datos[[#This Row],[Inteligencia Artificial]]&lt;&gt;"",base_de_datos[[#This Row],[Misma o no]]=1),base_de_datos[[#This Row],[Índice]],"")</f>
        <v/>
      </c>
      <c r="AT46" s="157" t="str">
        <f ca="1">IF(AND(base_de_datos[[#This Row],[Tecnologías Energéticas]]&lt;&gt;"",base_de_datos[[#This Row],[Misma o no]]=1),base_de_datos[[#This Row],[Índice]],"")</f>
        <v/>
      </c>
      <c r="AU46" s="157" t="str">
        <f ca="1">IF(AND(base_de_datos[[#This Row],[Civil y Administración]]&lt;&gt;"",base_de_datos[[#This Row],[Misma o no]]=1),base_de_datos[[#This Row],[Índice]],"")</f>
        <v/>
      </c>
      <c r="AV46" s="157" t="str">
        <f ca="1">IF(AND(base_de_datos[[#This Row],[Bioelectrónica]]&lt;&gt;"",base_de_datos[[#This Row],[Misma o no]]=1),base_de_datos[[#This Row],[Índice]],"")</f>
        <v/>
      </c>
      <c r="AW46" s="158"/>
      <c r="AX46" s="231">
        <v>2</v>
      </c>
    </row>
    <row r="47" spans="2:50" s="6" customFormat="1" ht="30">
      <c r="B47" s="148" t="s">
        <v>163</v>
      </c>
      <c r="C47" s="149" t="s">
        <v>144</v>
      </c>
      <c r="D47" s="150">
        <v>3</v>
      </c>
      <c r="E47" s="151">
        <v>0.29166666666666669</v>
      </c>
      <c r="F47" s="151">
        <v>0.374999999999999</v>
      </c>
      <c r="G47" s="150"/>
      <c r="H47" s="150" t="s">
        <v>154</v>
      </c>
      <c r="I47" s="150">
        <f>INDEX(Aulas_capacidad,MATCH(base_de_datos[[#This Row],[Aula]],Aulas,0),2)</f>
        <v>40</v>
      </c>
      <c r="J47" s="212">
        <v>27</v>
      </c>
      <c r="K47" s="150">
        <f>INDEX(Aulas_capacidad,MATCH(base_de_datos[[#This Row],[Aula]],Aulas,0),4)</f>
        <v>10</v>
      </c>
      <c r="L47" s="153">
        <f>base_de_datos[[#This Row],[Cap 1.5]]-base_de_datos[[#This Row],[Inscritos]]</f>
        <v>-17</v>
      </c>
      <c r="M47" s="153">
        <f>INDEX(Aulas_capacidad,MATCH(base_de_datos[[#This Row],[Aula]],Aulas,0),5)</f>
        <v>15</v>
      </c>
      <c r="N47" s="153">
        <f>base_de_datos[[#This Row],[Cap .90]]-base_de_datos[[#This Row],[Inscritos]]</f>
        <v>-12</v>
      </c>
      <c r="O47" s="150" t="s">
        <v>164</v>
      </c>
      <c r="P47" s="154" t="s">
        <v>67</v>
      </c>
      <c r="Q47" s="154"/>
      <c r="R47" s="154" t="s">
        <v>67</v>
      </c>
      <c r="S47" s="154"/>
      <c r="T47" s="154"/>
      <c r="U47" s="154"/>
      <c r="V47" s="154"/>
      <c r="W47" s="154" t="s">
        <v>1654</v>
      </c>
      <c r="X47" s="155">
        <f>_xlfn.XLOOKUP(base_de_datos[[#This Row],[Materia]],Materias,Horas)/16</f>
        <v>4</v>
      </c>
      <c r="Y47" s="155">
        <f>ROUND(((base_de_datos[[#This Row],[Hora fin]]-base_de_datos[[#This Row],[Hora inicio]])*24)*(COUNTA(base_de_datos[[#This Row],[Lunes]:[Sábado]])),1)</f>
        <v>4</v>
      </c>
      <c r="Z4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7" s="155">
        <f ca="1">IF(base_de_datos[[#This Row],[No clase]]=OFFSET(base_de_datos[[#This Row],[No clase]],-1,0),0,1)</f>
        <v>1</v>
      </c>
      <c r="AB47" s="155">
        <f ca="1">IF(NOT(OR(base_de_datos[[#This Row],[Horas totales]]=base_de_datos[[#This Row],[HT Plan]],base_de_datos[[#This Row],[Horas totales]]="N/A")),1,0)</f>
        <v>0</v>
      </c>
      <c r="AC47" s="155" t="str">
        <f>_xlfn.XLOOKUP(base_de_datos[[#This Row],[Profesor]],Nombre,Grado)</f>
        <v>M</v>
      </c>
      <c r="AD47" s="156" t="str">
        <f>_xlfn.XLOOKUP(base_de_datos[[#This Row],[Profesor]],Nombre,Tipo)</f>
        <v>A</v>
      </c>
      <c r="AE47" s="155">
        <f>IF(IFERROR(VLOOKUP($C47,Planes_de_estudio[],MATCH($AE$2,Carreras,0)+2,0),"")&gt;0,IFERROR(VLOOKUP($C47,Planes_de_estudio[],MATCH($AE$2,Carreras,0)+2,0),""),"")</f>
        <v>1</v>
      </c>
      <c r="AF47" s="155">
        <f>IF(IFERROR(VLOOKUP($C47,Planes_de_estudio[],MATCH($AF$2,Carreras,0)+2,0),"")&gt;0,IFERROR(VLOOKUP($C47,Planes_de_estudio[],MATCH($AF$2,Carreras,0)+2,0),""),"")</f>
        <v>1</v>
      </c>
      <c r="AG47" s="155">
        <f>IF(IFERROR(VLOOKUP($C47,Planes_de_estudio[],MATCH($AG$2,Carreras,0)+2,0),"")&gt;0,IFERROR(VLOOKUP($C47,Planes_de_estudio[],MATCH($AG$2,Carreras,0)+2,0),""),"")</f>
        <v>3</v>
      </c>
      <c r="AH47" s="155">
        <f>IF(IFERROR(VLOOKUP($C47,Planes_de_estudio[],MATCH($AH$2,Carreras,0)+2,0),"")&gt;0,IFERROR(VLOOKUP($C47,Planes_de_estudio[],MATCH($AH$2,Carreras,0)+2,0),""),"")</f>
        <v>1</v>
      </c>
      <c r="AI47" s="155">
        <f>IF(IFERROR(VLOOKUP($C47,Planes_de_estudio[],MATCH($AI$2,Carreras,0)+2,0),"")&gt;0,IFERROR(VLOOKUP($C47,Planes_de_estudio[],MATCH($AI$2,Carreras,0)+2,0),""),"")</f>
        <v>1</v>
      </c>
      <c r="AJ47" s="155">
        <f>IF(IFERROR(VLOOKUP($C47,Planes_de_estudio[],MATCH($AJ$2,Carreras,0)+2,0),"")&gt;0,IFERROR(VLOOKUP($C47,Planes_de_estudio[],MATCH($AJ$2,Carreras,0)+2,0),""),"")</f>
        <v>1</v>
      </c>
      <c r="AK47" s="155">
        <f>IF(IFERROR(VLOOKUP($C47,Planes_de_estudio[],MATCH($AK$2,Carreras,0)+2,0),"")&gt;0,IFERROR(VLOOKUP($C47,Planes_de_estudio[],MATCH($AK$2,Carreras,0)+2,0),""),"")</f>
        <v>1</v>
      </c>
      <c r="AL4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47" s="155">
        <f>base_de_datos[[#This Row],[Pronóstico]]/25</f>
        <v>4.4400000000000004</v>
      </c>
      <c r="AO47" s="155" t="str">
        <f>VLOOKUP($C47,Planes_de_estudio[],2)</f>
        <v>COM</v>
      </c>
      <c r="AP47" s="157">
        <f ca="1">IF(AND(base_de_datos[[#This Row],[Industrial]]&lt;&gt;"",base_de_datos[[#This Row],[Misma o no]]=1),base_de_datos[[#This Row],[Índice]],"")</f>
        <v>4</v>
      </c>
      <c r="AQ47" s="157">
        <f ca="1">IF(AND(base_de_datos[[#This Row],[Mecatrónica]]&lt;&gt;"",base_de_datos[[#This Row],[Misma o no]]=1),base_de_datos[[#This Row],[Índice]],"")</f>
        <v>4</v>
      </c>
      <c r="AR47" s="157">
        <f ca="1">IF(AND(base_de_datos[[#This Row],[Innovación y Diseño]]&lt;&gt;"",base_de_datos[[#This Row],[Misma o no]]=1),base_de_datos[[#This Row],[Índice]],"")</f>
        <v>4</v>
      </c>
      <c r="AS47" s="157">
        <f ca="1">IF(AND(base_de_datos[[#This Row],[Inteligencia Artificial]]&lt;&gt;"",base_de_datos[[#This Row],[Misma o no]]=1),base_de_datos[[#This Row],[Índice]],"")</f>
        <v>4</v>
      </c>
      <c r="AT47" s="157">
        <f ca="1">IF(AND(base_de_datos[[#This Row],[Tecnologías Energéticas]]&lt;&gt;"",base_de_datos[[#This Row],[Misma o no]]=1),base_de_datos[[#This Row],[Índice]],"")</f>
        <v>4</v>
      </c>
      <c r="AU47" s="157">
        <f ca="1">IF(AND(base_de_datos[[#This Row],[Civil y Administración]]&lt;&gt;"",base_de_datos[[#This Row],[Misma o no]]=1),base_de_datos[[#This Row],[Índice]],"")</f>
        <v>4</v>
      </c>
      <c r="AV47" s="157">
        <f ca="1">IF(AND(base_de_datos[[#This Row],[Bioelectrónica]]&lt;&gt;"",base_de_datos[[#This Row],[Misma o no]]=1),base_de_datos[[#This Row],[Índice]],"")</f>
        <v>4</v>
      </c>
      <c r="AW47" s="158"/>
      <c r="AX47" s="231">
        <v>2</v>
      </c>
    </row>
    <row r="48" spans="2:50" s="6" customFormat="1" ht="15">
      <c r="B48" s="148" t="s">
        <v>165</v>
      </c>
      <c r="C48" s="149" t="s">
        <v>166</v>
      </c>
      <c r="D48" s="150">
        <v>1</v>
      </c>
      <c r="E48" s="151">
        <v>0.64583333333332804</v>
      </c>
      <c r="F48" s="151">
        <v>0.70833333333332704</v>
      </c>
      <c r="G48" s="218" t="s">
        <v>65</v>
      </c>
      <c r="H48" s="150" t="s">
        <v>127</v>
      </c>
      <c r="I48" s="150">
        <f>INDEX(Aulas_capacidad,MATCH(base_de_datos[[#This Row],[Aula]],Aulas,0),2)</f>
        <v>30</v>
      </c>
      <c r="J48" s="152">
        <v>17</v>
      </c>
      <c r="K48" s="150">
        <f>INDEX(Aulas_capacidad,MATCH(base_de_datos[[#This Row],[Aula]],Aulas,0),4)</f>
        <v>12</v>
      </c>
      <c r="L48" s="153">
        <f>base_de_datos[[#This Row],[Cap 1.5]]-base_de_datos[[#This Row],[Inscritos]]</f>
        <v>-5</v>
      </c>
      <c r="M48" s="153">
        <f>INDEX(Aulas_capacidad,MATCH(base_de_datos[[#This Row],[Aula]],Aulas,0),5)</f>
        <v>18</v>
      </c>
      <c r="N48" s="153">
        <f>base_de_datos[[#This Row],[Cap .90]]-base_de_datos[[#This Row],[Inscritos]]</f>
        <v>1</v>
      </c>
      <c r="O48" s="150">
        <v>1607</v>
      </c>
      <c r="P48" s="154"/>
      <c r="Q48" s="154" t="s">
        <v>67</v>
      </c>
      <c r="R48" s="154"/>
      <c r="S48" s="154" t="s">
        <v>67</v>
      </c>
      <c r="T48" s="154"/>
      <c r="U48" s="154"/>
      <c r="V48" s="154" t="s">
        <v>67</v>
      </c>
      <c r="W48" s="154" t="s">
        <v>1650</v>
      </c>
      <c r="X48" s="174">
        <f>_xlfn.XLOOKUP(base_de_datos[[#This Row],[Materia]],Materias,Horas)/16</f>
        <v>3</v>
      </c>
      <c r="Y48" s="174">
        <f>ROUND(((base_de_datos[[#This Row],[Hora fin]]-base_de_datos[[#This Row],[Hora inicio]])*24)*(COUNTA(base_de_datos[[#This Row],[Lunes]:[Sábado]])),1)</f>
        <v>3</v>
      </c>
      <c r="Z48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8" s="155">
        <f ca="1">IF(base_de_datos[[#This Row],[No clase]]=OFFSET(base_de_datos[[#This Row],[No clase]],-1,0),0,1)</f>
        <v>1</v>
      </c>
      <c r="AB48" s="155">
        <f ca="1">IF(NOT(OR(base_de_datos[[#This Row],[Horas totales]]=base_de_datos[[#This Row],[HT Plan]],base_de_datos[[#This Row],[Horas totales]]="N/A")),1,0)</f>
        <v>0</v>
      </c>
      <c r="AC48" s="155" t="str">
        <f>_xlfn.XLOOKUP(base_de_datos[[#This Row],[Profesor]],Nombre,Grado)</f>
        <v>E</v>
      </c>
      <c r="AD48" s="156" t="str">
        <f>_xlfn.XLOOKUP(base_de_datos[[#This Row],[Profesor]],Nombre,Tipo)</f>
        <v>TC</v>
      </c>
      <c r="AE48" s="155" t="str">
        <f>IF(IFERROR(VLOOKUP($C48,Planes_de_estudio[],MATCH($AE$2,Carreras,0)+2,0),"")&gt;0,IFERROR(VLOOKUP($C48,Planes_de_estudio[],MATCH($AE$2,Carreras,0)+2,0),""),"")</f>
        <v/>
      </c>
      <c r="AF48" s="155">
        <f>IF(IFERROR(VLOOKUP($C48,Planes_de_estudio[],MATCH($AF$2,Carreras,0)+2,0),"")&gt;0,IFERROR(VLOOKUP($C48,Planes_de_estudio[],MATCH($AF$2,Carreras,0)+2,0),""),"")</f>
        <v>7</v>
      </c>
      <c r="AG48" s="155" t="str">
        <f>IF(IFERROR(VLOOKUP($C48,Planes_de_estudio[],MATCH($AG$2,Carreras,0)+2,0),"")&gt;0,IFERROR(VLOOKUP($C48,Planes_de_estudio[],MATCH($AG$2,Carreras,0)+2,0),""),"")</f>
        <v/>
      </c>
      <c r="AH48" s="155" t="str">
        <f>IF(IFERROR(VLOOKUP($C48,Planes_de_estudio[],MATCH($AH$2,Carreras,0)+2,0),"")&gt;0,IFERROR(VLOOKUP($C48,Planes_de_estudio[],MATCH($AH$2,Carreras,0)+2,0),""),"")</f>
        <v/>
      </c>
      <c r="AI48" s="155" t="str">
        <f>IF(IFERROR(VLOOKUP($C48,Planes_de_estudio[],MATCH($AI$2,Carreras,0)+2,0),"")&gt;0,IFERROR(VLOOKUP($C48,Planes_de_estudio[],MATCH($AI$2,Carreras,0)+2,0),""),"")</f>
        <v/>
      </c>
      <c r="AJ48" s="155" t="str">
        <f>IF(IFERROR(VLOOKUP($C48,Planes_de_estudio[],MATCH($AJ$2,Carreras,0)+2,0),"")&gt;0,IFERROR(VLOOKUP($C48,Planes_de_estudio[],MATCH($AJ$2,Carreras,0)+2,0),""),"")</f>
        <v/>
      </c>
      <c r="AK48" s="155" t="str">
        <f>IF(IFERROR(VLOOKUP($C48,Planes_de_estudio[],MATCH($AK$2,Carreras,0)+2,0),"")&gt;0,IFERROR(VLOOKUP($C48,Planes_de_estudio[],MATCH($AK$2,Carreras,0)+2,0),""),"")</f>
        <v/>
      </c>
      <c r="AL4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18</v>
      </c>
      <c r="AN48" s="155">
        <f>base_de_datos[[#This Row],[Pronóstico]]/25</f>
        <v>0.72</v>
      </c>
      <c r="AO48" s="155" t="str">
        <f>VLOOKUP($C48,Planes_de_estudio[],2)</f>
        <v>MEC</v>
      </c>
      <c r="AP48" s="157" t="str">
        <f ca="1">IF(AND(base_de_datos[[#This Row],[Industrial]]&lt;&gt;"",base_de_datos[[#This Row],[Misma o no]]=1),base_de_datos[[#This Row],[Índice]],"")</f>
        <v/>
      </c>
      <c r="AQ48" s="157">
        <f ca="1">IF(AND(base_de_datos[[#This Row],[Mecatrónica]]&lt;&gt;"",base_de_datos[[#This Row],[Misma o no]]=1),base_de_datos[[#This Row],[Índice]],"")</f>
        <v>2</v>
      </c>
      <c r="AR48" s="157" t="str">
        <f ca="1">IF(AND(base_de_datos[[#This Row],[Innovación y Diseño]]&lt;&gt;"",base_de_datos[[#This Row],[Misma o no]]=1),base_de_datos[[#This Row],[Índice]],"")</f>
        <v/>
      </c>
      <c r="AS48" s="157" t="str">
        <f ca="1">IF(AND(base_de_datos[[#This Row],[Inteligencia Artificial]]&lt;&gt;"",base_de_datos[[#This Row],[Misma o no]]=1),base_de_datos[[#This Row],[Índice]],"")</f>
        <v/>
      </c>
      <c r="AT48" s="157" t="str">
        <f ca="1">IF(AND(base_de_datos[[#This Row],[Tecnologías Energéticas]]&lt;&gt;"",base_de_datos[[#This Row],[Misma o no]]=1),base_de_datos[[#This Row],[Índice]],"")</f>
        <v/>
      </c>
      <c r="AU48" s="157" t="str">
        <f ca="1">IF(AND(base_de_datos[[#This Row],[Civil y Administración]]&lt;&gt;"",base_de_datos[[#This Row],[Misma o no]]=1),base_de_datos[[#This Row],[Índice]],"")</f>
        <v/>
      </c>
      <c r="AV48" s="157" t="str">
        <f ca="1">IF(AND(base_de_datos[[#This Row],[Bioelectrónica]]&lt;&gt;"",base_de_datos[[#This Row],[Misma o no]]=1),base_de_datos[[#This Row],[Índice]],"")</f>
        <v/>
      </c>
      <c r="AW48" s="158"/>
      <c r="AX48" s="231" t="s">
        <v>1630</v>
      </c>
    </row>
    <row r="49" spans="2:50" s="6" customFormat="1" ht="15">
      <c r="B49" s="148" t="s">
        <v>165</v>
      </c>
      <c r="C49" s="149" t="s">
        <v>167</v>
      </c>
      <c r="D49" s="150">
        <v>1</v>
      </c>
      <c r="E49" s="151">
        <v>0.79166666666666696</v>
      </c>
      <c r="F49" s="151">
        <v>0.87499999999999001</v>
      </c>
      <c r="G49" s="218" t="s">
        <v>65</v>
      </c>
      <c r="H49" s="150" t="s">
        <v>87</v>
      </c>
      <c r="I49" s="150">
        <f>INDEX(Aulas_capacidad,MATCH(base_de_datos[[#This Row],[Aula]],Aulas,0),2)</f>
        <v>40</v>
      </c>
      <c r="J49" s="152">
        <v>9</v>
      </c>
      <c r="K49" s="150">
        <f>INDEX(Aulas_capacidad,MATCH(base_de_datos[[#This Row],[Aula]],Aulas,0),4)</f>
        <v>0</v>
      </c>
      <c r="L49" s="153">
        <f>base_de_datos[[#This Row],[Cap 1.5]]-base_de_datos[[#This Row],[Inscritos]]</f>
        <v>-9</v>
      </c>
      <c r="M49" s="153">
        <f>INDEX(Aulas_capacidad,MATCH(base_de_datos[[#This Row],[Aula]],Aulas,0),5)</f>
        <v>0</v>
      </c>
      <c r="N49" s="153">
        <f>base_de_datos[[#This Row],[Cap .90]]-base_de_datos[[#This Row],[Inscritos]]</f>
        <v>-9</v>
      </c>
      <c r="O49" s="150">
        <v>1623</v>
      </c>
      <c r="P49" s="154" t="s">
        <v>67</v>
      </c>
      <c r="Q49" s="154"/>
      <c r="R49" s="154" t="s">
        <v>67</v>
      </c>
      <c r="S49" s="154"/>
      <c r="T49" s="154"/>
      <c r="U49" s="154"/>
      <c r="V49" s="154" t="s">
        <v>67</v>
      </c>
      <c r="W49" s="154" t="s">
        <v>1653</v>
      </c>
      <c r="X49" s="155">
        <f>_xlfn.XLOOKUP(base_de_datos[[#This Row],[Materia]],Materias,Horas)/16</f>
        <v>4</v>
      </c>
      <c r="Y49" s="155">
        <f>ROUND(((base_de_datos[[#This Row],[Hora fin]]-base_de_datos[[#This Row],[Hora inicio]])*24)*(COUNTA(base_de_datos[[#This Row],[Lunes]:[Sábado]])),1)</f>
        <v>4</v>
      </c>
      <c r="Z4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9" s="155">
        <f ca="1">IF(base_de_datos[[#This Row],[No clase]]=OFFSET(base_de_datos[[#This Row],[No clase]],-1,0),0,1)</f>
        <v>1</v>
      </c>
      <c r="AB49" s="155">
        <f ca="1">IF(NOT(OR(base_de_datos[[#This Row],[Horas totales]]=base_de_datos[[#This Row],[HT Plan]],base_de_datos[[#This Row],[Horas totales]]="N/A")),1,0)</f>
        <v>0</v>
      </c>
      <c r="AC49" s="155" t="str">
        <f>_xlfn.XLOOKUP(base_de_datos[[#This Row],[Profesor]],Nombre,Grado)</f>
        <v>E</v>
      </c>
      <c r="AD49" s="156" t="str">
        <f>_xlfn.XLOOKUP(base_de_datos[[#This Row],[Profesor]],Nombre,Tipo)</f>
        <v>TC</v>
      </c>
      <c r="AE49" s="155">
        <f>IF(IFERROR(VLOOKUP($C49,Planes_de_estudio[],MATCH($AE$2,Carreras,0)+2,0),"")&gt;0,IFERROR(VLOOKUP($C49,Planes_de_estudio[],MATCH($AE$2,Carreras,0)+2,0),""),"")</f>
        <v>6</v>
      </c>
      <c r="AF49" s="155">
        <f>IF(IFERROR(VLOOKUP($C49,Planes_de_estudio[],MATCH($AF$2,Carreras,0)+2,0),"")&gt;0,IFERROR(VLOOKUP($C49,Planes_de_estudio[],MATCH($AF$2,Carreras,0)+2,0),""),"")</f>
        <v>6</v>
      </c>
      <c r="AG49" s="155">
        <f>IF(IFERROR(VLOOKUP($C49,Planes_de_estudio[],MATCH($AG$2,Carreras,0)+2,0),"")&gt;0,IFERROR(VLOOKUP($C49,Planes_de_estudio[],MATCH($AG$2,Carreras,0)+2,0),""),"")</f>
        <v>7</v>
      </c>
      <c r="AH49" s="155" t="str">
        <f>IF(IFERROR(VLOOKUP($C49,Planes_de_estudio[],MATCH($AH$2,Carreras,0)+2,0),"")&gt;0,IFERROR(VLOOKUP($C49,Planes_de_estudio[],MATCH($AH$2,Carreras,0)+2,0),""),"")</f>
        <v/>
      </c>
      <c r="AI49" s="155" t="str">
        <f>IF(IFERROR(VLOOKUP($C49,Planes_de_estudio[],MATCH($AI$2,Carreras,0)+2,0),"")&gt;0,IFERROR(VLOOKUP($C49,Planes_de_estudio[],MATCH($AI$2,Carreras,0)+2,0),""),"")</f>
        <v/>
      </c>
      <c r="AJ49" s="155" t="str">
        <f>IF(IFERROR(VLOOKUP($C49,Planes_de_estudio[],MATCH($AJ$2,Carreras,0)+2,0),"")&gt;0,IFERROR(VLOOKUP($C49,Planes_de_estudio[],MATCH($AJ$2,Carreras,0)+2,0),""),"")</f>
        <v/>
      </c>
      <c r="AK49" s="155" t="str">
        <f>IF(IFERROR(VLOOKUP($C49,Planes_de_estudio[],MATCH($AK$2,Carreras,0)+2,0),"")&gt;0,IFERROR(VLOOKUP($C49,Planes_de_estudio[],MATCH($AK$2,Carreras,0)+2,0),""),"")</f>
        <v/>
      </c>
      <c r="AL4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26</v>
      </c>
      <c r="AN49" s="155">
        <f>base_de_datos[[#This Row],[Pronóstico]]/25</f>
        <v>1.04</v>
      </c>
      <c r="AO49" s="155" t="str">
        <f>VLOOKUP($C49,Planes_de_estudio[],2)</f>
        <v>MEC</v>
      </c>
      <c r="AP49" s="157">
        <f ca="1">IF(AND(base_de_datos[[#This Row],[Industrial]]&lt;&gt;"",base_de_datos[[#This Row],[Misma o no]]=1),base_de_datos[[#This Row],[Índice]],"")</f>
        <v>2</v>
      </c>
      <c r="AQ49" s="157">
        <f ca="1">IF(AND(base_de_datos[[#This Row],[Mecatrónica]]&lt;&gt;"",base_de_datos[[#This Row],[Misma o no]]=1),base_de_datos[[#This Row],[Índice]],"")</f>
        <v>2</v>
      </c>
      <c r="AR49" s="157">
        <f ca="1">IF(AND(base_de_datos[[#This Row],[Innovación y Diseño]]&lt;&gt;"",base_de_datos[[#This Row],[Misma o no]]=1),base_de_datos[[#This Row],[Índice]],"")</f>
        <v>2</v>
      </c>
      <c r="AS49" s="157" t="str">
        <f ca="1">IF(AND(base_de_datos[[#This Row],[Inteligencia Artificial]]&lt;&gt;"",base_de_datos[[#This Row],[Misma o no]]=1),base_de_datos[[#This Row],[Índice]],"")</f>
        <v/>
      </c>
      <c r="AT49" s="157" t="str">
        <f ca="1">IF(AND(base_de_datos[[#This Row],[Tecnologías Energéticas]]&lt;&gt;"",base_de_datos[[#This Row],[Misma o no]]=1),base_de_datos[[#This Row],[Índice]],"")</f>
        <v/>
      </c>
      <c r="AU49" s="157" t="str">
        <f ca="1">IF(AND(base_de_datos[[#This Row],[Civil y Administración]]&lt;&gt;"",base_de_datos[[#This Row],[Misma o no]]=1),base_de_datos[[#This Row],[Índice]],"")</f>
        <v/>
      </c>
      <c r="AV49" s="157" t="str">
        <f ca="1">IF(AND(base_de_datos[[#This Row],[Bioelectrónica]]&lt;&gt;"",base_de_datos[[#This Row],[Misma o no]]=1),base_de_datos[[#This Row],[Índice]],"")</f>
        <v/>
      </c>
      <c r="AW49" s="158"/>
      <c r="AX49" s="231">
        <v>3</v>
      </c>
    </row>
    <row r="50" spans="2:50" s="6" customFormat="1" ht="15">
      <c r="B50" s="148" t="s">
        <v>168</v>
      </c>
      <c r="C50" s="149" t="s">
        <v>169</v>
      </c>
      <c r="D50" s="150">
        <v>2</v>
      </c>
      <c r="E50" s="151">
        <v>0.29166666666666669</v>
      </c>
      <c r="F50" s="151">
        <v>0.374999999999999</v>
      </c>
      <c r="G50" s="150"/>
      <c r="H50" s="215" t="s">
        <v>66</v>
      </c>
      <c r="I50" s="150">
        <f>INDEX(Aulas_capacidad,MATCH(base_de_datos[[#This Row],[Aula]],Aulas,0),2)</f>
        <v>0</v>
      </c>
      <c r="J50" s="152">
        <v>29</v>
      </c>
      <c r="K50" s="150">
        <f>INDEX(Aulas_capacidad,MATCH(base_de_datos[[#This Row],[Aula]],Aulas,0),4)</f>
        <v>0</v>
      </c>
      <c r="L50" s="153">
        <f>base_de_datos[[#This Row],[Cap 1.5]]-base_de_datos[[#This Row],[Inscritos]]</f>
        <v>-29</v>
      </c>
      <c r="M50" s="153">
        <f>INDEX(Aulas_capacidad,MATCH(base_de_datos[[#This Row],[Aula]],Aulas,0),5)</f>
        <v>0</v>
      </c>
      <c r="N50" s="153">
        <f>base_de_datos[[#This Row],[Cap .90]]-base_de_datos[[#This Row],[Inscritos]]</f>
        <v>-29</v>
      </c>
      <c r="O50" s="150" t="s">
        <v>170</v>
      </c>
      <c r="P50" s="154"/>
      <c r="Q50" s="154"/>
      <c r="R50" s="154" t="s">
        <v>67</v>
      </c>
      <c r="S50" s="154"/>
      <c r="T50" s="154"/>
      <c r="U50" s="154"/>
      <c r="V50" s="154"/>
      <c r="W50" s="154" t="s">
        <v>1657</v>
      </c>
      <c r="X50" s="155">
        <f>_xlfn.XLOOKUP(base_de_datos[[#This Row],[Materia]],Materias,Horas)/16</f>
        <v>4</v>
      </c>
      <c r="Y50" s="155">
        <f>ROUND(((base_de_datos[[#This Row],[Hora fin]]-base_de_datos[[#This Row],[Hora inicio]])*24)*(COUNTA(base_de_datos[[#This Row],[Lunes]:[Sábado]])),1)</f>
        <v>2</v>
      </c>
      <c r="Z5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0" s="155">
        <f ca="1">IF(base_de_datos[[#This Row],[No clase]]=OFFSET(base_de_datos[[#This Row],[No clase]],-1,0),0,1)</f>
        <v>1</v>
      </c>
      <c r="AB50" s="155">
        <f ca="1">IF(NOT(OR(base_de_datos[[#This Row],[Horas totales]]=base_de_datos[[#This Row],[HT Plan]],base_de_datos[[#This Row],[Horas totales]]="N/A")),1,0)</f>
        <v>0</v>
      </c>
      <c r="AC50" s="155" t="str">
        <f>_xlfn.XLOOKUP(base_de_datos[[#This Row],[Profesor]],Nombre,Grado)</f>
        <v>M</v>
      </c>
      <c r="AD50" s="156" t="str">
        <f>_xlfn.XLOOKUP(base_de_datos[[#This Row],[Profesor]],Nombre,Tipo)</f>
        <v>A</v>
      </c>
      <c r="AE50" s="155" t="str">
        <f>IF(IFERROR(VLOOKUP($C50,Planes_de_estudio[],MATCH($AE$2,Carreras,0)+2,0),"")&gt;0,IFERROR(VLOOKUP($C50,Planes_de_estudio[],MATCH($AE$2,Carreras,0)+2,0),""),"")</f>
        <v/>
      </c>
      <c r="AF50" s="155">
        <f>IF(IFERROR(VLOOKUP($C50,Planes_de_estudio[],MATCH($AF$2,Carreras,0)+2,0),"")&gt;0,IFERROR(VLOOKUP($C50,Planes_de_estudio[],MATCH($AF$2,Carreras,0)+2,0),""),"")</f>
        <v>3</v>
      </c>
      <c r="AG50" s="155" t="str">
        <f>IF(IFERROR(VLOOKUP($C50,Planes_de_estudio[],MATCH($AG$2,Carreras,0)+2,0),"")&gt;0,IFERROR(VLOOKUP($C50,Planes_de_estudio[],MATCH($AG$2,Carreras,0)+2,0),""),"")</f>
        <v/>
      </c>
      <c r="AH50" s="155">
        <f>IF(IFERROR(VLOOKUP($C50,Planes_de_estudio[],MATCH($AH$2,Carreras,0)+2,0),"")&gt;0,IFERROR(VLOOKUP($C50,Planes_de_estudio[],MATCH($AH$2,Carreras,0)+2,0),""),"")</f>
        <v>3</v>
      </c>
      <c r="AI50" s="155" t="str">
        <f>IF(IFERROR(VLOOKUP($C50,Planes_de_estudio[],MATCH($AI$2,Carreras,0)+2,0),"")&gt;0,IFERROR(VLOOKUP($C50,Planes_de_estudio[],MATCH($AI$2,Carreras,0)+2,0),""),"")</f>
        <v/>
      </c>
      <c r="AJ50" s="155" t="str">
        <f>IF(IFERROR(VLOOKUP($C50,Planes_de_estudio[],MATCH($AJ$2,Carreras,0)+2,0),"")&gt;0,IFERROR(VLOOKUP($C50,Planes_de_estudio[],MATCH($AJ$2,Carreras,0)+2,0),""),"")</f>
        <v/>
      </c>
      <c r="AK50" s="155">
        <f>IF(IFERROR(VLOOKUP($C50,Planes_de_estudio[],MATCH($AK$2,Carreras,0)+2,0),"")&gt;0,IFERROR(VLOOKUP($C50,Planes_de_estudio[],MATCH($AK$2,Carreras,0)+2,0),""),"")</f>
        <v>3</v>
      </c>
      <c r="AL5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54</v>
      </c>
      <c r="AN50" s="155">
        <f>base_de_datos[[#This Row],[Pronóstico]]/25</f>
        <v>2.16</v>
      </c>
      <c r="AO50" s="155" t="str">
        <f>VLOOKUP($C50,Planes_de_estudio[],2)</f>
        <v>COM</v>
      </c>
      <c r="AP50" s="157" t="str">
        <f ca="1">IF(AND(base_de_datos[[#This Row],[Industrial]]&lt;&gt;"",base_de_datos[[#This Row],[Misma o no]]=1),base_de_datos[[#This Row],[Índice]],"")</f>
        <v/>
      </c>
      <c r="AQ50" s="157">
        <f ca="1">IF(AND(base_de_datos[[#This Row],[Mecatrónica]]&lt;&gt;"",base_de_datos[[#This Row],[Misma o no]]=1),base_de_datos[[#This Row],[Índice]],"")</f>
        <v>4</v>
      </c>
      <c r="AR50" s="157" t="str">
        <f ca="1">IF(AND(base_de_datos[[#This Row],[Innovación y Diseño]]&lt;&gt;"",base_de_datos[[#This Row],[Misma o no]]=1),base_de_datos[[#This Row],[Índice]],"")</f>
        <v/>
      </c>
      <c r="AS50" s="157">
        <f ca="1">IF(AND(base_de_datos[[#This Row],[Inteligencia Artificial]]&lt;&gt;"",base_de_datos[[#This Row],[Misma o no]]=1),base_de_datos[[#This Row],[Índice]],"")</f>
        <v>4</v>
      </c>
      <c r="AT50" s="157" t="str">
        <f ca="1">IF(AND(base_de_datos[[#This Row],[Tecnologías Energéticas]]&lt;&gt;"",base_de_datos[[#This Row],[Misma o no]]=1),base_de_datos[[#This Row],[Índice]],"")</f>
        <v/>
      </c>
      <c r="AU50" s="157" t="str">
        <f ca="1">IF(AND(base_de_datos[[#This Row],[Civil y Administración]]&lt;&gt;"",base_de_datos[[#This Row],[Misma o no]]=1),base_de_datos[[#This Row],[Índice]],"")</f>
        <v/>
      </c>
      <c r="AV50" s="157">
        <f ca="1">IF(AND(base_de_datos[[#This Row],[Bioelectrónica]]&lt;&gt;"",base_de_datos[[#This Row],[Misma o no]]=1),base_de_datos[[#This Row],[Índice]],"")</f>
        <v>4</v>
      </c>
      <c r="AW50" s="216" t="s">
        <v>171</v>
      </c>
      <c r="AX50" s="231">
        <v>3</v>
      </c>
    </row>
    <row r="51" spans="2:50" s="6" customFormat="1" ht="15">
      <c r="B51" s="148" t="s">
        <v>168</v>
      </c>
      <c r="C51" s="149" t="s">
        <v>169</v>
      </c>
      <c r="D51" s="150">
        <v>2</v>
      </c>
      <c r="E51" s="151">
        <v>0.375</v>
      </c>
      <c r="F51" s="151">
        <v>0.45833333333333098</v>
      </c>
      <c r="G51" s="150"/>
      <c r="H51" s="215" t="s">
        <v>66</v>
      </c>
      <c r="I51" s="150">
        <f>INDEX(Aulas_capacidad,MATCH(base_de_datos[[#This Row],[Aula]],Aulas,0),2)</f>
        <v>0</v>
      </c>
      <c r="J51" s="152">
        <v>29</v>
      </c>
      <c r="K51" s="150">
        <f>INDEX(Aulas_capacidad,MATCH(base_de_datos[[#This Row],[Aula]],Aulas,0),4)</f>
        <v>0</v>
      </c>
      <c r="L51" s="153">
        <f>base_de_datos[[#This Row],[Cap 1.5]]-base_de_datos[[#This Row],[Inscritos]]</f>
        <v>-29</v>
      </c>
      <c r="M51" s="153">
        <f>INDEX(Aulas_capacidad,MATCH(base_de_datos[[#This Row],[Aula]],Aulas,0),5)</f>
        <v>0</v>
      </c>
      <c r="N51" s="153">
        <f>base_de_datos[[#This Row],[Cap .90]]-base_de_datos[[#This Row],[Inscritos]]</f>
        <v>-29</v>
      </c>
      <c r="O51" s="150" t="s">
        <v>170</v>
      </c>
      <c r="P51" s="154"/>
      <c r="Q51" s="154"/>
      <c r="R51" s="154"/>
      <c r="S51" s="154"/>
      <c r="T51" s="154" t="s">
        <v>67</v>
      </c>
      <c r="U51" s="154"/>
      <c r="V51" s="154"/>
      <c r="W51" s="154" t="s">
        <v>1657</v>
      </c>
      <c r="X51" s="155">
        <f>_xlfn.XLOOKUP(base_de_datos[[#This Row],[Materia]],Materias,Horas)/16</f>
        <v>4</v>
      </c>
      <c r="Y51" s="155">
        <f>ROUND(((base_de_datos[[#This Row],[Hora fin]]-base_de_datos[[#This Row],[Hora inicio]])*24)*(COUNTA(base_de_datos[[#This Row],[Lunes]:[Sábado]])),1)</f>
        <v>2</v>
      </c>
      <c r="Z5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1" s="155">
        <f ca="1">IF(base_de_datos[[#This Row],[No clase]]=OFFSET(base_de_datos[[#This Row],[No clase]],-1,0),0,1)</f>
        <v>0</v>
      </c>
      <c r="AB51" s="155">
        <f ca="1">IF(NOT(OR(base_de_datos[[#This Row],[Horas totales]]=base_de_datos[[#This Row],[HT Plan]],base_de_datos[[#This Row],[Horas totales]]="N/A")),1,0)</f>
        <v>0</v>
      </c>
      <c r="AC51" s="155" t="str">
        <f>_xlfn.XLOOKUP(base_de_datos[[#This Row],[Profesor]],Nombre,Grado)</f>
        <v>M</v>
      </c>
      <c r="AD51" s="156" t="str">
        <f>_xlfn.XLOOKUP(base_de_datos[[#This Row],[Profesor]],Nombre,Tipo)</f>
        <v>A</v>
      </c>
      <c r="AE51" s="155" t="str">
        <f>IF(IFERROR(VLOOKUP($C51,Planes_de_estudio[],MATCH($AE$2,Carreras,0)+2,0),"")&gt;0,IFERROR(VLOOKUP($C51,Planes_de_estudio[],MATCH($AE$2,Carreras,0)+2,0),""),"")</f>
        <v/>
      </c>
      <c r="AF51" s="155">
        <f>IF(IFERROR(VLOOKUP($C51,Planes_de_estudio[],MATCH($AF$2,Carreras,0)+2,0),"")&gt;0,IFERROR(VLOOKUP($C51,Planes_de_estudio[],MATCH($AF$2,Carreras,0)+2,0),""),"")</f>
        <v>3</v>
      </c>
      <c r="AG51" s="155" t="str">
        <f>IF(IFERROR(VLOOKUP($C51,Planes_de_estudio[],MATCH($AG$2,Carreras,0)+2,0),"")&gt;0,IFERROR(VLOOKUP($C51,Planes_de_estudio[],MATCH($AG$2,Carreras,0)+2,0),""),"")</f>
        <v/>
      </c>
      <c r="AH51" s="155">
        <f>IF(IFERROR(VLOOKUP($C51,Planes_de_estudio[],MATCH($AH$2,Carreras,0)+2,0),"")&gt;0,IFERROR(VLOOKUP($C51,Planes_de_estudio[],MATCH($AH$2,Carreras,0)+2,0),""),"")</f>
        <v>3</v>
      </c>
      <c r="AI51" s="155" t="str">
        <f>IF(IFERROR(VLOOKUP($C51,Planes_de_estudio[],MATCH($AI$2,Carreras,0)+2,0),"")&gt;0,IFERROR(VLOOKUP($C51,Planes_de_estudio[],MATCH($AI$2,Carreras,0)+2,0),""),"")</f>
        <v/>
      </c>
      <c r="AJ51" s="155" t="str">
        <f>IF(IFERROR(VLOOKUP($C51,Planes_de_estudio[],MATCH($AJ$2,Carreras,0)+2,0),"")&gt;0,IFERROR(VLOOKUP($C51,Planes_de_estudio[],MATCH($AJ$2,Carreras,0)+2,0),""),"")</f>
        <v/>
      </c>
      <c r="AK51" s="155">
        <f>IF(IFERROR(VLOOKUP($C51,Planes_de_estudio[],MATCH($AK$2,Carreras,0)+2,0),"")&gt;0,IFERROR(VLOOKUP($C51,Planes_de_estudio[],MATCH($AK$2,Carreras,0)+2,0),""),"")</f>
        <v>3</v>
      </c>
      <c r="AL5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54</v>
      </c>
      <c r="AN51" s="155">
        <f>base_de_datos[[#This Row],[Pronóstico]]/25</f>
        <v>2.16</v>
      </c>
      <c r="AO51" s="155" t="str">
        <f>VLOOKUP($C51,Planes_de_estudio[],2)</f>
        <v>COM</v>
      </c>
      <c r="AP51" s="157" t="str">
        <f ca="1">IF(AND(base_de_datos[[#This Row],[Industrial]]&lt;&gt;"",base_de_datos[[#This Row],[Misma o no]]=1),base_de_datos[[#This Row],[Índice]],"")</f>
        <v/>
      </c>
      <c r="AQ51" s="157" t="str">
        <f ca="1">IF(AND(base_de_datos[[#This Row],[Mecatrónica]]&lt;&gt;"",base_de_datos[[#This Row],[Misma o no]]=1),base_de_datos[[#This Row],[Índice]],"")</f>
        <v/>
      </c>
      <c r="AR51" s="157" t="str">
        <f ca="1">IF(AND(base_de_datos[[#This Row],[Innovación y Diseño]]&lt;&gt;"",base_de_datos[[#This Row],[Misma o no]]=1),base_de_datos[[#This Row],[Índice]],"")</f>
        <v/>
      </c>
      <c r="AS51" s="157" t="str">
        <f ca="1">IF(AND(base_de_datos[[#This Row],[Inteligencia Artificial]]&lt;&gt;"",base_de_datos[[#This Row],[Misma o no]]=1),base_de_datos[[#This Row],[Índice]],"")</f>
        <v/>
      </c>
      <c r="AT51" s="157" t="str">
        <f ca="1">IF(AND(base_de_datos[[#This Row],[Tecnologías Energéticas]]&lt;&gt;"",base_de_datos[[#This Row],[Misma o no]]=1),base_de_datos[[#This Row],[Índice]],"")</f>
        <v/>
      </c>
      <c r="AU51" s="157" t="str">
        <f ca="1">IF(AND(base_de_datos[[#This Row],[Civil y Administración]]&lt;&gt;"",base_de_datos[[#This Row],[Misma o no]]=1),base_de_datos[[#This Row],[Índice]],"")</f>
        <v/>
      </c>
      <c r="AV51" s="157" t="str">
        <f ca="1">IF(AND(base_de_datos[[#This Row],[Bioelectrónica]]&lt;&gt;"",base_de_datos[[#This Row],[Misma o no]]=1),base_de_datos[[#This Row],[Índice]],"")</f>
        <v/>
      </c>
      <c r="AW51" s="217" t="s">
        <v>171</v>
      </c>
      <c r="AX51" s="231">
        <v>2</v>
      </c>
    </row>
    <row r="52" spans="2:50" s="6" customFormat="1" ht="15">
      <c r="B52" s="148" t="s">
        <v>172</v>
      </c>
      <c r="C52" s="213" t="s">
        <v>173</v>
      </c>
      <c r="D52" s="150">
        <v>1</v>
      </c>
      <c r="E52" s="151">
        <v>0.375</v>
      </c>
      <c r="F52" s="151">
        <v>0.45833333333333098</v>
      </c>
      <c r="G52" s="150"/>
      <c r="H52" s="150" t="s">
        <v>108</v>
      </c>
      <c r="I52" s="150">
        <f>INDEX(Aulas_capacidad,MATCH(base_de_datos[[#This Row],[Aula]],Aulas,0),2)</f>
        <v>30</v>
      </c>
      <c r="J52" s="152"/>
      <c r="K52" s="150">
        <f>INDEX(Aulas_capacidad,MATCH(base_de_datos[[#This Row],[Aula]],Aulas,0),4)</f>
        <v>12</v>
      </c>
      <c r="L52" s="153">
        <f>base_de_datos[[#This Row],[Cap 1.5]]-base_de_datos[[#This Row],[Inscritos]]</f>
        <v>12</v>
      </c>
      <c r="M52" s="153">
        <f>INDEX(Aulas_capacidad,MATCH(base_de_datos[[#This Row],[Aula]],Aulas,0),5)</f>
        <v>18</v>
      </c>
      <c r="N52" s="153">
        <f>base_de_datos[[#This Row],[Cap .90]]-base_de_datos[[#This Row],[Inscritos]]</f>
        <v>18</v>
      </c>
      <c r="O52" s="150" t="s">
        <v>174</v>
      </c>
      <c r="P52" s="154"/>
      <c r="Q52" s="154"/>
      <c r="R52" s="154" t="s">
        <v>67</v>
      </c>
      <c r="S52" s="154"/>
      <c r="T52" s="154"/>
      <c r="U52" s="154"/>
      <c r="V52" s="154"/>
      <c r="W52" s="154" t="s">
        <v>1654</v>
      </c>
      <c r="X52" s="155">
        <f>_xlfn.XLOOKUP(base_de_datos[[#This Row],[Materia]],Materias,Horas)/16</f>
        <v>2</v>
      </c>
      <c r="Y52" s="155">
        <f>ROUND(((base_de_datos[[#This Row],[Hora fin]]-base_de_datos[[#This Row],[Hora inicio]])*24)*(COUNTA(base_de_datos[[#This Row],[Lunes]:[Sábado]])),1)</f>
        <v>2</v>
      </c>
      <c r="Z52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2" s="155">
        <f ca="1">IF(base_de_datos[[#This Row],[No clase]]=OFFSET(base_de_datos[[#This Row],[No clase]],-1,0),0,1)</f>
        <v>1</v>
      </c>
      <c r="AB52" s="155">
        <f ca="1">IF(NOT(OR(base_de_datos[[#This Row],[Horas totales]]=base_de_datos[[#This Row],[HT Plan]],base_de_datos[[#This Row],[Horas totales]]="N/A")),1,0)</f>
        <v>0</v>
      </c>
      <c r="AC52" s="155" t="str">
        <f>_xlfn.XLOOKUP(base_de_datos[[#This Row],[Profesor]],Nombre,Grado)</f>
        <v>D</v>
      </c>
      <c r="AD52" s="156" t="str">
        <f>_xlfn.XLOOKUP(base_de_datos[[#This Row],[Profesor]],Nombre,Tipo)</f>
        <v>H</v>
      </c>
      <c r="AE52" s="155">
        <f>IF(IFERROR(VLOOKUP($C52,Planes_de_estudio[],MATCH($AE$2,Carreras,0)+2,0),"")&gt;0,IFERROR(VLOOKUP($C52,Planes_de_estudio[],MATCH($AE$2,Carreras,0)+2,0),""),"")</f>
        <v>4</v>
      </c>
      <c r="AF52" s="155">
        <f>IF(IFERROR(VLOOKUP($C52,Planes_de_estudio[],MATCH($AF$2,Carreras,0)+2,0),"")&gt;0,IFERROR(VLOOKUP($C52,Planes_de_estudio[],MATCH($AF$2,Carreras,0)+2,0),""),"")</f>
        <v>4</v>
      </c>
      <c r="AG52" s="155">
        <f>IF(IFERROR(VLOOKUP($C52,Planes_de_estudio[],MATCH($AG$2,Carreras,0)+2,0),"")&gt;0,IFERROR(VLOOKUP($C52,Planes_de_estudio[],MATCH($AG$2,Carreras,0)+2,0),""),"")</f>
        <v>4</v>
      </c>
      <c r="AH52" s="155">
        <f>IF(IFERROR(VLOOKUP($C52,Planes_de_estudio[],MATCH($AH$2,Carreras,0)+2,0),"")&gt;0,IFERROR(VLOOKUP($C52,Planes_de_estudio[],MATCH($AH$2,Carreras,0)+2,0),""),"")</f>
        <v>4</v>
      </c>
      <c r="AI52" s="155">
        <f>IF(IFERROR(VLOOKUP($C52,Planes_de_estudio[],MATCH($AI$2,Carreras,0)+2,0),"")&gt;0,IFERROR(VLOOKUP($C52,Planes_de_estudio[],MATCH($AI$2,Carreras,0)+2,0),""),"")</f>
        <v>4</v>
      </c>
      <c r="AJ52" s="155">
        <f>IF(IFERROR(VLOOKUP($C52,Planes_de_estudio[],MATCH($AJ$2,Carreras,0)+2,0),"")&gt;0,IFERROR(VLOOKUP($C52,Planes_de_estudio[],MATCH($AJ$2,Carreras,0)+2,0),""),"")</f>
        <v>4</v>
      </c>
      <c r="AK52" s="155">
        <f>IF(IFERROR(VLOOKUP($C52,Planes_de_estudio[],MATCH($AK$2,Carreras,0)+2,0),"")&gt;0,IFERROR(VLOOKUP($C52,Planes_de_estudio[],MATCH($AK$2,Carreras,0)+2,0),""),"")</f>
        <v>4</v>
      </c>
      <c r="AL5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52" s="155">
        <f>base_de_datos[[#This Row],[Pronóstico]]/25</f>
        <v>0.6</v>
      </c>
      <c r="AO52" s="155" t="str">
        <f>VLOOKUP($C52,Planes_de_estudio[],2)</f>
        <v>HUM</v>
      </c>
      <c r="AP52" s="157">
        <f ca="1">IF(AND(base_de_datos[[#This Row],[Industrial]]&lt;&gt;"",base_de_datos[[#This Row],[Misma o no]]=1),base_de_datos[[#This Row],[Índice]],"")</f>
        <v>6</v>
      </c>
      <c r="AQ52" s="157">
        <f ca="1">IF(AND(base_de_datos[[#This Row],[Mecatrónica]]&lt;&gt;"",base_de_datos[[#This Row],[Misma o no]]=1),base_de_datos[[#This Row],[Índice]],"")</f>
        <v>6</v>
      </c>
      <c r="AR52" s="157">
        <f ca="1">IF(AND(base_de_datos[[#This Row],[Innovación y Diseño]]&lt;&gt;"",base_de_datos[[#This Row],[Misma o no]]=1),base_de_datos[[#This Row],[Índice]],"")</f>
        <v>6</v>
      </c>
      <c r="AS52" s="157">
        <f ca="1">IF(AND(base_de_datos[[#This Row],[Inteligencia Artificial]]&lt;&gt;"",base_de_datos[[#This Row],[Misma o no]]=1),base_de_datos[[#This Row],[Índice]],"")</f>
        <v>6</v>
      </c>
      <c r="AT52" s="157">
        <f ca="1">IF(AND(base_de_datos[[#This Row],[Tecnologías Energéticas]]&lt;&gt;"",base_de_datos[[#This Row],[Misma o no]]=1),base_de_datos[[#This Row],[Índice]],"")</f>
        <v>6</v>
      </c>
      <c r="AU52" s="157">
        <f ca="1">IF(AND(base_de_datos[[#This Row],[Civil y Administración]]&lt;&gt;"",base_de_datos[[#This Row],[Misma o no]]=1),base_de_datos[[#This Row],[Índice]],"")</f>
        <v>6</v>
      </c>
      <c r="AV52" s="157">
        <f ca="1">IF(AND(base_de_datos[[#This Row],[Bioelectrónica]]&lt;&gt;"",base_de_datos[[#This Row],[Misma o no]]=1),base_de_datos[[#This Row],[Índice]],"")</f>
        <v>6</v>
      </c>
      <c r="AW52" s="158"/>
      <c r="AX52" s="231">
        <v>2</v>
      </c>
    </row>
    <row r="53" spans="2:50" s="6" customFormat="1" ht="15">
      <c r="B53" s="148" t="s">
        <v>172</v>
      </c>
      <c r="C53" s="149" t="s">
        <v>159</v>
      </c>
      <c r="D53" s="150">
        <v>2</v>
      </c>
      <c r="E53" s="151">
        <v>0.5</v>
      </c>
      <c r="F53" s="151">
        <v>0.624999999999995</v>
      </c>
      <c r="G53" s="150"/>
      <c r="H53" s="150" t="s">
        <v>127</v>
      </c>
      <c r="I53" s="150">
        <f>INDEX(Aulas_capacidad,MATCH(base_de_datos[[#This Row],[Aula]],Aulas,0),2)</f>
        <v>30</v>
      </c>
      <c r="J53" s="152"/>
      <c r="K53" s="150">
        <f>INDEX(Aulas_capacidad,MATCH(base_de_datos[[#This Row],[Aula]],Aulas,0),4)</f>
        <v>12</v>
      </c>
      <c r="L53" s="153">
        <f>base_de_datos[[#This Row],[Cap 1.5]]-base_de_datos[[#This Row],[Inscritos]]</f>
        <v>12</v>
      </c>
      <c r="M53" s="153">
        <f>INDEX(Aulas_capacidad,MATCH(base_de_datos[[#This Row],[Aula]],Aulas,0),5)</f>
        <v>18</v>
      </c>
      <c r="N53" s="153">
        <f>base_de_datos[[#This Row],[Cap .90]]-base_de_datos[[#This Row],[Inscritos]]</f>
        <v>18</v>
      </c>
      <c r="O53" s="150" t="s">
        <v>175</v>
      </c>
      <c r="P53" s="154"/>
      <c r="Q53" s="154"/>
      <c r="R53" s="154"/>
      <c r="S53" s="154"/>
      <c r="T53" s="154" t="s">
        <v>67</v>
      </c>
      <c r="U53" s="154"/>
      <c r="V53" s="154"/>
      <c r="W53" s="154" t="s">
        <v>1652</v>
      </c>
      <c r="X53" s="155">
        <f>_xlfn.XLOOKUP(base_de_datos[[#This Row],[Materia]],Materias,Horas)/16</f>
        <v>3</v>
      </c>
      <c r="Y53" s="155">
        <f>ROUND(((base_de_datos[[#This Row],[Hora fin]]-base_de_datos[[#This Row],[Hora inicio]])*24)*(COUNTA(base_de_datos[[#This Row],[Lunes]:[Sábado]])),1)</f>
        <v>3</v>
      </c>
      <c r="Z5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3" s="155">
        <f ca="1">IF(base_de_datos[[#This Row],[No clase]]=OFFSET(base_de_datos[[#This Row],[No clase]],-1,0),0,1)</f>
        <v>1</v>
      </c>
      <c r="AB53" s="155">
        <f ca="1">IF(NOT(OR(base_de_datos[[#This Row],[Horas totales]]=base_de_datos[[#This Row],[HT Plan]],base_de_datos[[#This Row],[Horas totales]]="N/A")),1,0)</f>
        <v>0</v>
      </c>
      <c r="AC53" s="155" t="str">
        <f>_xlfn.XLOOKUP(base_de_datos[[#This Row],[Profesor]],Nombre,Grado)</f>
        <v>D</v>
      </c>
      <c r="AD53" s="156" t="str">
        <f>_xlfn.XLOOKUP(base_de_datos[[#This Row],[Profesor]],Nombre,Tipo)</f>
        <v>H</v>
      </c>
      <c r="AE53" s="155">
        <f>IF(IFERROR(VLOOKUP($C53,Planes_de_estudio[],MATCH($AE$2,Carreras,0)+2,0),"")&gt;0,IFERROR(VLOOKUP($C53,Planes_de_estudio[],MATCH($AE$2,Carreras,0)+2,0),""),"")</f>
        <v>3</v>
      </c>
      <c r="AF53" s="155">
        <f>IF(IFERROR(VLOOKUP($C53,Planes_de_estudio[],MATCH($AF$2,Carreras,0)+2,0),"")&gt;0,IFERROR(VLOOKUP($C53,Planes_de_estudio[],MATCH($AF$2,Carreras,0)+2,0),""),"")</f>
        <v>3</v>
      </c>
      <c r="AG53" s="155">
        <f>IF(IFERROR(VLOOKUP($C53,Planes_de_estudio[],MATCH($AG$2,Carreras,0)+2,0),"")&gt;0,IFERROR(VLOOKUP($C53,Planes_de_estudio[],MATCH($AG$2,Carreras,0)+2,0),""),"")</f>
        <v>3</v>
      </c>
      <c r="AH53" s="155">
        <f>IF(IFERROR(VLOOKUP($C53,Planes_de_estudio[],MATCH($AH$2,Carreras,0)+2,0),"")&gt;0,IFERROR(VLOOKUP($C53,Planes_de_estudio[],MATCH($AH$2,Carreras,0)+2,0),""),"")</f>
        <v>3</v>
      </c>
      <c r="AI53" s="155">
        <f>IF(IFERROR(VLOOKUP($C53,Planes_de_estudio[],MATCH($AI$2,Carreras,0)+2,0),"")&gt;0,IFERROR(VLOOKUP($C53,Planes_de_estudio[],MATCH($AI$2,Carreras,0)+2,0),""),"")</f>
        <v>3</v>
      </c>
      <c r="AJ53" s="155">
        <f>IF(IFERROR(VLOOKUP($C53,Planes_de_estudio[],MATCH($AJ$2,Carreras,0)+2,0),"")&gt;0,IFERROR(VLOOKUP($C53,Planes_de_estudio[],MATCH($AJ$2,Carreras,0)+2,0),""),"")</f>
        <v>3</v>
      </c>
      <c r="AK53" s="155">
        <f>IF(IFERROR(VLOOKUP($C53,Planes_de_estudio[],MATCH($AK$2,Carreras,0)+2,0),"")&gt;0,IFERROR(VLOOKUP($C53,Planes_de_estudio[],MATCH($AK$2,Carreras,0)+2,0),""),"")</f>
        <v>3</v>
      </c>
      <c r="AL5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53" s="155">
        <f>base_de_datos[[#This Row],[Pronóstico]]/25</f>
        <v>4.4000000000000004</v>
      </c>
      <c r="AO53" s="155" t="str">
        <f>VLOOKUP($C53,Planes_de_estudio[],2)</f>
        <v>HUM</v>
      </c>
      <c r="AP53" s="157">
        <f ca="1">IF(AND(base_de_datos[[#This Row],[Industrial]]&lt;&gt;"",base_de_datos[[#This Row],[Misma o no]]=1),base_de_datos[[#This Row],[Índice]],"")</f>
        <v>6</v>
      </c>
      <c r="AQ53" s="157">
        <f ca="1">IF(AND(base_de_datos[[#This Row],[Mecatrónica]]&lt;&gt;"",base_de_datos[[#This Row],[Misma o no]]=1),base_de_datos[[#This Row],[Índice]],"")</f>
        <v>6</v>
      </c>
      <c r="AR53" s="157">
        <f ca="1">IF(AND(base_de_datos[[#This Row],[Innovación y Diseño]]&lt;&gt;"",base_de_datos[[#This Row],[Misma o no]]=1),base_de_datos[[#This Row],[Índice]],"")</f>
        <v>6</v>
      </c>
      <c r="AS53" s="157">
        <f ca="1">IF(AND(base_de_datos[[#This Row],[Inteligencia Artificial]]&lt;&gt;"",base_de_datos[[#This Row],[Misma o no]]=1),base_de_datos[[#This Row],[Índice]],"")</f>
        <v>6</v>
      </c>
      <c r="AT53" s="157">
        <f ca="1">IF(AND(base_de_datos[[#This Row],[Tecnologías Energéticas]]&lt;&gt;"",base_de_datos[[#This Row],[Misma o no]]=1),base_de_datos[[#This Row],[Índice]],"")</f>
        <v>6</v>
      </c>
      <c r="AU53" s="157">
        <f ca="1">IF(AND(base_de_datos[[#This Row],[Civil y Administración]]&lt;&gt;"",base_de_datos[[#This Row],[Misma o no]]=1),base_de_datos[[#This Row],[Índice]],"")</f>
        <v>6</v>
      </c>
      <c r="AV53" s="157">
        <f ca="1">IF(AND(base_de_datos[[#This Row],[Bioelectrónica]]&lt;&gt;"",base_de_datos[[#This Row],[Misma o no]]=1),base_de_datos[[#This Row],[Índice]],"")</f>
        <v>6</v>
      </c>
      <c r="AW53" s="158"/>
      <c r="AX53" s="231">
        <v>2</v>
      </c>
    </row>
    <row r="54" spans="2:50" s="6" customFormat="1" ht="15">
      <c r="B54" s="148" t="s">
        <v>176</v>
      </c>
      <c r="C54" s="149" t="s">
        <v>177</v>
      </c>
      <c r="D54" s="150">
        <v>1</v>
      </c>
      <c r="E54" s="151">
        <v>0.29166666666666669</v>
      </c>
      <c r="F54" s="151">
        <v>0.35416666666666602</v>
      </c>
      <c r="G54" s="150"/>
      <c r="H54" s="150" t="s">
        <v>178</v>
      </c>
      <c r="I54" s="150">
        <f>INDEX(Aulas_capacidad,MATCH(base_de_datos[[#This Row],[Aula]],Aulas,0),2)</f>
        <v>24</v>
      </c>
      <c r="J54" s="152">
        <v>9</v>
      </c>
      <c r="K54" s="150">
        <f>INDEX(Aulas_capacidad,MATCH(base_de_datos[[#This Row],[Aula]],Aulas,0),4)</f>
        <v>12</v>
      </c>
      <c r="L54" s="153">
        <f>base_de_datos[[#This Row],[Cap 1.5]]-base_de_datos[[#This Row],[Inscritos]]</f>
        <v>3</v>
      </c>
      <c r="M54" s="153">
        <f>INDEX(Aulas_capacidad,MATCH(base_de_datos[[#This Row],[Aula]],Aulas,0),5)</f>
        <v>12</v>
      </c>
      <c r="N54" s="153">
        <f>base_de_datos[[#This Row],[Cap .90]]-base_de_datos[[#This Row],[Inscritos]]</f>
        <v>3</v>
      </c>
      <c r="O54" s="150">
        <v>1839</v>
      </c>
      <c r="P54" s="154" t="s">
        <v>67</v>
      </c>
      <c r="Q54" s="154"/>
      <c r="R54" s="154" t="s">
        <v>67</v>
      </c>
      <c r="S54" s="154"/>
      <c r="T54" s="154"/>
      <c r="U54" s="154"/>
      <c r="V54" s="154"/>
      <c r="W54" s="154" t="s">
        <v>1658</v>
      </c>
      <c r="X54" s="155">
        <f>_xlfn.XLOOKUP(base_de_datos[[#This Row],[Materia]],Materias,Horas)/16</f>
        <v>3</v>
      </c>
      <c r="Y54" s="155">
        <f>ROUND(((base_de_datos[[#This Row],[Hora fin]]-base_de_datos[[#This Row],[Hora inicio]])*24)*(COUNTA(base_de_datos[[#This Row],[Lunes]:[Sábado]])),1)</f>
        <v>3</v>
      </c>
      <c r="Z5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4" s="155">
        <f ca="1">IF(base_de_datos[[#This Row],[No clase]]=OFFSET(base_de_datos[[#This Row],[No clase]],-1,0),0,1)</f>
        <v>1</v>
      </c>
      <c r="AB54" s="155">
        <f ca="1">IF(NOT(OR(base_de_datos[[#This Row],[Horas totales]]=base_de_datos[[#This Row],[HT Plan]],base_de_datos[[#This Row],[Horas totales]]="N/A")),1,0)</f>
        <v>0</v>
      </c>
      <c r="AC54" s="155" t="str">
        <f>_xlfn.XLOOKUP(base_de_datos[[#This Row],[Profesor]],Nombre,Grado)</f>
        <v>M</v>
      </c>
      <c r="AD54" s="156" t="str">
        <f>_xlfn.XLOOKUP(base_de_datos[[#This Row],[Profesor]],Nombre,Tipo)</f>
        <v>A</v>
      </c>
      <c r="AE54" s="155" t="str">
        <f>IF(IFERROR(VLOOKUP($C54,Planes_de_estudio[],MATCH($AE$2,Carreras,0)+2,0),"")&gt;0,IFERROR(VLOOKUP($C54,Planes_de_estudio[],MATCH($AE$2,Carreras,0)+2,0),""),"")</f>
        <v/>
      </c>
      <c r="AF54" s="155" t="str">
        <f>IF(IFERROR(VLOOKUP($C54,Planes_de_estudio[],MATCH($AF$2,Carreras,0)+2,0),"")&gt;0,IFERROR(VLOOKUP($C54,Planes_de_estudio[],MATCH($AF$2,Carreras,0)+2,0),""),"")</f>
        <v/>
      </c>
      <c r="AG54" s="155" t="str">
        <f>IF(IFERROR(VLOOKUP($C54,Planes_de_estudio[],MATCH($AG$2,Carreras,0)+2,0),"")&gt;0,IFERROR(VLOOKUP($C54,Planes_de_estudio[],MATCH($AG$2,Carreras,0)+2,0),""),"")</f>
        <v/>
      </c>
      <c r="AH54" s="155" t="str">
        <f>IF(IFERROR(VLOOKUP($C54,Planes_de_estudio[],MATCH($AH$2,Carreras,0)+2,0),"")&gt;0,IFERROR(VLOOKUP($C54,Planes_de_estudio[],MATCH($AH$2,Carreras,0)+2,0),""),"")</f>
        <v/>
      </c>
      <c r="AI54" s="155" t="str">
        <f>IF(IFERROR(VLOOKUP($C54,Planes_de_estudio[],MATCH($AI$2,Carreras,0)+2,0),"")&gt;0,IFERROR(VLOOKUP($C54,Planes_de_estudio[],MATCH($AI$2,Carreras,0)+2,0),""),"")</f>
        <v/>
      </c>
      <c r="AJ54" s="155">
        <f>IF(IFERROR(VLOOKUP($C54,Planes_de_estudio[],MATCH($AJ$2,Carreras,0)+2,0),"")&gt;0,IFERROR(VLOOKUP($C54,Planes_de_estudio[],MATCH($AJ$2,Carreras,0)+2,0),""),"")</f>
        <v>5</v>
      </c>
      <c r="AK54" s="155" t="str">
        <f>IF(IFERROR(VLOOKUP($C54,Planes_de_estudio[],MATCH($AK$2,Carreras,0)+2,0),"")&gt;0,IFERROR(VLOOKUP($C54,Planes_de_estudio[],MATCH($AK$2,Carreras,0)+2,0),""),"")</f>
        <v/>
      </c>
      <c r="AL5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54" s="155">
        <f>base_de_datos[[#This Row],[Pronóstico]]/25</f>
        <v>0.4</v>
      </c>
      <c r="AO54" s="155" t="str">
        <f>VLOOKUP($C54,Planes_de_estudio[],2)</f>
        <v>ESC</v>
      </c>
      <c r="AP54" s="157" t="str">
        <f ca="1">IF(AND(base_de_datos[[#This Row],[Industrial]]&lt;&gt;"",base_de_datos[[#This Row],[Misma o no]]=1),base_de_datos[[#This Row],[Índice]],"")</f>
        <v/>
      </c>
      <c r="AQ54" s="157" t="str">
        <f ca="1">IF(AND(base_de_datos[[#This Row],[Mecatrónica]]&lt;&gt;"",base_de_datos[[#This Row],[Misma o no]]=1),base_de_datos[[#This Row],[Índice]],"")</f>
        <v/>
      </c>
      <c r="AR54" s="157" t="str">
        <f ca="1">IF(AND(base_de_datos[[#This Row],[Innovación y Diseño]]&lt;&gt;"",base_de_datos[[#This Row],[Misma o no]]=1),base_de_datos[[#This Row],[Índice]],"")</f>
        <v/>
      </c>
      <c r="AS54" s="157" t="str">
        <f ca="1">IF(AND(base_de_datos[[#This Row],[Inteligencia Artificial]]&lt;&gt;"",base_de_datos[[#This Row],[Misma o no]]=1),base_de_datos[[#This Row],[Índice]],"")</f>
        <v/>
      </c>
      <c r="AT54" s="157" t="str">
        <f ca="1">IF(AND(base_de_datos[[#This Row],[Tecnologías Energéticas]]&lt;&gt;"",base_de_datos[[#This Row],[Misma o no]]=1),base_de_datos[[#This Row],[Índice]],"")</f>
        <v/>
      </c>
      <c r="AU54" s="157">
        <f ca="1">IF(AND(base_de_datos[[#This Row],[Civil y Administración]]&lt;&gt;"",base_de_datos[[#This Row],[Misma o no]]=1),base_de_datos[[#This Row],[Índice]],"")</f>
        <v>4</v>
      </c>
      <c r="AV54" s="157" t="str">
        <f ca="1">IF(AND(base_de_datos[[#This Row],[Bioelectrónica]]&lt;&gt;"",base_de_datos[[#This Row],[Misma o no]]=1),base_de_datos[[#This Row],[Índice]],"")</f>
        <v/>
      </c>
      <c r="AW54" s="158"/>
      <c r="AX54" s="231" t="s">
        <v>1630</v>
      </c>
    </row>
    <row r="55" spans="2:50" s="6" customFormat="1" ht="15">
      <c r="B55" s="148" t="s">
        <v>179</v>
      </c>
      <c r="C55" s="149" t="s">
        <v>180</v>
      </c>
      <c r="D55" s="150">
        <v>1</v>
      </c>
      <c r="E55" s="151">
        <v>0.79166666666666696</v>
      </c>
      <c r="F55" s="151">
        <v>0.85416666666665797</v>
      </c>
      <c r="G55" s="150"/>
      <c r="H55" s="150" t="s">
        <v>181</v>
      </c>
      <c r="I55" s="150">
        <f>INDEX(Aulas_capacidad,MATCH(base_de_datos[[#This Row],[Aula]],Aulas,0),2)</f>
        <v>32</v>
      </c>
      <c r="J55" s="152">
        <v>23</v>
      </c>
      <c r="K55" s="150">
        <f>INDEX(Aulas_capacidad,MATCH(base_de_datos[[#This Row],[Aula]],Aulas,0),4)</f>
        <v>0</v>
      </c>
      <c r="L55" s="153">
        <f>base_de_datos[[#This Row],[Cap 1.5]]-base_de_datos[[#This Row],[Inscritos]]</f>
        <v>-23</v>
      </c>
      <c r="M55" s="153">
        <f>INDEX(Aulas_capacidad,MATCH(base_de_datos[[#This Row],[Aula]],Aulas,0),5)</f>
        <v>0</v>
      </c>
      <c r="N55" s="153">
        <f>base_de_datos[[#This Row],[Cap .90]]-base_de_datos[[#This Row],[Inscritos]]</f>
        <v>-23</v>
      </c>
      <c r="O55" s="150">
        <v>1567</v>
      </c>
      <c r="P55" s="154" t="s">
        <v>67</v>
      </c>
      <c r="Q55" s="154"/>
      <c r="R55" s="154"/>
      <c r="S55" s="154"/>
      <c r="T55" s="154"/>
      <c r="U55" s="154"/>
      <c r="V55" s="154"/>
      <c r="W55" s="154" t="s">
        <v>1650</v>
      </c>
      <c r="X55" s="155">
        <f>_xlfn.XLOOKUP(base_de_datos[[#This Row],[Materia]],Materias,Horas)/16</f>
        <v>3</v>
      </c>
      <c r="Y55" s="155">
        <f>ROUND(((base_de_datos[[#This Row],[Hora fin]]-base_de_datos[[#This Row],[Hora inicio]])*24)*(COUNTA(base_de_datos[[#This Row],[Lunes]:[Sábado]])),1)</f>
        <v>1.5</v>
      </c>
      <c r="Z5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5" s="155">
        <f ca="1">IF(base_de_datos[[#This Row],[No clase]]=OFFSET(base_de_datos[[#This Row],[No clase]],-1,0),0,1)</f>
        <v>1</v>
      </c>
      <c r="AB55" s="155">
        <f ca="1">IF(NOT(OR(base_de_datos[[#This Row],[Horas totales]]=base_de_datos[[#This Row],[HT Plan]],base_de_datos[[#This Row],[Horas totales]]="N/A")),1,0)</f>
        <v>0</v>
      </c>
      <c r="AC55" s="155" t="str">
        <f>_xlfn.XLOOKUP(base_de_datos[[#This Row],[Profesor]],Nombre,Grado)</f>
        <v>L</v>
      </c>
      <c r="AD55" s="156" t="str">
        <f>_xlfn.XLOOKUP(base_de_datos[[#This Row],[Profesor]],Nombre,Tipo)</f>
        <v>A</v>
      </c>
      <c r="AE55" s="155">
        <f>IF(IFERROR(VLOOKUP($C55,Planes_de_estudio[],MATCH($AE$2,Carreras,0)+2,0),"")&gt;0,IFERROR(VLOOKUP($C55,Planes_de_estudio[],MATCH($AE$2,Carreras,0)+2,0),""),"")</f>
        <v>5</v>
      </c>
      <c r="AF55" s="155" t="str">
        <f>IF(IFERROR(VLOOKUP($C55,Planes_de_estudio[],MATCH($AF$2,Carreras,0)+2,0),"")&gt;0,IFERROR(VLOOKUP($C55,Planes_de_estudio[],MATCH($AF$2,Carreras,0)+2,0),""),"")</f>
        <v/>
      </c>
      <c r="AG55" s="155" t="str">
        <f>IF(IFERROR(VLOOKUP($C55,Planes_de_estudio[],MATCH($AG$2,Carreras,0)+2,0),"")&gt;0,IFERROR(VLOOKUP($C55,Planes_de_estudio[],MATCH($AG$2,Carreras,0)+2,0),""),"")</f>
        <v/>
      </c>
      <c r="AH55" s="155" t="str">
        <f>IF(IFERROR(VLOOKUP($C55,Planes_de_estudio[],MATCH($AH$2,Carreras,0)+2,0),"")&gt;0,IFERROR(VLOOKUP($C55,Planes_de_estudio[],MATCH($AH$2,Carreras,0)+2,0),""),"")</f>
        <v/>
      </c>
      <c r="AI55" s="155" t="str">
        <f>IF(IFERROR(VLOOKUP($C55,Planes_de_estudio[],MATCH($AI$2,Carreras,0)+2,0),"")&gt;0,IFERROR(VLOOKUP($C55,Planes_de_estudio[],MATCH($AI$2,Carreras,0)+2,0),""),"")</f>
        <v/>
      </c>
      <c r="AJ55" s="155" t="str">
        <f>IF(IFERROR(VLOOKUP($C55,Planes_de_estudio[],MATCH($AJ$2,Carreras,0)+2,0),"")&gt;0,IFERROR(VLOOKUP($C55,Planes_de_estudio[],MATCH($AJ$2,Carreras,0)+2,0),""),"")</f>
        <v/>
      </c>
      <c r="AK55" s="155" t="str">
        <f>IF(IFERROR(VLOOKUP($C55,Planes_de_estudio[],MATCH($AK$2,Carreras,0)+2,0),"")&gt;0,IFERROR(VLOOKUP($C55,Planes_de_estudio[],MATCH($AK$2,Carreras,0)+2,0),""),"")</f>
        <v/>
      </c>
      <c r="AL5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5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55" s="155">
        <f>base_de_datos[[#This Row],[Pronóstico]]/25</f>
        <v>0.76</v>
      </c>
      <c r="AO55" s="155" t="str">
        <f>VLOOKUP($C55,Planes_de_estudio[],2)</f>
        <v>DOP</v>
      </c>
      <c r="AP55" s="157">
        <f ca="1">IF(AND(base_de_datos[[#This Row],[Industrial]]&lt;&gt;"",base_de_datos[[#This Row],[Misma o no]]=1),base_de_datos[[#This Row],[Índice]],"")</f>
        <v>1</v>
      </c>
      <c r="AQ55" s="157" t="str">
        <f ca="1">IF(AND(base_de_datos[[#This Row],[Mecatrónica]]&lt;&gt;"",base_de_datos[[#This Row],[Misma o no]]=1),base_de_datos[[#This Row],[Índice]],"")</f>
        <v/>
      </c>
      <c r="AR55" s="157" t="str">
        <f ca="1">IF(AND(base_de_datos[[#This Row],[Innovación y Diseño]]&lt;&gt;"",base_de_datos[[#This Row],[Misma o no]]=1),base_de_datos[[#This Row],[Índice]],"")</f>
        <v/>
      </c>
      <c r="AS55" s="157" t="str">
        <f ca="1">IF(AND(base_de_datos[[#This Row],[Inteligencia Artificial]]&lt;&gt;"",base_de_datos[[#This Row],[Misma o no]]=1),base_de_datos[[#This Row],[Índice]],"")</f>
        <v/>
      </c>
      <c r="AT55" s="157" t="str">
        <f ca="1">IF(AND(base_de_datos[[#This Row],[Tecnologías Energéticas]]&lt;&gt;"",base_de_datos[[#This Row],[Misma o no]]=1),base_de_datos[[#This Row],[Índice]],"")</f>
        <v/>
      </c>
      <c r="AU55" s="157" t="str">
        <f ca="1">IF(AND(base_de_datos[[#This Row],[Civil y Administración]]&lt;&gt;"",base_de_datos[[#This Row],[Misma o no]]=1),base_de_datos[[#This Row],[Índice]],"")</f>
        <v/>
      </c>
      <c r="AV55" s="157" t="str">
        <f ca="1">IF(AND(base_de_datos[[#This Row],[Bioelectrónica]]&lt;&gt;"",base_de_datos[[#This Row],[Misma o no]]=1),base_de_datos[[#This Row],[Índice]],"")</f>
        <v/>
      </c>
      <c r="AW55" s="158"/>
      <c r="AX55" s="231">
        <v>3</v>
      </c>
    </row>
    <row r="56" spans="2:50" s="6" customFormat="1" ht="15">
      <c r="B56" s="148" t="s">
        <v>179</v>
      </c>
      <c r="C56" s="149" t="s">
        <v>180</v>
      </c>
      <c r="D56" s="150">
        <v>1</v>
      </c>
      <c r="E56" s="151">
        <v>0.79166666666666696</v>
      </c>
      <c r="F56" s="151">
        <v>0.85416666666665797</v>
      </c>
      <c r="G56" s="150"/>
      <c r="H56" s="150" t="s">
        <v>182</v>
      </c>
      <c r="I56" s="150">
        <f>INDEX(Aulas_capacidad,MATCH(base_de_datos[[#This Row],[Aula]],Aulas,0),2)</f>
        <v>30</v>
      </c>
      <c r="J56" s="152">
        <v>23</v>
      </c>
      <c r="K56" s="150">
        <f>INDEX(Aulas_capacidad,MATCH(base_de_datos[[#This Row],[Aula]],Aulas,0),4)</f>
        <v>12</v>
      </c>
      <c r="L56" s="153">
        <f>base_de_datos[[#This Row],[Cap 1.5]]-base_de_datos[[#This Row],[Inscritos]]</f>
        <v>-11</v>
      </c>
      <c r="M56" s="153">
        <f>INDEX(Aulas_capacidad,MATCH(base_de_datos[[#This Row],[Aula]],Aulas,0),5)</f>
        <v>18</v>
      </c>
      <c r="N56" s="153">
        <f>base_de_datos[[#This Row],[Cap .90]]-base_de_datos[[#This Row],[Inscritos]]</f>
        <v>-5</v>
      </c>
      <c r="O56" s="150">
        <v>1567</v>
      </c>
      <c r="P56" s="154"/>
      <c r="Q56" s="154"/>
      <c r="R56" s="154"/>
      <c r="S56" s="154" t="s">
        <v>67</v>
      </c>
      <c r="T56" s="154"/>
      <c r="U56" s="154"/>
      <c r="V56" s="154"/>
      <c r="W56" s="154" t="s">
        <v>1650</v>
      </c>
      <c r="X56" s="155">
        <f>_xlfn.XLOOKUP(base_de_datos[[#This Row],[Materia]],Materias,Horas)/16</f>
        <v>3</v>
      </c>
      <c r="Y56" s="155">
        <f>ROUND(((base_de_datos[[#This Row],[Hora fin]]-base_de_datos[[#This Row],[Hora inicio]])*24)*(COUNTA(base_de_datos[[#This Row],[Lunes]:[Sábado]])),1)</f>
        <v>1.5</v>
      </c>
      <c r="Z5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6" s="155">
        <f ca="1">IF(base_de_datos[[#This Row],[No clase]]=OFFSET(base_de_datos[[#This Row],[No clase]],-1,0),0,1)</f>
        <v>0</v>
      </c>
      <c r="AB56" s="155">
        <f ca="1">IF(NOT(OR(base_de_datos[[#This Row],[Horas totales]]=base_de_datos[[#This Row],[HT Plan]],base_de_datos[[#This Row],[Horas totales]]="N/A")),1,0)</f>
        <v>0</v>
      </c>
      <c r="AC56" s="155" t="str">
        <f>_xlfn.XLOOKUP(base_de_datos[[#This Row],[Profesor]],Nombre,Grado)</f>
        <v>L</v>
      </c>
      <c r="AD56" s="156" t="str">
        <f>_xlfn.XLOOKUP(base_de_datos[[#This Row],[Profesor]],Nombre,Tipo)</f>
        <v>A</v>
      </c>
      <c r="AE56" s="155">
        <f>IF(IFERROR(VLOOKUP($C56,Planes_de_estudio[],MATCH($AE$2,Carreras,0)+2,0),"")&gt;0,IFERROR(VLOOKUP($C56,Planes_de_estudio[],MATCH($AE$2,Carreras,0)+2,0),""),"")</f>
        <v>5</v>
      </c>
      <c r="AF56" s="155" t="str">
        <f>IF(IFERROR(VLOOKUP($C56,Planes_de_estudio[],MATCH($AF$2,Carreras,0)+2,0),"")&gt;0,IFERROR(VLOOKUP($C56,Planes_de_estudio[],MATCH($AF$2,Carreras,0)+2,0),""),"")</f>
        <v/>
      </c>
      <c r="AG56" s="155" t="str">
        <f>IF(IFERROR(VLOOKUP($C56,Planes_de_estudio[],MATCH($AG$2,Carreras,0)+2,0),"")&gt;0,IFERROR(VLOOKUP($C56,Planes_de_estudio[],MATCH($AG$2,Carreras,0)+2,0),""),"")</f>
        <v/>
      </c>
      <c r="AH56" s="155" t="str">
        <f>IF(IFERROR(VLOOKUP($C56,Planes_de_estudio[],MATCH($AH$2,Carreras,0)+2,0),"")&gt;0,IFERROR(VLOOKUP($C56,Planes_de_estudio[],MATCH($AH$2,Carreras,0)+2,0),""),"")</f>
        <v/>
      </c>
      <c r="AI56" s="155" t="str">
        <f>IF(IFERROR(VLOOKUP($C56,Planes_de_estudio[],MATCH($AI$2,Carreras,0)+2,0),"")&gt;0,IFERROR(VLOOKUP($C56,Planes_de_estudio[],MATCH($AI$2,Carreras,0)+2,0),""),"")</f>
        <v/>
      </c>
      <c r="AJ56" s="155" t="str">
        <f>IF(IFERROR(VLOOKUP($C56,Planes_de_estudio[],MATCH($AJ$2,Carreras,0)+2,0),"")&gt;0,IFERROR(VLOOKUP($C56,Planes_de_estudio[],MATCH($AJ$2,Carreras,0)+2,0),""),"")</f>
        <v/>
      </c>
      <c r="AK56" s="155" t="str">
        <f>IF(IFERROR(VLOOKUP($C56,Planes_de_estudio[],MATCH($AK$2,Carreras,0)+2,0),"")&gt;0,IFERROR(VLOOKUP($C56,Planes_de_estudio[],MATCH($AK$2,Carreras,0)+2,0),""),"")</f>
        <v/>
      </c>
      <c r="AL5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5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19</v>
      </c>
      <c r="AN56" s="155">
        <f>base_de_datos[[#This Row],[Pronóstico]]/25</f>
        <v>0.76</v>
      </c>
      <c r="AO56" s="155" t="str">
        <f>VLOOKUP($C56,Planes_de_estudio[],2)</f>
        <v>DOP</v>
      </c>
      <c r="AP56" s="157" t="str">
        <f ca="1">IF(AND(base_de_datos[[#This Row],[Industrial]]&lt;&gt;"",base_de_datos[[#This Row],[Misma o no]]=1),base_de_datos[[#This Row],[Índice]],"")</f>
        <v/>
      </c>
      <c r="AQ56" s="157" t="str">
        <f ca="1">IF(AND(base_de_datos[[#This Row],[Mecatrónica]]&lt;&gt;"",base_de_datos[[#This Row],[Misma o no]]=1),base_de_datos[[#This Row],[Índice]],"")</f>
        <v/>
      </c>
      <c r="AR56" s="157" t="str">
        <f ca="1">IF(AND(base_de_datos[[#This Row],[Innovación y Diseño]]&lt;&gt;"",base_de_datos[[#This Row],[Misma o no]]=1),base_de_datos[[#This Row],[Índice]],"")</f>
        <v/>
      </c>
      <c r="AS56" s="157" t="str">
        <f ca="1">IF(AND(base_de_datos[[#This Row],[Inteligencia Artificial]]&lt;&gt;"",base_de_datos[[#This Row],[Misma o no]]=1),base_de_datos[[#This Row],[Índice]],"")</f>
        <v/>
      </c>
      <c r="AT56" s="157" t="str">
        <f ca="1">IF(AND(base_de_datos[[#This Row],[Tecnologías Energéticas]]&lt;&gt;"",base_de_datos[[#This Row],[Misma o no]]=1),base_de_datos[[#This Row],[Índice]],"")</f>
        <v/>
      </c>
      <c r="AU56" s="157" t="str">
        <f ca="1">IF(AND(base_de_datos[[#This Row],[Civil y Administración]]&lt;&gt;"",base_de_datos[[#This Row],[Misma o no]]=1),base_de_datos[[#This Row],[Índice]],"")</f>
        <v/>
      </c>
      <c r="AV56" s="157" t="str">
        <f ca="1">IF(AND(base_de_datos[[#This Row],[Bioelectrónica]]&lt;&gt;"",base_de_datos[[#This Row],[Misma o no]]=1),base_de_datos[[#This Row],[Índice]],"")</f>
        <v/>
      </c>
      <c r="AW56" s="158"/>
      <c r="AX56" s="231" t="s">
        <v>1631</v>
      </c>
    </row>
    <row r="57" spans="2:50" s="6" customFormat="1" ht="15">
      <c r="B57" s="148" t="s">
        <v>183</v>
      </c>
      <c r="C57" s="149" t="s">
        <v>184</v>
      </c>
      <c r="D57" s="150">
        <v>1</v>
      </c>
      <c r="E57" s="151">
        <v>0.375</v>
      </c>
      <c r="F57" s="151">
        <v>0.45833333333333098</v>
      </c>
      <c r="G57" s="218" t="s">
        <v>65</v>
      </c>
      <c r="H57" s="150" t="s">
        <v>185</v>
      </c>
      <c r="I57" s="150">
        <f>INDEX(Aulas_capacidad,MATCH(base_de_datos[[#This Row],[Aula]],Aulas,0),2)</f>
        <v>40</v>
      </c>
      <c r="J57" s="212">
        <v>36</v>
      </c>
      <c r="K57" s="150">
        <f>INDEX(Aulas_capacidad,MATCH(base_de_datos[[#This Row],[Aula]],Aulas,0),4)</f>
        <v>14</v>
      </c>
      <c r="L57" s="153">
        <f>base_de_datos[[#This Row],[Cap 1.5]]-base_de_datos[[#This Row],[Inscritos]]</f>
        <v>-22</v>
      </c>
      <c r="M57" s="153">
        <f>INDEX(Aulas_capacidad,MATCH(base_de_datos[[#This Row],[Aula]],Aulas,0),5)</f>
        <v>24</v>
      </c>
      <c r="N57" s="153">
        <f>base_de_datos[[#This Row],[Cap .90]]-base_de_datos[[#This Row],[Inscritos]]</f>
        <v>-12</v>
      </c>
      <c r="O57" s="150" t="s">
        <v>186</v>
      </c>
      <c r="P57" s="154"/>
      <c r="Q57" s="154"/>
      <c r="R57" s="154" t="s">
        <v>67</v>
      </c>
      <c r="S57" s="154"/>
      <c r="T57" s="154"/>
      <c r="U57" s="154"/>
      <c r="V57" s="154"/>
      <c r="W57" s="154" t="s">
        <v>1658</v>
      </c>
      <c r="X57" s="155">
        <f>_xlfn.XLOOKUP(base_de_datos[[#This Row],[Materia]],Materias,Horas)/16</f>
        <v>4</v>
      </c>
      <c r="Y57" s="155">
        <f>ROUND(((base_de_datos[[#This Row],[Hora fin]]-base_de_datos[[#This Row],[Hora inicio]])*24)*(COUNTA(base_de_datos[[#This Row],[Lunes]:[Sábado]])),1)</f>
        <v>2</v>
      </c>
      <c r="Z5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7" s="155">
        <f ca="1">IF(base_de_datos[[#This Row],[No clase]]=OFFSET(base_de_datos[[#This Row],[No clase]],-1,0),0,1)</f>
        <v>1</v>
      </c>
      <c r="AB57" s="155">
        <f ca="1">IF(NOT(OR(base_de_datos[[#This Row],[Horas totales]]=base_de_datos[[#This Row],[HT Plan]],base_de_datos[[#This Row],[Horas totales]]="N/A")),1,0)</f>
        <v>0</v>
      </c>
      <c r="AC57" s="155" t="str">
        <f>_xlfn.XLOOKUP(base_de_datos[[#This Row],[Profesor]],Nombre,Grado)</f>
        <v>M</v>
      </c>
      <c r="AD57" s="156" t="str">
        <f>_xlfn.XLOOKUP(base_de_datos[[#This Row],[Profesor]],Nombre,Tipo)</f>
        <v>TC</v>
      </c>
      <c r="AE57" s="155">
        <f>IF(IFERROR(VLOOKUP($C57,Planes_de_estudio[],MATCH($AE$2,Carreras,0)+2,0),"")&gt;0,IFERROR(VLOOKUP($C57,Planes_de_estudio[],MATCH($AE$2,Carreras,0)+2,0),""),"")</f>
        <v>5</v>
      </c>
      <c r="AF57" s="155">
        <f>IF(IFERROR(VLOOKUP($C57,Planes_de_estudio[],MATCH($AF$2,Carreras,0)+2,0),"")&gt;0,IFERROR(VLOOKUP($C57,Planes_de_estudio[],MATCH($AF$2,Carreras,0)+2,0),""),"")</f>
        <v>3</v>
      </c>
      <c r="AG57" s="155" t="str">
        <f>IF(IFERROR(VLOOKUP($C57,Planes_de_estudio[],MATCH($AG$2,Carreras,0)+2,0),"")&gt;0,IFERROR(VLOOKUP($C57,Planes_de_estudio[],MATCH($AG$2,Carreras,0)+2,0),""),"")</f>
        <v/>
      </c>
      <c r="AH57" s="155" t="str">
        <f>IF(IFERROR(VLOOKUP($C57,Planes_de_estudio[],MATCH($AH$2,Carreras,0)+2,0),"")&gt;0,IFERROR(VLOOKUP($C57,Planes_de_estudio[],MATCH($AH$2,Carreras,0)+2,0),""),"")</f>
        <v/>
      </c>
      <c r="AI57" s="155">
        <f>IF(IFERROR(VLOOKUP($C57,Planes_de_estudio[],MATCH($AI$2,Carreras,0)+2,0),"")&gt;0,IFERROR(VLOOKUP($C57,Planes_de_estudio[],MATCH($AI$2,Carreras,0)+2,0),""),"")</f>
        <v>3</v>
      </c>
      <c r="AJ57" s="155" t="str">
        <f>IF(IFERROR(VLOOKUP($C57,Planes_de_estudio[],MATCH($AJ$2,Carreras,0)+2,0),"")&gt;0,IFERROR(VLOOKUP($C57,Planes_de_estudio[],MATCH($AJ$2,Carreras,0)+2,0),""),"")</f>
        <v/>
      </c>
      <c r="AK57" s="155">
        <f>IF(IFERROR(VLOOKUP($C57,Planes_de_estudio[],MATCH($AK$2,Carreras,0)+2,0),"")&gt;0,IFERROR(VLOOKUP($C57,Planes_de_estudio[],MATCH($AK$2,Carreras,0)+2,0),""),"")</f>
        <v>3</v>
      </c>
      <c r="AL5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53</v>
      </c>
      <c r="AN57" s="155">
        <f>base_de_datos[[#This Row],[Pronóstico]]/25</f>
        <v>2.12</v>
      </c>
      <c r="AO57" s="155" t="str">
        <f>VLOOKUP($C57,Planes_de_estudio[],2)</f>
        <v>EEC</v>
      </c>
      <c r="AP57" s="157">
        <f ca="1">IF(AND(base_de_datos[[#This Row],[Industrial]]&lt;&gt;"",base_de_datos[[#This Row],[Misma o no]]=1),base_de_datos[[#This Row],[Índice]],"")</f>
        <v>4</v>
      </c>
      <c r="AQ57" s="157">
        <f ca="1">IF(AND(base_de_datos[[#This Row],[Mecatrónica]]&lt;&gt;"",base_de_datos[[#This Row],[Misma o no]]=1),base_de_datos[[#This Row],[Índice]],"")</f>
        <v>4</v>
      </c>
      <c r="AR57" s="157" t="str">
        <f ca="1">IF(AND(base_de_datos[[#This Row],[Innovación y Diseño]]&lt;&gt;"",base_de_datos[[#This Row],[Misma o no]]=1),base_de_datos[[#This Row],[Índice]],"")</f>
        <v/>
      </c>
      <c r="AS57" s="157" t="str">
        <f ca="1">IF(AND(base_de_datos[[#This Row],[Inteligencia Artificial]]&lt;&gt;"",base_de_datos[[#This Row],[Misma o no]]=1),base_de_datos[[#This Row],[Índice]],"")</f>
        <v/>
      </c>
      <c r="AT57" s="157">
        <f ca="1">IF(AND(base_de_datos[[#This Row],[Tecnologías Energéticas]]&lt;&gt;"",base_de_datos[[#This Row],[Misma o no]]=1),base_de_datos[[#This Row],[Índice]],"")</f>
        <v>4</v>
      </c>
      <c r="AU57" s="157" t="str">
        <f ca="1">IF(AND(base_de_datos[[#This Row],[Civil y Administración]]&lt;&gt;"",base_de_datos[[#This Row],[Misma o no]]=1),base_de_datos[[#This Row],[Índice]],"")</f>
        <v/>
      </c>
      <c r="AV57" s="157">
        <f ca="1">IF(AND(base_de_datos[[#This Row],[Bioelectrónica]]&lt;&gt;"",base_de_datos[[#This Row],[Misma o no]]=1),base_de_datos[[#This Row],[Índice]],"")</f>
        <v>4</v>
      </c>
      <c r="AW57" s="158"/>
      <c r="AX57" s="231" t="s">
        <v>1631</v>
      </c>
    </row>
    <row r="58" spans="2:50" s="6" customFormat="1" ht="15">
      <c r="B58" s="148" t="s">
        <v>183</v>
      </c>
      <c r="C58" s="149" t="s">
        <v>184</v>
      </c>
      <c r="D58" s="150">
        <v>1</v>
      </c>
      <c r="E58" s="151">
        <v>0.375</v>
      </c>
      <c r="F58" s="151">
        <v>0.45833333333333098</v>
      </c>
      <c r="G58" s="218" t="s">
        <v>65</v>
      </c>
      <c r="H58" s="150" t="s">
        <v>187</v>
      </c>
      <c r="I58" s="150">
        <f>INDEX(Aulas_capacidad,MATCH(base_de_datos[[#This Row],[Aula]],Aulas,0),2)</f>
        <v>57</v>
      </c>
      <c r="J58" s="212">
        <v>36</v>
      </c>
      <c r="K58" s="150">
        <f>INDEX(Aulas_capacidad,MATCH(base_de_datos[[#This Row],[Aula]],Aulas,0),4)</f>
        <v>0</v>
      </c>
      <c r="L58" s="153">
        <f>base_de_datos[[#This Row],[Cap 1.5]]-base_de_datos[[#This Row],[Inscritos]]</f>
        <v>-36</v>
      </c>
      <c r="M58" s="153">
        <f>INDEX(Aulas_capacidad,MATCH(base_de_datos[[#This Row],[Aula]],Aulas,0),5)</f>
        <v>0</v>
      </c>
      <c r="N58" s="153">
        <f>base_de_datos[[#This Row],[Cap .90]]-base_de_datos[[#This Row],[Inscritos]]</f>
        <v>-36</v>
      </c>
      <c r="O58" s="150" t="s">
        <v>186</v>
      </c>
      <c r="P58" s="154" t="s">
        <v>67</v>
      </c>
      <c r="Q58" s="154"/>
      <c r="R58" s="154"/>
      <c r="S58" s="154"/>
      <c r="T58" s="154"/>
      <c r="U58" s="154"/>
      <c r="V58" s="154"/>
      <c r="W58" s="154" t="s">
        <v>1658</v>
      </c>
      <c r="X58" s="174">
        <f>_xlfn.XLOOKUP(base_de_datos[[#This Row],[Materia]],Materias,Horas)/16</f>
        <v>4</v>
      </c>
      <c r="Y58" s="174">
        <f>ROUND(((base_de_datos[[#This Row],[Hora fin]]-base_de_datos[[#This Row],[Hora inicio]])*24)*(COUNTA(base_de_datos[[#This Row],[Lunes]:[Sábado]])),1)</f>
        <v>2</v>
      </c>
      <c r="Z58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8" s="155">
        <f ca="1">IF(base_de_datos[[#This Row],[No clase]]=OFFSET(base_de_datos[[#This Row],[No clase]],-1,0),0,1)</f>
        <v>0</v>
      </c>
      <c r="AB58" s="155">
        <f ca="1">IF(NOT(OR(base_de_datos[[#This Row],[Horas totales]]=base_de_datos[[#This Row],[HT Plan]],base_de_datos[[#This Row],[Horas totales]]="N/A")),1,0)</f>
        <v>0</v>
      </c>
      <c r="AC58" s="155" t="str">
        <f>_xlfn.XLOOKUP(base_de_datos[[#This Row],[Profesor]],Nombre,Grado)</f>
        <v>M</v>
      </c>
      <c r="AD58" s="156" t="str">
        <f>_xlfn.XLOOKUP(base_de_datos[[#This Row],[Profesor]],Nombre,Tipo)</f>
        <v>TC</v>
      </c>
      <c r="AE58" s="155">
        <f>IF(IFERROR(VLOOKUP($C58,Planes_de_estudio[],MATCH($AE$2,Carreras,0)+2,0),"")&gt;0,IFERROR(VLOOKUP($C58,Planes_de_estudio[],MATCH($AE$2,Carreras,0)+2,0),""),"")</f>
        <v>5</v>
      </c>
      <c r="AF58" s="155">
        <f>IF(IFERROR(VLOOKUP($C58,Planes_de_estudio[],MATCH($AF$2,Carreras,0)+2,0),"")&gt;0,IFERROR(VLOOKUP($C58,Planes_de_estudio[],MATCH($AF$2,Carreras,0)+2,0),""),"")</f>
        <v>3</v>
      </c>
      <c r="AG58" s="155" t="str">
        <f>IF(IFERROR(VLOOKUP($C58,Planes_de_estudio[],MATCH($AG$2,Carreras,0)+2,0),"")&gt;0,IFERROR(VLOOKUP($C58,Planes_de_estudio[],MATCH($AG$2,Carreras,0)+2,0),""),"")</f>
        <v/>
      </c>
      <c r="AH58" s="155" t="str">
        <f>IF(IFERROR(VLOOKUP($C58,Planes_de_estudio[],MATCH($AH$2,Carreras,0)+2,0),"")&gt;0,IFERROR(VLOOKUP($C58,Planes_de_estudio[],MATCH($AH$2,Carreras,0)+2,0),""),"")</f>
        <v/>
      </c>
      <c r="AI58" s="155">
        <f>IF(IFERROR(VLOOKUP($C58,Planes_de_estudio[],MATCH($AI$2,Carreras,0)+2,0),"")&gt;0,IFERROR(VLOOKUP($C58,Planes_de_estudio[],MATCH($AI$2,Carreras,0)+2,0),""),"")</f>
        <v>3</v>
      </c>
      <c r="AJ58" s="155" t="str">
        <f>IF(IFERROR(VLOOKUP($C58,Planes_de_estudio[],MATCH($AJ$2,Carreras,0)+2,0),"")&gt;0,IFERROR(VLOOKUP($C58,Planes_de_estudio[],MATCH($AJ$2,Carreras,0)+2,0),""),"")</f>
        <v/>
      </c>
      <c r="AK58" s="155">
        <f>IF(IFERROR(VLOOKUP($C58,Planes_de_estudio[],MATCH($AK$2,Carreras,0)+2,0),"")&gt;0,IFERROR(VLOOKUP($C58,Planes_de_estudio[],MATCH($AK$2,Carreras,0)+2,0),""),"")</f>
        <v>3</v>
      </c>
      <c r="AL5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53</v>
      </c>
      <c r="AN58" s="155">
        <f>base_de_datos[[#This Row],[Pronóstico]]/25</f>
        <v>2.12</v>
      </c>
      <c r="AO58" s="155" t="str">
        <f>VLOOKUP($C58,Planes_de_estudio[],2)</f>
        <v>EEC</v>
      </c>
      <c r="AP58" s="157" t="str">
        <f ca="1">IF(AND(base_de_datos[[#This Row],[Industrial]]&lt;&gt;"",base_de_datos[[#This Row],[Misma o no]]=1),base_de_datos[[#This Row],[Índice]],"")</f>
        <v/>
      </c>
      <c r="AQ58" s="157" t="str">
        <f ca="1">IF(AND(base_de_datos[[#This Row],[Mecatrónica]]&lt;&gt;"",base_de_datos[[#This Row],[Misma o no]]=1),base_de_datos[[#This Row],[Índice]],"")</f>
        <v/>
      </c>
      <c r="AR58" s="157" t="str">
        <f ca="1">IF(AND(base_de_datos[[#This Row],[Innovación y Diseño]]&lt;&gt;"",base_de_datos[[#This Row],[Misma o no]]=1),base_de_datos[[#This Row],[Índice]],"")</f>
        <v/>
      </c>
      <c r="AS58" s="157" t="str">
        <f ca="1">IF(AND(base_de_datos[[#This Row],[Inteligencia Artificial]]&lt;&gt;"",base_de_datos[[#This Row],[Misma o no]]=1),base_de_datos[[#This Row],[Índice]],"")</f>
        <v/>
      </c>
      <c r="AT58" s="157" t="str">
        <f ca="1">IF(AND(base_de_datos[[#This Row],[Tecnologías Energéticas]]&lt;&gt;"",base_de_datos[[#This Row],[Misma o no]]=1),base_de_datos[[#This Row],[Índice]],"")</f>
        <v/>
      </c>
      <c r="AU58" s="157" t="str">
        <f ca="1">IF(AND(base_de_datos[[#This Row],[Civil y Administración]]&lt;&gt;"",base_de_datos[[#This Row],[Misma o no]]=1),base_de_datos[[#This Row],[Índice]],"")</f>
        <v/>
      </c>
      <c r="AV58" s="157" t="str">
        <f ca="1">IF(AND(base_de_datos[[#This Row],[Bioelectrónica]]&lt;&gt;"",base_de_datos[[#This Row],[Misma o no]]=1),base_de_datos[[#This Row],[Índice]],"")</f>
        <v/>
      </c>
      <c r="AW58" s="158"/>
      <c r="AX58" s="231">
        <v>1</v>
      </c>
    </row>
    <row r="59" spans="2:50" s="6" customFormat="1" ht="15">
      <c r="B59" s="148" t="s">
        <v>188</v>
      </c>
      <c r="C59" s="149" t="s">
        <v>189</v>
      </c>
      <c r="D59" s="150">
        <v>1</v>
      </c>
      <c r="E59" s="151">
        <v>0.375</v>
      </c>
      <c r="F59" s="151">
        <v>0.45833333333333098</v>
      </c>
      <c r="G59" s="218" t="s">
        <v>65</v>
      </c>
      <c r="H59" s="150" t="s">
        <v>182</v>
      </c>
      <c r="I59" s="150">
        <f>INDEX(Aulas_capacidad,MATCH(base_de_datos[[#This Row],[Aula]],Aulas,0),2)</f>
        <v>30</v>
      </c>
      <c r="J59" s="152">
        <v>22</v>
      </c>
      <c r="K59" s="150">
        <f>INDEX(Aulas_capacidad,MATCH(base_de_datos[[#This Row],[Aula]],Aulas,0),4)</f>
        <v>12</v>
      </c>
      <c r="L59" s="153">
        <f>base_de_datos[[#This Row],[Cap 1.5]]-base_de_datos[[#This Row],[Inscritos]]</f>
        <v>-10</v>
      </c>
      <c r="M59" s="153">
        <f>INDEX(Aulas_capacidad,MATCH(base_de_datos[[#This Row],[Aula]],Aulas,0),5)</f>
        <v>18</v>
      </c>
      <c r="N59" s="153">
        <f>base_de_datos[[#This Row],[Cap .90]]-base_de_datos[[#This Row],[Inscritos]]</f>
        <v>-4</v>
      </c>
      <c r="O59" s="150" t="s">
        <v>190</v>
      </c>
      <c r="P59" s="154"/>
      <c r="Q59" s="154" t="s">
        <v>67</v>
      </c>
      <c r="R59" s="154"/>
      <c r="S59" s="154"/>
      <c r="T59" s="154"/>
      <c r="U59" s="154"/>
      <c r="V59" s="154"/>
      <c r="W59" s="154" t="s">
        <v>1659</v>
      </c>
      <c r="X59" s="155">
        <f>_xlfn.XLOOKUP(base_de_datos[[#This Row],[Materia]],Materias,Horas)/16</f>
        <v>4</v>
      </c>
      <c r="Y59" s="155">
        <f>ROUND(((base_de_datos[[#This Row],[Hora fin]]-base_de_datos[[#This Row],[Hora inicio]])*24)*(COUNTA(base_de_datos[[#This Row],[Lunes]:[Sábado]])),1)</f>
        <v>2</v>
      </c>
      <c r="Z5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9" s="155">
        <f ca="1">IF(base_de_datos[[#This Row],[No clase]]=OFFSET(base_de_datos[[#This Row],[No clase]],-1,0),0,1)</f>
        <v>1</v>
      </c>
      <c r="AB59" s="155">
        <f ca="1">IF(NOT(OR(base_de_datos[[#This Row],[Horas totales]]=base_de_datos[[#This Row],[HT Plan]],base_de_datos[[#This Row],[Horas totales]]="N/A")),1,0)</f>
        <v>0</v>
      </c>
      <c r="AC59" s="155" t="str">
        <f>_xlfn.XLOOKUP(base_de_datos[[#This Row],[Profesor]],Nombre,Grado)</f>
        <v>M</v>
      </c>
      <c r="AD59" s="156" t="str">
        <f>_xlfn.XLOOKUP(base_de_datos[[#This Row],[Profesor]],Nombre,Tipo)</f>
        <v>TC</v>
      </c>
      <c r="AE59" s="155">
        <f>IF(IFERROR(VLOOKUP($C59,Planes_de_estudio[],MATCH($AE$2,Carreras,0)+2,0),"")&gt;0,IFERROR(VLOOKUP($C59,Planes_de_estudio[],MATCH($AE$2,Carreras,0)+2,0),""),"")</f>
        <v>1</v>
      </c>
      <c r="AF59" s="155">
        <f>IF(IFERROR(VLOOKUP($C59,Planes_de_estudio[],MATCH($AF$2,Carreras,0)+2,0),"")&gt;0,IFERROR(VLOOKUP($C59,Planes_de_estudio[],MATCH($AF$2,Carreras,0)+2,0),""),"")</f>
        <v>1</v>
      </c>
      <c r="AG59" s="155">
        <f>IF(IFERROR(VLOOKUP($C59,Planes_de_estudio[],MATCH($AG$2,Carreras,0)+2,0),"")&gt;0,IFERROR(VLOOKUP($C59,Planes_de_estudio[],MATCH($AG$2,Carreras,0)+2,0),""),"")</f>
        <v>3</v>
      </c>
      <c r="AH59" s="155">
        <f>IF(IFERROR(VLOOKUP($C59,Planes_de_estudio[],MATCH($AH$2,Carreras,0)+2,0),"")&gt;0,IFERROR(VLOOKUP($C59,Planes_de_estudio[],MATCH($AH$2,Carreras,0)+2,0),""),"")</f>
        <v>1</v>
      </c>
      <c r="AI59" s="155">
        <f>IF(IFERROR(VLOOKUP($C59,Planes_de_estudio[],MATCH($AI$2,Carreras,0)+2,0),"")&gt;0,IFERROR(VLOOKUP($C59,Planes_de_estudio[],MATCH($AI$2,Carreras,0)+2,0),""),"")</f>
        <v>1</v>
      </c>
      <c r="AJ59" s="155">
        <f>IF(IFERROR(VLOOKUP($C59,Planes_de_estudio[],MATCH($AJ$2,Carreras,0)+2,0),"")&gt;0,IFERROR(VLOOKUP($C59,Planes_de_estudio[],MATCH($AJ$2,Carreras,0)+2,0),""),"")</f>
        <v>1</v>
      </c>
      <c r="AK59" s="155">
        <f>IF(IFERROR(VLOOKUP($C59,Planes_de_estudio[],MATCH($AK$2,Carreras,0)+2,0),"")&gt;0,IFERROR(VLOOKUP($C59,Planes_de_estudio[],MATCH($AK$2,Carreras,0)+2,0),""),"")</f>
        <v>1</v>
      </c>
      <c r="AL5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59" s="155">
        <f>base_de_datos[[#This Row],[Pronóstico]]/25</f>
        <v>4.4400000000000004</v>
      </c>
      <c r="AO59" s="155" t="str">
        <f>VLOOKUP($C59,Planes_de_estudio[],2)</f>
        <v>MAT</v>
      </c>
      <c r="AP59" s="157">
        <f ca="1">IF(AND(base_de_datos[[#This Row],[Industrial]]&lt;&gt;"",base_de_datos[[#This Row],[Misma o no]]=1),base_de_datos[[#This Row],[Índice]],"")</f>
        <v>4</v>
      </c>
      <c r="AQ59" s="157">
        <f ca="1">IF(AND(base_de_datos[[#This Row],[Mecatrónica]]&lt;&gt;"",base_de_datos[[#This Row],[Misma o no]]=1),base_de_datos[[#This Row],[Índice]],"")</f>
        <v>4</v>
      </c>
      <c r="AR59" s="157">
        <f ca="1">IF(AND(base_de_datos[[#This Row],[Innovación y Diseño]]&lt;&gt;"",base_de_datos[[#This Row],[Misma o no]]=1),base_de_datos[[#This Row],[Índice]],"")</f>
        <v>4</v>
      </c>
      <c r="AS59" s="157">
        <f ca="1">IF(AND(base_de_datos[[#This Row],[Inteligencia Artificial]]&lt;&gt;"",base_de_datos[[#This Row],[Misma o no]]=1),base_de_datos[[#This Row],[Índice]],"")</f>
        <v>4</v>
      </c>
      <c r="AT59" s="157">
        <f ca="1">IF(AND(base_de_datos[[#This Row],[Tecnologías Energéticas]]&lt;&gt;"",base_de_datos[[#This Row],[Misma o no]]=1),base_de_datos[[#This Row],[Índice]],"")</f>
        <v>4</v>
      </c>
      <c r="AU59" s="157">
        <f ca="1">IF(AND(base_de_datos[[#This Row],[Civil y Administración]]&lt;&gt;"",base_de_datos[[#This Row],[Misma o no]]=1),base_de_datos[[#This Row],[Índice]],"")</f>
        <v>4</v>
      </c>
      <c r="AV59" s="157">
        <f ca="1">IF(AND(base_de_datos[[#This Row],[Bioelectrónica]]&lt;&gt;"",base_de_datos[[#This Row],[Misma o no]]=1),base_de_datos[[#This Row],[Índice]],"")</f>
        <v>4</v>
      </c>
      <c r="AW59" s="158"/>
      <c r="AX59" s="231">
        <v>1</v>
      </c>
    </row>
    <row r="60" spans="2:50" s="6" customFormat="1" ht="15">
      <c r="B60" s="148" t="s">
        <v>188</v>
      </c>
      <c r="C60" s="149" t="s">
        <v>191</v>
      </c>
      <c r="D60" s="150">
        <v>1</v>
      </c>
      <c r="E60" s="151">
        <v>0.375</v>
      </c>
      <c r="F60" s="151">
        <v>0.45833333333333098</v>
      </c>
      <c r="G60" s="218" t="s">
        <v>65</v>
      </c>
      <c r="H60" s="150" t="s">
        <v>80</v>
      </c>
      <c r="I60" s="150">
        <f>INDEX(Aulas_capacidad,MATCH(base_de_datos[[#This Row],[Aula]],Aulas,0),2)</f>
        <v>30</v>
      </c>
      <c r="J60" s="152">
        <v>22</v>
      </c>
      <c r="K60" s="150">
        <f>INDEX(Aulas_capacidad,MATCH(base_de_datos[[#This Row],[Aula]],Aulas,0),4)</f>
        <v>0</v>
      </c>
      <c r="L60" s="153">
        <f>base_de_datos[[#This Row],[Cap 1.5]]-base_de_datos[[#This Row],[Inscritos]]</f>
        <v>-22</v>
      </c>
      <c r="M60" s="153">
        <f>INDEX(Aulas_capacidad,MATCH(base_de_datos[[#This Row],[Aula]],Aulas,0),5)</f>
        <v>0</v>
      </c>
      <c r="N60" s="153">
        <f>base_de_datos[[#This Row],[Cap .90]]-base_de_datos[[#This Row],[Inscritos]]</f>
        <v>-22</v>
      </c>
      <c r="O60" s="150" t="s">
        <v>190</v>
      </c>
      <c r="P60" s="154"/>
      <c r="Q60" s="154"/>
      <c r="R60" s="154"/>
      <c r="S60" s="154" t="s">
        <v>67</v>
      </c>
      <c r="T60" s="154"/>
      <c r="U60" s="154"/>
      <c r="V60" s="154"/>
      <c r="W60" s="154" t="s">
        <v>1650</v>
      </c>
      <c r="X60" s="155">
        <f>_xlfn.XLOOKUP(base_de_datos[[#This Row],[Materia]],Materias,Horas)/16</f>
        <v>4</v>
      </c>
      <c r="Y60" s="155">
        <f>ROUND(((base_de_datos[[#This Row],[Hora fin]]-base_de_datos[[#This Row],[Hora inicio]])*24)*(COUNTA(base_de_datos[[#This Row],[Lunes]:[Sábado]])),1)</f>
        <v>2</v>
      </c>
      <c r="Z6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0" s="155">
        <f ca="1">IF(base_de_datos[[#This Row],[No clase]]=OFFSET(base_de_datos[[#This Row],[No clase]],-1,0),0,1)</f>
        <v>0</v>
      </c>
      <c r="AB60" s="155">
        <f ca="1">IF(NOT(OR(base_de_datos[[#This Row],[Horas totales]]=base_de_datos[[#This Row],[HT Plan]],base_de_datos[[#This Row],[Horas totales]]="N/A")),1,0)</f>
        <v>0</v>
      </c>
      <c r="AC60" s="155" t="str">
        <f>_xlfn.XLOOKUP(base_de_datos[[#This Row],[Profesor]],Nombre,Grado)</f>
        <v>M</v>
      </c>
      <c r="AD60" s="156" t="str">
        <f>_xlfn.XLOOKUP(base_de_datos[[#This Row],[Profesor]],Nombre,Tipo)</f>
        <v>TC</v>
      </c>
      <c r="AE60" s="155">
        <f>IF(IFERROR(VLOOKUP($C60,Planes_de_estudio[],MATCH($AE$2,Carreras,0)+2,0),"")&gt;0,IFERROR(VLOOKUP($C60,Planes_de_estudio[],MATCH($AE$2,Carreras,0)+2,0),""),"")</f>
        <v>1</v>
      </c>
      <c r="AF60" s="155">
        <f>IF(IFERROR(VLOOKUP($C60,Planes_de_estudio[],MATCH($AF$2,Carreras,0)+2,0),"")&gt;0,IFERROR(VLOOKUP($C60,Planes_de_estudio[],MATCH($AF$2,Carreras,0)+2,0),""),"")</f>
        <v>1</v>
      </c>
      <c r="AG60" s="155">
        <f>IF(IFERROR(VLOOKUP($C60,Planes_de_estudio[],MATCH($AG$2,Carreras,0)+2,0),"")&gt;0,IFERROR(VLOOKUP($C60,Planes_de_estudio[],MATCH($AG$2,Carreras,0)+2,0),""),"")</f>
        <v>3</v>
      </c>
      <c r="AH60" s="155">
        <f>IF(IFERROR(VLOOKUP($C60,Planes_de_estudio[],MATCH($AH$2,Carreras,0)+2,0),"")&gt;0,IFERROR(VLOOKUP($C60,Planes_de_estudio[],MATCH($AH$2,Carreras,0)+2,0),""),"")</f>
        <v>1</v>
      </c>
      <c r="AI60" s="155">
        <f>IF(IFERROR(VLOOKUP($C60,Planes_de_estudio[],MATCH($AI$2,Carreras,0)+2,0),"")&gt;0,IFERROR(VLOOKUP($C60,Planes_de_estudio[],MATCH($AI$2,Carreras,0)+2,0),""),"")</f>
        <v>1</v>
      </c>
      <c r="AJ60" s="155">
        <f>IF(IFERROR(VLOOKUP($C60,Planes_de_estudio[],MATCH($AJ$2,Carreras,0)+2,0),"")&gt;0,IFERROR(VLOOKUP($C60,Planes_de_estudio[],MATCH($AJ$2,Carreras,0)+2,0),""),"")</f>
        <v>1</v>
      </c>
      <c r="AK60" s="155">
        <f>IF(IFERROR(VLOOKUP($C60,Planes_de_estudio[],MATCH($AK$2,Carreras,0)+2,0),"")&gt;0,IFERROR(VLOOKUP($C60,Planes_de_estudio[],MATCH($AK$2,Carreras,0)+2,0),""),"")</f>
        <v>1</v>
      </c>
      <c r="AL6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60" s="155">
        <f>base_de_datos[[#This Row],[Pronóstico]]/25</f>
        <v>4.4400000000000004</v>
      </c>
      <c r="AO60" s="155" t="str">
        <f>VLOOKUP($C60,Planes_de_estudio[],2)</f>
        <v>MAT</v>
      </c>
      <c r="AP60" s="157" t="str">
        <f ca="1">IF(AND(base_de_datos[[#This Row],[Industrial]]&lt;&gt;"",base_de_datos[[#This Row],[Misma o no]]=1),base_de_datos[[#This Row],[Índice]],"")</f>
        <v/>
      </c>
      <c r="AQ60" s="157" t="str">
        <f ca="1">IF(AND(base_de_datos[[#This Row],[Mecatrónica]]&lt;&gt;"",base_de_datos[[#This Row],[Misma o no]]=1),base_de_datos[[#This Row],[Índice]],"")</f>
        <v/>
      </c>
      <c r="AR60" s="157" t="str">
        <f ca="1">IF(AND(base_de_datos[[#This Row],[Innovación y Diseño]]&lt;&gt;"",base_de_datos[[#This Row],[Misma o no]]=1),base_de_datos[[#This Row],[Índice]],"")</f>
        <v/>
      </c>
      <c r="AS60" s="157" t="str">
        <f ca="1">IF(AND(base_de_datos[[#This Row],[Inteligencia Artificial]]&lt;&gt;"",base_de_datos[[#This Row],[Misma o no]]=1),base_de_datos[[#This Row],[Índice]],"")</f>
        <v/>
      </c>
      <c r="AT60" s="157" t="str">
        <f ca="1">IF(AND(base_de_datos[[#This Row],[Tecnologías Energéticas]]&lt;&gt;"",base_de_datos[[#This Row],[Misma o no]]=1),base_de_datos[[#This Row],[Índice]],"")</f>
        <v/>
      </c>
      <c r="AU60" s="157" t="str">
        <f ca="1">IF(AND(base_de_datos[[#This Row],[Civil y Administración]]&lt;&gt;"",base_de_datos[[#This Row],[Misma o no]]=1),base_de_datos[[#This Row],[Índice]],"")</f>
        <v/>
      </c>
      <c r="AV60" s="157" t="str">
        <f ca="1">IF(AND(base_de_datos[[#This Row],[Bioelectrónica]]&lt;&gt;"",base_de_datos[[#This Row],[Misma o no]]=1),base_de_datos[[#This Row],[Índice]],"")</f>
        <v/>
      </c>
      <c r="AW60" s="158"/>
      <c r="AX60" s="231">
        <v>1</v>
      </c>
    </row>
    <row r="61" spans="2:50" s="6" customFormat="1" ht="15">
      <c r="B61" s="148" t="s">
        <v>192</v>
      </c>
      <c r="C61" s="149" t="s">
        <v>138</v>
      </c>
      <c r="D61" s="150">
        <v>5</v>
      </c>
      <c r="E61" s="151">
        <v>0.39583333333333398</v>
      </c>
      <c r="F61" s="151">
        <v>0.45833333333333098</v>
      </c>
      <c r="G61" s="150"/>
      <c r="H61" s="150" t="s">
        <v>193</v>
      </c>
      <c r="I61" s="150">
        <f>INDEX(Aulas_capacidad,MATCH(base_de_datos[[#This Row],[Aula]],Aulas,0),2)</f>
        <v>20</v>
      </c>
      <c r="J61" s="152"/>
      <c r="K61" s="150">
        <f>INDEX(Aulas_capacidad,MATCH(base_de_datos[[#This Row],[Aula]],Aulas,0),4)</f>
        <v>8</v>
      </c>
      <c r="L61" s="153">
        <f>base_de_datos[[#This Row],[Cap 1.5]]-base_de_datos[[#This Row],[Inscritos]]</f>
        <v>8</v>
      </c>
      <c r="M61" s="153">
        <f>INDEX(Aulas_capacidad,MATCH(base_de_datos[[#This Row],[Aula]],Aulas,0),5)</f>
        <v>10</v>
      </c>
      <c r="N61" s="153">
        <f>base_de_datos[[#This Row],[Cap .90]]-base_de_datos[[#This Row],[Inscritos]]</f>
        <v>10</v>
      </c>
      <c r="O61" s="150" t="s">
        <v>194</v>
      </c>
      <c r="P61" s="154"/>
      <c r="Q61" s="154"/>
      <c r="R61" s="154" t="s">
        <v>67</v>
      </c>
      <c r="S61" s="154"/>
      <c r="T61" s="154"/>
      <c r="U61" s="154"/>
      <c r="V61" s="154"/>
      <c r="W61" s="154" t="s">
        <v>1654</v>
      </c>
      <c r="X61" s="155">
        <f>_xlfn.XLOOKUP(base_de_datos[[#This Row],[Materia]],Materias,Horas)/16</f>
        <v>3</v>
      </c>
      <c r="Y61" s="155">
        <f>ROUND(((base_de_datos[[#This Row],[Hora fin]]-base_de_datos[[#This Row],[Hora inicio]])*24)*(COUNTA(base_de_datos[[#This Row],[Lunes]:[Sábado]])),1)</f>
        <v>1.5</v>
      </c>
      <c r="Z6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1" s="155">
        <f ca="1">IF(base_de_datos[[#This Row],[No clase]]=OFFSET(base_de_datos[[#This Row],[No clase]],-1,0),0,1)</f>
        <v>1</v>
      </c>
      <c r="AB61" s="155">
        <f ca="1">IF(NOT(OR(base_de_datos[[#This Row],[Horas totales]]=base_de_datos[[#This Row],[HT Plan]],base_de_datos[[#This Row],[Horas totales]]="N/A")),1,0)</f>
        <v>0</v>
      </c>
      <c r="AC61" s="155" t="str">
        <f>_xlfn.XLOOKUP(base_de_datos[[#This Row],[Profesor]],Nombre,Grado)</f>
        <v>SNI</v>
      </c>
      <c r="AD61" s="156" t="str">
        <f>_xlfn.XLOOKUP(base_de_datos[[#This Row],[Profesor]],Nombre,Tipo)</f>
        <v>H</v>
      </c>
      <c r="AE61" s="155">
        <f>IF(IFERROR(VLOOKUP($C61,Planes_de_estudio[],MATCH($AE$2,Carreras,0)+2,0),"")&gt;0,IFERROR(VLOOKUP($C61,Planes_de_estudio[],MATCH($AE$2,Carreras,0)+2,0),""),"")</f>
        <v>1</v>
      </c>
      <c r="AF61" s="155">
        <f>IF(IFERROR(VLOOKUP($C61,Planes_de_estudio[],MATCH($AF$2,Carreras,0)+2,0),"")&gt;0,IFERROR(VLOOKUP($C61,Planes_de_estudio[],MATCH($AF$2,Carreras,0)+2,0),""),"")</f>
        <v>1</v>
      </c>
      <c r="AG61" s="155">
        <f>IF(IFERROR(VLOOKUP($C61,Planes_de_estudio[],MATCH($AG$2,Carreras,0)+2,0),"")&gt;0,IFERROR(VLOOKUP($C61,Planes_de_estudio[],MATCH($AG$2,Carreras,0)+2,0),""),"")</f>
        <v>1</v>
      </c>
      <c r="AH61" s="155">
        <f>IF(IFERROR(VLOOKUP($C61,Planes_de_estudio[],MATCH($AH$2,Carreras,0)+2,0),"")&gt;0,IFERROR(VLOOKUP($C61,Planes_de_estudio[],MATCH($AH$2,Carreras,0)+2,0),""),"")</f>
        <v>1</v>
      </c>
      <c r="AI61" s="155">
        <f>IF(IFERROR(VLOOKUP($C61,Planes_de_estudio[],MATCH($AI$2,Carreras,0)+2,0),"")&gt;0,IFERROR(VLOOKUP($C61,Planes_de_estudio[],MATCH($AI$2,Carreras,0)+2,0),""),"")</f>
        <v>1</v>
      </c>
      <c r="AJ61" s="155">
        <f>IF(IFERROR(VLOOKUP($C61,Planes_de_estudio[],MATCH($AJ$2,Carreras,0)+2,0),"")&gt;0,IFERROR(VLOOKUP($C61,Planes_de_estudio[],MATCH($AJ$2,Carreras,0)+2,0),""),"")</f>
        <v>1</v>
      </c>
      <c r="AK61" s="155">
        <f>IF(IFERROR(VLOOKUP($C61,Planes_de_estudio[],MATCH($AK$2,Carreras,0)+2,0),"")&gt;0,IFERROR(VLOOKUP($C61,Planes_de_estudio[],MATCH($AK$2,Carreras,0)+2,0),""),"")</f>
        <v>1</v>
      </c>
      <c r="AL6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1" s="155">
        <f>base_de_datos[[#This Row],[Pronóstico]]/25</f>
        <v>4.3600000000000003</v>
      </c>
      <c r="AO61" s="155" t="str">
        <f>VLOOKUP($C61,Planes_de_estudio[],2)</f>
        <v>HUM</v>
      </c>
      <c r="AP61" s="157">
        <f ca="1">IF(AND(base_de_datos[[#This Row],[Industrial]]&lt;&gt;"",base_de_datos[[#This Row],[Misma o no]]=1),base_de_datos[[#This Row],[Índice]],"")</f>
        <v>6</v>
      </c>
      <c r="AQ61" s="157">
        <f ca="1">IF(AND(base_de_datos[[#This Row],[Mecatrónica]]&lt;&gt;"",base_de_datos[[#This Row],[Misma o no]]=1),base_de_datos[[#This Row],[Índice]],"")</f>
        <v>6</v>
      </c>
      <c r="AR61" s="157">
        <f ca="1">IF(AND(base_de_datos[[#This Row],[Innovación y Diseño]]&lt;&gt;"",base_de_datos[[#This Row],[Misma o no]]=1),base_de_datos[[#This Row],[Índice]],"")</f>
        <v>6</v>
      </c>
      <c r="AS61" s="157">
        <f ca="1">IF(AND(base_de_datos[[#This Row],[Inteligencia Artificial]]&lt;&gt;"",base_de_datos[[#This Row],[Misma o no]]=1),base_de_datos[[#This Row],[Índice]],"")</f>
        <v>6</v>
      </c>
      <c r="AT61" s="157">
        <f ca="1">IF(AND(base_de_datos[[#This Row],[Tecnologías Energéticas]]&lt;&gt;"",base_de_datos[[#This Row],[Misma o no]]=1),base_de_datos[[#This Row],[Índice]],"")</f>
        <v>6</v>
      </c>
      <c r="AU61" s="157">
        <f ca="1">IF(AND(base_de_datos[[#This Row],[Civil y Administración]]&lt;&gt;"",base_de_datos[[#This Row],[Misma o no]]=1),base_de_datos[[#This Row],[Índice]],"")</f>
        <v>6</v>
      </c>
      <c r="AV61" s="157">
        <f ca="1">IF(AND(base_de_datos[[#This Row],[Bioelectrónica]]&lt;&gt;"",base_de_datos[[#This Row],[Misma o no]]=1),base_de_datos[[#This Row],[Índice]],"")</f>
        <v>6</v>
      </c>
      <c r="AW61" s="158"/>
      <c r="AX61" s="231" t="s">
        <v>1632</v>
      </c>
    </row>
    <row r="62" spans="2:50" s="6" customFormat="1" ht="15">
      <c r="B62" s="148" t="s">
        <v>192</v>
      </c>
      <c r="C62" s="149" t="s">
        <v>138</v>
      </c>
      <c r="D62" s="150">
        <v>5</v>
      </c>
      <c r="E62" s="151">
        <v>0.39583333333333398</v>
      </c>
      <c r="F62" s="151">
        <v>0.45833333333333098</v>
      </c>
      <c r="G62" s="150"/>
      <c r="H62" s="150" t="s">
        <v>193</v>
      </c>
      <c r="I62" s="150">
        <f>INDEX(Aulas_capacidad,MATCH(base_de_datos[[#This Row],[Aula]],Aulas,0),2)</f>
        <v>20</v>
      </c>
      <c r="J62" s="152"/>
      <c r="K62" s="150">
        <f>INDEX(Aulas_capacidad,MATCH(base_de_datos[[#This Row],[Aula]],Aulas,0),4)</f>
        <v>8</v>
      </c>
      <c r="L62" s="153">
        <f>base_de_datos[[#This Row],[Cap 1.5]]-base_de_datos[[#This Row],[Inscritos]]</f>
        <v>8</v>
      </c>
      <c r="M62" s="153">
        <f>INDEX(Aulas_capacidad,MATCH(base_de_datos[[#This Row],[Aula]],Aulas,0),5)</f>
        <v>10</v>
      </c>
      <c r="N62" s="153">
        <f>base_de_datos[[#This Row],[Cap .90]]-base_de_datos[[#This Row],[Inscritos]]</f>
        <v>10</v>
      </c>
      <c r="O62" s="150" t="s">
        <v>194</v>
      </c>
      <c r="P62" s="154"/>
      <c r="Q62" s="154"/>
      <c r="R62" s="154"/>
      <c r="S62" s="154"/>
      <c r="T62" s="154" t="s">
        <v>67</v>
      </c>
      <c r="U62" s="154"/>
      <c r="V62" s="154"/>
      <c r="W62" s="154" t="s">
        <v>1654</v>
      </c>
      <c r="X62" s="155">
        <f>_xlfn.XLOOKUP(base_de_datos[[#This Row],[Materia]],Materias,Horas)/16</f>
        <v>3</v>
      </c>
      <c r="Y62" s="155">
        <f>ROUND(((base_de_datos[[#This Row],[Hora fin]]-base_de_datos[[#This Row],[Hora inicio]])*24)*(COUNTA(base_de_datos[[#This Row],[Lunes]:[Sábado]])),1)</f>
        <v>1.5</v>
      </c>
      <c r="Z6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2" s="155">
        <f ca="1">IF(base_de_datos[[#This Row],[No clase]]=OFFSET(base_de_datos[[#This Row],[No clase]],-1,0),0,1)</f>
        <v>0</v>
      </c>
      <c r="AB62" s="155">
        <f ca="1">IF(NOT(OR(base_de_datos[[#This Row],[Horas totales]]=base_de_datos[[#This Row],[HT Plan]],base_de_datos[[#This Row],[Horas totales]]="N/A")),1,0)</f>
        <v>0</v>
      </c>
      <c r="AC62" s="155" t="str">
        <f>_xlfn.XLOOKUP(base_de_datos[[#This Row],[Profesor]],Nombre,Grado)</f>
        <v>SNI</v>
      </c>
      <c r="AD62" s="156" t="str">
        <f>_xlfn.XLOOKUP(base_de_datos[[#This Row],[Profesor]],Nombre,Tipo)</f>
        <v>H</v>
      </c>
      <c r="AE62" s="155">
        <f>IF(IFERROR(VLOOKUP($C62,Planes_de_estudio[],MATCH($AE$2,Carreras,0)+2,0),"")&gt;0,IFERROR(VLOOKUP($C62,Planes_de_estudio[],MATCH($AE$2,Carreras,0)+2,0),""),"")</f>
        <v>1</v>
      </c>
      <c r="AF62" s="155">
        <f>IF(IFERROR(VLOOKUP($C62,Planes_de_estudio[],MATCH($AF$2,Carreras,0)+2,0),"")&gt;0,IFERROR(VLOOKUP($C62,Planes_de_estudio[],MATCH($AF$2,Carreras,0)+2,0),""),"")</f>
        <v>1</v>
      </c>
      <c r="AG62" s="155">
        <f>IF(IFERROR(VLOOKUP($C62,Planes_de_estudio[],MATCH($AG$2,Carreras,0)+2,0),"")&gt;0,IFERROR(VLOOKUP($C62,Planes_de_estudio[],MATCH($AG$2,Carreras,0)+2,0),""),"")</f>
        <v>1</v>
      </c>
      <c r="AH62" s="155">
        <f>IF(IFERROR(VLOOKUP($C62,Planes_de_estudio[],MATCH($AH$2,Carreras,0)+2,0),"")&gt;0,IFERROR(VLOOKUP($C62,Planes_de_estudio[],MATCH($AH$2,Carreras,0)+2,0),""),"")</f>
        <v>1</v>
      </c>
      <c r="AI62" s="155">
        <f>IF(IFERROR(VLOOKUP($C62,Planes_de_estudio[],MATCH($AI$2,Carreras,0)+2,0),"")&gt;0,IFERROR(VLOOKUP($C62,Planes_de_estudio[],MATCH($AI$2,Carreras,0)+2,0),""),"")</f>
        <v>1</v>
      </c>
      <c r="AJ62" s="155">
        <f>IF(IFERROR(VLOOKUP($C62,Planes_de_estudio[],MATCH($AJ$2,Carreras,0)+2,0),"")&gt;0,IFERROR(VLOOKUP($C62,Planes_de_estudio[],MATCH($AJ$2,Carreras,0)+2,0),""),"")</f>
        <v>1</v>
      </c>
      <c r="AK62" s="155">
        <f>IF(IFERROR(VLOOKUP($C62,Planes_de_estudio[],MATCH($AK$2,Carreras,0)+2,0),"")&gt;0,IFERROR(VLOOKUP($C62,Planes_de_estudio[],MATCH($AK$2,Carreras,0)+2,0),""),"")</f>
        <v>1</v>
      </c>
      <c r="AL6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2" s="155">
        <f>base_de_datos[[#This Row],[Pronóstico]]/25</f>
        <v>4.3600000000000003</v>
      </c>
      <c r="AO62" s="155" t="str">
        <f>VLOOKUP($C62,Planes_de_estudio[],2)</f>
        <v>HUM</v>
      </c>
      <c r="AP62" s="157" t="str">
        <f ca="1">IF(AND(base_de_datos[[#This Row],[Industrial]]&lt;&gt;"",base_de_datos[[#This Row],[Misma o no]]=1),base_de_datos[[#This Row],[Índice]],"")</f>
        <v/>
      </c>
      <c r="AQ62" s="157" t="str">
        <f ca="1">IF(AND(base_de_datos[[#This Row],[Mecatrónica]]&lt;&gt;"",base_de_datos[[#This Row],[Misma o no]]=1),base_de_datos[[#This Row],[Índice]],"")</f>
        <v/>
      </c>
      <c r="AR62" s="157" t="str">
        <f ca="1">IF(AND(base_de_datos[[#This Row],[Innovación y Diseño]]&lt;&gt;"",base_de_datos[[#This Row],[Misma o no]]=1),base_de_datos[[#This Row],[Índice]],"")</f>
        <v/>
      </c>
      <c r="AS62" s="157" t="str">
        <f ca="1">IF(AND(base_de_datos[[#This Row],[Inteligencia Artificial]]&lt;&gt;"",base_de_datos[[#This Row],[Misma o no]]=1),base_de_datos[[#This Row],[Índice]],"")</f>
        <v/>
      </c>
      <c r="AT62" s="157" t="str">
        <f ca="1">IF(AND(base_de_datos[[#This Row],[Tecnologías Energéticas]]&lt;&gt;"",base_de_datos[[#This Row],[Misma o no]]=1),base_de_datos[[#This Row],[Índice]],"")</f>
        <v/>
      </c>
      <c r="AU62" s="157" t="str">
        <f ca="1">IF(AND(base_de_datos[[#This Row],[Civil y Administración]]&lt;&gt;"",base_de_datos[[#This Row],[Misma o no]]=1),base_de_datos[[#This Row],[Índice]],"")</f>
        <v/>
      </c>
      <c r="AV62" s="157" t="str">
        <f ca="1">IF(AND(base_de_datos[[#This Row],[Bioelectrónica]]&lt;&gt;"",base_de_datos[[#This Row],[Misma o no]]=1),base_de_datos[[#This Row],[Índice]],"")</f>
        <v/>
      </c>
      <c r="AW62" s="158"/>
      <c r="AX62" s="231">
        <v>1</v>
      </c>
    </row>
    <row r="63" spans="2:50" s="6" customFormat="1" ht="15">
      <c r="B63" s="148" t="s">
        <v>195</v>
      </c>
      <c r="C63" s="149" t="s">
        <v>196</v>
      </c>
      <c r="D63" s="150"/>
      <c r="E63" s="151">
        <v>0.29166666666666669</v>
      </c>
      <c r="F63" s="151">
        <v>0.35416666666666602</v>
      </c>
      <c r="G63" s="150"/>
      <c r="H63" s="150" t="s">
        <v>86</v>
      </c>
      <c r="I63" s="150">
        <f>INDEX(Aulas_capacidad,MATCH(base_de_datos[[#This Row],[Aula]],Aulas,0),2)</f>
        <v>40</v>
      </c>
      <c r="J63" s="152">
        <v>17</v>
      </c>
      <c r="K63" s="150">
        <f>INDEX(Aulas_capacidad,MATCH(base_de_datos[[#This Row],[Aula]],Aulas,0),4)</f>
        <v>10</v>
      </c>
      <c r="L63" s="153">
        <f>base_de_datos[[#This Row],[Cap 1.5]]-base_de_datos[[#This Row],[Inscritos]]</f>
        <v>-7</v>
      </c>
      <c r="M63" s="153">
        <f>INDEX(Aulas_capacidad,MATCH(base_de_datos[[#This Row],[Aula]],Aulas,0),5)</f>
        <v>25</v>
      </c>
      <c r="N63" s="153">
        <f>base_de_datos[[#This Row],[Cap .90]]-base_de_datos[[#This Row],[Inscritos]]</f>
        <v>8</v>
      </c>
      <c r="O63" s="150">
        <v>1704</v>
      </c>
      <c r="P63" s="154" t="s">
        <v>67</v>
      </c>
      <c r="Q63" s="154"/>
      <c r="R63" s="154" t="s">
        <v>67</v>
      </c>
      <c r="S63" s="154"/>
      <c r="T63" s="154"/>
      <c r="U63" s="154"/>
      <c r="V63" s="154"/>
      <c r="W63" s="154" t="s">
        <v>1653</v>
      </c>
      <c r="X63" s="155">
        <f>_xlfn.XLOOKUP(base_de_datos[[#This Row],[Materia]],Materias,Horas)/16</f>
        <v>3</v>
      </c>
      <c r="Y63" s="155">
        <f>ROUND(((base_de_datos[[#This Row],[Hora fin]]-base_de_datos[[#This Row],[Hora inicio]])*24)*(COUNTA(base_de_datos[[#This Row],[Lunes]:[Sábado]])),1)</f>
        <v>3</v>
      </c>
      <c r="Z6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3" s="155">
        <f ca="1">IF(base_de_datos[[#This Row],[No clase]]=OFFSET(base_de_datos[[#This Row],[No clase]],-1,0),0,1)</f>
        <v>1</v>
      </c>
      <c r="AB63" s="155">
        <f ca="1">IF(NOT(OR(base_de_datos[[#This Row],[Horas totales]]=base_de_datos[[#This Row],[HT Plan]],base_de_datos[[#This Row],[Horas totales]]="N/A")),1,0)</f>
        <v>0</v>
      </c>
      <c r="AC63" s="155" t="str">
        <f>_xlfn.XLOOKUP(base_de_datos[[#This Row],[Profesor]],Nombre,Grado)</f>
        <v>M</v>
      </c>
      <c r="AD63" s="156" t="str">
        <f>_xlfn.XLOOKUP(base_de_datos[[#This Row],[Profesor]],Nombre,Tipo)</f>
        <v>A</v>
      </c>
      <c r="AE63" s="155">
        <f>IF(IFERROR(VLOOKUP($C63,Planes_de_estudio[],MATCH($AE$2,Carreras,0)+2,0),"")&gt;0,IFERROR(VLOOKUP($C63,Planes_de_estudio[],MATCH($AE$2,Carreras,0)+2,0),""),"")</f>
        <v>3</v>
      </c>
      <c r="AF63" s="155" t="str">
        <f>IF(IFERROR(VLOOKUP($C63,Planes_de_estudio[],MATCH($AF$2,Carreras,0)+2,0),"")&gt;0,IFERROR(VLOOKUP($C63,Planes_de_estudio[],MATCH($AF$2,Carreras,0)+2,0),""),"")</f>
        <v/>
      </c>
      <c r="AG63" s="155" t="str">
        <f>IF(IFERROR(VLOOKUP($C63,Planes_de_estudio[],MATCH($AG$2,Carreras,0)+2,0),"")&gt;0,IFERROR(VLOOKUP($C63,Planes_de_estudio[],MATCH($AG$2,Carreras,0)+2,0),""),"")</f>
        <v/>
      </c>
      <c r="AH63" s="155" t="str">
        <f>IF(IFERROR(VLOOKUP($C63,Planes_de_estudio[],MATCH($AH$2,Carreras,0)+2,0),"")&gt;0,IFERROR(VLOOKUP($C63,Planes_de_estudio[],MATCH($AH$2,Carreras,0)+2,0),""),"")</f>
        <v/>
      </c>
      <c r="AI63" s="155" t="str">
        <f>IF(IFERROR(VLOOKUP($C63,Planes_de_estudio[],MATCH($AI$2,Carreras,0)+2,0),"")&gt;0,IFERROR(VLOOKUP($C63,Planes_de_estudio[],MATCH($AI$2,Carreras,0)+2,0),""),"")</f>
        <v/>
      </c>
      <c r="AJ63" s="155" t="str">
        <f>IF(IFERROR(VLOOKUP($C63,Planes_de_estudio[],MATCH($AJ$2,Carreras,0)+2,0),"")&gt;0,IFERROR(VLOOKUP($C63,Planes_de_estudio[],MATCH($AJ$2,Carreras,0)+2,0),""),"")</f>
        <v/>
      </c>
      <c r="AK63" s="155" t="str">
        <f>IF(IFERROR(VLOOKUP($C63,Planes_de_estudio[],MATCH($AK$2,Carreras,0)+2,0),"")&gt;0,IFERROR(VLOOKUP($C63,Planes_de_estudio[],MATCH($AK$2,Carreras,0)+2,0),""),"")</f>
        <v/>
      </c>
      <c r="AL6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63" s="155">
        <f>base_de_datos[[#This Row],[Pronóstico]]/25</f>
        <v>0.8</v>
      </c>
      <c r="AO63" s="155" t="str">
        <f>VLOOKUP($C63,Planes_de_estudio[],2)</f>
        <v>MAT</v>
      </c>
      <c r="AP63" s="157">
        <f ca="1">IF(AND(base_de_datos[[#This Row],[Industrial]]&lt;&gt;"",base_de_datos[[#This Row],[Misma o no]]=1),base_de_datos[[#This Row],[Índice]],"")</f>
        <v>4</v>
      </c>
      <c r="AQ63" s="157" t="str">
        <f ca="1">IF(AND(base_de_datos[[#This Row],[Mecatrónica]]&lt;&gt;"",base_de_datos[[#This Row],[Misma o no]]=1),base_de_datos[[#This Row],[Índice]],"")</f>
        <v/>
      </c>
      <c r="AR63" s="157" t="str">
        <f ca="1">IF(AND(base_de_datos[[#This Row],[Innovación y Diseño]]&lt;&gt;"",base_de_datos[[#This Row],[Misma o no]]=1),base_de_datos[[#This Row],[Índice]],"")</f>
        <v/>
      </c>
      <c r="AS63" s="157" t="str">
        <f ca="1">IF(AND(base_de_datos[[#This Row],[Inteligencia Artificial]]&lt;&gt;"",base_de_datos[[#This Row],[Misma o no]]=1),base_de_datos[[#This Row],[Índice]],"")</f>
        <v/>
      </c>
      <c r="AT63" s="157" t="str">
        <f ca="1">IF(AND(base_de_datos[[#This Row],[Tecnologías Energéticas]]&lt;&gt;"",base_de_datos[[#This Row],[Misma o no]]=1),base_de_datos[[#This Row],[Índice]],"")</f>
        <v/>
      </c>
      <c r="AU63" s="157" t="str">
        <f ca="1">IF(AND(base_de_datos[[#This Row],[Civil y Administración]]&lt;&gt;"",base_de_datos[[#This Row],[Misma o no]]=1),base_de_datos[[#This Row],[Índice]],"")</f>
        <v/>
      </c>
      <c r="AV63" s="157" t="str">
        <f ca="1">IF(AND(base_de_datos[[#This Row],[Bioelectrónica]]&lt;&gt;"",base_de_datos[[#This Row],[Misma o no]]=1),base_de_datos[[#This Row],[Índice]],"")</f>
        <v/>
      </c>
      <c r="AW63" s="158"/>
      <c r="AX63" s="231">
        <v>1</v>
      </c>
    </row>
    <row r="64" spans="2:50" s="6" customFormat="1" ht="15">
      <c r="B64" s="148" t="s">
        <v>197</v>
      </c>
      <c r="C64" s="149" t="s">
        <v>97</v>
      </c>
      <c r="D64" s="150">
        <v>1</v>
      </c>
      <c r="E64" s="151">
        <v>0.29166666666666669</v>
      </c>
      <c r="F64" s="151">
        <v>0.374999999999999</v>
      </c>
      <c r="G64" s="218" t="s">
        <v>65</v>
      </c>
      <c r="H64" s="150" t="s">
        <v>198</v>
      </c>
      <c r="I64" s="150" t="e">
        <f>INDEX(Aulas_capacidad,MATCH(base_de_datos[[#This Row],[Aula]],Aulas,0),2)</f>
        <v>#N/A</v>
      </c>
      <c r="J64" s="152">
        <v>27</v>
      </c>
      <c r="K64" s="150" t="e">
        <f>INDEX(Aulas_capacidad,MATCH(base_de_datos[[#This Row],[Aula]],Aulas,0),4)</f>
        <v>#N/A</v>
      </c>
      <c r="L64" s="153" t="e">
        <f>base_de_datos[[#This Row],[Cap 1.5]]-base_de_datos[[#This Row],[Inscritos]]</f>
        <v>#N/A</v>
      </c>
      <c r="M64" s="153" t="e">
        <f>INDEX(Aulas_capacidad,MATCH(base_de_datos[[#This Row],[Aula]],Aulas,0),5)</f>
        <v>#N/A</v>
      </c>
      <c r="N64" s="153" t="e">
        <f>base_de_datos[[#This Row],[Cap .90]]-base_de_datos[[#This Row],[Inscritos]]</f>
        <v>#N/A</v>
      </c>
      <c r="O64" s="150" t="s">
        <v>1646</v>
      </c>
      <c r="P64" s="154"/>
      <c r="Q64" s="154" t="s">
        <v>67</v>
      </c>
      <c r="R64" s="154"/>
      <c r="S64" s="154"/>
      <c r="T64" s="154"/>
      <c r="U64" s="154"/>
      <c r="V64" s="154"/>
      <c r="W64" s="154" t="s">
        <v>1651</v>
      </c>
      <c r="X64" s="155">
        <f>_xlfn.XLOOKUP(base_de_datos[[#This Row],[Materia]],Materias,Horas)/16</f>
        <v>4</v>
      </c>
      <c r="Y64" s="155">
        <f>ROUND(((base_de_datos[[#This Row],[Hora fin]]-base_de_datos[[#This Row],[Hora inicio]])*24)*(COUNTA(base_de_datos[[#This Row],[Lunes]:[Sábado]])),1)</f>
        <v>2</v>
      </c>
      <c r="Z6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4" s="155">
        <f ca="1">IF(base_de_datos[[#This Row],[No clase]]=OFFSET(base_de_datos[[#This Row],[No clase]],-1,0),0,1)</f>
        <v>1</v>
      </c>
      <c r="AB64" s="155">
        <f ca="1">IF(NOT(OR(base_de_datos[[#This Row],[Horas totales]]=base_de_datos[[#This Row],[HT Plan]],base_de_datos[[#This Row],[Horas totales]]="N/A")),1,0)</f>
        <v>0</v>
      </c>
      <c r="AC64" s="155" t="str">
        <f>_xlfn.XLOOKUP(base_de_datos[[#This Row],[Profesor]],Nombre,Grado)</f>
        <v>M</v>
      </c>
      <c r="AD64" s="156" t="str">
        <f>_xlfn.XLOOKUP(base_de_datos[[#This Row],[Profesor]],Nombre,Tipo)</f>
        <v>TC</v>
      </c>
      <c r="AE64" s="155">
        <f>IF(IFERROR(VLOOKUP($C64,Planes_de_estudio[],MATCH($AE$2,Carreras,0)+2,0),"")&gt;0,IFERROR(VLOOKUP($C64,Planes_de_estudio[],MATCH($AE$2,Carreras,0)+2,0),""),"")</f>
        <v>1</v>
      </c>
      <c r="AF64" s="155">
        <f>IF(IFERROR(VLOOKUP($C64,Planes_de_estudio[],MATCH($AF$2,Carreras,0)+2,0),"")&gt;0,IFERROR(VLOOKUP($C64,Planes_de_estudio[],MATCH($AF$2,Carreras,0)+2,0),""),"")</f>
        <v>1</v>
      </c>
      <c r="AG64" s="155">
        <f>IF(IFERROR(VLOOKUP($C64,Planes_de_estudio[],MATCH($AG$2,Carreras,0)+2,0),"")&gt;0,IFERROR(VLOOKUP($C64,Planes_de_estudio[],MATCH($AG$2,Carreras,0)+2,0),""),"")</f>
        <v>1</v>
      </c>
      <c r="AH64" s="155">
        <f>IF(IFERROR(VLOOKUP($C64,Planes_de_estudio[],MATCH($AH$2,Carreras,0)+2,0),"")&gt;0,IFERROR(VLOOKUP($C64,Planes_de_estudio[],MATCH($AH$2,Carreras,0)+2,0),""),"")</f>
        <v>1</v>
      </c>
      <c r="AI64" s="155">
        <f>IF(IFERROR(VLOOKUP($C64,Planes_de_estudio[],MATCH($AI$2,Carreras,0)+2,0),"")&gt;0,IFERROR(VLOOKUP($C64,Planes_de_estudio[],MATCH($AI$2,Carreras,0)+2,0),""),"")</f>
        <v>1</v>
      </c>
      <c r="AJ64" s="155">
        <f>IF(IFERROR(VLOOKUP($C64,Planes_de_estudio[],MATCH($AJ$2,Carreras,0)+2,0),"")&gt;0,IFERROR(VLOOKUP($C64,Planes_de_estudio[],MATCH($AJ$2,Carreras,0)+2,0),""),"")</f>
        <v>1</v>
      </c>
      <c r="AK64" s="155">
        <f>IF(IFERROR(VLOOKUP($C64,Planes_de_estudio[],MATCH($AK$2,Carreras,0)+2,0),"")&gt;0,IFERROR(VLOOKUP($C64,Planes_de_estudio[],MATCH($AK$2,Carreras,0)+2,0),""),"")</f>
        <v>1</v>
      </c>
      <c r="AL6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4" s="155">
        <f>base_de_datos[[#This Row],[Pronóstico]]/25</f>
        <v>4.3600000000000003</v>
      </c>
      <c r="AO64" s="155" t="str">
        <f>VLOOKUP($C64,Planes_de_estudio[],2)</f>
        <v>MAT</v>
      </c>
      <c r="AP64" s="157">
        <f ca="1">IF(AND(base_de_datos[[#This Row],[Industrial]]&lt;&gt;"",base_de_datos[[#This Row],[Misma o no]]=1),base_de_datos[[#This Row],[Índice]],"")</f>
        <v>4</v>
      </c>
      <c r="AQ64" s="157">
        <f ca="1">IF(AND(base_de_datos[[#This Row],[Mecatrónica]]&lt;&gt;"",base_de_datos[[#This Row],[Misma o no]]=1),base_de_datos[[#This Row],[Índice]],"")</f>
        <v>4</v>
      </c>
      <c r="AR64" s="157">
        <f ca="1">IF(AND(base_de_datos[[#This Row],[Innovación y Diseño]]&lt;&gt;"",base_de_datos[[#This Row],[Misma o no]]=1),base_de_datos[[#This Row],[Índice]],"")</f>
        <v>4</v>
      </c>
      <c r="AS64" s="157">
        <f ca="1">IF(AND(base_de_datos[[#This Row],[Inteligencia Artificial]]&lt;&gt;"",base_de_datos[[#This Row],[Misma o no]]=1),base_de_datos[[#This Row],[Índice]],"")</f>
        <v>4</v>
      </c>
      <c r="AT64" s="157">
        <f ca="1">IF(AND(base_de_datos[[#This Row],[Tecnologías Energéticas]]&lt;&gt;"",base_de_datos[[#This Row],[Misma o no]]=1),base_de_datos[[#This Row],[Índice]],"")</f>
        <v>4</v>
      </c>
      <c r="AU64" s="157">
        <f ca="1">IF(AND(base_de_datos[[#This Row],[Civil y Administración]]&lt;&gt;"",base_de_datos[[#This Row],[Misma o no]]=1),base_de_datos[[#This Row],[Índice]],"")</f>
        <v>4</v>
      </c>
      <c r="AV64" s="157">
        <f ca="1">IF(AND(base_de_datos[[#This Row],[Bioelectrónica]]&lt;&gt;"",base_de_datos[[#This Row],[Misma o no]]=1),base_de_datos[[#This Row],[Índice]],"")</f>
        <v>4</v>
      </c>
      <c r="AW64" s="158"/>
      <c r="AX64" s="231" t="s">
        <v>1632</v>
      </c>
    </row>
    <row r="65" spans="2:50" s="6" customFormat="1" ht="15">
      <c r="B65" s="148" t="s">
        <v>197</v>
      </c>
      <c r="C65" s="149" t="s">
        <v>97</v>
      </c>
      <c r="D65" s="150">
        <v>1</v>
      </c>
      <c r="E65" s="151">
        <v>0.29166666666666669</v>
      </c>
      <c r="F65" s="151">
        <v>0.374999999999999</v>
      </c>
      <c r="G65" s="218" t="s">
        <v>65</v>
      </c>
      <c r="H65" s="150" t="s">
        <v>199</v>
      </c>
      <c r="I65" s="150" t="e">
        <f>INDEX(Aulas_capacidad,MATCH(base_de_datos[[#This Row],[Aula]],Aulas,0),2)</f>
        <v>#N/A</v>
      </c>
      <c r="J65" s="152">
        <v>27</v>
      </c>
      <c r="K65" s="150" t="e">
        <f>INDEX(Aulas_capacidad,MATCH(base_de_datos[[#This Row],[Aula]],Aulas,0),4)</f>
        <v>#N/A</v>
      </c>
      <c r="L65" s="153" t="e">
        <f>base_de_datos[[#This Row],[Cap 1.5]]-base_de_datos[[#This Row],[Inscritos]]</f>
        <v>#N/A</v>
      </c>
      <c r="M65" s="153" t="e">
        <f>INDEX(Aulas_capacidad,MATCH(base_de_datos[[#This Row],[Aula]],Aulas,0),5)</f>
        <v>#N/A</v>
      </c>
      <c r="N65" s="153" t="e">
        <f>base_de_datos[[#This Row],[Cap .90]]-base_de_datos[[#This Row],[Inscritos]]</f>
        <v>#N/A</v>
      </c>
      <c r="O65" s="150" t="s">
        <v>1646</v>
      </c>
      <c r="P65" s="154"/>
      <c r="Q65" s="154"/>
      <c r="R65" s="154"/>
      <c r="S65" s="154" t="s">
        <v>67</v>
      </c>
      <c r="T65" s="154"/>
      <c r="U65" s="154"/>
      <c r="V65" s="154"/>
      <c r="W65" s="154" t="s">
        <v>1651</v>
      </c>
      <c r="X65" s="155">
        <f>_xlfn.XLOOKUP(base_de_datos[[#This Row],[Materia]],Materias,Horas)/16</f>
        <v>4</v>
      </c>
      <c r="Y65" s="155">
        <f>ROUND(((base_de_datos[[#This Row],[Hora fin]]-base_de_datos[[#This Row],[Hora inicio]])*24)*(COUNTA(base_de_datos[[#This Row],[Lunes]:[Sábado]])),1)</f>
        <v>2</v>
      </c>
      <c r="Z6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5" s="155">
        <f ca="1">IF(base_de_datos[[#This Row],[No clase]]=OFFSET(base_de_datos[[#This Row],[No clase]],-1,0),0,1)</f>
        <v>0</v>
      </c>
      <c r="AB65" s="155">
        <f ca="1">IF(NOT(OR(base_de_datos[[#This Row],[Horas totales]]=base_de_datos[[#This Row],[HT Plan]],base_de_datos[[#This Row],[Horas totales]]="N/A")),1,0)</f>
        <v>0</v>
      </c>
      <c r="AC65" s="155" t="str">
        <f>_xlfn.XLOOKUP(base_de_datos[[#This Row],[Profesor]],Nombre,Grado)</f>
        <v>M</v>
      </c>
      <c r="AD65" s="156" t="str">
        <f>_xlfn.XLOOKUP(base_de_datos[[#This Row],[Profesor]],Nombre,Tipo)</f>
        <v>TC</v>
      </c>
      <c r="AE65" s="155">
        <f>IF(IFERROR(VLOOKUP($C65,Planes_de_estudio[],MATCH($AE$2,Carreras,0)+2,0),"")&gt;0,IFERROR(VLOOKUP($C65,Planes_de_estudio[],MATCH($AE$2,Carreras,0)+2,0),""),"")</f>
        <v>1</v>
      </c>
      <c r="AF65" s="155">
        <f>IF(IFERROR(VLOOKUP($C65,Planes_de_estudio[],MATCH($AF$2,Carreras,0)+2,0),"")&gt;0,IFERROR(VLOOKUP($C65,Planes_de_estudio[],MATCH($AF$2,Carreras,0)+2,0),""),"")</f>
        <v>1</v>
      </c>
      <c r="AG65" s="155">
        <f>IF(IFERROR(VLOOKUP($C65,Planes_de_estudio[],MATCH($AG$2,Carreras,0)+2,0),"")&gt;0,IFERROR(VLOOKUP($C65,Planes_de_estudio[],MATCH($AG$2,Carreras,0)+2,0),""),"")</f>
        <v>1</v>
      </c>
      <c r="AH65" s="155">
        <f>IF(IFERROR(VLOOKUP($C65,Planes_de_estudio[],MATCH($AH$2,Carreras,0)+2,0),"")&gt;0,IFERROR(VLOOKUP($C65,Planes_de_estudio[],MATCH($AH$2,Carreras,0)+2,0),""),"")</f>
        <v>1</v>
      </c>
      <c r="AI65" s="155">
        <f>IF(IFERROR(VLOOKUP($C65,Planes_de_estudio[],MATCH($AI$2,Carreras,0)+2,0),"")&gt;0,IFERROR(VLOOKUP($C65,Planes_de_estudio[],MATCH($AI$2,Carreras,0)+2,0),""),"")</f>
        <v>1</v>
      </c>
      <c r="AJ65" s="155">
        <f>IF(IFERROR(VLOOKUP($C65,Planes_de_estudio[],MATCH($AJ$2,Carreras,0)+2,0),"")&gt;0,IFERROR(VLOOKUP($C65,Planes_de_estudio[],MATCH($AJ$2,Carreras,0)+2,0),""),"")</f>
        <v>1</v>
      </c>
      <c r="AK65" s="155">
        <f>IF(IFERROR(VLOOKUP($C65,Planes_de_estudio[],MATCH($AK$2,Carreras,0)+2,0),"")&gt;0,IFERROR(VLOOKUP($C65,Planes_de_estudio[],MATCH($AK$2,Carreras,0)+2,0),""),"")</f>
        <v>1</v>
      </c>
      <c r="AL6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5" s="155">
        <f>base_de_datos[[#This Row],[Pronóstico]]/25</f>
        <v>4.3600000000000003</v>
      </c>
      <c r="AO65" s="155" t="str">
        <f>VLOOKUP($C65,Planes_de_estudio[],2)</f>
        <v>MAT</v>
      </c>
      <c r="AP65" s="157" t="str">
        <f ca="1">IF(AND(base_de_datos[[#This Row],[Industrial]]&lt;&gt;"",base_de_datos[[#This Row],[Misma o no]]=1),base_de_datos[[#This Row],[Índice]],"")</f>
        <v/>
      </c>
      <c r="AQ65" s="157" t="str">
        <f ca="1">IF(AND(base_de_datos[[#This Row],[Mecatrónica]]&lt;&gt;"",base_de_datos[[#This Row],[Misma o no]]=1),base_de_datos[[#This Row],[Índice]],"")</f>
        <v/>
      </c>
      <c r="AR65" s="157" t="str">
        <f ca="1">IF(AND(base_de_datos[[#This Row],[Innovación y Diseño]]&lt;&gt;"",base_de_datos[[#This Row],[Misma o no]]=1),base_de_datos[[#This Row],[Índice]],"")</f>
        <v/>
      </c>
      <c r="AS65" s="157" t="str">
        <f ca="1">IF(AND(base_de_datos[[#This Row],[Inteligencia Artificial]]&lt;&gt;"",base_de_datos[[#This Row],[Misma o no]]=1),base_de_datos[[#This Row],[Índice]],"")</f>
        <v/>
      </c>
      <c r="AT65" s="157" t="str">
        <f ca="1">IF(AND(base_de_datos[[#This Row],[Tecnologías Energéticas]]&lt;&gt;"",base_de_datos[[#This Row],[Misma o no]]=1),base_de_datos[[#This Row],[Índice]],"")</f>
        <v/>
      </c>
      <c r="AU65" s="157" t="str">
        <f ca="1">IF(AND(base_de_datos[[#This Row],[Civil y Administración]]&lt;&gt;"",base_de_datos[[#This Row],[Misma o no]]=1),base_de_datos[[#This Row],[Índice]],"")</f>
        <v/>
      </c>
      <c r="AV65" s="157" t="str">
        <f ca="1">IF(AND(base_de_datos[[#This Row],[Bioelectrónica]]&lt;&gt;"",base_de_datos[[#This Row],[Misma o no]]=1),base_de_datos[[#This Row],[Índice]],"")</f>
        <v/>
      </c>
      <c r="AW65" s="158"/>
      <c r="AX65" s="231">
        <v>1</v>
      </c>
    </row>
    <row r="66" spans="2:50" s="6" customFormat="1" ht="15">
      <c r="B66" s="148" t="s">
        <v>197</v>
      </c>
      <c r="C66" s="149" t="s">
        <v>200</v>
      </c>
      <c r="D66" s="150">
        <v>1</v>
      </c>
      <c r="E66" s="151">
        <v>0.375</v>
      </c>
      <c r="F66" s="151">
        <v>0.45833333333333098</v>
      </c>
      <c r="G66" s="218" t="s">
        <v>65</v>
      </c>
      <c r="H66" s="150" t="s">
        <v>140</v>
      </c>
      <c r="I66" s="150">
        <f>INDEX(Aulas_capacidad,MATCH(base_de_datos[[#This Row],[Aula]],Aulas,0),2)</f>
        <v>40</v>
      </c>
      <c r="J66" s="152">
        <v>10</v>
      </c>
      <c r="K66" s="150">
        <f>INDEX(Aulas_capacidad,MATCH(base_de_datos[[#This Row],[Aula]],Aulas,0),4)</f>
        <v>15</v>
      </c>
      <c r="L66" s="153">
        <f>base_de_datos[[#This Row],[Cap 1.5]]-base_de_datos[[#This Row],[Inscritos]]</f>
        <v>5</v>
      </c>
      <c r="M66" s="153">
        <f>INDEX(Aulas_capacidad,MATCH(base_de_datos[[#This Row],[Aula]],Aulas,0),5)</f>
        <v>25</v>
      </c>
      <c r="N66" s="153">
        <f>base_de_datos[[#This Row],[Cap .90]]-base_de_datos[[#This Row],[Inscritos]]</f>
        <v>15</v>
      </c>
      <c r="O66" s="150" t="s">
        <v>201</v>
      </c>
      <c r="P66" s="154"/>
      <c r="Q66" s="154" t="s">
        <v>67</v>
      </c>
      <c r="R66" s="154"/>
      <c r="S66" s="154"/>
      <c r="T66" s="154"/>
      <c r="U66" s="154"/>
      <c r="V66" s="154"/>
      <c r="W66" s="154" t="s">
        <v>1656</v>
      </c>
      <c r="X66" s="155">
        <f>_xlfn.XLOOKUP(base_de_datos[[#This Row],[Materia]],Materias,Horas)/16</f>
        <v>4</v>
      </c>
      <c r="Y66" s="155">
        <f>ROUND(((base_de_datos[[#This Row],[Hora fin]]-base_de_datos[[#This Row],[Hora inicio]])*24)*(COUNTA(base_de_datos[[#This Row],[Lunes]:[Sábado]])),1)</f>
        <v>2</v>
      </c>
      <c r="Z6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6" s="155">
        <f ca="1">IF(base_de_datos[[#This Row],[No clase]]=OFFSET(base_de_datos[[#This Row],[No clase]],-1,0),0,1)</f>
        <v>1</v>
      </c>
      <c r="AB66" s="155">
        <f ca="1">IF(NOT(OR(base_de_datos[[#This Row],[Horas totales]]=base_de_datos[[#This Row],[HT Plan]],base_de_datos[[#This Row],[Horas totales]]="N/A")),1,0)</f>
        <v>0</v>
      </c>
      <c r="AC66" s="155" t="str">
        <f>_xlfn.XLOOKUP(base_de_datos[[#This Row],[Profesor]],Nombre,Grado)</f>
        <v>M</v>
      </c>
      <c r="AD66" s="156" t="str">
        <f>_xlfn.XLOOKUP(base_de_datos[[#This Row],[Profesor]],Nombre,Tipo)</f>
        <v>TC</v>
      </c>
      <c r="AE66" s="155">
        <f>IF(IFERROR(VLOOKUP($C66,Planes_de_estudio[],MATCH($AE$2,Carreras,0)+2,0),"")&gt;0,IFERROR(VLOOKUP($C66,Planes_de_estudio[],MATCH($AE$2,Carreras,0)+2,0),""),"")</f>
        <v>2</v>
      </c>
      <c r="AF66" s="155">
        <f>IF(IFERROR(VLOOKUP($C66,Planes_de_estudio[],MATCH($AF$2,Carreras,0)+2,0),"")&gt;0,IFERROR(VLOOKUP($C66,Planes_de_estudio[],MATCH($AF$2,Carreras,0)+2,0),""),"")</f>
        <v>2</v>
      </c>
      <c r="AG66" s="155">
        <f>IF(IFERROR(VLOOKUP($C66,Planes_de_estudio[],MATCH($AG$2,Carreras,0)+2,0),"")&gt;0,IFERROR(VLOOKUP($C66,Planes_de_estudio[],MATCH($AG$2,Carreras,0)+2,0),""),"")</f>
        <v>4</v>
      </c>
      <c r="AH66" s="155">
        <f>IF(IFERROR(VLOOKUP($C66,Planes_de_estudio[],MATCH($AH$2,Carreras,0)+2,0),"")&gt;0,IFERROR(VLOOKUP($C66,Planes_de_estudio[],MATCH($AH$2,Carreras,0)+2,0),""),"")</f>
        <v>2</v>
      </c>
      <c r="AI66" s="155">
        <f>IF(IFERROR(VLOOKUP($C66,Planes_de_estudio[],MATCH($AI$2,Carreras,0)+2,0),"")&gt;0,IFERROR(VLOOKUP($C66,Planes_de_estudio[],MATCH($AI$2,Carreras,0)+2,0),""),"")</f>
        <v>2</v>
      </c>
      <c r="AJ66" s="155">
        <f>IF(IFERROR(VLOOKUP($C66,Planes_de_estudio[],MATCH($AJ$2,Carreras,0)+2,0),"")&gt;0,IFERROR(VLOOKUP($C66,Planes_de_estudio[],MATCH($AJ$2,Carreras,0)+2,0),""),"")</f>
        <v>2</v>
      </c>
      <c r="AK66" s="155">
        <f>IF(IFERROR(VLOOKUP($C66,Planes_de_estudio[],MATCH($AK$2,Carreras,0)+2,0),"")&gt;0,IFERROR(VLOOKUP($C66,Planes_de_estudio[],MATCH($AK$2,Carreras,0)+2,0),""),"")</f>
        <v>2</v>
      </c>
      <c r="AL6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12</v>
      </c>
      <c r="AN66" s="155">
        <f>base_de_datos[[#This Row],[Pronóstico]]/25</f>
        <v>0.48</v>
      </c>
      <c r="AO66" s="155" t="str">
        <f>VLOOKUP($C66,Planes_de_estudio[],2)</f>
        <v>MAT</v>
      </c>
      <c r="AP66" s="157">
        <f ca="1">IF(AND(base_de_datos[[#This Row],[Industrial]]&lt;&gt;"",base_de_datos[[#This Row],[Misma o no]]=1),base_de_datos[[#This Row],[Índice]],"")</f>
        <v>4</v>
      </c>
      <c r="AQ66" s="157">
        <f ca="1">IF(AND(base_de_datos[[#This Row],[Mecatrónica]]&lt;&gt;"",base_de_datos[[#This Row],[Misma o no]]=1),base_de_datos[[#This Row],[Índice]],"")</f>
        <v>4</v>
      </c>
      <c r="AR66" s="157">
        <f ca="1">IF(AND(base_de_datos[[#This Row],[Innovación y Diseño]]&lt;&gt;"",base_de_datos[[#This Row],[Misma o no]]=1),base_de_datos[[#This Row],[Índice]],"")</f>
        <v>4</v>
      </c>
      <c r="AS66" s="157">
        <f ca="1">IF(AND(base_de_datos[[#This Row],[Inteligencia Artificial]]&lt;&gt;"",base_de_datos[[#This Row],[Misma o no]]=1),base_de_datos[[#This Row],[Índice]],"")</f>
        <v>4</v>
      </c>
      <c r="AT66" s="157">
        <f ca="1">IF(AND(base_de_datos[[#This Row],[Tecnologías Energéticas]]&lt;&gt;"",base_de_datos[[#This Row],[Misma o no]]=1),base_de_datos[[#This Row],[Índice]],"")</f>
        <v>4</v>
      </c>
      <c r="AU66" s="157">
        <f ca="1">IF(AND(base_de_datos[[#This Row],[Civil y Administración]]&lt;&gt;"",base_de_datos[[#This Row],[Misma o no]]=1),base_de_datos[[#This Row],[Índice]],"")</f>
        <v>4</v>
      </c>
      <c r="AV66" s="157">
        <f ca="1">IF(AND(base_de_datos[[#This Row],[Bioelectrónica]]&lt;&gt;"",base_de_datos[[#This Row],[Misma o no]]=1),base_de_datos[[#This Row],[Índice]],"")</f>
        <v>4</v>
      </c>
      <c r="AW66" s="158"/>
      <c r="AX66" s="231" t="s">
        <v>1632</v>
      </c>
    </row>
    <row r="67" spans="2:50" s="6" customFormat="1" ht="15">
      <c r="B67" s="148" t="s">
        <v>197</v>
      </c>
      <c r="C67" s="149" t="s">
        <v>200</v>
      </c>
      <c r="D67" s="150">
        <v>1</v>
      </c>
      <c r="E67" s="151">
        <v>0.375</v>
      </c>
      <c r="F67" s="151">
        <v>0.45833333333333098</v>
      </c>
      <c r="G67" s="218" t="s">
        <v>65</v>
      </c>
      <c r="H67" s="150" t="s">
        <v>108</v>
      </c>
      <c r="I67" s="150">
        <f>INDEX(Aulas_capacidad,MATCH(base_de_datos[[#This Row],[Aula]],Aulas,0),2)</f>
        <v>30</v>
      </c>
      <c r="J67" s="152">
        <v>10</v>
      </c>
      <c r="K67" s="150">
        <f>INDEX(Aulas_capacidad,MATCH(base_de_datos[[#This Row],[Aula]],Aulas,0),4)</f>
        <v>12</v>
      </c>
      <c r="L67" s="153">
        <f>base_de_datos[[#This Row],[Cap 1.5]]-base_de_datos[[#This Row],[Inscritos]]</f>
        <v>2</v>
      </c>
      <c r="M67" s="153">
        <f>INDEX(Aulas_capacidad,MATCH(base_de_datos[[#This Row],[Aula]],Aulas,0),5)</f>
        <v>18</v>
      </c>
      <c r="N67" s="153">
        <f>base_de_datos[[#This Row],[Cap .90]]-base_de_datos[[#This Row],[Inscritos]]</f>
        <v>8</v>
      </c>
      <c r="O67" s="150" t="s">
        <v>201</v>
      </c>
      <c r="P67" s="154"/>
      <c r="Q67" s="154"/>
      <c r="R67" s="154"/>
      <c r="S67" s="154" t="s">
        <v>67</v>
      </c>
      <c r="T67" s="154"/>
      <c r="U67" s="154"/>
      <c r="V67" s="154"/>
      <c r="W67" s="154" t="s">
        <v>1656</v>
      </c>
      <c r="X67" s="155">
        <f>_xlfn.XLOOKUP(base_de_datos[[#This Row],[Materia]],Materias,Horas)/16</f>
        <v>4</v>
      </c>
      <c r="Y67" s="155">
        <f>ROUND(((base_de_datos[[#This Row],[Hora fin]]-base_de_datos[[#This Row],[Hora inicio]])*24)*(COUNTA(base_de_datos[[#This Row],[Lunes]:[Sábado]])),1)</f>
        <v>2</v>
      </c>
      <c r="Z6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7" s="155">
        <f ca="1">IF(base_de_datos[[#This Row],[No clase]]=OFFSET(base_de_datos[[#This Row],[No clase]],-1,0),0,1)</f>
        <v>0</v>
      </c>
      <c r="AB67" s="155">
        <f ca="1">IF(NOT(OR(base_de_datos[[#This Row],[Horas totales]]=base_de_datos[[#This Row],[HT Plan]],base_de_datos[[#This Row],[Horas totales]]="N/A")),1,0)</f>
        <v>0</v>
      </c>
      <c r="AC67" s="155" t="str">
        <f>_xlfn.XLOOKUP(base_de_datos[[#This Row],[Profesor]],Nombre,Grado)</f>
        <v>M</v>
      </c>
      <c r="AD67" s="156" t="str">
        <f>_xlfn.XLOOKUP(base_de_datos[[#This Row],[Profesor]],Nombre,Tipo)</f>
        <v>TC</v>
      </c>
      <c r="AE67" s="155">
        <f>IF(IFERROR(VLOOKUP($C67,Planes_de_estudio[],MATCH($AE$2,Carreras,0)+2,0),"")&gt;0,IFERROR(VLOOKUP($C67,Planes_de_estudio[],MATCH($AE$2,Carreras,0)+2,0),""),"")</f>
        <v>2</v>
      </c>
      <c r="AF67" s="155">
        <f>IF(IFERROR(VLOOKUP($C67,Planes_de_estudio[],MATCH($AF$2,Carreras,0)+2,0),"")&gt;0,IFERROR(VLOOKUP($C67,Planes_de_estudio[],MATCH($AF$2,Carreras,0)+2,0),""),"")</f>
        <v>2</v>
      </c>
      <c r="AG67" s="155">
        <f>IF(IFERROR(VLOOKUP($C67,Planes_de_estudio[],MATCH($AG$2,Carreras,0)+2,0),"")&gt;0,IFERROR(VLOOKUP($C67,Planes_de_estudio[],MATCH($AG$2,Carreras,0)+2,0),""),"")</f>
        <v>4</v>
      </c>
      <c r="AH67" s="155">
        <f>IF(IFERROR(VLOOKUP($C67,Planes_de_estudio[],MATCH($AH$2,Carreras,0)+2,0),"")&gt;0,IFERROR(VLOOKUP($C67,Planes_de_estudio[],MATCH($AH$2,Carreras,0)+2,0),""),"")</f>
        <v>2</v>
      </c>
      <c r="AI67" s="155">
        <f>IF(IFERROR(VLOOKUP($C67,Planes_de_estudio[],MATCH($AI$2,Carreras,0)+2,0),"")&gt;0,IFERROR(VLOOKUP($C67,Planes_de_estudio[],MATCH($AI$2,Carreras,0)+2,0),""),"")</f>
        <v>2</v>
      </c>
      <c r="AJ67" s="155">
        <f>IF(IFERROR(VLOOKUP($C67,Planes_de_estudio[],MATCH($AJ$2,Carreras,0)+2,0),"")&gt;0,IFERROR(VLOOKUP($C67,Planes_de_estudio[],MATCH($AJ$2,Carreras,0)+2,0),""),"")</f>
        <v>2</v>
      </c>
      <c r="AK67" s="155">
        <f>IF(IFERROR(VLOOKUP($C67,Planes_de_estudio[],MATCH($AK$2,Carreras,0)+2,0),"")&gt;0,IFERROR(VLOOKUP($C67,Planes_de_estudio[],MATCH($AK$2,Carreras,0)+2,0),""),"")</f>
        <v>2</v>
      </c>
      <c r="AL6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12</v>
      </c>
      <c r="AN67" s="155">
        <f>base_de_datos[[#This Row],[Pronóstico]]/25</f>
        <v>0.48</v>
      </c>
      <c r="AO67" s="155" t="str">
        <f>VLOOKUP($C67,Planes_de_estudio[],2)</f>
        <v>MAT</v>
      </c>
      <c r="AP67" s="157" t="str">
        <f ca="1">IF(AND(base_de_datos[[#This Row],[Industrial]]&lt;&gt;"",base_de_datos[[#This Row],[Misma o no]]=1),base_de_datos[[#This Row],[Índice]],"")</f>
        <v/>
      </c>
      <c r="AQ67" s="157" t="str">
        <f ca="1">IF(AND(base_de_datos[[#This Row],[Mecatrónica]]&lt;&gt;"",base_de_datos[[#This Row],[Misma o no]]=1),base_de_datos[[#This Row],[Índice]],"")</f>
        <v/>
      </c>
      <c r="AR67" s="157" t="str">
        <f ca="1">IF(AND(base_de_datos[[#This Row],[Innovación y Diseño]]&lt;&gt;"",base_de_datos[[#This Row],[Misma o no]]=1),base_de_datos[[#This Row],[Índice]],"")</f>
        <v/>
      </c>
      <c r="AS67" s="157" t="str">
        <f ca="1">IF(AND(base_de_datos[[#This Row],[Inteligencia Artificial]]&lt;&gt;"",base_de_datos[[#This Row],[Misma o no]]=1),base_de_datos[[#This Row],[Índice]],"")</f>
        <v/>
      </c>
      <c r="AT67" s="157" t="str">
        <f ca="1">IF(AND(base_de_datos[[#This Row],[Tecnologías Energéticas]]&lt;&gt;"",base_de_datos[[#This Row],[Misma o no]]=1),base_de_datos[[#This Row],[Índice]],"")</f>
        <v/>
      </c>
      <c r="AU67" s="157" t="str">
        <f ca="1">IF(AND(base_de_datos[[#This Row],[Civil y Administración]]&lt;&gt;"",base_de_datos[[#This Row],[Misma o no]]=1),base_de_datos[[#This Row],[Índice]],"")</f>
        <v/>
      </c>
      <c r="AV67" s="157" t="str">
        <f ca="1">IF(AND(base_de_datos[[#This Row],[Bioelectrónica]]&lt;&gt;"",base_de_datos[[#This Row],[Misma o no]]=1),base_de_datos[[#This Row],[Índice]],"")</f>
        <v/>
      </c>
      <c r="AW67" s="158"/>
      <c r="AX67" s="231">
        <v>1</v>
      </c>
    </row>
    <row r="68" spans="2:50" s="6" customFormat="1" ht="30">
      <c r="B68" s="148" t="s">
        <v>202</v>
      </c>
      <c r="C68" s="149" t="s">
        <v>144</v>
      </c>
      <c r="D68" s="150">
        <v>1</v>
      </c>
      <c r="E68" s="151">
        <v>0.29166666666666669</v>
      </c>
      <c r="F68" s="151">
        <v>0.374999999999999</v>
      </c>
      <c r="G68" s="150"/>
      <c r="H68" s="150" t="s">
        <v>93</v>
      </c>
      <c r="I68" s="150">
        <f>INDEX(Aulas_capacidad,MATCH(base_de_datos[[#This Row],[Aula]],Aulas,0),2)</f>
        <v>40</v>
      </c>
      <c r="J68" s="212">
        <v>27</v>
      </c>
      <c r="K68" s="150">
        <f>INDEX(Aulas_capacidad,MATCH(base_de_datos[[#This Row],[Aula]],Aulas,0),4)</f>
        <v>11</v>
      </c>
      <c r="L68" s="153">
        <f>base_de_datos[[#This Row],[Cap 1.5]]-base_de_datos[[#This Row],[Inscritos]]</f>
        <v>-16</v>
      </c>
      <c r="M68" s="153">
        <f>INDEX(Aulas_capacidad,MATCH(base_de_datos[[#This Row],[Aula]],Aulas,0),5)</f>
        <v>19</v>
      </c>
      <c r="N68" s="153">
        <f>base_de_datos[[#This Row],[Cap .90]]-base_de_datos[[#This Row],[Inscritos]]</f>
        <v>-8</v>
      </c>
      <c r="O68" s="150" t="s">
        <v>203</v>
      </c>
      <c r="P68" s="154" t="s">
        <v>67</v>
      </c>
      <c r="Q68" s="154"/>
      <c r="R68" s="154" t="s">
        <v>67</v>
      </c>
      <c r="S68" s="154"/>
      <c r="T68" s="154"/>
      <c r="U68" s="154"/>
      <c r="V68" s="154"/>
      <c r="W68" s="154" t="s">
        <v>1654</v>
      </c>
      <c r="X68" s="155">
        <f>_xlfn.XLOOKUP(base_de_datos[[#This Row],[Materia]],Materias,Horas)/16</f>
        <v>4</v>
      </c>
      <c r="Y68" s="155">
        <f>ROUND(((base_de_datos[[#This Row],[Hora fin]]-base_de_datos[[#This Row],[Hora inicio]])*24)*(COUNTA(base_de_datos[[#This Row],[Lunes]:[Sábado]])),1)</f>
        <v>4</v>
      </c>
      <c r="Z6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8" s="155">
        <f ca="1">IF(base_de_datos[[#This Row],[No clase]]=OFFSET(base_de_datos[[#This Row],[No clase]],-1,0),0,1)</f>
        <v>1</v>
      </c>
      <c r="AB68" s="155">
        <f ca="1">IF(NOT(OR(base_de_datos[[#This Row],[Horas totales]]=base_de_datos[[#This Row],[HT Plan]],base_de_datos[[#This Row],[Horas totales]]="N/A")),1,0)</f>
        <v>0</v>
      </c>
      <c r="AC68" s="155" t="str">
        <f>_xlfn.XLOOKUP(base_de_datos[[#This Row],[Profesor]],Nombre,Grado)</f>
        <v>E</v>
      </c>
      <c r="AD68" s="156" t="str">
        <f>_xlfn.XLOOKUP(base_de_datos[[#This Row],[Profesor]],Nombre,Tipo)</f>
        <v>A</v>
      </c>
      <c r="AE68" s="155">
        <f>IF(IFERROR(VLOOKUP($C68,Planes_de_estudio[],MATCH($AE$2,Carreras,0)+2,0),"")&gt;0,IFERROR(VLOOKUP($C68,Planes_de_estudio[],MATCH($AE$2,Carreras,0)+2,0),""),"")</f>
        <v>1</v>
      </c>
      <c r="AF68" s="155">
        <f>IF(IFERROR(VLOOKUP($C68,Planes_de_estudio[],MATCH($AF$2,Carreras,0)+2,0),"")&gt;0,IFERROR(VLOOKUP($C68,Planes_de_estudio[],MATCH($AF$2,Carreras,0)+2,0),""),"")</f>
        <v>1</v>
      </c>
      <c r="AG68" s="155">
        <f>IF(IFERROR(VLOOKUP($C68,Planes_de_estudio[],MATCH($AG$2,Carreras,0)+2,0),"")&gt;0,IFERROR(VLOOKUP($C68,Planes_de_estudio[],MATCH($AG$2,Carreras,0)+2,0),""),"")</f>
        <v>3</v>
      </c>
      <c r="AH68" s="155">
        <f>IF(IFERROR(VLOOKUP($C68,Planes_de_estudio[],MATCH($AH$2,Carreras,0)+2,0),"")&gt;0,IFERROR(VLOOKUP($C68,Planes_de_estudio[],MATCH($AH$2,Carreras,0)+2,0),""),"")</f>
        <v>1</v>
      </c>
      <c r="AI68" s="155">
        <f>IF(IFERROR(VLOOKUP($C68,Planes_de_estudio[],MATCH($AI$2,Carreras,0)+2,0),"")&gt;0,IFERROR(VLOOKUP($C68,Planes_de_estudio[],MATCH($AI$2,Carreras,0)+2,0),""),"")</f>
        <v>1</v>
      </c>
      <c r="AJ68" s="155">
        <f>IF(IFERROR(VLOOKUP($C68,Planes_de_estudio[],MATCH($AJ$2,Carreras,0)+2,0),"")&gt;0,IFERROR(VLOOKUP($C68,Planes_de_estudio[],MATCH($AJ$2,Carreras,0)+2,0),""),"")</f>
        <v>1</v>
      </c>
      <c r="AK68" s="155">
        <f>IF(IFERROR(VLOOKUP($C68,Planes_de_estudio[],MATCH($AK$2,Carreras,0)+2,0),"")&gt;0,IFERROR(VLOOKUP($C68,Planes_de_estudio[],MATCH($AK$2,Carreras,0)+2,0),""),"")</f>
        <v>1</v>
      </c>
      <c r="AL6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68" s="155">
        <f>base_de_datos[[#This Row],[Pronóstico]]/25</f>
        <v>4.4400000000000004</v>
      </c>
      <c r="AO68" s="155" t="str">
        <f>VLOOKUP($C68,Planes_de_estudio[],2)</f>
        <v>COM</v>
      </c>
      <c r="AP68" s="157">
        <f ca="1">IF(AND(base_de_datos[[#This Row],[Industrial]]&lt;&gt;"",base_de_datos[[#This Row],[Misma o no]]=1),base_de_datos[[#This Row],[Índice]],"")</f>
        <v>2</v>
      </c>
      <c r="AQ68" s="157">
        <f ca="1">IF(AND(base_de_datos[[#This Row],[Mecatrónica]]&lt;&gt;"",base_de_datos[[#This Row],[Misma o no]]=1),base_de_datos[[#This Row],[Índice]],"")</f>
        <v>2</v>
      </c>
      <c r="AR68" s="157">
        <f ca="1">IF(AND(base_de_datos[[#This Row],[Innovación y Diseño]]&lt;&gt;"",base_de_datos[[#This Row],[Misma o no]]=1),base_de_datos[[#This Row],[Índice]],"")</f>
        <v>2</v>
      </c>
      <c r="AS68" s="157">
        <f ca="1">IF(AND(base_de_datos[[#This Row],[Inteligencia Artificial]]&lt;&gt;"",base_de_datos[[#This Row],[Misma o no]]=1),base_de_datos[[#This Row],[Índice]],"")</f>
        <v>2</v>
      </c>
      <c r="AT68" s="157">
        <f ca="1">IF(AND(base_de_datos[[#This Row],[Tecnologías Energéticas]]&lt;&gt;"",base_de_datos[[#This Row],[Misma o no]]=1),base_de_datos[[#This Row],[Índice]],"")</f>
        <v>2</v>
      </c>
      <c r="AU68" s="157">
        <f ca="1">IF(AND(base_de_datos[[#This Row],[Civil y Administración]]&lt;&gt;"",base_de_datos[[#This Row],[Misma o no]]=1),base_de_datos[[#This Row],[Índice]],"")</f>
        <v>2</v>
      </c>
      <c r="AV68" s="157">
        <f ca="1">IF(AND(base_de_datos[[#This Row],[Bioelectrónica]]&lt;&gt;"",base_de_datos[[#This Row],[Misma o no]]=1),base_de_datos[[#This Row],[Índice]],"")</f>
        <v>2</v>
      </c>
      <c r="AW68" s="158"/>
      <c r="AX68" s="231">
        <v>3</v>
      </c>
    </row>
    <row r="69" spans="2:50" s="6" customFormat="1" ht="16.5" customHeight="1">
      <c r="B69" s="148" t="s">
        <v>204</v>
      </c>
      <c r="C69" s="149" t="s">
        <v>205</v>
      </c>
      <c r="D69" s="150">
        <v>2</v>
      </c>
      <c r="E69" s="151">
        <v>0.625</v>
      </c>
      <c r="F69" s="151">
        <v>0.70833333333332704</v>
      </c>
      <c r="G69" s="218" t="s">
        <v>65</v>
      </c>
      <c r="H69" s="150" t="s">
        <v>206</v>
      </c>
      <c r="I69" s="150">
        <f>INDEX(Aulas_capacidad,MATCH(base_de_datos[[#This Row],[Aula]],Aulas,0),2)</f>
        <v>30</v>
      </c>
      <c r="J69" s="212">
        <v>25</v>
      </c>
      <c r="K69" s="150">
        <f>INDEX(Aulas_capacidad,MATCH(base_de_datos[[#This Row],[Aula]],Aulas,0),4)</f>
        <v>0</v>
      </c>
      <c r="L69" s="153">
        <f>base_de_datos[[#This Row],[Cap 1.5]]-base_de_datos[[#This Row],[Inscritos]]</f>
        <v>-25</v>
      </c>
      <c r="M69" s="153">
        <f>INDEX(Aulas_capacidad,MATCH(base_de_datos[[#This Row],[Aula]],Aulas,0),5)</f>
        <v>0</v>
      </c>
      <c r="N69" s="153">
        <f>base_de_datos[[#This Row],[Cap .90]]-base_de_datos[[#This Row],[Inscritos]]</f>
        <v>-25</v>
      </c>
      <c r="O69" s="150" t="s">
        <v>207</v>
      </c>
      <c r="P69" s="154"/>
      <c r="Q69" s="154" t="s">
        <v>67</v>
      </c>
      <c r="R69" s="154"/>
      <c r="S69" s="154" t="s">
        <v>67</v>
      </c>
      <c r="T69" s="154"/>
      <c r="U69" s="154"/>
      <c r="V69" s="154"/>
      <c r="W69" s="154" t="s">
        <v>1651</v>
      </c>
      <c r="X69" s="155">
        <f>_xlfn.XLOOKUP(base_de_datos[[#This Row],[Materia]],Materias,Horas)/16</f>
        <v>4</v>
      </c>
      <c r="Y69" s="155">
        <f>ROUND(((base_de_datos[[#This Row],[Hora fin]]-base_de_datos[[#This Row],[Hora inicio]])*24)*(COUNTA(base_de_datos[[#This Row],[Lunes]:[Sábado]])),1)</f>
        <v>4</v>
      </c>
      <c r="Z6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9" s="155">
        <f ca="1">IF(base_de_datos[[#This Row],[No clase]]=OFFSET(base_de_datos[[#This Row],[No clase]],-1,0),0,1)</f>
        <v>1</v>
      </c>
      <c r="AB69" s="155">
        <f ca="1">IF(NOT(OR(base_de_datos[[#This Row],[Horas totales]]=base_de_datos[[#This Row],[HT Plan]],base_de_datos[[#This Row],[Horas totales]]="N/A")),1,0)</f>
        <v>0</v>
      </c>
      <c r="AC69" s="155" t="str">
        <f>_xlfn.XLOOKUP(base_de_datos[[#This Row],[Profesor]],Nombre,Grado)</f>
        <v>M</v>
      </c>
      <c r="AD69" s="156" t="str">
        <f>_xlfn.XLOOKUP(base_de_datos[[#This Row],[Profesor]],Nombre,Tipo)</f>
        <v>TC</v>
      </c>
      <c r="AE69" s="155" t="str">
        <f>IF(IFERROR(VLOOKUP($C69,Planes_de_estudio[],MATCH($AE$2,Carreras,0)+2,0),"")&gt;0,IFERROR(VLOOKUP($C69,Planes_de_estudio[],MATCH($AE$2,Carreras,0)+2,0),""),"")</f>
        <v/>
      </c>
      <c r="AF69" s="155">
        <f>IF(IFERROR(VLOOKUP($C69,Planes_de_estudio[],MATCH($AF$2,Carreras,0)+2,0),"")&gt;0,IFERROR(VLOOKUP($C69,Planes_de_estudio[],MATCH($AF$2,Carreras,0)+2,0),""),"")</f>
        <v>5</v>
      </c>
      <c r="AG69" s="155" t="str">
        <f>IF(IFERROR(VLOOKUP($C69,Planes_de_estudio[],MATCH($AG$2,Carreras,0)+2,0),"")&gt;0,IFERROR(VLOOKUP($C69,Planes_de_estudio[],MATCH($AG$2,Carreras,0)+2,0),""),"")</f>
        <v/>
      </c>
      <c r="AH69" s="155">
        <f>IF(IFERROR(VLOOKUP($C69,Planes_de_estudio[],MATCH($AH$2,Carreras,0)+2,0),"")&gt;0,IFERROR(VLOOKUP($C69,Planes_de_estudio[],MATCH($AH$2,Carreras,0)+2,0),""),"")</f>
        <v>5</v>
      </c>
      <c r="AI69" s="155">
        <f>IF(IFERROR(VLOOKUP($C69,Planes_de_estudio[],MATCH($AI$2,Carreras,0)+2,0),"")&gt;0,IFERROR(VLOOKUP($C69,Planes_de_estudio[],MATCH($AI$2,Carreras,0)+2,0),""),"")</f>
        <v>6</v>
      </c>
      <c r="AJ69" s="155" t="str">
        <f>IF(IFERROR(VLOOKUP($C69,Planes_de_estudio[],MATCH($AJ$2,Carreras,0)+2,0),"")&gt;0,IFERROR(VLOOKUP($C69,Planes_de_estudio[],MATCH($AJ$2,Carreras,0)+2,0),""),"")</f>
        <v/>
      </c>
      <c r="AK69" s="155">
        <f>IF(IFERROR(VLOOKUP($C69,Planes_de_estudio[],MATCH($AK$2,Carreras,0)+2,0),"")&gt;0,IFERROR(VLOOKUP($C69,Planes_de_estudio[],MATCH($AK$2,Carreras,0)+2,0),""),"")</f>
        <v>5</v>
      </c>
      <c r="AL6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48</v>
      </c>
      <c r="AN69" s="155">
        <f>base_de_datos[[#This Row],[Pronóstico]]/25</f>
        <v>1.92</v>
      </c>
      <c r="AO69" s="155" t="str">
        <f>VLOOKUP($C69,Planes_de_estudio[],2)</f>
        <v>EEC</v>
      </c>
      <c r="AP69" s="157" t="str">
        <f ca="1">IF(AND(base_de_datos[[#This Row],[Industrial]]&lt;&gt;"",base_de_datos[[#This Row],[Misma o no]]=1),base_de_datos[[#This Row],[Índice]],"")</f>
        <v/>
      </c>
      <c r="AQ69" s="157">
        <f ca="1">IF(AND(base_de_datos[[#This Row],[Mecatrónica]]&lt;&gt;"",base_de_datos[[#This Row],[Misma o no]]=1),base_de_datos[[#This Row],[Índice]],"")</f>
        <v>4</v>
      </c>
      <c r="AR69" s="157" t="str">
        <f ca="1">IF(AND(base_de_datos[[#This Row],[Innovación y Diseño]]&lt;&gt;"",base_de_datos[[#This Row],[Misma o no]]=1),base_de_datos[[#This Row],[Índice]],"")</f>
        <v/>
      </c>
      <c r="AS69" s="157">
        <f ca="1">IF(AND(base_de_datos[[#This Row],[Inteligencia Artificial]]&lt;&gt;"",base_de_datos[[#This Row],[Misma o no]]=1),base_de_datos[[#This Row],[Índice]],"")</f>
        <v>4</v>
      </c>
      <c r="AT69" s="157">
        <f ca="1">IF(AND(base_de_datos[[#This Row],[Tecnologías Energéticas]]&lt;&gt;"",base_de_datos[[#This Row],[Misma o no]]=1),base_de_datos[[#This Row],[Índice]],"")</f>
        <v>4</v>
      </c>
      <c r="AU69" s="157" t="str">
        <f ca="1">IF(AND(base_de_datos[[#This Row],[Civil y Administración]]&lt;&gt;"",base_de_datos[[#This Row],[Misma o no]]=1),base_de_datos[[#This Row],[Índice]],"")</f>
        <v/>
      </c>
      <c r="AV69" s="157">
        <f ca="1">IF(AND(base_de_datos[[#This Row],[Bioelectrónica]]&lt;&gt;"",base_de_datos[[#This Row],[Misma o no]]=1),base_de_datos[[#This Row],[Índice]],"")</f>
        <v>4</v>
      </c>
      <c r="AW69" s="158"/>
      <c r="AX69" s="231">
        <v>3</v>
      </c>
    </row>
    <row r="70" spans="2:50" s="6" customFormat="1" ht="16.5" customHeight="1">
      <c r="B70" s="148" t="s">
        <v>208</v>
      </c>
      <c r="C70" s="149" t="s">
        <v>209</v>
      </c>
      <c r="D70" s="150">
        <v>1</v>
      </c>
      <c r="E70" s="151">
        <v>0.54166666666666696</v>
      </c>
      <c r="F70" s="151">
        <v>0.624999999999995</v>
      </c>
      <c r="G70" s="218" t="s">
        <v>65</v>
      </c>
      <c r="H70" s="150" t="s">
        <v>93</v>
      </c>
      <c r="I70" s="150">
        <f>INDEX(Aulas_capacidad,MATCH(base_de_datos[[#This Row],[Aula]],Aulas,0),2)</f>
        <v>40</v>
      </c>
      <c r="J70" s="152">
        <v>20</v>
      </c>
      <c r="K70" s="150">
        <f>INDEX(Aulas_capacidad,MATCH(base_de_datos[[#This Row],[Aula]],Aulas,0),4)</f>
        <v>11</v>
      </c>
      <c r="L70" s="153">
        <f>base_de_datos[[#This Row],[Cap 1.5]]-base_de_datos[[#This Row],[Inscritos]]</f>
        <v>-9</v>
      </c>
      <c r="M70" s="153">
        <f>INDEX(Aulas_capacidad,MATCH(base_de_datos[[#This Row],[Aula]],Aulas,0),5)</f>
        <v>19</v>
      </c>
      <c r="N70" s="153">
        <f>base_de_datos[[#This Row],[Cap .90]]-base_de_datos[[#This Row],[Inscritos]]</f>
        <v>-1</v>
      </c>
      <c r="O70" s="150">
        <v>1469</v>
      </c>
      <c r="P70" s="154" t="s">
        <v>67</v>
      </c>
      <c r="Q70" s="154"/>
      <c r="R70" s="154"/>
      <c r="S70" s="154"/>
      <c r="T70" s="154"/>
      <c r="U70" s="154"/>
      <c r="V70" s="154"/>
      <c r="W70" s="154" t="s">
        <v>1653</v>
      </c>
      <c r="X70" s="155">
        <f>_xlfn.XLOOKUP(base_de_datos[[#This Row],[Materia]],Materias,Horas)/16</f>
        <v>4</v>
      </c>
      <c r="Y70" s="155">
        <f>ROUND(((base_de_datos[[#This Row],[Hora fin]]-base_de_datos[[#This Row],[Hora inicio]])*24)*(COUNTA(base_de_datos[[#This Row],[Lunes]:[Sábado]])),1)</f>
        <v>2</v>
      </c>
      <c r="Z7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0" s="155">
        <f ca="1">IF(base_de_datos[[#This Row],[No clase]]=OFFSET(base_de_datos[[#This Row],[No clase]],-1,0),0,1)</f>
        <v>1</v>
      </c>
      <c r="AB70" s="155">
        <f ca="1">IF(NOT(OR(base_de_datos[[#This Row],[Horas totales]]=base_de_datos[[#This Row],[HT Plan]],base_de_datos[[#This Row],[Horas totales]]="N/A")),1,0)</f>
        <v>0</v>
      </c>
      <c r="AC70" s="155" t="str">
        <f>_xlfn.XLOOKUP(base_de_datos[[#This Row],[Profesor]],Nombre,Grado)</f>
        <v>E</v>
      </c>
      <c r="AD70" s="156" t="str">
        <f>_xlfn.XLOOKUP(base_de_datos[[#This Row],[Profesor]],Nombre,Tipo)</f>
        <v>TC</v>
      </c>
      <c r="AE70" s="155" t="str">
        <f>IF(IFERROR(VLOOKUP($C70,Planes_de_estudio[],MATCH($AE$2,Carreras,0)+2,0),"")&gt;0,IFERROR(VLOOKUP($C70,Planes_de_estudio[],MATCH($AE$2,Carreras,0)+2,0),""),"")</f>
        <v/>
      </c>
      <c r="AF70" s="155" t="str">
        <f>IF(IFERROR(VLOOKUP($C70,Planes_de_estudio[],MATCH($AF$2,Carreras,0)+2,0),"")&gt;0,IFERROR(VLOOKUP($C70,Planes_de_estudio[],MATCH($AF$2,Carreras,0)+2,0),""),"")</f>
        <v/>
      </c>
      <c r="AG70" s="155">
        <f>IF(IFERROR(VLOOKUP($C70,Planes_de_estudio[],MATCH($AG$2,Carreras,0)+2,0),"")&gt;0,IFERROR(VLOOKUP($C70,Planes_de_estudio[],MATCH($AG$2,Carreras,0)+2,0),""),"")</f>
        <v>3</v>
      </c>
      <c r="AH70" s="155" t="str">
        <f>IF(IFERROR(VLOOKUP($C70,Planes_de_estudio[],MATCH($AH$2,Carreras,0)+2,0),"")&gt;0,IFERROR(VLOOKUP($C70,Planes_de_estudio[],MATCH($AH$2,Carreras,0)+2,0),""),"")</f>
        <v/>
      </c>
      <c r="AI70" s="155" t="str">
        <f>IF(IFERROR(VLOOKUP($C70,Planes_de_estudio[],MATCH($AI$2,Carreras,0)+2,0),"")&gt;0,IFERROR(VLOOKUP($C70,Planes_de_estudio[],MATCH($AI$2,Carreras,0)+2,0),""),"")</f>
        <v/>
      </c>
      <c r="AJ70" s="155" t="str">
        <f>IF(IFERROR(VLOOKUP($C70,Planes_de_estudio[],MATCH($AJ$2,Carreras,0)+2,0),"")&gt;0,IFERROR(VLOOKUP($C70,Planes_de_estudio[],MATCH($AJ$2,Carreras,0)+2,0),""),"")</f>
        <v/>
      </c>
      <c r="AK70" s="155" t="str">
        <f>IF(IFERROR(VLOOKUP($C70,Planes_de_estudio[],MATCH($AK$2,Carreras,0)+2,0),"")&gt;0,IFERROR(VLOOKUP($C70,Planes_de_estudio[],MATCH($AK$2,Carreras,0)+2,0),""),"")</f>
        <v/>
      </c>
      <c r="AL7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0" s="155">
        <f>base_de_datos[[#This Row],[Pronóstico]]/25</f>
        <v>0.68</v>
      </c>
      <c r="AO70" s="155" t="str">
        <f>VLOOKUP($C70,Planes_de_estudio[],2)</f>
        <v>COM</v>
      </c>
      <c r="AP70" s="157" t="str">
        <f ca="1">IF(AND(base_de_datos[[#This Row],[Industrial]]&lt;&gt;"",base_de_datos[[#This Row],[Misma o no]]=1),base_de_datos[[#This Row],[Índice]],"")</f>
        <v/>
      </c>
      <c r="AQ70" s="157" t="str">
        <f ca="1">IF(AND(base_de_datos[[#This Row],[Mecatrónica]]&lt;&gt;"",base_de_datos[[#This Row],[Misma o no]]=1),base_de_datos[[#This Row],[Índice]],"")</f>
        <v/>
      </c>
      <c r="AR70" s="157">
        <f ca="1">IF(AND(base_de_datos[[#This Row],[Innovación y Diseño]]&lt;&gt;"",base_de_datos[[#This Row],[Misma o no]]=1),base_de_datos[[#This Row],[Índice]],"")</f>
        <v>2</v>
      </c>
      <c r="AS70" s="157" t="str">
        <f ca="1">IF(AND(base_de_datos[[#This Row],[Inteligencia Artificial]]&lt;&gt;"",base_de_datos[[#This Row],[Misma o no]]=1),base_de_datos[[#This Row],[Índice]],"")</f>
        <v/>
      </c>
      <c r="AT70" s="157" t="str">
        <f ca="1">IF(AND(base_de_datos[[#This Row],[Tecnologías Energéticas]]&lt;&gt;"",base_de_datos[[#This Row],[Misma o no]]=1),base_de_datos[[#This Row],[Índice]],"")</f>
        <v/>
      </c>
      <c r="AU70" s="157" t="str">
        <f ca="1">IF(AND(base_de_datos[[#This Row],[Civil y Administración]]&lt;&gt;"",base_de_datos[[#This Row],[Misma o no]]=1),base_de_datos[[#This Row],[Índice]],"")</f>
        <v/>
      </c>
      <c r="AV70" s="157" t="str">
        <f ca="1">IF(AND(base_de_datos[[#This Row],[Bioelectrónica]]&lt;&gt;"",base_de_datos[[#This Row],[Misma o no]]=1),base_de_datos[[#This Row],[Índice]],"")</f>
        <v/>
      </c>
      <c r="AW70" s="158"/>
      <c r="AX70" s="231">
        <v>2</v>
      </c>
    </row>
    <row r="71" spans="2:50" s="6" customFormat="1" ht="15">
      <c r="B71" s="148" t="s">
        <v>208</v>
      </c>
      <c r="C71" s="149" t="s">
        <v>209</v>
      </c>
      <c r="D71" s="150">
        <v>1</v>
      </c>
      <c r="E71" s="151">
        <v>0.5</v>
      </c>
      <c r="F71" s="151">
        <v>0.58333333333332904</v>
      </c>
      <c r="G71" s="218" t="s">
        <v>65</v>
      </c>
      <c r="H71" s="150" t="s">
        <v>93</v>
      </c>
      <c r="I71" s="150">
        <f>INDEX(Aulas_capacidad,MATCH(base_de_datos[[#This Row],[Aula]],Aulas,0),2)</f>
        <v>40</v>
      </c>
      <c r="J71" s="152">
        <v>20</v>
      </c>
      <c r="K71" s="150">
        <f>INDEX(Aulas_capacidad,MATCH(base_de_datos[[#This Row],[Aula]],Aulas,0),4)</f>
        <v>11</v>
      </c>
      <c r="L71" s="153">
        <f>base_de_datos[[#This Row],[Cap 1.5]]-base_de_datos[[#This Row],[Inscritos]]</f>
        <v>-9</v>
      </c>
      <c r="M71" s="153">
        <f>INDEX(Aulas_capacidad,MATCH(base_de_datos[[#This Row],[Aula]],Aulas,0),5)</f>
        <v>19</v>
      </c>
      <c r="N71" s="153">
        <f>base_de_datos[[#This Row],[Cap .90]]-base_de_datos[[#This Row],[Inscritos]]</f>
        <v>-1</v>
      </c>
      <c r="O71" s="150">
        <v>1469</v>
      </c>
      <c r="P71" s="154"/>
      <c r="Q71" s="154"/>
      <c r="R71" s="154" t="s">
        <v>67</v>
      </c>
      <c r="S71" s="154"/>
      <c r="T71" s="154"/>
      <c r="U71" s="154"/>
      <c r="V71" s="154"/>
      <c r="W71" s="154" t="s">
        <v>1653</v>
      </c>
      <c r="X71" s="155">
        <f>_xlfn.XLOOKUP(base_de_datos[[#This Row],[Materia]],Materias,Horas)/16</f>
        <v>4</v>
      </c>
      <c r="Y71" s="155">
        <f>ROUND(((base_de_datos[[#This Row],[Hora fin]]-base_de_datos[[#This Row],[Hora inicio]])*24)*(COUNTA(base_de_datos[[#This Row],[Lunes]:[Sábado]])),1)</f>
        <v>2</v>
      </c>
      <c r="Z7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1" s="155">
        <f ca="1">IF(base_de_datos[[#This Row],[No clase]]=OFFSET(base_de_datos[[#This Row],[No clase]],-1,0),0,1)</f>
        <v>0</v>
      </c>
      <c r="AB71" s="155">
        <f ca="1">IF(NOT(OR(base_de_datos[[#This Row],[Horas totales]]=base_de_datos[[#This Row],[HT Plan]],base_de_datos[[#This Row],[Horas totales]]="N/A")),1,0)</f>
        <v>0</v>
      </c>
      <c r="AC71" s="155" t="str">
        <f>_xlfn.XLOOKUP(base_de_datos[[#This Row],[Profesor]],Nombre,Grado)</f>
        <v>E</v>
      </c>
      <c r="AD71" s="156" t="str">
        <f>_xlfn.XLOOKUP(base_de_datos[[#This Row],[Profesor]],Nombre,Tipo)</f>
        <v>TC</v>
      </c>
      <c r="AE71" s="155" t="str">
        <f>IF(IFERROR(VLOOKUP($C71,Planes_de_estudio[],MATCH($AE$2,Carreras,0)+2,0),"")&gt;0,IFERROR(VLOOKUP($C71,Planes_de_estudio[],MATCH($AE$2,Carreras,0)+2,0),""),"")</f>
        <v/>
      </c>
      <c r="AF71" s="155" t="str">
        <f>IF(IFERROR(VLOOKUP($C71,Planes_de_estudio[],MATCH($AF$2,Carreras,0)+2,0),"")&gt;0,IFERROR(VLOOKUP($C71,Planes_de_estudio[],MATCH($AF$2,Carreras,0)+2,0),""),"")</f>
        <v/>
      </c>
      <c r="AG71" s="155">
        <f>IF(IFERROR(VLOOKUP($C71,Planes_de_estudio[],MATCH($AG$2,Carreras,0)+2,0),"")&gt;0,IFERROR(VLOOKUP($C71,Planes_de_estudio[],MATCH($AG$2,Carreras,0)+2,0),""),"")</f>
        <v>3</v>
      </c>
      <c r="AH71" s="155" t="str">
        <f>IF(IFERROR(VLOOKUP($C71,Planes_de_estudio[],MATCH($AH$2,Carreras,0)+2,0),"")&gt;0,IFERROR(VLOOKUP($C71,Planes_de_estudio[],MATCH($AH$2,Carreras,0)+2,0),""),"")</f>
        <v/>
      </c>
      <c r="AI71" s="155" t="str">
        <f>IF(IFERROR(VLOOKUP($C71,Planes_de_estudio[],MATCH($AI$2,Carreras,0)+2,0),"")&gt;0,IFERROR(VLOOKUP($C71,Planes_de_estudio[],MATCH($AI$2,Carreras,0)+2,0),""),"")</f>
        <v/>
      </c>
      <c r="AJ71" s="155" t="str">
        <f>IF(IFERROR(VLOOKUP($C71,Planes_de_estudio[],MATCH($AJ$2,Carreras,0)+2,0),"")&gt;0,IFERROR(VLOOKUP($C71,Planes_de_estudio[],MATCH($AJ$2,Carreras,0)+2,0),""),"")</f>
        <v/>
      </c>
      <c r="AK71" s="155" t="str">
        <f>IF(IFERROR(VLOOKUP($C71,Planes_de_estudio[],MATCH($AK$2,Carreras,0)+2,0),"")&gt;0,IFERROR(VLOOKUP($C71,Planes_de_estudio[],MATCH($AK$2,Carreras,0)+2,0),""),"")</f>
        <v/>
      </c>
      <c r="AL7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1" s="155">
        <f>base_de_datos[[#This Row],[Pronóstico]]/25</f>
        <v>0.68</v>
      </c>
      <c r="AO71" s="155" t="str">
        <f>VLOOKUP($C71,Planes_de_estudio[],2)</f>
        <v>COM</v>
      </c>
      <c r="AP71" s="157" t="str">
        <f ca="1">IF(AND(base_de_datos[[#This Row],[Industrial]]&lt;&gt;"",base_de_datos[[#This Row],[Misma o no]]=1),base_de_datos[[#This Row],[Índice]],"")</f>
        <v/>
      </c>
      <c r="AQ71" s="157" t="str">
        <f ca="1">IF(AND(base_de_datos[[#This Row],[Mecatrónica]]&lt;&gt;"",base_de_datos[[#This Row],[Misma o no]]=1),base_de_datos[[#This Row],[Índice]],"")</f>
        <v/>
      </c>
      <c r="AR71" s="157" t="str">
        <f ca="1">IF(AND(base_de_datos[[#This Row],[Innovación y Diseño]]&lt;&gt;"",base_de_datos[[#This Row],[Misma o no]]=1),base_de_datos[[#This Row],[Índice]],"")</f>
        <v/>
      </c>
      <c r="AS71" s="157" t="str">
        <f ca="1">IF(AND(base_de_datos[[#This Row],[Inteligencia Artificial]]&lt;&gt;"",base_de_datos[[#This Row],[Misma o no]]=1),base_de_datos[[#This Row],[Índice]],"")</f>
        <v/>
      </c>
      <c r="AT71" s="157" t="str">
        <f ca="1">IF(AND(base_de_datos[[#This Row],[Tecnologías Energéticas]]&lt;&gt;"",base_de_datos[[#This Row],[Misma o no]]=1),base_de_datos[[#This Row],[Índice]],"")</f>
        <v/>
      </c>
      <c r="AU71" s="157" t="str">
        <f ca="1">IF(AND(base_de_datos[[#This Row],[Civil y Administración]]&lt;&gt;"",base_de_datos[[#This Row],[Misma o no]]=1),base_de_datos[[#This Row],[Índice]],"")</f>
        <v/>
      </c>
      <c r="AV71" s="157" t="str">
        <f ca="1">IF(AND(base_de_datos[[#This Row],[Bioelectrónica]]&lt;&gt;"",base_de_datos[[#This Row],[Misma o no]]=1),base_de_datos[[#This Row],[Índice]],"")</f>
        <v/>
      </c>
      <c r="AW71" s="158"/>
      <c r="AX71" s="231" t="s">
        <v>1627</v>
      </c>
    </row>
    <row r="72" spans="2:50" s="6" customFormat="1" ht="15">
      <c r="B72" s="148" t="s">
        <v>208</v>
      </c>
      <c r="C72" s="149" t="s">
        <v>210</v>
      </c>
      <c r="D72" s="150">
        <v>1</v>
      </c>
      <c r="E72" s="151">
        <v>0.5</v>
      </c>
      <c r="F72" s="151">
        <v>0.562499999999996</v>
      </c>
      <c r="G72" s="218" t="s">
        <v>111</v>
      </c>
      <c r="H72" s="150" t="s">
        <v>114</v>
      </c>
      <c r="I72" s="150">
        <f>INDEX(Aulas_capacidad,MATCH(base_de_datos[[#This Row],[Aula]],Aulas,0),2)</f>
        <v>36</v>
      </c>
      <c r="J72" s="152">
        <v>15</v>
      </c>
      <c r="K72" s="150">
        <f>INDEX(Aulas_capacidad,MATCH(base_de_datos[[#This Row],[Aula]],Aulas,0),4)</f>
        <v>18</v>
      </c>
      <c r="L72" s="153">
        <f>base_de_datos[[#This Row],[Cap 1.5]]-base_de_datos[[#This Row],[Inscritos]]</f>
        <v>3</v>
      </c>
      <c r="M72" s="153">
        <f>INDEX(Aulas_capacidad,MATCH(base_de_datos[[#This Row],[Aula]],Aulas,0),5)</f>
        <v>18</v>
      </c>
      <c r="N72" s="153">
        <f>base_de_datos[[#This Row],[Cap .90]]-base_de_datos[[#This Row],[Inscritos]]</f>
        <v>3</v>
      </c>
      <c r="O72" s="150">
        <v>1630</v>
      </c>
      <c r="P72" s="154"/>
      <c r="Q72" s="154" t="s">
        <v>67</v>
      </c>
      <c r="R72" s="154"/>
      <c r="S72" s="154"/>
      <c r="T72" s="154"/>
      <c r="U72" s="154"/>
      <c r="V72" s="154"/>
      <c r="W72" s="154" t="s">
        <v>1657</v>
      </c>
      <c r="X72" s="155">
        <f>_xlfn.XLOOKUP(base_de_datos[[#This Row],[Materia]],Materias,Horas)/16</f>
        <v>3</v>
      </c>
      <c r="Y72" s="155">
        <f>ROUND(((base_de_datos[[#This Row],[Hora fin]]-base_de_datos[[#This Row],[Hora inicio]])*24)*(COUNTA(base_de_datos[[#This Row],[Lunes]:[Sábado]])),1)</f>
        <v>1.5</v>
      </c>
      <c r="Z7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2" s="155">
        <f ca="1">IF(base_de_datos[[#This Row],[No clase]]=OFFSET(base_de_datos[[#This Row],[No clase]],-1,0),0,1)</f>
        <v>1</v>
      </c>
      <c r="AB72" s="155">
        <f ca="1">IF(NOT(OR(base_de_datos[[#This Row],[Horas totales]]=base_de_datos[[#This Row],[HT Plan]],base_de_datos[[#This Row],[Horas totales]]="N/A")),1,0)</f>
        <v>0</v>
      </c>
      <c r="AC72" s="155" t="str">
        <f>_xlfn.XLOOKUP(base_de_datos[[#This Row],[Profesor]],Nombre,Grado)</f>
        <v>E</v>
      </c>
      <c r="AD72" s="156" t="str">
        <f>_xlfn.XLOOKUP(base_de_datos[[#This Row],[Profesor]],Nombre,Tipo)</f>
        <v>TC</v>
      </c>
      <c r="AE72" s="155" t="str">
        <f>IF(IFERROR(VLOOKUP($C72,Planes_de_estudio[],MATCH($AE$2,Carreras,0)+2,0),"")&gt;0,IFERROR(VLOOKUP($C72,Planes_de_estudio[],MATCH($AE$2,Carreras,0)+2,0),""),"")</f>
        <v/>
      </c>
      <c r="AF72" s="155" t="str">
        <f>IF(IFERROR(VLOOKUP($C72,Planes_de_estudio[],MATCH($AF$2,Carreras,0)+2,0),"")&gt;0,IFERROR(VLOOKUP($C72,Planes_de_estudio[],MATCH($AF$2,Carreras,0)+2,0),""),"")</f>
        <v/>
      </c>
      <c r="AG72" s="155">
        <f>IF(IFERROR(VLOOKUP($C72,Planes_de_estudio[],MATCH($AG$2,Carreras,0)+2,0),"")&gt;0,IFERROR(VLOOKUP($C72,Planes_de_estudio[],MATCH($AG$2,Carreras,0)+2,0),""),"")</f>
        <v>1</v>
      </c>
      <c r="AH72" s="155" t="str">
        <f>IF(IFERROR(VLOOKUP($C72,Planes_de_estudio[],MATCH($AH$2,Carreras,0)+2,0),"")&gt;0,IFERROR(VLOOKUP($C72,Planes_de_estudio[],MATCH($AH$2,Carreras,0)+2,0),""),"")</f>
        <v/>
      </c>
      <c r="AI72" s="155" t="str">
        <f>IF(IFERROR(VLOOKUP($C72,Planes_de_estudio[],MATCH($AI$2,Carreras,0)+2,0),"")&gt;0,IFERROR(VLOOKUP($C72,Planes_de_estudio[],MATCH($AI$2,Carreras,0)+2,0),""),"")</f>
        <v/>
      </c>
      <c r="AJ72" s="155" t="str">
        <f>IF(IFERROR(VLOOKUP($C72,Planes_de_estudio[],MATCH($AJ$2,Carreras,0)+2,0),"")&gt;0,IFERROR(VLOOKUP($C72,Planes_de_estudio[],MATCH($AJ$2,Carreras,0)+2,0),""),"")</f>
        <v/>
      </c>
      <c r="AK72" s="155" t="str">
        <f>IF(IFERROR(VLOOKUP($C72,Planes_de_estudio[],MATCH($AK$2,Carreras,0)+2,0),"")&gt;0,IFERROR(VLOOKUP($C72,Planes_de_estudio[],MATCH($AK$2,Carreras,0)+2,0),""),"")</f>
        <v/>
      </c>
      <c r="AL7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72" s="155">
        <f>base_de_datos[[#This Row],[Pronóstico]]/25</f>
        <v>0.6</v>
      </c>
      <c r="AO72" s="155" t="str">
        <f>VLOOKUP($C72,Planes_de_estudio[],2)</f>
        <v>IID</v>
      </c>
      <c r="AP72" s="157" t="str">
        <f ca="1">IF(AND(base_de_datos[[#This Row],[Industrial]]&lt;&gt;"",base_de_datos[[#This Row],[Misma o no]]=1),base_de_datos[[#This Row],[Índice]],"")</f>
        <v/>
      </c>
      <c r="AQ72" s="157" t="str">
        <f ca="1">IF(AND(base_de_datos[[#This Row],[Mecatrónica]]&lt;&gt;"",base_de_datos[[#This Row],[Misma o no]]=1),base_de_datos[[#This Row],[Índice]],"")</f>
        <v/>
      </c>
      <c r="AR72" s="157">
        <f ca="1">IF(AND(base_de_datos[[#This Row],[Innovación y Diseño]]&lt;&gt;"",base_de_datos[[#This Row],[Misma o no]]=1),base_de_datos[[#This Row],[Índice]],"")</f>
        <v>2</v>
      </c>
      <c r="AS72" s="157" t="str">
        <f ca="1">IF(AND(base_de_datos[[#This Row],[Inteligencia Artificial]]&lt;&gt;"",base_de_datos[[#This Row],[Misma o no]]=1),base_de_datos[[#This Row],[Índice]],"")</f>
        <v/>
      </c>
      <c r="AT72" s="157" t="str">
        <f ca="1">IF(AND(base_de_datos[[#This Row],[Tecnologías Energéticas]]&lt;&gt;"",base_de_datos[[#This Row],[Misma o no]]=1),base_de_datos[[#This Row],[Índice]],"")</f>
        <v/>
      </c>
      <c r="AU72" s="157" t="str">
        <f ca="1">IF(AND(base_de_datos[[#This Row],[Civil y Administración]]&lt;&gt;"",base_de_datos[[#This Row],[Misma o no]]=1),base_de_datos[[#This Row],[Índice]],"")</f>
        <v/>
      </c>
      <c r="AV72" s="157" t="str">
        <f ca="1">IF(AND(base_de_datos[[#This Row],[Bioelectrónica]]&lt;&gt;"",base_de_datos[[#This Row],[Misma o no]]=1),base_de_datos[[#This Row],[Índice]],"")</f>
        <v/>
      </c>
      <c r="AW72" s="158"/>
      <c r="AX72" s="231">
        <v>3</v>
      </c>
    </row>
    <row r="73" spans="2:50" s="6" customFormat="1" ht="15">
      <c r="B73" s="148" t="s">
        <v>208</v>
      </c>
      <c r="C73" s="149" t="s">
        <v>210</v>
      </c>
      <c r="D73" s="150">
        <v>1</v>
      </c>
      <c r="E73" s="151">
        <v>0.5625</v>
      </c>
      <c r="F73" s="151">
        <v>0.624999999999995</v>
      </c>
      <c r="G73" s="218" t="s">
        <v>111</v>
      </c>
      <c r="H73" s="150" t="s">
        <v>114</v>
      </c>
      <c r="I73" s="150">
        <f>INDEX(Aulas_capacidad,MATCH(base_de_datos[[#This Row],[Aula]],Aulas,0),2)</f>
        <v>36</v>
      </c>
      <c r="J73" s="152">
        <v>15</v>
      </c>
      <c r="K73" s="150">
        <f>INDEX(Aulas_capacidad,MATCH(base_de_datos[[#This Row],[Aula]],Aulas,0),4)</f>
        <v>18</v>
      </c>
      <c r="L73" s="153">
        <f>base_de_datos[[#This Row],[Cap 1.5]]-base_de_datos[[#This Row],[Inscritos]]</f>
        <v>3</v>
      </c>
      <c r="M73" s="153">
        <f>INDEX(Aulas_capacidad,MATCH(base_de_datos[[#This Row],[Aula]],Aulas,0),5)</f>
        <v>18</v>
      </c>
      <c r="N73" s="153">
        <f>base_de_datos[[#This Row],[Cap .90]]-base_de_datos[[#This Row],[Inscritos]]</f>
        <v>3</v>
      </c>
      <c r="O73" s="150">
        <v>1630</v>
      </c>
      <c r="P73" s="154"/>
      <c r="Q73" s="154"/>
      <c r="R73" s="154"/>
      <c r="S73" s="154"/>
      <c r="T73" s="154" t="s">
        <v>67</v>
      </c>
      <c r="U73" s="154"/>
      <c r="V73" s="154"/>
      <c r="W73" s="154" t="s">
        <v>1657</v>
      </c>
      <c r="X73" s="155">
        <f>_xlfn.XLOOKUP(base_de_datos[[#This Row],[Materia]],Materias,Horas)/16</f>
        <v>3</v>
      </c>
      <c r="Y73" s="155">
        <f>ROUND(((base_de_datos[[#This Row],[Hora fin]]-base_de_datos[[#This Row],[Hora inicio]])*24)*(COUNTA(base_de_datos[[#This Row],[Lunes]:[Sábado]])),1)</f>
        <v>1.5</v>
      </c>
      <c r="Z7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3" s="155">
        <f ca="1">IF(base_de_datos[[#This Row],[No clase]]=OFFSET(base_de_datos[[#This Row],[No clase]],-1,0),0,1)</f>
        <v>0</v>
      </c>
      <c r="AB73" s="155">
        <f ca="1">IF(NOT(OR(base_de_datos[[#This Row],[Horas totales]]=base_de_datos[[#This Row],[HT Plan]],base_de_datos[[#This Row],[Horas totales]]="N/A")),1,0)</f>
        <v>0</v>
      </c>
      <c r="AC73" s="155" t="str">
        <f>_xlfn.XLOOKUP(base_de_datos[[#This Row],[Profesor]],Nombre,Grado)</f>
        <v>E</v>
      </c>
      <c r="AD73" s="156" t="str">
        <f>_xlfn.XLOOKUP(base_de_datos[[#This Row],[Profesor]],Nombre,Tipo)</f>
        <v>TC</v>
      </c>
      <c r="AE73" s="155" t="str">
        <f>IF(IFERROR(VLOOKUP($C73,Planes_de_estudio[],MATCH($AE$2,Carreras,0)+2,0),"")&gt;0,IFERROR(VLOOKUP($C73,Planes_de_estudio[],MATCH($AE$2,Carreras,0)+2,0),""),"")</f>
        <v/>
      </c>
      <c r="AF73" s="155" t="str">
        <f>IF(IFERROR(VLOOKUP($C73,Planes_de_estudio[],MATCH($AF$2,Carreras,0)+2,0),"")&gt;0,IFERROR(VLOOKUP($C73,Planes_de_estudio[],MATCH($AF$2,Carreras,0)+2,0),""),"")</f>
        <v/>
      </c>
      <c r="AG73" s="155">
        <f>IF(IFERROR(VLOOKUP($C73,Planes_de_estudio[],MATCH($AG$2,Carreras,0)+2,0),"")&gt;0,IFERROR(VLOOKUP($C73,Planes_de_estudio[],MATCH($AG$2,Carreras,0)+2,0),""),"")</f>
        <v>1</v>
      </c>
      <c r="AH73" s="155" t="str">
        <f>IF(IFERROR(VLOOKUP($C73,Planes_de_estudio[],MATCH($AH$2,Carreras,0)+2,0),"")&gt;0,IFERROR(VLOOKUP($C73,Planes_de_estudio[],MATCH($AH$2,Carreras,0)+2,0),""),"")</f>
        <v/>
      </c>
      <c r="AI73" s="155" t="str">
        <f>IF(IFERROR(VLOOKUP($C73,Planes_de_estudio[],MATCH($AI$2,Carreras,0)+2,0),"")&gt;0,IFERROR(VLOOKUP($C73,Planes_de_estudio[],MATCH($AI$2,Carreras,0)+2,0),""),"")</f>
        <v/>
      </c>
      <c r="AJ73" s="155" t="str">
        <f>IF(IFERROR(VLOOKUP($C73,Planes_de_estudio[],MATCH($AJ$2,Carreras,0)+2,0),"")&gt;0,IFERROR(VLOOKUP($C73,Planes_de_estudio[],MATCH($AJ$2,Carreras,0)+2,0),""),"")</f>
        <v/>
      </c>
      <c r="AK73" s="155" t="str">
        <f>IF(IFERROR(VLOOKUP($C73,Planes_de_estudio[],MATCH($AK$2,Carreras,0)+2,0),"")&gt;0,IFERROR(VLOOKUP($C73,Planes_de_estudio[],MATCH($AK$2,Carreras,0)+2,0),""),"")</f>
        <v/>
      </c>
      <c r="AL7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73" s="155">
        <f>base_de_datos[[#This Row],[Pronóstico]]/25</f>
        <v>0.6</v>
      </c>
      <c r="AO73" s="155" t="str">
        <f>VLOOKUP($C73,Planes_de_estudio[],2)</f>
        <v>IID</v>
      </c>
      <c r="AP73" s="157" t="str">
        <f ca="1">IF(AND(base_de_datos[[#This Row],[Industrial]]&lt;&gt;"",base_de_datos[[#This Row],[Misma o no]]=1),base_de_datos[[#This Row],[Índice]],"")</f>
        <v/>
      </c>
      <c r="AQ73" s="157" t="str">
        <f ca="1">IF(AND(base_de_datos[[#This Row],[Mecatrónica]]&lt;&gt;"",base_de_datos[[#This Row],[Misma o no]]=1),base_de_datos[[#This Row],[Índice]],"")</f>
        <v/>
      </c>
      <c r="AR73" s="157" t="str">
        <f ca="1">IF(AND(base_de_datos[[#This Row],[Innovación y Diseño]]&lt;&gt;"",base_de_datos[[#This Row],[Misma o no]]=1),base_de_datos[[#This Row],[Índice]],"")</f>
        <v/>
      </c>
      <c r="AS73" s="157" t="str">
        <f ca="1">IF(AND(base_de_datos[[#This Row],[Inteligencia Artificial]]&lt;&gt;"",base_de_datos[[#This Row],[Misma o no]]=1),base_de_datos[[#This Row],[Índice]],"")</f>
        <v/>
      </c>
      <c r="AT73" s="157" t="str">
        <f ca="1">IF(AND(base_de_datos[[#This Row],[Tecnologías Energéticas]]&lt;&gt;"",base_de_datos[[#This Row],[Misma o no]]=1),base_de_datos[[#This Row],[Índice]],"")</f>
        <v/>
      </c>
      <c r="AU73" s="157" t="str">
        <f ca="1">IF(AND(base_de_datos[[#This Row],[Civil y Administración]]&lt;&gt;"",base_de_datos[[#This Row],[Misma o no]]=1),base_de_datos[[#This Row],[Índice]],"")</f>
        <v/>
      </c>
      <c r="AV73" s="157" t="str">
        <f ca="1">IF(AND(base_de_datos[[#This Row],[Bioelectrónica]]&lt;&gt;"",base_de_datos[[#This Row],[Misma o no]]=1),base_de_datos[[#This Row],[Índice]],"")</f>
        <v/>
      </c>
      <c r="AW73" s="158"/>
      <c r="AX73" s="231">
        <v>2</v>
      </c>
    </row>
    <row r="74" spans="2:50" s="6" customFormat="1" ht="15">
      <c r="B74" s="148" t="s">
        <v>208</v>
      </c>
      <c r="C74" s="149" t="s">
        <v>211</v>
      </c>
      <c r="D74" s="150">
        <v>1</v>
      </c>
      <c r="E74" s="151">
        <v>0.375</v>
      </c>
      <c r="F74" s="151">
        <v>0.45833333333333098</v>
      </c>
      <c r="G74" s="218" t="s">
        <v>65</v>
      </c>
      <c r="H74" s="150" t="s">
        <v>114</v>
      </c>
      <c r="I74" s="150">
        <f>INDEX(Aulas_capacidad,MATCH(base_de_datos[[#This Row],[Aula]],Aulas,0),2)</f>
        <v>36</v>
      </c>
      <c r="J74" s="152">
        <v>20</v>
      </c>
      <c r="K74" s="150">
        <f>INDEX(Aulas_capacidad,MATCH(base_de_datos[[#This Row],[Aula]],Aulas,0),4)</f>
        <v>18</v>
      </c>
      <c r="L74" s="153">
        <f>base_de_datos[[#This Row],[Cap 1.5]]-base_de_datos[[#This Row],[Inscritos]]</f>
        <v>-2</v>
      </c>
      <c r="M74" s="153">
        <f>INDEX(Aulas_capacidad,MATCH(base_de_datos[[#This Row],[Aula]],Aulas,0),5)</f>
        <v>18</v>
      </c>
      <c r="N74" s="153">
        <f>base_de_datos[[#This Row],[Cap .90]]-base_de_datos[[#This Row],[Inscritos]]</f>
        <v>-2</v>
      </c>
      <c r="O74" s="150">
        <v>1637</v>
      </c>
      <c r="P74" s="154"/>
      <c r="Q74" s="154"/>
      <c r="R74" s="154" t="s">
        <v>67</v>
      </c>
      <c r="S74" s="154"/>
      <c r="T74" s="154"/>
      <c r="U74" s="154"/>
      <c r="V74" s="154"/>
      <c r="W74" s="154" t="s">
        <v>1658</v>
      </c>
      <c r="X74" s="155">
        <f>_xlfn.XLOOKUP(base_de_datos[[#This Row],[Materia]],Materias,Horas)/16</f>
        <v>4</v>
      </c>
      <c r="Y74" s="155">
        <f>ROUND(((base_de_datos[[#This Row],[Hora fin]]-base_de_datos[[#This Row],[Hora inicio]])*24)*(COUNTA(base_de_datos[[#This Row],[Lunes]:[Sábado]])),1)</f>
        <v>2</v>
      </c>
      <c r="Z7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4" s="155">
        <f ca="1">IF(base_de_datos[[#This Row],[No clase]]=OFFSET(base_de_datos[[#This Row],[No clase]],-1,0),0,1)</f>
        <v>1</v>
      </c>
      <c r="AB74" s="155">
        <f ca="1">IF(NOT(OR(base_de_datos[[#This Row],[Horas totales]]=base_de_datos[[#This Row],[HT Plan]],base_de_datos[[#This Row],[Horas totales]]="N/A")),1,0)</f>
        <v>0</v>
      </c>
      <c r="AC74" s="155" t="str">
        <f>_xlfn.XLOOKUP(base_de_datos[[#This Row],[Profesor]],Nombre,Grado)</f>
        <v>E</v>
      </c>
      <c r="AD74" s="156" t="str">
        <f>_xlfn.XLOOKUP(base_de_datos[[#This Row],[Profesor]],Nombre,Tipo)</f>
        <v>TC</v>
      </c>
      <c r="AE74" s="155" t="str">
        <f>IF(IFERROR(VLOOKUP($C74,Planes_de_estudio[],MATCH($AE$2,Carreras,0)+2,0),"")&gt;0,IFERROR(VLOOKUP($C74,Planes_de_estudio[],MATCH($AE$2,Carreras,0)+2,0),""),"")</f>
        <v/>
      </c>
      <c r="AF74" s="155" t="str">
        <f>IF(IFERROR(VLOOKUP($C74,Planes_de_estudio[],MATCH($AF$2,Carreras,0)+2,0),"")&gt;0,IFERROR(VLOOKUP($C74,Planes_de_estudio[],MATCH($AF$2,Carreras,0)+2,0),""),"")</f>
        <v/>
      </c>
      <c r="AG74" s="155">
        <f>IF(IFERROR(VLOOKUP($C74,Planes_de_estudio[],MATCH($AG$2,Carreras,0)+2,0),"")&gt;0,IFERROR(VLOOKUP($C74,Planes_de_estudio[],MATCH($AG$2,Carreras,0)+2,0),""),"")</f>
        <v>3</v>
      </c>
      <c r="AH74" s="155" t="str">
        <f>IF(IFERROR(VLOOKUP($C74,Planes_de_estudio[],MATCH($AH$2,Carreras,0)+2,0),"")&gt;0,IFERROR(VLOOKUP($C74,Planes_de_estudio[],MATCH($AH$2,Carreras,0)+2,0),""),"")</f>
        <v/>
      </c>
      <c r="AI74" s="155" t="str">
        <f>IF(IFERROR(VLOOKUP($C74,Planes_de_estudio[],MATCH($AI$2,Carreras,0)+2,0),"")&gt;0,IFERROR(VLOOKUP($C74,Planes_de_estudio[],MATCH($AI$2,Carreras,0)+2,0),""),"")</f>
        <v/>
      </c>
      <c r="AJ74" s="155" t="str">
        <f>IF(IFERROR(VLOOKUP($C74,Planes_de_estudio[],MATCH($AJ$2,Carreras,0)+2,0),"")&gt;0,IFERROR(VLOOKUP($C74,Planes_de_estudio[],MATCH($AJ$2,Carreras,0)+2,0),""),"")</f>
        <v/>
      </c>
      <c r="AK74" s="155" t="str">
        <f>IF(IFERROR(VLOOKUP($C74,Planes_de_estudio[],MATCH($AK$2,Carreras,0)+2,0),"")&gt;0,IFERROR(VLOOKUP($C74,Planes_de_estudio[],MATCH($AK$2,Carreras,0)+2,0),""),"")</f>
        <v/>
      </c>
      <c r="AL7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4" s="155">
        <f>base_de_datos[[#This Row],[Pronóstico]]/25</f>
        <v>0.68</v>
      </c>
      <c r="AO74" s="155" t="str">
        <f>VLOOKUP($C74,Planes_de_estudio[],2)</f>
        <v>IID</v>
      </c>
      <c r="AP74" s="157" t="str">
        <f ca="1">IF(AND(base_de_datos[[#This Row],[Industrial]]&lt;&gt;"",base_de_datos[[#This Row],[Misma o no]]=1),base_de_datos[[#This Row],[Índice]],"")</f>
        <v/>
      </c>
      <c r="AQ74" s="157" t="str">
        <f ca="1">IF(AND(base_de_datos[[#This Row],[Mecatrónica]]&lt;&gt;"",base_de_datos[[#This Row],[Misma o no]]=1),base_de_datos[[#This Row],[Índice]],"")</f>
        <v/>
      </c>
      <c r="AR74" s="157">
        <f ca="1">IF(AND(base_de_datos[[#This Row],[Innovación y Diseño]]&lt;&gt;"",base_de_datos[[#This Row],[Misma o no]]=1),base_de_datos[[#This Row],[Índice]],"")</f>
        <v>2</v>
      </c>
      <c r="AS74" s="157" t="str">
        <f ca="1">IF(AND(base_de_datos[[#This Row],[Inteligencia Artificial]]&lt;&gt;"",base_de_datos[[#This Row],[Misma o no]]=1),base_de_datos[[#This Row],[Índice]],"")</f>
        <v/>
      </c>
      <c r="AT74" s="157" t="str">
        <f ca="1">IF(AND(base_de_datos[[#This Row],[Tecnologías Energéticas]]&lt;&gt;"",base_de_datos[[#This Row],[Misma o no]]=1),base_de_datos[[#This Row],[Índice]],"")</f>
        <v/>
      </c>
      <c r="AU74" s="157" t="str">
        <f ca="1">IF(AND(base_de_datos[[#This Row],[Civil y Administración]]&lt;&gt;"",base_de_datos[[#This Row],[Misma o no]]=1),base_de_datos[[#This Row],[Índice]],"")</f>
        <v/>
      </c>
      <c r="AV74" s="157" t="str">
        <f ca="1">IF(AND(base_de_datos[[#This Row],[Bioelectrónica]]&lt;&gt;"",base_de_datos[[#This Row],[Misma o no]]=1),base_de_datos[[#This Row],[Índice]],"")</f>
        <v/>
      </c>
      <c r="AW74" s="158"/>
      <c r="AX74" s="231" t="s">
        <v>1627</v>
      </c>
    </row>
    <row r="75" spans="2:50" s="6" customFormat="1" ht="15">
      <c r="B75" s="148" t="s">
        <v>208</v>
      </c>
      <c r="C75" s="149" t="s">
        <v>211</v>
      </c>
      <c r="D75" s="150">
        <v>1</v>
      </c>
      <c r="E75" s="151">
        <v>0.375</v>
      </c>
      <c r="F75" s="151">
        <v>0.45833333333333098</v>
      </c>
      <c r="G75" s="218" t="s">
        <v>65</v>
      </c>
      <c r="H75" s="150" t="s">
        <v>114</v>
      </c>
      <c r="I75" s="150">
        <f>INDEX(Aulas_capacidad,MATCH(base_de_datos[[#This Row],[Aula]],Aulas,0),2)</f>
        <v>36</v>
      </c>
      <c r="J75" s="152">
        <v>20</v>
      </c>
      <c r="K75" s="150">
        <f>INDEX(Aulas_capacidad,MATCH(base_de_datos[[#This Row],[Aula]],Aulas,0),4)</f>
        <v>18</v>
      </c>
      <c r="L75" s="153">
        <f>base_de_datos[[#This Row],[Cap 1.5]]-base_de_datos[[#This Row],[Inscritos]]</f>
        <v>-2</v>
      </c>
      <c r="M75" s="153">
        <f>INDEX(Aulas_capacidad,MATCH(base_de_datos[[#This Row],[Aula]],Aulas,0),5)</f>
        <v>18</v>
      </c>
      <c r="N75" s="153">
        <f>base_de_datos[[#This Row],[Cap .90]]-base_de_datos[[#This Row],[Inscritos]]</f>
        <v>-2</v>
      </c>
      <c r="O75" s="150">
        <v>1637</v>
      </c>
      <c r="P75" s="154"/>
      <c r="Q75" s="154"/>
      <c r="R75" s="154"/>
      <c r="S75" s="154"/>
      <c r="T75" s="154" t="s">
        <v>67</v>
      </c>
      <c r="U75" s="154"/>
      <c r="V75" s="154"/>
      <c r="W75" s="154" t="s">
        <v>1658</v>
      </c>
      <c r="X75" s="155">
        <f>_xlfn.XLOOKUP(base_de_datos[[#This Row],[Materia]],Materias,Horas)/16</f>
        <v>4</v>
      </c>
      <c r="Y75" s="155">
        <f>ROUND(((base_de_datos[[#This Row],[Hora fin]]-base_de_datos[[#This Row],[Hora inicio]])*24)*(COUNTA(base_de_datos[[#This Row],[Lunes]:[Sábado]])),1)</f>
        <v>2</v>
      </c>
      <c r="Z7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5" s="155">
        <f ca="1">IF(base_de_datos[[#This Row],[No clase]]=OFFSET(base_de_datos[[#This Row],[No clase]],-1,0),0,1)</f>
        <v>0</v>
      </c>
      <c r="AB75" s="155">
        <f ca="1">IF(NOT(OR(base_de_datos[[#This Row],[Horas totales]]=base_de_datos[[#This Row],[HT Plan]],base_de_datos[[#This Row],[Horas totales]]="N/A")),1,0)</f>
        <v>0</v>
      </c>
      <c r="AC75" s="155" t="str">
        <f>_xlfn.XLOOKUP(base_de_datos[[#This Row],[Profesor]],Nombre,Grado)</f>
        <v>E</v>
      </c>
      <c r="AD75" s="156" t="str">
        <f>_xlfn.XLOOKUP(base_de_datos[[#This Row],[Profesor]],Nombre,Tipo)</f>
        <v>TC</v>
      </c>
      <c r="AE75" s="155" t="str">
        <f>IF(IFERROR(VLOOKUP($C75,Planes_de_estudio[],MATCH($AE$2,Carreras,0)+2,0),"")&gt;0,IFERROR(VLOOKUP($C75,Planes_de_estudio[],MATCH($AE$2,Carreras,0)+2,0),""),"")</f>
        <v/>
      </c>
      <c r="AF75" s="155" t="str">
        <f>IF(IFERROR(VLOOKUP($C75,Planes_de_estudio[],MATCH($AF$2,Carreras,0)+2,0),"")&gt;0,IFERROR(VLOOKUP($C75,Planes_de_estudio[],MATCH($AF$2,Carreras,0)+2,0),""),"")</f>
        <v/>
      </c>
      <c r="AG75" s="155">
        <f>IF(IFERROR(VLOOKUP($C75,Planes_de_estudio[],MATCH($AG$2,Carreras,0)+2,0),"")&gt;0,IFERROR(VLOOKUP($C75,Planes_de_estudio[],MATCH($AG$2,Carreras,0)+2,0),""),"")</f>
        <v>3</v>
      </c>
      <c r="AH75" s="155" t="str">
        <f>IF(IFERROR(VLOOKUP($C75,Planes_de_estudio[],MATCH($AH$2,Carreras,0)+2,0),"")&gt;0,IFERROR(VLOOKUP($C75,Planes_de_estudio[],MATCH($AH$2,Carreras,0)+2,0),""),"")</f>
        <v/>
      </c>
      <c r="AI75" s="155" t="str">
        <f>IF(IFERROR(VLOOKUP($C75,Planes_de_estudio[],MATCH($AI$2,Carreras,0)+2,0),"")&gt;0,IFERROR(VLOOKUP($C75,Planes_de_estudio[],MATCH($AI$2,Carreras,0)+2,0),""),"")</f>
        <v/>
      </c>
      <c r="AJ75" s="155" t="str">
        <f>IF(IFERROR(VLOOKUP($C75,Planes_de_estudio[],MATCH($AJ$2,Carreras,0)+2,0),"")&gt;0,IFERROR(VLOOKUP($C75,Planes_de_estudio[],MATCH($AJ$2,Carreras,0)+2,0),""),"")</f>
        <v/>
      </c>
      <c r="AK75" s="155" t="str">
        <f>IF(IFERROR(VLOOKUP($C75,Planes_de_estudio[],MATCH($AK$2,Carreras,0)+2,0),"")&gt;0,IFERROR(VLOOKUP($C75,Planes_de_estudio[],MATCH($AK$2,Carreras,0)+2,0),""),"")</f>
        <v/>
      </c>
      <c r="AL7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5" s="155">
        <f>base_de_datos[[#This Row],[Pronóstico]]/25</f>
        <v>0.68</v>
      </c>
      <c r="AO75" s="155" t="str">
        <f>VLOOKUP($C75,Planes_de_estudio[],2)</f>
        <v>IID</v>
      </c>
      <c r="AP75" s="157" t="str">
        <f ca="1">IF(AND(base_de_datos[[#This Row],[Industrial]]&lt;&gt;"",base_de_datos[[#This Row],[Misma o no]]=1),base_de_datos[[#This Row],[Índice]],"")</f>
        <v/>
      </c>
      <c r="AQ75" s="157" t="str">
        <f ca="1">IF(AND(base_de_datos[[#This Row],[Mecatrónica]]&lt;&gt;"",base_de_datos[[#This Row],[Misma o no]]=1),base_de_datos[[#This Row],[Índice]],"")</f>
        <v/>
      </c>
      <c r="AR75" s="157" t="str">
        <f ca="1">IF(AND(base_de_datos[[#This Row],[Innovación y Diseño]]&lt;&gt;"",base_de_datos[[#This Row],[Misma o no]]=1),base_de_datos[[#This Row],[Índice]],"")</f>
        <v/>
      </c>
      <c r="AS75" s="157" t="str">
        <f ca="1">IF(AND(base_de_datos[[#This Row],[Inteligencia Artificial]]&lt;&gt;"",base_de_datos[[#This Row],[Misma o no]]=1),base_de_datos[[#This Row],[Índice]],"")</f>
        <v/>
      </c>
      <c r="AT75" s="157" t="str">
        <f ca="1">IF(AND(base_de_datos[[#This Row],[Tecnologías Energéticas]]&lt;&gt;"",base_de_datos[[#This Row],[Misma o no]]=1),base_de_datos[[#This Row],[Índice]],"")</f>
        <v/>
      </c>
      <c r="AU75" s="157" t="str">
        <f ca="1">IF(AND(base_de_datos[[#This Row],[Civil y Administración]]&lt;&gt;"",base_de_datos[[#This Row],[Misma o no]]=1),base_de_datos[[#This Row],[Índice]],"")</f>
        <v/>
      </c>
      <c r="AV75" s="157" t="str">
        <f ca="1">IF(AND(base_de_datos[[#This Row],[Bioelectrónica]]&lt;&gt;"",base_de_datos[[#This Row],[Misma o no]]=1),base_de_datos[[#This Row],[Índice]],"")</f>
        <v/>
      </c>
      <c r="AW75" s="158"/>
      <c r="AX75" s="231">
        <v>1</v>
      </c>
    </row>
    <row r="76" spans="2:50" s="6" customFormat="1" ht="15">
      <c r="B76" s="148" t="s">
        <v>212</v>
      </c>
      <c r="C76" s="149" t="s">
        <v>213</v>
      </c>
      <c r="D76" s="150">
        <v>1</v>
      </c>
      <c r="E76" s="151">
        <v>0.625</v>
      </c>
      <c r="F76" s="151">
        <v>0.70833333333332704</v>
      </c>
      <c r="G76" s="218" t="s">
        <v>65</v>
      </c>
      <c r="H76" s="215" t="s">
        <v>66</v>
      </c>
      <c r="I76" s="150">
        <f>INDEX(Aulas_capacidad,MATCH(base_de_datos[[#This Row],[Aula]],Aulas,0),2)</f>
        <v>0</v>
      </c>
      <c r="J76" s="152">
        <v>8</v>
      </c>
      <c r="K76" s="150">
        <f>INDEX(Aulas_capacidad,MATCH(base_de_datos[[#This Row],[Aula]],Aulas,0),4)</f>
        <v>0</v>
      </c>
      <c r="L76" s="153">
        <f>base_de_datos[[#This Row],[Cap 1.5]]-base_de_datos[[#This Row],[Inscritos]]</f>
        <v>-8</v>
      </c>
      <c r="M76" s="153">
        <f>INDEX(Aulas_capacidad,MATCH(base_de_datos[[#This Row],[Aula]],Aulas,0),5)</f>
        <v>0</v>
      </c>
      <c r="N76" s="153">
        <f>base_de_datos[[#This Row],[Cap .90]]-base_de_datos[[#This Row],[Inscritos]]</f>
        <v>-8</v>
      </c>
      <c r="O76" s="150">
        <v>1499</v>
      </c>
      <c r="P76" s="154"/>
      <c r="Q76" s="154" t="s">
        <v>67</v>
      </c>
      <c r="R76" s="154"/>
      <c r="S76" s="154"/>
      <c r="T76" s="154"/>
      <c r="U76" s="154"/>
      <c r="V76" s="154"/>
      <c r="W76" s="154" t="s">
        <v>1651</v>
      </c>
      <c r="X76" s="155">
        <f>_xlfn.XLOOKUP(base_de_datos[[#This Row],[Materia]],Materias,Horas)/16</f>
        <v>2</v>
      </c>
      <c r="Y76" s="155">
        <f>ROUND(((base_de_datos[[#This Row],[Hora fin]]-base_de_datos[[#This Row],[Hora inicio]])*24)*(COUNTA(base_de_datos[[#This Row],[Lunes]:[Sábado]])),1)</f>
        <v>2</v>
      </c>
      <c r="Z76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76" s="155">
        <f ca="1">IF(base_de_datos[[#This Row],[No clase]]=OFFSET(base_de_datos[[#This Row],[No clase]],-1,0),0,1)</f>
        <v>1</v>
      </c>
      <c r="AB76" s="155">
        <f ca="1">IF(NOT(OR(base_de_datos[[#This Row],[Horas totales]]=base_de_datos[[#This Row],[HT Plan]],base_de_datos[[#This Row],[Horas totales]]="N/A")),1,0)</f>
        <v>0</v>
      </c>
      <c r="AC76" s="155" t="str">
        <f>_xlfn.XLOOKUP(base_de_datos[[#This Row],[Profesor]],Nombre,Grado)</f>
        <v>M</v>
      </c>
      <c r="AD76" s="156" t="str">
        <f>_xlfn.XLOOKUP(base_de_datos[[#This Row],[Profesor]],Nombre,Tipo)</f>
        <v>TC</v>
      </c>
      <c r="AE76" s="155">
        <f>IF(IFERROR(VLOOKUP($C76,Planes_de_estudio[],MATCH($AE$2,Carreras,0)+2,0),"")&gt;0,IFERROR(VLOOKUP($C76,Planes_de_estudio[],MATCH($AE$2,Carreras,0)+2,0),""),"")</f>
        <v>7</v>
      </c>
      <c r="AF76" s="155" t="str">
        <f>IF(IFERROR(VLOOKUP($C76,Planes_de_estudio[],MATCH($AF$2,Carreras,0)+2,0),"")&gt;0,IFERROR(VLOOKUP($C76,Planes_de_estudio[],MATCH($AF$2,Carreras,0)+2,0),""),"")</f>
        <v/>
      </c>
      <c r="AG76" s="155" t="str">
        <f>IF(IFERROR(VLOOKUP($C76,Planes_de_estudio[],MATCH($AG$2,Carreras,0)+2,0),"")&gt;0,IFERROR(VLOOKUP($C76,Planes_de_estudio[],MATCH($AG$2,Carreras,0)+2,0),""),"")</f>
        <v/>
      </c>
      <c r="AH76" s="155" t="str">
        <f>IF(IFERROR(VLOOKUP($C76,Planes_de_estudio[],MATCH($AH$2,Carreras,0)+2,0),"")&gt;0,IFERROR(VLOOKUP($C76,Planes_de_estudio[],MATCH($AH$2,Carreras,0)+2,0),""),"")</f>
        <v/>
      </c>
      <c r="AI76" s="155" t="str">
        <f>IF(IFERROR(VLOOKUP($C76,Planes_de_estudio[],MATCH($AI$2,Carreras,0)+2,0),"")&gt;0,IFERROR(VLOOKUP($C76,Planes_de_estudio[],MATCH($AI$2,Carreras,0)+2,0),""),"")</f>
        <v/>
      </c>
      <c r="AJ76" s="155" t="str">
        <f>IF(IFERROR(VLOOKUP($C76,Planes_de_estudio[],MATCH($AJ$2,Carreras,0)+2,0),"")&gt;0,IFERROR(VLOOKUP($C76,Planes_de_estudio[],MATCH($AJ$2,Carreras,0)+2,0),""),"")</f>
        <v/>
      </c>
      <c r="AK76" s="155" t="str">
        <f>IF(IFERROR(VLOOKUP($C76,Planes_de_estudio[],MATCH($AK$2,Carreras,0)+2,0),"")&gt;0,IFERROR(VLOOKUP($C76,Planes_de_estudio[],MATCH($AK$2,Carreras,0)+2,0),""),"")</f>
        <v/>
      </c>
      <c r="AL7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76" s="155">
        <f>base_de_datos[[#This Row],[Pronóstico]]/25</f>
        <v>0.96</v>
      </c>
      <c r="AO76" s="155" t="str">
        <f>VLOOKUP($C76,Planes_de_estudio[],2)</f>
        <v>DOP</v>
      </c>
      <c r="AP76" s="157">
        <f ca="1">IF(AND(base_de_datos[[#This Row],[Industrial]]&lt;&gt;"",base_de_datos[[#This Row],[Misma o no]]=1),base_de_datos[[#This Row],[Índice]],"")</f>
        <v>4</v>
      </c>
      <c r="AQ76" s="157" t="str">
        <f ca="1">IF(AND(base_de_datos[[#This Row],[Mecatrónica]]&lt;&gt;"",base_de_datos[[#This Row],[Misma o no]]=1),base_de_datos[[#This Row],[Índice]],"")</f>
        <v/>
      </c>
      <c r="AR76" s="157" t="str">
        <f ca="1">IF(AND(base_de_datos[[#This Row],[Innovación y Diseño]]&lt;&gt;"",base_de_datos[[#This Row],[Misma o no]]=1),base_de_datos[[#This Row],[Índice]],"")</f>
        <v/>
      </c>
      <c r="AS76" s="157" t="str">
        <f ca="1">IF(AND(base_de_datos[[#This Row],[Inteligencia Artificial]]&lt;&gt;"",base_de_datos[[#This Row],[Misma o no]]=1),base_de_datos[[#This Row],[Índice]],"")</f>
        <v/>
      </c>
      <c r="AT76" s="157" t="str">
        <f ca="1">IF(AND(base_de_datos[[#This Row],[Tecnologías Energéticas]]&lt;&gt;"",base_de_datos[[#This Row],[Misma o no]]=1),base_de_datos[[#This Row],[Índice]],"")</f>
        <v/>
      </c>
      <c r="AU76" s="157" t="str">
        <f ca="1">IF(AND(base_de_datos[[#This Row],[Civil y Administración]]&lt;&gt;"",base_de_datos[[#This Row],[Misma o no]]=1),base_de_datos[[#This Row],[Índice]],"")</f>
        <v/>
      </c>
      <c r="AV76" s="157" t="str">
        <f ca="1">IF(AND(base_de_datos[[#This Row],[Bioelectrónica]]&lt;&gt;"",base_de_datos[[#This Row],[Misma o no]]=1),base_de_datos[[#This Row],[Índice]],"")</f>
        <v/>
      </c>
      <c r="AW76" s="161" t="s">
        <v>214</v>
      </c>
      <c r="AX76" s="231">
        <v>2</v>
      </c>
    </row>
    <row r="77" spans="2:50" s="6" customFormat="1" ht="15">
      <c r="B77" s="148" t="s">
        <v>212</v>
      </c>
      <c r="C77" s="149" t="s">
        <v>215</v>
      </c>
      <c r="D77" s="150">
        <v>1</v>
      </c>
      <c r="E77" s="151">
        <v>0.54166666666666696</v>
      </c>
      <c r="F77" s="151">
        <v>0.624999999999995</v>
      </c>
      <c r="G77" s="218" t="s">
        <v>65</v>
      </c>
      <c r="H77" s="215" t="s">
        <v>66</v>
      </c>
      <c r="I77" s="150">
        <f>INDEX(Aulas_capacidad,MATCH(base_de_datos[[#This Row],[Aula]],Aulas,0),2)</f>
        <v>0</v>
      </c>
      <c r="J77" s="152">
        <v>2</v>
      </c>
      <c r="K77" s="150">
        <f>INDEX(Aulas_capacidad,MATCH(base_de_datos[[#This Row],[Aula]],Aulas,0),4)</f>
        <v>0</v>
      </c>
      <c r="L77" s="153">
        <f>base_de_datos[[#This Row],[Cap 1.5]]-base_de_datos[[#This Row],[Inscritos]]</f>
        <v>-2</v>
      </c>
      <c r="M77" s="153">
        <f>INDEX(Aulas_capacidad,MATCH(base_de_datos[[#This Row],[Aula]],Aulas,0),5)</f>
        <v>0</v>
      </c>
      <c r="N77" s="153">
        <f>base_de_datos[[#This Row],[Cap .90]]-base_de_datos[[#This Row],[Inscritos]]</f>
        <v>-2</v>
      </c>
      <c r="O77" s="150" t="s">
        <v>216</v>
      </c>
      <c r="P77" s="154"/>
      <c r="Q77" s="154" t="s">
        <v>67</v>
      </c>
      <c r="R77" s="154"/>
      <c r="S77" s="154" t="s">
        <v>67</v>
      </c>
      <c r="T77" s="154"/>
      <c r="U77" s="154"/>
      <c r="V77" s="154"/>
      <c r="W77" s="154" t="s">
        <v>1659</v>
      </c>
      <c r="X77" s="155">
        <f>_xlfn.XLOOKUP(base_de_datos[[#This Row],[Materia]],Materias,Horas)/16</f>
        <v>4</v>
      </c>
      <c r="Y77" s="155">
        <f>ROUND(((base_de_datos[[#This Row],[Hora fin]]-base_de_datos[[#This Row],[Hora inicio]])*24)*(COUNTA(base_de_datos[[#This Row],[Lunes]:[Sábado]])),1)</f>
        <v>4</v>
      </c>
      <c r="Z7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7" s="155">
        <f ca="1">IF(base_de_datos[[#This Row],[No clase]]=OFFSET(base_de_datos[[#This Row],[No clase]],-1,0),0,1)</f>
        <v>1</v>
      </c>
      <c r="AB77" s="155">
        <f ca="1">IF(NOT(OR(base_de_datos[[#This Row],[Horas totales]]=base_de_datos[[#This Row],[HT Plan]],base_de_datos[[#This Row],[Horas totales]]="N/A")),1,0)</f>
        <v>0</v>
      </c>
      <c r="AC77" s="155" t="str">
        <f>_xlfn.XLOOKUP(base_de_datos[[#This Row],[Profesor]],Nombre,Grado)</f>
        <v>M</v>
      </c>
      <c r="AD77" s="156" t="str">
        <f>_xlfn.XLOOKUP(base_de_datos[[#This Row],[Profesor]],Nombre,Tipo)</f>
        <v>TC</v>
      </c>
      <c r="AE77" s="155" t="str">
        <f>IF(IFERROR(VLOOKUP($C77,Planes_de_estudio[],MATCH($AE$2,Carreras,0)+2,0),"")&gt;0,IFERROR(VLOOKUP($C77,Planes_de_estudio[],MATCH($AE$2,Carreras,0)+2,0),""),"")</f>
        <v/>
      </c>
      <c r="AF77" s="155" t="str">
        <f>IF(IFERROR(VLOOKUP($C77,Planes_de_estudio[],MATCH($AF$2,Carreras,0)+2,0),"")&gt;0,IFERROR(VLOOKUP($C77,Planes_de_estudio[],MATCH($AF$2,Carreras,0)+2,0),""),"")</f>
        <v/>
      </c>
      <c r="AG77" s="155" t="str">
        <f>IF(IFERROR(VLOOKUP($C77,Planes_de_estudio[],MATCH($AG$2,Carreras,0)+2,0),"")&gt;0,IFERROR(VLOOKUP($C77,Planes_de_estudio[],MATCH($AG$2,Carreras,0)+2,0),""),"")</f>
        <v/>
      </c>
      <c r="AH77" s="155" t="str">
        <f>IF(IFERROR(VLOOKUP($C77,Planes_de_estudio[],MATCH($AH$2,Carreras,0)+2,0),"")&gt;0,IFERROR(VLOOKUP($C77,Planes_de_estudio[],MATCH($AH$2,Carreras,0)+2,0),""),"")</f>
        <v/>
      </c>
      <c r="AI77" s="155">
        <f>IF(IFERROR(VLOOKUP($C77,Planes_de_estudio[],MATCH($AI$2,Carreras,0)+2,0),"")&gt;0,IFERROR(VLOOKUP($C77,Planes_de_estudio[],MATCH($AI$2,Carreras,0)+2,0),""),"")</f>
        <v>7</v>
      </c>
      <c r="AJ77" s="155" t="str">
        <f>IF(IFERROR(VLOOKUP($C77,Planes_de_estudio[],MATCH($AJ$2,Carreras,0)+2,0),"")&gt;0,IFERROR(VLOOKUP($C77,Planes_de_estudio[],MATCH($AJ$2,Carreras,0)+2,0),""),"")</f>
        <v/>
      </c>
      <c r="AK77" s="155" t="str">
        <f>IF(IFERROR(VLOOKUP($C77,Planes_de_estudio[],MATCH($AK$2,Carreras,0)+2,0),"")&gt;0,IFERROR(VLOOKUP($C77,Planes_de_estudio[],MATCH($AK$2,Carreras,0)+2,0),""),"")</f>
        <v/>
      </c>
      <c r="AL7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</v>
      </c>
      <c r="AN77" s="155">
        <f>base_de_datos[[#This Row],[Pronóstico]]/25</f>
        <v>0.08</v>
      </c>
      <c r="AO77" s="155" t="str">
        <f>VLOOKUP($C77,Planes_de_estudio[],2)</f>
        <v>EMP</v>
      </c>
      <c r="AP77" s="157" t="str">
        <f ca="1">IF(AND(base_de_datos[[#This Row],[Industrial]]&lt;&gt;"",base_de_datos[[#This Row],[Misma o no]]=1),base_de_datos[[#This Row],[Índice]],"")</f>
        <v/>
      </c>
      <c r="AQ77" s="157" t="str">
        <f ca="1">IF(AND(base_de_datos[[#This Row],[Mecatrónica]]&lt;&gt;"",base_de_datos[[#This Row],[Misma o no]]=1),base_de_datos[[#This Row],[Índice]],"")</f>
        <v/>
      </c>
      <c r="AR77" s="157" t="str">
        <f ca="1">IF(AND(base_de_datos[[#This Row],[Innovación y Diseño]]&lt;&gt;"",base_de_datos[[#This Row],[Misma o no]]=1),base_de_datos[[#This Row],[Índice]],"")</f>
        <v/>
      </c>
      <c r="AS77" s="157" t="str">
        <f ca="1">IF(AND(base_de_datos[[#This Row],[Inteligencia Artificial]]&lt;&gt;"",base_de_datos[[#This Row],[Misma o no]]=1),base_de_datos[[#This Row],[Índice]],"")</f>
        <v/>
      </c>
      <c r="AT77" s="157">
        <f ca="1">IF(AND(base_de_datos[[#This Row],[Tecnologías Energéticas]]&lt;&gt;"",base_de_datos[[#This Row],[Misma o no]]=1),base_de_datos[[#This Row],[Índice]],"")</f>
        <v>4</v>
      </c>
      <c r="AU77" s="157" t="str">
        <f ca="1">IF(AND(base_de_datos[[#This Row],[Civil y Administración]]&lt;&gt;"",base_de_datos[[#This Row],[Misma o no]]=1),base_de_datos[[#This Row],[Índice]],"")</f>
        <v/>
      </c>
      <c r="AV77" s="157" t="str">
        <f ca="1">IF(AND(base_de_datos[[#This Row],[Bioelectrónica]]&lt;&gt;"",base_de_datos[[#This Row],[Misma o no]]=1),base_de_datos[[#This Row],[Índice]],"")</f>
        <v/>
      </c>
      <c r="AW77" s="161" t="s">
        <v>217</v>
      </c>
      <c r="AX77" s="231">
        <v>1</v>
      </c>
    </row>
    <row r="78" spans="2:50" s="6" customFormat="1" ht="30">
      <c r="B78" s="148" t="s">
        <v>212</v>
      </c>
      <c r="C78" s="149" t="s">
        <v>82</v>
      </c>
      <c r="D78" s="150">
        <v>1</v>
      </c>
      <c r="E78" s="151">
        <v>0.70833333333333304</v>
      </c>
      <c r="F78" s="151">
        <v>0.83333333333332504</v>
      </c>
      <c r="G78" s="218" t="s">
        <v>65</v>
      </c>
      <c r="H78" s="215" t="s">
        <v>66</v>
      </c>
      <c r="I78" s="150">
        <f>INDEX(Aulas_capacidad,MATCH(base_de_datos[[#This Row],[Aula]],Aulas,0),2)</f>
        <v>0</v>
      </c>
      <c r="J78" s="212">
        <v>28</v>
      </c>
      <c r="K78" s="150">
        <f>INDEX(Aulas_capacidad,MATCH(base_de_datos[[#This Row],[Aula]],Aulas,0),4)</f>
        <v>0</v>
      </c>
      <c r="L78" s="153">
        <f>base_de_datos[[#This Row],[Cap 1.5]]-base_de_datos[[#This Row],[Inscritos]]</f>
        <v>-28</v>
      </c>
      <c r="M78" s="153">
        <f>INDEX(Aulas_capacidad,MATCH(base_de_datos[[#This Row],[Aula]],Aulas,0),5)</f>
        <v>0</v>
      </c>
      <c r="N78" s="153">
        <f>base_de_datos[[#This Row],[Cap .90]]-base_de_datos[[#This Row],[Inscritos]]</f>
        <v>-28</v>
      </c>
      <c r="O78" s="150" t="s">
        <v>1647</v>
      </c>
      <c r="P78" s="154"/>
      <c r="Q78" s="154"/>
      <c r="R78" s="154" t="s">
        <v>67</v>
      </c>
      <c r="S78" s="154"/>
      <c r="T78" s="154"/>
      <c r="U78" s="154"/>
      <c r="V78" s="154"/>
      <c r="W78" s="154" t="s">
        <v>1654</v>
      </c>
      <c r="X78" s="155">
        <f>_xlfn.XLOOKUP(base_de_datos[[#This Row],[Materia]],Materias,Horas)/16</f>
        <v>3</v>
      </c>
      <c r="Y78" s="155">
        <f>ROUND(((base_de_datos[[#This Row],[Hora fin]]-base_de_datos[[#This Row],[Hora inicio]])*24)*(COUNTA(base_de_datos[[#This Row],[Lunes]:[Sábado]])),1)</f>
        <v>3</v>
      </c>
      <c r="Z7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8" s="155">
        <f ca="1">IF(base_de_datos[[#This Row],[No clase]]=OFFSET(base_de_datos[[#This Row],[No clase]],-1,0),0,1)</f>
        <v>1</v>
      </c>
      <c r="AB78" s="155">
        <f ca="1">IF(NOT(OR(base_de_datos[[#This Row],[Horas totales]]=base_de_datos[[#This Row],[HT Plan]],base_de_datos[[#This Row],[Horas totales]]="N/A")),1,0)</f>
        <v>0</v>
      </c>
      <c r="AC78" s="155" t="str">
        <f>_xlfn.XLOOKUP(base_de_datos[[#This Row],[Profesor]],Nombre,Grado)</f>
        <v>M</v>
      </c>
      <c r="AD78" s="156" t="str">
        <f>_xlfn.XLOOKUP(base_de_datos[[#This Row],[Profesor]],Nombre,Tipo)</f>
        <v>TC</v>
      </c>
      <c r="AE78" s="155">
        <f>IF(IFERROR(VLOOKUP($C78,Planes_de_estudio[],MATCH($AE$2,Carreras,0)+2,0),"")&gt;0,IFERROR(VLOOKUP($C78,Planes_de_estudio[],MATCH($AE$2,Carreras,0)+2,0),""),"")</f>
        <v>6</v>
      </c>
      <c r="AF78" s="155">
        <f>IF(IFERROR(VLOOKUP($C78,Planes_de_estudio[],MATCH($AF$2,Carreras,0)+2,0),"")&gt;0,IFERROR(VLOOKUP($C78,Planes_de_estudio[],MATCH($AF$2,Carreras,0)+2,0),""),"")</f>
        <v>7</v>
      </c>
      <c r="AG78" s="155">
        <f>IF(IFERROR(VLOOKUP($C78,Planes_de_estudio[],MATCH($AG$2,Carreras,0)+2,0),"")&gt;0,IFERROR(VLOOKUP($C78,Planes_de_estudio[],MATCH($AG$2,Carreras,0)+2,0),""),"")</f>
        <v>7</v>
      </c>
      <c r="AH78" s="155">
        <f>IF(IFERROR(VLOOKUP($C78,Planes_de_estudio[],MATCH($AH$2,Carreras,0)+2,0),"")&gt;0,IFERROR(VLOOKUP($C78,Planes_de_estudio[],MATCH($AH$2,Carreras,0)+2,0),""),"")</f>
        <v>7</v>
      </c>
      <c r="AI78" s="155" t="str">
        <f>IF(IFERROR(VLOOKUP($C78,Planes_de_estudio[],MATCH($AI$2,Carreras,0)+2,0),"")&gt;0,IFERROR(VLOOKUP($C78,Planes_de_estudio[],MATCH($AI$2,Carreras,0)+2,0),""),"")</f>
        <v/>
      </c>
      <c r="AJ78" s="155">
        <f>IF(IFERROR(VLOOKUP($C78,Planes_de_estudio[],MATCH($AJ$2,Carreras,0)+2,0),"")&gt;0,IFERROR(VLOOKUP($C78,Planes_de_estudio[],MATCH($AJ$2,Carreras,0)+2,0),""),"")</f>
        <v>9</v>
      </c>
      <c r="AK78" s="155">
        <f>IF(IFERROR(VLOOKUP($C78,Planes_de_estudio[],MATCH($AK$2,Carreras,0)+2,0),"")&gt;0,IFERROR(VLOOKUP($C78,Planes_de_estudio[],MATCH($AK$2,Carreras,0)+2,0),""),"")</f>
        <v>5</v>
      </c>
      <c r="AL7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76</v>
      </c>
      <c r="AN78" s="155">
        <f>base_de_datos[[#This Row],[Pronóstico]]/25</f>
        <v>3.04</v>
      </c>
      <c r="AO78" s="155" t="str">
        <f>VLOOKUP($C78,Planes_de_estudio[],2)</f>
        <v>EMP</v>
      </c>
      <c r="AP78" s="157">
        <f ca="1">IF(AND(base_de_datos[[#This Row],[Industrial]]&lt;&gt;"",base_de_datos[[#This Row],[Misma o no]]=1),base_de_datos[[#This Row],[Índice]],"")</f>
        <v>4</v>
      </c>
      <c r="AQ78" s="157">
        <f ca="1">IF(AND(base_de_datos[[#This Row],[Mecatrónica]]&lt;&gt;"",base_de_datos[[#This Row],[Misma o no]]=1),base_de_datos[[#This Row],[Índice]],"")</f>
        <v>4</v>
      </c>
      <c r="AR78" s="157">
        <f ca="1">IF(AND(base_de_datos[[#This Row],[Innovación y Diseño]]&lt;&gt;"",base_de_datos[[#This Row],[Misma o no]]=1),base_de_datos[[#This Row],[Índice]],"")</f>
        <v>4</v>
      </c>
      <c r="AS78" s="157">
        <f ca="1">IF(AND(base_de_datos[[#This Row],[Inteligencia Artificial]]&lt;&gt;"",base_de_datos[[#This Row],[Misma o no]]=1),base_de_datos[[#This Row],[Índice]],"")</f>
        <v>4</v>
      </c>
      <c r="AT78" s="157" t="str">
        <f ca="1">IF(AND(base_de_datos[[#This Row],[Tecnologías Energéticas]]&lt;&gt;"",base_de_datos[[#This Row],[Misma o no]]=1),base_de_datos[[#This Row],[Índice]],"")</f>
        <v/>
      </c>
      <c r="AU78" s="157">
        <f ca="1">IF(AND(base_de_datos[[#This Row],[Civil y Administración]]&lt;&gt;"",base_de_datos[[#This Row],[Misma o no]]=1),base_de_datos[[#This Row],[Índice]],"")</f>
        <v>4</v>
      </c>
      <c r="AV78" s="157">
        <f ca="1">IF(AND(base_de_datos[[#This Row],[Bioelectrónica]]&lt;&gt;"",base_de_datos[[#This Row],[Misma o no]]=1),base_de_datos[[#This Row],[Índice]],"")</f>
        <v>4</v>
      </c>
      <c r="AW78" s="161" t="s">
        <v>218</v>
      </c>
      <c r="AX78" s="231" t="s">
        <v>1627</v>
      </c>
    </row>
    <row r="79" spans="2:50" s="6" customFormat="1" ht="30">
      <c r="B79" s="148" t="s">
        <v>212</v>
      </c>
      <c r="C79" s="149" t="s">
        <v>82</v>
      </c>
      <c r="D79" s="150">
        <v>2</v>
      </c>
      <c r="E79" s="151">
        <v>0.625</v>
      </c>
      <c r="F79" s="151">
        <v>0.74999999999999301</v>
      </c>
      <c r="G79" s="218" t="s">
        <v>65</v>
      </c>
      <c r="H79" s="150" t="s">
        <v>112</v>
      </c>
      <c r="I79" s="150">
        <f>INDEX(Aulas_capacidad,MATCH(base_de_datos[[#This Row],[Aula]],Aulas,0),2)</f>
        <v>30</v>
      </c>
      <c r="J79" s="152">
        <v>10</v>
      </c>
      <c r="K79" s="150">
        <f>INDEX(Aulas_capacidad,MATCH(base_de_datos[[#This Row],[Aula]],Aulas,0),4)</f>
        <v>0</v>
      </c>
      <c r="L79" s="153">
        <f>base_de_datos[[#This Row],[Cap 1.5]]-base_de_datos[[#This Row],[Inscritos]]</f>
        <v>-10</v>
      </c>
      <c r="M79" s="153">
        <f>INDEX(Aulas_capacidad,MATCH(base_de_datos[[#This Row],[Aula]],Aulas,0),5)</f>
        <v>0</v>
      </c>
      <c r="N79" s="153">
        <f>base_de_datos[[#This Row],[Cap .90]]-base_de_datos[[#This Row],[Inscritos]]</f>
        <v>-10</v>
      </c>
      <c r="O79" s="150">
        <v>1571</v>
      </c>
      <c r="P79" s="154"/>
      <c r="Q79" s="154"/>
      <c r="R79" s="154"/>
      <c r="S79" s="154" t="s">
        <v>67</v>
      </c>
      <c r="T79" s="154"/>
      <c r="U79" s="154"/>
      <c r="V79" s="154"/>
      <c r="W79" s="154" t="s">
        <v>1654</v>
      </c>
      <c r="X79" s="155">
        <f>_xlfn.XLOOKUP(base_de_datos[[#This Row],[Materia]],Materias,Horas)/16</f>
        <v>3</v>
      </c>
      <c r="Y79" s="155">
        <f>ROUND(((base_de_datos[[#This Row],[Hora fin]]-base_de_datos[[#This Row],[Hora inicio]])*24)*(COUNTA(base_de_datos[[#This Row],[Lunes]:[Sábado]])),1)</f>
        <v>3</v>
      </c>
      <c r="Z7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9" s="155">
        <f ca="1">IF(base_de_datos[[#This Row],[No clase]]=OFFSET(base_de_datos[[#This Row],[No clase]],-1,0),0,1)</f>
        <v>1</v>
      </c>
      <c r="AB79" s="155">
        <f ca="1">IF(NOT(OR(base_de_datos[[#This Row],[Horas totales]]=base_de_datos[[#This Row],[HT Plan]],base_de_datos[[#This Row],[Horas totales]]="N/A")),1,0)</f>
        <v>0</v>
      </c>
      <c r="AC79" s="155" t="str">
        <f>_xlfn.XLOOKUP(base_de_datos[[#This Row],[Profesor]],Nombre,Grado)</f>
        <v>M</v>
      </c>
      <c r="AD79" s="156" t="str">
        <f>_xlfn.XLOOKUP(base_de_datos[[#This Row],[Profesor]],Nombre,Tipo)</f>
        <v>TC</v>
      </c>
      <c r="AE79" s="155">
        <f>IF(IFERROR(VLOOKUP($C79,Planes_de_estudio[],MATCH($AE$2,Carreras,0)+2,0),"")&gt;0,IFERROR(VLOOKUP($C79,Planes_de_estudio[],MATCH($AE$2,Carreras,0)+2,0),""),"")</f>
        <v>6</v>
      </c>
      <c r="AF79" s="155">
        <f>IF(IFERROR(VLOOKUP($C79,Planes_de_estudio[],MATCH($AF$2,Carreras,0)+2,0),"")&gt;0,IFERROR(VLOOKUP($C79,Planes_de_estudio[],MATCH($AF$2,Carreras,0)+2,0),""),"")</f>
        <v>7</v>
      </c>
      <c r="AG79" s="155">
        <f>IF(IFERROR(VLOOKUP($C79,Planes_de_estudio[],MATCH($AG$2,Carreras,0)+2,0),"")&gt;0,IFERROR(VLOOKUP($C79,Planes_de_estudio[],MATCH($AG$2,Carreras,0)+2,0),""),"")</f>
        <v>7</v>
      </c>
      <c r="AH79" s="155">
        <f>IF(IFERROR(VLOOKUP($C79,Planes_de_estudio[],MATCH($AH$2,Carreras,0)+2,0),"")&gt;0,IFERROR(VLOOKUP($C79,Planes_de_estudio[],MATCH($AH$2,Carreras,0)+2,0),""),"")</f>
        <v>7</v>
      </c>
      <c r="AI79" s="155" t="str">
        <f>IF(IFERROR(VLOOKUP($C79,Planes_de_estudio[],MATCH($AI$2,Carreras,0)+2,0),"")&gt;0,IFERROR(VLOOKUP($C79,Planes_de_estudio[],MATCH($AI$2,Carreras,0)+2,0),""),"")</f>
        <v/>
      </c>
      <c r="AJ79" s="155">
        <f>IF(IFERROR(VLOOKUP($C79,Planes_de_estudio[],MATCH($AJ$2,Carreras,0)+2,0),"")&gt;0,IFERROR(VLOOKUP($C79,Planes_de_estudio[],MATCH($AJ$2,Carreras,0)+2,0),""),"")</f>
        <v>9</v>
      </c>
      <c r="AK79" s="155">
        <f>IF(IFERROR(VLOOKUP($C79,Planes_de_estudio[],MATCH($AK$2,Carreras,0)+2,0),"")&gt;0,IFERROR(VLOOKUP($C79,Planes_de_estudio[],MATCH($AK$2,Carreras,0)+2,0),""),"")</f>
        <v>5</v>
      </c>
      <c r="AL7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76</v>
      </c>
      <c r="AN79" s="155">
        <f>base_de_datos[[#This Row],[Pronóstico]]/25</f>
        <v>3.04</v>
      </c>
      <c r="AO79" s="155" t="str">
        <f>VLOOKUP($C79,Planes_de_estudio[],2)</f>
        <v>EMP</v>
      </c>
      <c r="AP79" s="157">
        <f ca="1">IF(AND(base_de_datos[[#This Row],[Industrial]]&lt;&gt;"",base_de_datos[[#This Row],[Misma o no]]=1),base_de_datos[[#This Row],[Índice]],"")</f>
        <v>4</v>
      </c>
      <c r="AQ79" s="157">
        <f ca="1">IF(AND(base_de_datos[[#This Row],[Mecatrónica]]&lt;&gt;"",base_de_datos[[#This Row],[Misma o no]]=1),base_de_datos[[#This Row],[Índice]],"")</f>
        <v>4</v>
      </c>
      <c r="AR79" s="157">
        <f ca="1">IF(AND(base_de_datos[[#This Row],[Innovación y Diseño]]&lt;&gt;"",base_de_datos[[#This Row],[Misma o no]]=1),base_de_datos[[#This Row],[Índice]],"")</f>
        <v>4</v>
      </c>
      <c r="AS79" s="157">
        <f ca="1">IF(AND(base_de_datos[[#This Row],[Inteligencia Artificial]]&lt;&gt;"",base_de_datos[[#This Row],[Misma o no]]=1),base_de_datos[[#This Row],[Índice]],"")</f>
        <v>4</v>
      </c>
      <c r="AT79" s="157" t="str">
        <f ca="1">IF(AND(base_de_datos[[#This Row],[Tecnologías Energéticas]]&lt;&gt;"",base_de_datos[[#This Row],[Misma o no]]=1),base_de_datos[[#This Row],[Índice]],"")</f>
        <v/>
      </c>
      <c r="AU79" s="157">
        <f ca="1">IF(AND(base_de_datos[[#This Row],[Civil y Administración]]&lt;&gt;"",base_de_datos[[#This Row],[Misma o no]]=1),base_de_datos[[#This Row],[Índice]],"")</f>
        <v>4</v>
      </c>
      <c r="AV79" s="157">
        <f ca="1">IF(AND(base_de_datos[[#This Row],[Bioelectrónica]]&lt;&gt;"",base_de_datos[[#This Row],[Misma o no]]=1),base_de_datos[[#This Row],[Índice]],"")</f>
        <v>4</v>
      </c>
      <c r="AW79" s="158"/>
      <c r="AX79" s="231">
        <v>2</v>
      </c>
    </row>
    <row r="80" spans="2:50" s="160" customFormat="1" ht="15">
      <c r="B80" s="148" t="s">
        <v>219</v>
      </c>
      <c r="C80" s="149" t="s">
        <v>220</v>
      </c>
      <c r="D80" s="150">
        <v>1</v>
      </c>
      <c r="E80" s="151">
        <v>0.5625</v>
      </c>
      <c r="F80" s="151">
        <v>0.624999999999995</v>
      </c>
      <c r="G80" s="218" t="s">
        <v>65</v>
      </c>
      <c r="H80" s="150" t="s">
        <v>145</v>
      </c>
      <c r="I80" s="150">
        <f>INDEX(Aulas_capacidad,MATCH(base_de_datos[[#This Row],[Aula]],Aulas,0),2)</f>
        <v>0</v>
      </c>
      <c r="J80" s="152">
        <v>15</v>
      </c>
      <c r="K80" s="150">
        <f>INDEX(Aulas_capacidad,MATCH(base_de_datos[[#This Row],[Aula]],Aulas,0),4)</f>
        <v>0</v>
      </c>
      <c r="L80" s="153">
        <f>base_de_datos[[#This Row],[Cap 1.5]]-base_de_datos[[#This Row],[Inscritos]]</f>
        <v>-15</v>
      </c>
      <c r="M80" s="153">
        <f>INDEX(Aulas_capacidad,MATCH(base_de_datos[[#This Row],[Aula]],Aulas,0),5)</f>
        <v>0</v>
      </c>
      <c r="N80" s="153">
        <f>base_de_datos[[#This Row],[Cap .90]]-base_de_datos[[#This Row],[Inscritos]]</f>
        <v>-15</v>
      </c>
      <c r="O80" s="150">
        <v>1633</v>
      </c>
      <c r="P80" s="154"/>
      <c r="Q80" s="154" t="s">
        <v>67</v>
      </c>
      <c r="R80" s="154"/>
      <c r="S80" s="154"/>
      <c r="T80" s="154"/>
      <c r="U80" s="154"/>
      <c r="V80" s="154"/>
      <c r="W80" s="154" t="s">
        <v>1659</v>
      </c>
      <c r="X80" s="155">
        <f>_xlfn.XLOOKUP(base_de_datos[[#This Row],[Materia]],Materias,Horas)/16</f>
        <v>5</v>
      </c>
      <c r="Y80" s="155">
        <f>ROUND(((base_de_datos[[#This Row],[Hora fin]]-base_de_datos[[#This Row],[Hora inicio]])*24)*(COUNTA(base_de_datos[[#This Row],[Lunes]:[Sábado]])),1)</f>
        <v>1.5</v>
      </c>
      <c r="Z80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80" s="155">
        <f ca="1">IF(base_de_datos[[#This Row],[No clase]]=OFFSET(base_de_datos[[#This Row],[No clase]],-1,0),0,1)</f>
        <v>1</v>
      </c>
      <c r="AB80" s="155">
        <f ca="1">IF(NOT(OR(base_de_datos[[#This Row],[Horas totales]]=base_de_datos[[#This Row],[HT Plan]],base_de_datos[[#This Row],[Horas totales]]="N/A")),1,0)</f>
        <v>0</v>
      </c>
      <c r="AC80" s="155" t="str">
        <f>_xlfn.XLOOKUP(base_de_datos[[#This Row],[Profesor]],Nombre,Grado)</f>
        <v>D</v>
      </c>
      <c r="AD80" s="156" t="str">
        <f>_xlfn.XLOOKUP(base_de_datos[[#This Row],[Profesor]],Nombre,Tipo)</f>
        <v>TC</v>
      </c>
      <c r="AE80" s="155" t="str">
        <f>IF(IFERROR(VLOOKUP($C80,Planes_de_estudio[],MATCH($AE$2,Carreras,0)+2,0),"")&gt;0,IFERROR(VLOOKUP($C80,Planes_de_estudio[],MATCH($AE$2,Carreras,0)+2,0),""),"")</f>
        <v/>
      </c>
      <c r="AF80" s="155" t="str">
        <f>IF(IFERROR(VLOOKUP($C80,Planes_de_estudio[],MATCH($AF$2,Carreras,0)+2,0),"")&gt;0,IFERROR(VLOOKUP($C80,Planes_de_estudio[],MATCH($AF$2,Carreras,0)+2,0),""),"")</f>
        <v/>
      </c>
      <c r="AG80" s="155">
        <f>IF(IFERROR(VLOOKUP($C80,Planes_de_estudio[],MATCH($AG$2,Carreras,0)+2,0),"")&gt;0,IFERROR(VLOOKUP($C80,Planes_de_estudio[],MATCH($AG$2,Carreras,0)+2,0),""),"")</f>
        <v>1</v>
      </c>
      <c r="AH80" s="155" t="str">
        <f>IF(IFERROR(VLOOKUP($C80,Planes_de_estudio[],MATCH($AH$2,Carreras,0)+2,0),"")&gt;0,IFERROR(VLOOKUP($C80,Planes_de_estudio[],MATCH($AH$2,Carreras,0)+2,0),""),"")</f>
        <v/>
      </c>
      <c r="AI80" s="155" t="str">
        <f>IF(IFERROR(VLOOKUP($C80,Planes_de_estudio[],MATCH($AI$2,Carreras,0)+2,0),"")&gt;0,IFERROR(VLOOKUP($C80,Planes_de_estudio[],MATCH($AI$2,Carreras,0)+2,0),""),"")</f>
        <v/>
      </c>
      <c r="AJ80" s="155" t="str">
        <f>IF(IFERROR(VLOOKUP($C80,Planes_de_estudio[],MATCH($AJ$2,Carreras,0)+2,0),"")&gt;0,IFERROR(VLOOKUP($C80,Planes_de_estudio[],MATCH($AJ$2,Carreras,0)+2,0),""),"")</f>
        <v/>
      </c>
      <c r="AK80" s="155" t="str">
        <f>IF(IFERROR(VLOOKUP($C80,Planes_de_estudio[],MATCH($AK$2,Carreras,0)+2,0),"")&gt;0,IFERROR(VLOOKUP($C80,Planes_de_estudio[],MATCH($AK$2,Carreras,0)+2,0),""),"")</f>
        <v/>
      </c>
      <c r="AL8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80" s="155">
        <f>base_de_datos[[#This Row],[Pronóstico]]/25</f>
        <v>0.6</v>
      </c>
      <c r="AO80" s="155" t="str">
        <f>VLOOKUP($C80,Planes_de_estudio[],2)</f>
        <v>IID</v>
      </c>
      <c r="AP80" s="157" t="str">
        <f ca="1">IF(AND(base_de_datos[[#This Row],[Industrial]]&lt;&gt;"",base_de_datos[[#This Row],[Misma o no]]=1),base_de_datos[[#This Row],[Índice]],"")</f>
        <v/>
      </c>
      <c r="AQ80" s="157" t="str">
        <f ca="1">IF(AND(base_de_datos[[#This Row],[Mecatrónica]]&lt;&gt;"",base_de_datos[[#This Row],[Misma o no]]=1),base_de_datos[[#This Row],[Índice]],"")</f>
        <v/>
      </c>
      <c r="AR80" s="157">
        <f ca="1">IF(AND(base_de_datos[[#This Row],[Innovación y Diseño]]&lt;&gt;"",base_de_datos[[#This Row],[Misma o no]]=1),base_de_datos[[#This Row],[Índice]],"")</f>
        <v>6</v>
      </c>
      <c r="AS80" s="157" t="str">
        <f ca="1">IF(AND(base_de_datos[[#This Row],[Inteligencia Artificial]]&lt;&gt;"",base_de_datos[[#This Row],[Misma o no]]=1),base_de_datos[[#This Row],[Índice]],"")</f>
        <v/>
      </c>
      <c r="AT80" s="157" t="str">
        <f ca="1">IF(AND(base_de_datos[[#This Row],[Tecnologías Energéticas]]&lt;&gt;"",base_de_datos[[#This Row],[Misma o no]]=1),base_de_datos[[#This Row],[Índice]],"")</f>
        <v/>
      </c>
      <c r="AU80" s="157" t="str">
        <f ca="1">IF(AND(base_de_datos[[#This Row],[Civil y Administración]]&lt;&gt;"",base_de_datos[[#This Row],[Misma o no]]=1),base_de_datos[[#This Row],[Índice]],"")</f>
        <v/>
      </c>
      <c r="AV80" s="157" t="str">
        <f ca="1">IF(AND(base_de_datos[[#This Row],[Bioelectrónica]]&lt;&gt;"",base_de_datos[[#This Row],[Misma o no]]=1),base_de_datos[[#This Row],[Índice]],"")</f>
        <v/>
      </c>
      <c r="AW80" s="158"/>
      <c r="AX80" s="231">
        <v>1</v>
      </c>
    </row>
    <row r="81" spans="2:50" s="160" customFormat="1" ht="15">
      <c r="B81" s="148" t="s">
        <v>219</v>
      </c>
      <c r="C81" s="149" t="s">
        <v>221</v>
      </c>
      <c r="D81" s="150">
        <v>1</v>
      </c>
      <c r="E81" s="151">
        <v>0.5</v>
      </c>
      <c r="F81" s="151">
        <v>0.64583333333332804</v>
      </c>
      <c r="G81" s="218" t="s">
        <v>65</v>
      </c>
      <c r="H81" s="150" t="s">
        <v>145</v>
      </c>
      <c r="I81" s="150">
        <f>INDEX(Aulas_capacidad,MATCH(base_de_datos[[#This Row],[Aula]],Aulas,0),2)</f>
        <v>0</v>
      </c>
      <c r="J81" s="152">
        <v>15</v>
      </c>
      <c r="K81" s="150">
        <f>INDEX(Aulas_capacidad,MATCH(base_de_datos[[#This Row],[Aula]],Aulas,0),4)</f>
        <v>0</v>
      </c>
      <c r="L81" s="153">
        <f>base_de_datos[[#This Row],[Cap 1.5]]-base_de_datos[[#This Row],[Inscritos]]</f>
        <v>-15</v>
      </c>
      <c r="M81" s="153">
        <f>INDEX(Aulas_capacidad,MATCH(base_de_datos[[#This Row],[Aula]],Aulas,0),5)</f>
        <v>0</v>
      </c>
      <c r="N81" s="153">
        <f>base_de_datos[[#This Row],[Cap .90]]-base_de_datos[[#This Row],[Inscritos]]</f>
        <v>-15</v>
      </c>
      <c r="O81" s="150">
        <v>1633</v>
      </c>
      <c r="P81" s="154"/>
      <c r="Q81" s="154"/>
      <c r="R81" s="154"/>
      <c r="S81" s="154" t="s">
        <v>67</v>
      </c>
      <c r="T81" s="154"/>
      <c r="U81" s="154"/>
      <c r="V81" s="154"/>
      <c r="W81" s="154" t="s">
        <v>1656</v>
      </c>
      <c r="X81" s="155">
        <f>_xlfn.XLOOKUP(base_de_datos[[#This Row],[Materia]],Materias,Horas)/16</f>
        <v>5</v>
      </c>
      <c r="Y81" s="155">
        <f>ROUND(((base_de_datos[[#This Row],[Hora fin]]-base_de_datos[[#This Row],[Hora inicio]])*24)*(COUNTA(base_de_datos[[#This Row],[Lunes]:[Sábado]])),1)</f>
        <v>3.5</v>
      </c>
      <c r="Z8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1" s="155">
        <f ca="1">IF(base_de_datos[[#This Row],[No clase]]=OFFSET(base_de_datos[[#This Row],[No clase]],-1,0),0,1)</f>
        <v>0</v>
      </c>
      <c r="AB81" s="155">
        <f ca="1">IF(NOT(OR(base_de_datos[[#This Row],[Horas totales]]=base_de_datos[[#This Row],[HT Plan]],base_de_datos[[#This Row],[Horas totales]]="N/A")),1,0)</f>
        <v>0</v>
      </c>
      <c r="AC81" s="155" t="str">
        <f>_xlfn.XLOOKUP(base_de_datos[[#This Row],[Profesor]],Nombre,Grado)</f>
        <v>D</v>
      </c>
      <c r="AD81" s="156" t="str">
        <f>_xlfn.XLOOKUP(base_de_datos[[#This Row],[Profesor]],Nombre,Tipo)</f>
        <v>TC</v>
      </c>
      <c r="AE81" s="155" t="str">
        <f>IF(IFERROR(VLOOKUP($C81,Planes_de_estudio[],MATCH($AE$2,Carreras,0)+2,0),"")&gt;0,IFERROR(VLOOKUP($C81,Planes_de_estudio[],MATCH($AE$2,Carreras,0)+2,0),""),"")</f>
        <v/>
      </c>
      <c r="AF81" s="155" t="str">
        <f>IF(IFERROR(VLOOKUP($C81,Planes_de_estudio[],MATCH($AF$2,Carreras,0)+2,0),"")&gt;0,IFERROR(VLOOKUP($C81,Planes_de_estudio[],MATCH($AF$2,Carreras,0)+2,0),""),"")</f>
        <v/>
      </c>
      <c r="AG81" s="155">
        <f>IF(IFERROR(VLOOKUP($C81,Planes_de_estudio[],MATCH($AG$2,Carreras,0)+2,0),"")&gt;0,IFERROR(VLOOKUP($C81,Planes_de_estudio[],MATCH($AG$2,Carreras,0)+2,0),""),"")</f>
        <v>1</v>
      </c>
      <c r="AH81" s="155" t="str">
        <f>IF(IFERROR(VLOOKUP($C81,Planes_de_estudio[],MATCH($AH$2,Carreras,0)+2,0),"")&gt;0,IFERROR(VLOOKUP($C81,Planes_de_estudio[],MATCH($AH$2,Carreras,0)+2,0),""),"")</f>
        <v/>
      </c>
      <c r="AI81" s="155" t="str">
        <f>IF(IFERROR(VLOOKUP($C81,Planes_de_estudio[],MATCH($AI$2,Carreras,0)+2,0),"")&gt;0,IFERROR(VLOOKUP($C81,Planes_de_estudio[],MATCH($AI$2,Carreras,0)+2,0),""),"")</f>
        <v/>
      </c>
      <c r="AJ81" s="155" t="str">
        <f>IF(IFERROR(VLOOKUP($C81,Planes_de_estudio[],MATCH($AJ$2,Carreras,0)+2,0),"")&gt;0,IFERROR(VLOOKUP($C81,Planes_de_estudio[],MATCH($AJ$2,Carreras,0)+2,0),""),"")</f>
        <v/>
      </c>
      <c r="AK81" s="155" t="str">
        <f>IF(IFERROR(VLOOKUP($C81,Planes_de_estudio[],MATCH($AK$2,Carreras,0)+2,0),"")&gt;0,IFERROR(VLOOKUP($C81,Planes_de_estudio[],MATCH($AK$2,Carreras,0)+2,0),""),"")</f>
        <v/>
      </c>
      <c r="AL8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81" s="155">
        <f>base_de_datos[[#This Row],[Pronóstico]]/25</f>
        <v>0.6</v>
      </c>
      <c r="AO81" s="155" t="str">
        <f>VLOOKUP($C81,Planes_de_estudio[],2)</f>
        <v>IID</v>
      </c>
      <c r="AP81" s="157" t="str">
        <f ca="1">IF(AND(base_de_datos[[#This Row],[Industrial]]&lt;&gt;"",base_de_datos[[#This Row],[Misma o no]]=1),base_de_datos[[#This Row],[Índice]],"")</f>
        <v/>
      </c>
      <c r="AQ81" s="157" t="str">
        <f ca="1">IF(AND(base_de_datos[[#This Row],[Mecatrónica]]&lt;&gt;"",base_de_datos[[#This Row],[Misma o no]]=1),base_de_datos[[#This Row],[Índice]],"")</f>
        <v/>
      </c>
      <c r="AR81" s="157" t="str">
        <f ca="1">IF(AND(base_de_datos[[#This Row],[Innovación y Diseño]]&lt;&gt;"",base_de_datos[[#This Row],[Misma o no]]=1),base_de_datos[[#This Row],[Índice]],"")</f>
        <v/>
      </c>
      <c r="AS81" s="157" t="str">
        <f ca="1">IF(AND(base_de_datos[[#This Row],[Inteligencia Artificial]]&lt;&gt;"",base_de_datos[[#This Row],[Misma o no]]=1),base_de_datos[[#This Row],[Índice]],"")</f>
        <v/>
      </c>
      <c r="AT81" s="157" t="str">
        <f ca="1">IF(AND(base_de_datos[[#This Row],[Tecnologías Energéticas]]&lt;&gt;"",base_de_datos[[#This Row],[Misma o no]]=1),base_de_datos[[#This Row],[Índice]],"")</f>
        <v/>
      </c>
      <c r="AU81" s="157" t="str">
        <f ca="1">IF(AND(base_de_datos[[#This Row],[Civil y Administración]]&lt;&gt;"",base_de_datos[[#This Row],[Misma o no]]=1),base_de_datos[[#This Row],[Índice]],"")</f>
        <v/>
      </c>
      <c r="AV81" s="157" t="str">
        <f ca="1">IF(AND(base_de_datos[[#This Row],[Bioelectrónica]]&lt;&gt;"",base_de_datos[[#This Row],[Misma o no]]=1),base_de_datos[[#This Row],[Índice]],"")</f>
        <v/>
      </c>
      <c r="AW81" s="158"/>
      <c r="AX81" s="231" t="s">
        <v>1633</v>
      </c>
    </row>
    <row r="82" spans="2:50" s="6" customFormat="1" ht="15">
      <c r="B82" s="148" t="s">
        <v>219</v>
      </c>
      <c r="C82" s="149" t="s">
        <v>222</v>
      </c>
      <c r="D82" s="150">
        <v>1</v>
      </c>
      <c r="E82" s="151">
        <v>0.70833333333333304</v>
      </c>
      <c r="F82" s="151">
        <v>0.81249999999999201</v>
      </c>
      <c r="G82" s="218" t="s">
        <v>111</v>
      </c>
      <c r="H82" s="150" t="s">
        <v>114</v>
      </c>
      <c r="I82" s="150">
        <f>INDEX(Aulas_capacidad,MATCH(base_de_datos[[#This Row],[Aula]],Aulas,0),2)</f>
        <v>36</v>
      </c>
      <c r="J82" s="152">
        <v>14</v>
      </c>
      <c r="K82" s="150">
        <f>INDEX(Aulas_capacidad,MATCH(base_de_datos[[#This Row],[Aula]],Aulas,0),4)</f>
        <v>18</v>
      </c>
      <c r="L82" s="153">
        <f>base_de_datos[[#This Row],[Cap 1.5]]-base_de_datos[[#This Row],[Inscritos]]</f>
        <v>4</v>
      </c>
      <c r="M82" s="153">
        <f>INDEX(Aulas_capacidad,MATCH(base_de_datos[[#This Row],[Aula]],Aulas,0),5)</f>
        <v>18</v>
      </c>
      <c r="N82" s="153">
        <f>base_de_datos[[#This Row],[Cap .90]]-base_de_datos[[#This Row],[Inscritos]]</f>
        <v>4</v>
      </c>
      <c r="O82" s="150">
        <v>1634</v>
      </c>
      <c r="P82" s="154" t="s">
        <v>67</v>
      </c>
      <c r="Q82" s="154"/>
      <c r="R82" s="154" t="s">
        <v>67</v>
      </c>
      <c r="S82" s="154"/>
      <c r="T82" s="154"/>
      <c r="U82" s="154"/>
      <c r="V82" s="154"/>
      <c r="W82" s="154" t="s">
        <v>1655</v>
      </c>
      <c r="X82" s="174">
        <f>_xlfn.XLOOKUP(base_de_datos[[#This Row],[Materia]],Materias,Horas)/16</f>
        <v>5</v>
      </c>
      <c r="Y82" s="174">
        <f>ROUND(((base_de_datos[[#This Row],[Hora fin]]-base_de_datos[[#This Row],[Hora inicio]])*24)*(COUNTA(base_de_datos[[#This Row],[Lunes]:[Sábado]])),1)</f>
        <v>5</v>
      </c>
      <c r="Z82" s="174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82" s="155">
        <f ca="1">IF(base_de_datos[[#This Row],[No clase]]=OFFSET(base_de_datos[[#This Row],[No clase]],-1,0),0,1)</f>
        <v>1</v>
      </c>
      <c r="AB82" s="155">
        <f ca="1">IF(NOT(OR(base_de_datos[[#This Row],[Horas totales]]=base_de_datos[[#This Row],[HT Plan]],base_de_datos[[#This Row],[Horas totales]]="N/A")),1,0)</f>
        <v>0</v>
      </c>
      <c r="AC82" s="155" t="str">
        <f>_xlfn.XLOOKUP(base_de_datos[[#This Row],[Profesor]],Nombre,Grado)</f>
        <v>D</v>
      </c>
      <c r="AD82" s="156" t="str">
        <f>_xlfn.XLOOKUP(base_de_datos[[#This Row],[Profesor]],Nombre,Tipo)</f>
        <v>TC</v>
      </c>
      <c r="AE82" s="155" t="str">
        <f>IF(IFERROR(VLOOKUP($C82,Planes_de_estudio[],MATCH($AE$2,Carreras,0)+2,0),"")&gt;0,IFERROR(VLOOKUP($C82,Planes_de_estudio[],MATCH($AE$2,Carreras,0)+2,0),""),"")</f>
        <v/>
      </c>
      <c r="AF82" s="155" t="str">
        <f>IF(IFERROR(VLOOKUP($C82,Planes_de_estudio[],MATCH($AF$2,Carreras,0)+2,0),"")&gt;0,IFERROR(VLOOKUP($C82,Planes_de_estudio[],MATCH($AF$2,Carreras,0)+2,0),""),"")</f>
        <v/>
      </c>
      <c r="AG82" s="155">
        <f>IF(IFERROR(VLOOKUP($C82,Planes_de_estudio[],MATCH($AG$2,Carreras,0)+2,0),"")&gt;0,IFERROR(VLOOKUP($C82,Planes_de_estudio[],MATCH($AG$2,Carreras,0)+2,0),""),"")</f>
        <v>5</v>
      </c>
      <c r="AH82" s="155" t="str">
        <f>IF(IFERROR(VLOOKUP($C82,Planes_de_estudio[],MATCH($AH$2,Carreras,0)+2,0),"")&gt;0,IFERROR(VLOOKUP($C82,Planes_de_estudio[],MATCH($AH$2,Carreras,0)+2,0),""),"")</f>
        <v/>
      </c>
      <c r="AI82" s="155" t="str">
        <f>IF(IFERROR(VLOOKUP($C82,Planes_de_estudio[],MATCH($AI$2,Carreras,0)+2,0),"")&gt;0,IFERROR(VLOOKUP($C82,Planes_de_estudio[],MATCH($AI$2,Carreras,0)+2,0),""),"")</f>
        <v/>
      </c>
      <c r="AJ82" s="155" t="str">
        <f>IF(IFERROR(VLOOKUP($C82,Planes_de_estudio[],MATCH($AJ$2,Carreras,0)+2,0),"")&gt;0,IFERROR(VLOOKUP($C82,Planes_de_estudio[],MATCH($AJ$2,Carreras,0)+2,0),""),"")</f>
        <v/>
      </c>
      <c r="AK82" s="155" t="str">
        <f>IF(IFERROR(VLOOKUP($C82,Planes_de_estudio[],MATCH($AK$2,Carreras,0)+2,0),"")&gt;0,IFERROR(VLOOKUP($C82,Planes_de_estudio[],MATCH($AK$2,Carreras,0)+2,0),""),"")</f>
        <v/>
      </c>
      <c r="AL8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82" s="155">
        <f>base_de_datos[[#This Row],[Pronóstico]]/25</f>
        <v>0.6</v>
      </c>
      <c r="AO82" s="155" t="str">
        <f>VLOOKUP($C82,Planes_de_estudio[],2)</f>
        <v>IID</v>
      </c>
      <c r="AP82" s="157" t="str">
        <f ca="1">IF(AND(base_de_datos[[#This Row],[Industrial]]&lt;&gt;"",base_de_datos[[#This Row],[Misma o no]]=1),base_de_datos[[#This Row],[Índice]],"")</f>
        <v/>
      </c>
      <c r="AQ82" s="157" t="str">
        <f ca="1">IF(AND(base_de_datos[[#This Row],[Mecatrónica]]&lt;&gt;"",base_de_datos[[#This Row],[Misma o no]]=1),base_de_datos[[#This Row],[Índice]],"")</f>
        <v/>
      </c>
      <c r="AR82" s="157">
        <f ca="1">IF(AND(base_de_datos[[#This Row],[Innovación y Diseño]]&lt;&gt;"",base_de_datos[[#This Row],[Misma o no]]=1),base_de_datos[[#This Row],[Índice]],"")</f>
        <v>6</v>
      </c>
      <c r="AS82" s="157" t="str">
        <f ca="1">IF(AND(base_de_datos[[#This Row],[Inteligencia Artificial]]&lt;&gt;"",base_de_datos[[#This Row],[Misma o no]]=1),base_de_datos[[#This Row],[Índice]],"")</f>
        <v/>
      </c>
      <c r="AT82" s="157" t="str">
        <f ca="1">IF(AND(base_de_datos[[#This Row],[Tecnologías Energéticas]]&lt;&gt;"",base_de_datos[[#This Row],[Misma o no]]=1),base_de_datos[[#This Row],[Índice]],"")</f>
        <v/>
      </c>
      <c r="AU82" s="157" t="str">
        <f ca="1">IF(AND(base_de_datos[[#This Row],[Civil y Administración]]&lt;&gt;"",base_de_datos[[#This Row],[Misma o no]]=1),base_de_datos[[#This Row],[Índice]],"")</f>
        <v/>
      </c>
      <c r="AV82" s="157" t="str">
        <f ca="1">IF(AND(base_de_datos[[#This Row],[Bioelectrónica]]&lt;&gt;"",base_de_datos[[#This Row],[Misma o no]]=1),base_de_datos[[#This Row],[Índice]],"")</f>
        <v/>
      </c>
      <c r="AW82" s="158"/>
      <c r="AX82" s="231" t="s">
        <v>1633</v>
      </c>
    </row>
    <row r="83" spans="2:50" s="6" customFormat="1" ht="15">
      <c r="B83" s="148" t="s">
        <v>223</v>
      </c>
      <c r="C83" s="149" t="s">
        <v>224</v>
      </c>
      <c r="D83" s="150">
        <v>1</v>
      </c>
      <c r="E83" s="151">
        <v>0.70833333333333304</v>
      </c>
      <c r="F83" s="151">
        <v>0.79166666666665897</v>
      </c>
      <c r="G83" s="150"/>
      <c r="H83" s="215" t="s">
        <v>225</v>
      </c>
      <c r="I83" s="150">
        <f>INDEX(Aulas_capacidad,MATCH(base_de_datos[[#This Row],[Aula]],Aulas,0),2)</f>
        <v>36</v>
      </c>
      <c r="J83" s="152">
        <v>10</v>
      </c>
      <c r="K83" s="150">
        <f>INDEX(Aulas_capacidad,MATCH(base_de_datos[[#This Row],[Aula]],Aulas,0),4)</f>
        <v>18</v>
      </c>
      <c r="L83" s="153">
        <f>base_de_datos[[#This Row],[Cap 1.5]]-base_de_datos[[#This Row],[Inscritos]]</f>
        <v>8</v>
      </c>
      <c r="M83" s="153">
        <f>INDEX(Aulas_capacidad,MATCH(base_de_datos[[#This Row],[Aula]],Aulas,0),5)</f>
        <v>18</v>
      </c>
      <c r="N83" s="153">
        <f>base_de_datos[[#This Row],[Cap .90]]-base_de_datos[[#This Row],[Inscritos]]</f>
        <v>8</v>
      </c>
      <c r="O83" s="150">
        <v>1631</v>
      </c>
      <c r="P83" s="154"/>
      <c r="Q83" s="154"/>
      <c r="R83" s="154" t="s">
        <v>67</v>
      </c>
      <c r="S83" s="154"/>
      <c r="T83" s="154"/>
      <c r="U83" s="154"/>
      <c r="V83" s="154"/>
      <c r="W83" s="154" t="s">
        <v>1654</v>
      </c>
      <c r="X83" s="155">
        <f>_xlfn.XLOOKUP(base_de_datos[[#This Row],[Materia]],Materias,Horas)/16</f>
        <v>3</v>
      </c>
      <c r="Y83" s="155">
        <f>ROUND(((base_de_datos[[#This Row],[Hora fin]]-base_de_datos[[#This Row],[Hora inicio]])*24)*(COUNTA(base_de_datos[[#This Row],[Lunes]:[Sábado]])),1)</f>
        <v>2</v>
      </c>
      <c r="Z8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3" s="155">
        <f ca="1">IF(base_de_datos[[#This Row],[No clase]]=OFFSET(base_de_datos[[#This Row],[No clase]],-1,0),0,1)</f>
        <v>1</v>
      </c>
      <c r="AB83" s="155">
        <f ca="1">IF(NOT(OR(base_de_datos[[#This Row],[Horas totales]]=base_de_datos[[#This Row],[HT Plan]],base_de_datos[[#This Row],[Horas totales]]="N/A")),1,0)</f>
        <v>0</v>
      </c>
      <c r="AC83" s="155" t="str">
        <f>_xlfn.XLOOKUP(base_de_datos[[#This Row],[Profesor]],Nombre,Grado)</f>
        <v>M</v>
      </c>
      <c r="AD83" s="156" t="str">
        <f>_xlfn.XLOOKUP(base_de_datos[[#This Row],[Profesor]],Nombre,Tipo)</f>
        <v>OA</v>
      </c>
      <c r="AE83" s="155" t="str">
        <f>IF(IFERROR(VLOOKUP($C83,Planes_de_estudio[],MATCH($AE$2,Carreras,0)+2,0),"")&gt;0,IFERROR(VLOOKUP($C83,Planes_de_estudio[],MATCH($AE$2,Carreras,0)+2,0),""),"")</f>
        <v/>
      </c>
      <c r="AF83" s="155" t="str">
        <f>IF(IFERROR(VLOOKUP($C83,Planes_de_estudio[],MATCH($AF$2,Carreras,0)+2,0),"")&gt;0,IFERROR(VLOOKUP($C83,Planes_de_estudio[],MATCH($AF$2,Carreras,0)+2,0),""),"")</f>
        <v/>
      </c>
      <c r="AG83" s="155">
        <f>IF(IFERROR(VLOOKUP($C83,Planes_de_estudio[],MATCH($AG$2,Carreras,0)+2,0),"")&gt;0,IFERROR(VLOOKUP($C83,Planes_de_estudio[],MATCH($AG$2,Carreras,0)+2,0),""),"")</f>
        <v>7</v>
      </c>
      <c r="AH83" s="155" t="str">
        <f>IF(IFERROR(VLOOKUP($C83,Planes_de_estudio[],MATCH($AH$2,Carreras,0)+2,0),"")&gt;0,IFERROR(VLOOKUP($C83,Planes_de_estudio[],MATCH($AH$2,Carreras,0)+2,0),""),"")</f>
        <v/>
      </c>
      <c r="AI83" s="155" t="str">
        <f>IF(IFERROR(VLOOKUP($C83,Planes_de_estudio[],MATCH($AI$2,Carreras,0)+2,0),"")&gt;0,IFERROR(VLOOKUP($C83,Planes_de_estudio[],MATCH($AI$2,Carreras,0)+2,0),""),"")</f>
        <v/>
      </c>
      <c r="AJ83" s="155" t="str">
        <f>IF(IFERROR(VLOOKUP($C83,Planes_de_estudio[],MATCH($AJ$2,Carreras,0)+2,0),"")&gt;0,IFERROR(VLOOKUP($C83,Planes_de_estudio[],MATCH($AJ$2,Carreras,0)+2,0),""),"")</f>
        <v/>
      </c>
      <c r="AK83" s="155" t="str">
        <f>IF(IFERROR(VLOOKUP($C83,Planes_de_estudio[],MATCH($AK$2,Carreras,0)+2,0),"")&gt;0,IFERROR(VLOOKUP($C83,Planes_de_estudio[],MATCH($AK$2,Carreras,0)+2,0),""),"")</f>
        <v/>
      </c>
      <c r="AL8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20</v>
      </c>
      <c r="AN83" s="155">
        <f>base_de_datos[[#This Row],[Pronóstico]]/25</f>
        <v>0.8</v>
      </c>
      <c r="AO83" s="155" t="s">
        <v>226</v>
      </c>
      <c r="AP83" s="157" t="str">
        <f ca="1">IF(AND(base_de_datos[[#This Row],[Industrial]]&lt;&gt;"",base_de_datos[[#This Row],[Misma o no]]=1),base_de_datos[[#This Row],[Índice]],"")</f>
        <v/>
      </c>
      <c r="AQ83" s="157" t="str">
        <f ca="1">IF(AND(base_de_datos[[#This Row],[Mecatrónica]]&lt;&gt;"",base_de_datos[[#This Row],[Misma o no]]=1),base_de_datos[[#This Row],[Índice]],"")</f>
        <v/>
      </c>
      <c r="AR83" s="157">
        <f ca="1">IF(AND(base_de_datos[[#This Row],[Innovación y Diseño]]&lt;&gt;"",base_de_datos[[#This Row],[Misma o no]]=1),base_de_datos[[#This Row],[Índice]],"")</f>
        <v>4</v>
      </c>
      <c r="AS83" s="157" t="str">
        <f ca="1">IF(AND(base_de_datos[[#This Row],[Inteligencia Artificial]]&lt;&gt;"",base_de_datos[[#This Row],[Misma o no]]=1),base_de_datos[[#This Row],[Índice]],"")</f>
        <v/>
      </c>
      <c r="AT83" s="157" t="str">
        <f ca="1">IF(AND(base_de_datos[[#This Row],[Tecnologías Energéticas]]&lt;&gt;"",base_de_datos[[#This Row],[Misma o no]]=1),base_de_datos[[#This Row],[Índice]],"")</f>
        <v/>
      </c>
      <c r="AU83" s="157" t="str">
        <f ca="1">IF(AND(base_de_datos[[#This Row],[Civil y Administración]]&lt;&gt;"",base_de_datos[[#This Row],[Misma o no]]=1),base_de_datos[[#This Row],[Índice]],"")</f>
        <v/>
      </c>
      <c r="AV83" s="157" t="str">
        <f ca="1">IF(AND(base_de_datos[[#This Row],[Bioelectrónica]]&lt;&gt;"",base_de_datos[[#This Row],[Misma o no]]=1),base_de_datos[[#This Row],[Índice]],"")</f>
        <v/>
      </c>
      <c r="AW83" s="161" t="s">
        <v>227</v>
      </c>
      <c r="AX83" s="231">
        <v>2</v>
      </c>
    </row>
    <row r="84" spans="2:50" s="6" customFormat="1" ht="15">
      <c r="B84" s="148" t="s">
        <v>223</v>
      </c>
      <c r="C84" s="149" t="s">
        <v>224</v>
      </c>
      <c r="D84" s="150">
        <v>1</v>
      </c>
      <c r="E84" s="151">
        <v>0.83333333333333304</v>
      </c>
      <c r="F84" s="151">
        <v>0.87499999999999001</v>
      </c>
      <c r="G84" s="150"/>
      <c r="H84" s="215" t="s">
        <v>66</v>
      </c>
      <c r="I84" s="150">
        <f>INDEX(Aulas_capacidad,MATCH(base_de_datos[[#This Row],[Aula]],Aulas,0),2)</f>
        <v>0</v>
      </c>
      <c r="J84" s="152">
        <v>10</v>
      </c>
      <c r="K84" s="150">
        <f>INDEX(Aulas_capacidad,MATCH(base_de_datos[[#This Row],[Aula]],Aulas,0),4)</f>
        <v>0</v>
      </c>
      <c r="L84" s="153">
        <f>base_de_datos[[#This Row],[Cap 1.5]]-base_de_datos[[#This Row],[Inscritos]]</f>
        <v>-10</v>
      </c>
      <c r="M84" s="153">
        <f>INDEX(Aulas_capacidad,MATCH(base_de_datos[[#This Row],[Aula]],Aulas,0),5)</f>
        <v>0</v>
      </c>
      <c r="N84" s="153">
        <f>base_de_datos[[#This Row],[Cap .90]]-base_de_datos[[#This Row],[Inscritos]]</f>
        <v>-10</v>
      </c>
      <c r="O84" s="150">
        <v>1631</v>
      </c>
      <c r="P84" s="154"/>
      <c r="Q84" s="154"/>
      <c r="R84" s="154"/>
      <c r="S84" s="154"/>
      <c r="T84" s="154" t="s">
        <v>67</v>
      </c>
      <c r="U84" s="154"/>
      <c r="V84" s="154"/>
      <c r="W84" s="154" t="s">
        <v>1654</v>
      </c>
      <c r="X84" s="155">
        <f>_xlfn.XLOOKUP(base_de_datos[[#This Row],[Materia]],Materias,Horas)/16</f>
        <v>3</v>
      </c>
      <c r="Y84" s="155">
        <f>ROUND(((base_de_datos[[#This Row],[Hora fin]]-base_de_datos[[#This Row],[Hora inicio]])*24)*(COUNTA(base_de_datos[[#This Row],[Lunes]:[Sábado]])),1)</f>
        <v>1</v>
      </c>
      <c r="Z8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4" s="155">
        <f ca="1">IF(base_de_datos[[#This Row],[No clase]]=OFFSET(base_de_datos[[#This Row],[No clase]],-1,0),0,1)</f>
        <v>0</v>
      </c>
      <c r="AB84" s="155">
        <f ca="1">IF(NOT(OR(base_de_datos[[#This Row],[Horas totales]]=base_de_datos[[#This Row],[HT Plan]],base_de_datos[[#This Row],[Horas totales]]="N/A")),1,0)</f>
        <v>0</v>
      </c>
      <c r="AC84" s="155" t="str">
        <f>_xlfn.XLOOKUP(base_de_datos[[#This Row],[Profesor]],Nombre,Grado)</f>
        <v>M</v>
      </c>
      <c r="AD84" s="156" t="str">
        <f>_xlfn.XLOOKUP(base_de_datos[[#This Row],[Profesor]],Nombre,Tipo)</f>
        <v>OA</v>
      </c>
      <c r="AE84" s="155" t="str">
        <f>IF(IFERROR(VLOOKUP($C84,Planes_de_estudio[],MATCH($AE$2,Carreras,0)+2,0),"")&gt;0,IFERROR(VLOOKUP($C84,Planes_de_estudio[],MATCH($AE$2,Carreras,0)+2,0),""),"")</f>
        <v/>
      </c>
      <c r="AF84" s="155" t="str">
        <f>IF(IFERROR(VLOOKUP($C84,Planes_de_estudio[],MATCH($AF$2,Carreras,0)+2,0),"")&gt;0,IFERROR(VLOOKUP($C84,Planes_de_estudio[],MATCH($AF$2,Carreras,0)+2,0),""),"")</f>
        <v/>
      </c>
      <c r="AG84" s="155">
        <f>IF(IFERROR(VLOOKUP($C84,Planes_de_estudio[],MATCH($AG$2,Carreras,0)+2,0),"")&gt;0,IFERROR(VLOOKUP($C84,Planes_de_estudio[],MATCH($AG$2,Carreras,0)+2,0),""),"")</f>
        <v>7</v>
      </c>
      <c r="AH84" s="155" t="str">
        <f>IF(IFERROR(VLOOKUP($C84,Planes_de_estudio[],MATCH($AH$2,Carreras,0)+2,0),"")&gt;0,IFERROR(VLOOKUP($C84,Planes_de_estudio[],MATCH($AH$2,Carreras,0)+2,0),""),"")</f>
        <v/>
      </c>
      <c r="AI84" s="155" t="str">
        <f>IF(IFERROR(VLOOKUP($C84,Planes_de_estudio[],MATCH($AI$2,Carreras,0)+2,0),"")&gt;0,IFERROR(VLOOKUP($C84,Planes_de_estudio[],MATCH($AI$2,Carreras,0)+2,0),""),"")</f>
        <v/>
      </c>
      <c r="AJ84" s="155" t="str">
        <f>IF(IFERROR(VLOOKUP($C84,Planes_de_estudio[],MATCH($AJ$2,Carreras,0)+2,0),"")&gt;0,IFERROR(VLOOKUP($C84,Planes_de_estudio[],MATCH($AJ$2,Carreras,0)+2,0),""),"")</f>
        <v/>
      </c>
      <c r="AK84" s="155" t="str">
        <f>IF(IFERROR(VLOOKUP($C84,Planes_de_estudio[],MATCH($AK$2,Carreras,0)+2,0),"")&gt;0,IFERROR(VLOOKUP($C84,Planes_de_estudio[],MATCH($AK$2,Carreras,0)+2,0),""),"")</f>
        <v/>
      </c>
      <c r="AL8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84" s="155">
        <f>base_de_datos[[#This Row],[Pronóstico]]/25</f>
        <v>0.8</v>
      </c>
      <c r="AO84" s="155" t="str">
        <f>VLOOKUP($C84,Planes_de_estudio[],2)</f>
        <v>IID</v>
      </c>
      <c r="AP84" s="157" t="str">
        <f ca="1">IF(AND(base_de_datos[[#This Row],[Industrial]]&lt;&gt;"",base_de_datos[[#This Row],[Misma o no]]=1),base_de_datos[[#This Row],[Índice]],"")</f>
        <v/>
      </c>
      <c r="AQ84" s="157" t="str">
        <f ca="1">IF(AND(base_de_datos[[#This Row],[Mecatrónica]]&lt;&gt;"",base_de_datos[[#This Row],[Misma o no]]=1),base_de_datos[[#This Row],[Índice]],"")</f>
        <v/>
      </c>
      <c r="AR84" s="157" t="str">
        <f ca="1">IF(AND(base_de_datos[[#This Row],[Innovación y Diseño]]&lt;&gt;"",base_de_datos[[#This Row],[Misma o no]]=1),base_de_datos[[#This Row],[Índice]],"")</f>
        <v/>
      </c>
      <c r="AS84" s="157" t="str">
        <f ca="1">IF(AND(base_de_datos[[#This Row],[Inteligencia Artificial]]&lt;&gt;"",base_de_datos[[#This Row],[Misma o no]]=1),base_de_datos[[#This Row],[Índice]],"")</f>
        <v/>
      </c>
      <c r="AT84" s="157" t="str">
        <f ca="1">IF(AND(base_de_datos[[#This Row],[Tecnologías Energéticas]]&lt;&gt;"",base_de_datos[[#This Row],[Misma o no]]=1),base_de_datos[[#This Row],[Índice]],"")</f>
        <v/>
      </c>
      <c r="AU84" s="157" t="str">
        <f ca="1">IF(AND(base_de_datos[[#This Row],[Civil y Administración]]&lt;&gt;"",base_de_datos[[#This Row],[Misma o no]]=1),base_de_datos[[#This Row],[Índice]],"")</f>
        <v/>
      </c>
      <c r="AV84" s="157" t="str">
        <f ca="1">IF(AND(base_de_datos[[#This Row],[Bioelectrónica]]&lt;&gt;"",base_de_datos[[#This Row],[Misma o no]]=1),base_de_datos[[#This Row],[Índice]],"")</f>
        <v/>
      </c>
      <c r="AW84" s="161" t="s">
        <v>227</v>
      </c>
      <c r="AX84" s="231">
        <v>2</v>
      </c>
    </row>
    <row r="85" spans="2:50" s="6" customFormat="1" ht="19.5" customHeight="1">
      <c r="B85" s="148" t="s">
        <v>228</v>
      </c>
      <c r="C85" s="149" t="s">
        <v>229</v>
      </c>
      <c r="D85" s="150">
        <v>1</v>
      </c>
      <c r="E85" s="151">
        <v>0.70833333333333304</v>
      </c>
      <c r="F85" s="151">
        <v>0.79166666666665897</v>
      </c>
      <c r="G85" s="150"/>
      <c r="H85" s="150" t="s">
        <v>230</v>
      </c>
      <c r="I85" s="150" t="e">
        <f>INDEX(Aulas_capacidad,MATCH(base_de_datos[[#This Row],[Aula]],Aulas,0),2)</f>
        <v>#N/A</v>
      </c>
      <c r="J85" s="152">
        <v>8</v>
      </c>
      <c r="K85" s="150" t="e">
        <f>INDEX(Aulas_capacidad,MATCH(base_de_datos[[#This Row],[Aula]],Aulas,0),4)</f>
        <v>#N/A</v>
      </c>
      <c r="L85" s="153" t="e">
        <f>base_de_datos[[#This Row],[Cap 1.5]]-base_de_datos[[#This Row],[Inscritos]]</f>
        <v>#N/A</v>
      </c>
      <c r="M85" s="153" t="e">
        <f>INDEX(Aulas_capacidad,MATCH(base_de_datos[[#This Row],[Aula]],Aulas,0),5)</f>
        <v>#N/A</v>
      </c>
      <c r="N85" s="153" t="e">
        <f>base_de_datos[[#This Row],[Cap .90]]-base_de_datos[[#This Row],[Inscritos]]</f>
        <v>#N/A</v>
      </c>
      <c r="O85" s="150" t="s">
        <v>231</v>
      </c>
      <c r="P85" s="154"/>
      <c r="Q85" s="154" t="s">
        <v>67</v>
      </c>
      <c r="R85" s="154"/>
      <c r="S85" s="154" t="s">
        <v>67</v>
      </c>
      <c r="T85" s="154"/>
      <c r="U85" s="154"/>
      <c r="V85" s="154"/>
      <c r="W85" s="154" t="s">
        <v>1650</v>
      </c>
      <c r="X85" s="155">
        <f>_xlfn.XLOOKUP(base_de_datos[[#This Row],[Materia]],Materias,Horas)/16</f>
        <v>4</v>
      </c>
      <c r="Y85" s="155">
        <f>ROUND(((base_de_datos[[#This Row],[Hora fin]]-base_de_datos[[#This Row],[Hora inicio]])*24)*(COUNTA(base_de_datos[[#This Row],[Lunes]:[Sábado]])),1)</f>
        <v>4</v>
      </c>
      <c r="Z8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5" s="155">
        <f ca="1">IF(base_de_datos[[#This Row],[No clase]]=OFFSET(base_de_datos[[#This Row],[No clase]],-1,0),0,1)</f>
        <v>1</v>
      </c>
      <c r="AB85" s="155">
        <f ca="1">IF(NOT(OR(base_de_datos[[#This Row],[Horas totales]]=base_de_datos[[#This Row],[HT Plan]],base_de_datos[[#This Row],[Horas totales]]="N/A")),1,0)</f>
        <v>0</v>
      </c>
      <c r="AC85" s="155" t="str">
        <f>_xlfn.XLOOKUP(base_de_datos[[#This Row],[Profesor]],Nombre,Grado)</f>
        <v>M</v>
      </c>
      <c r="AD85" s="156" t="str">
        <f>_xlfn.XLOOKUP(base_de_datos[[#This Row],[Profesor]],Nombre,Tipo)</f>
        <v>A</v>
      </c>
      <c r="AE85" s="155" t="str">
        <f>IF(IFERROR(VLOOKUP($C85,Planes_de_estudio[],MATCH($AE$2,Carreras,0)+2,0),"")&gt;0,IFERROR(VLOOKUP($C85,Planes_de_estudio[],MATCH($AE$2,Carreras,0)+2,0),""),"")</f>
        <v/>
      </c>
      <c r="AF85" s="155" t="str">
        <f>IF(IFERROR(VLOOKUP($C85,Planes_de_estudio[],MATCH($AF$2,Carreras,0)+2,0),"")&gt;0,IFERROR(VLOOKUP($C85,Planes_de_estudio[],MATCH($AF$2,Carreras,0)+2,0),""),"")</f>
        <v/>
      </c>
      <c r="AG85" s="155" t="str">
        <f>IF(IFERROR(VLOOKUP($C85,Planes_de_estudio[],MATCH($AG$2,Carreras,0)+2,0),"")&gt;0,IFERROR(VLOOKUP($C85,Planes_de_estudio[],MATCH($AG$2,Carreras,0)+2,0),""),"")</f>
        <v/>
      </c>
      <c r="AH85" s="155" t="str">
        <f>IF(IFERROR(VLOOKUP($C85,Planes_de_estudio[],MATCH($AH$2,Carreras,0)+2,0),"")&gt;0,IFERROR(VLOOKUP($C85,Planes_de_estudio[],MATCH($AH$2,Carreras,0)+2,0),""),"")</f>
        <v/>
      </c>
      <c r="AI85" s="155" t="str">
        <f>IF(IFERROR(VLOOKUP($C85,Planes_de_estudio[],MATCH($AI$2,Carreras,0)+2,0),"")&gt;0,IFERROR(VLOOKUP($C85,Planes_de_estudio[],MATCH($AI$2,Carreras,0)+2,0),""),"")</f>
        <v/>
      </c>
      <c r="AJ85" s="155">
        <f>IF(IFERROR(VLOOKUP($C85,Planes_de_estudio[],MATCH($AJ$2,Carreras,0)+2,0),"")&gt;0,IFERROR(VLOOKUP($C85,Planes_de_estudio[],MATCH($AJ$2,Carreras,0)+2,0),""),"")</f>
        <v>7</v>
      </c>
      <c r="AK85" s="155" t="str">
        <f>IF(IFERROR(VLOOKUP($C85,Planes_de_estudio[],MATCH($AK$2,Carreras,0)+2,0),"")&gt;0,IFERROR(VLOOKUP($C85,Planes_de_estudio[],MATCH($AK$2,Carreras,0)+2,0),""),"")</f>
        <v/>
      </c>
      <c r="AL8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85" s="155">
        <f>base_de_datos[[#This Row],[Pronóstico]]/25</f>
        <v>0.52</v>
      </c>
      <c r="AO85" s="155" t="str">
        <f>VLOOKUP($C85,Planes_de_estudio[],2)</f>
        <v>ESC</v>
      </c>
      <c r="AP85" s="157" t="str">
        <f ca="1">IF(AND(base_de_datos[[#This Row],[Industrial]]&lt;&gt;"",base_de_datos[[#This Row],[Misma o no]]=1),base_de_datos[[#This Row],[Índice]],"")</f>
        <v/>
      </c>
      <c r="AQ85" s="157" t="str">
        <f ca="1">IF(AND(base_de_datos[[#This Row],[Mecatrónica]]&lt;&gt;"",base_de_datos[[#This Row],[Misma o no]]=1),base_de_datos[[#This Row],[Índice]],"")</f>
        <v/>
      </c>
      <c r="AR85" s="157" t="str">
        <f ca="1">IF(AND(base_de_datos[[#This Row],[Innovación y Diseño]]&lt;&gt;"",base_de_datos[[#This Row],[Misma o no]]=1),base_de_datos[[#This Row],[Índice]],"")</f>
        <v/>
      </c>
      <c r="AS85" s="157" t="str">
        <f ca="1">IF(AND(base_de_datos[[#This Row],[Inteligencia Artificial]]&lt;&gt;"",base_de_datos[[#This Row],[Misma o no]]=1),base_de_datos[[#This Row],[Índice]],"")</f>
        <v/>
      </c>
      <c r="AT85" s="157" t="str">
        <f ca="1">IF(AND(base_de_datos[[#This Row],[Tecnologías Energéticas]]&lt;&gt;"",base_de_datos[[#This Row],[Misma o no]]=1),base_de_datos[[#This Row],[Índice]],"")</f>
        <v/>
      </c>
      <c r="AU85" s="157">
        <f ca="1">IF(AND(base_de_datos[[#This Row],[Civil y Administración]]&lt;&gt;"",base_de_datos[[#This Row],[Misma o no]]=1),base_de_datos[[#This Row],[Índice]],"")</f>
        <v>4</v>
      </c>
      <c r="AV85" s="157" t="str">
        <f ca="1">IF(AND(base_de_datos[[#This Row],[Bioelectrónica]]&lt;&gt;"",base_de_datos[[#This Row],[Misma o no]]=1),base_de_datos[[#This Row],[Índice]],"")</f>
        <v/>
      </c>
      <c r="AW85" s="158"/>
      <c r="AX85" s="231" t="s">
        <v>1633</v>
      </c>
    </row>
    <row r="86" spans="2:50" s="6" customFormat="1" ht="15">
      <c r="B86" s="148" t="s">
        <v>232</v>
      </c>
      <c r="C86" s="149" t="s">
        <v>233</v>
      </c>
      <c r="D86" s="150">
        <v>1</v>
      </c>
      <c r="E86" s="151">
        <v>0.64583333333333304</v>
      </c>
      <c r="F86" s="151">
        <v>0.70833333333332704</v>
      </c>
      <c r="G86" s="218" t="s">
        <v>65</v>
      </c>
      <c r="H86" s="150" t="s">
        <v>234</v>
      </c>
      <c r="I86" s="150">
        <f>INDEX(Aulas_capacidad,MATCH(base_de_datos[[#This Row],[Aula]],Aulas,0),2)</f>
        <v>30</v>
      </c>
      <c r="J86" s="152">
        <v>14</v>
      </c>
      <c r="K86" s="150">
        <f>INDEX(Aulas_capacidad,MATCH(base_de_datos[[#This Row],[Aula]],Aulas,0),4)</f>
        <v>0</v>
      </c>
      <c r="L86" s="153">
        <f>base_de_datos[[#This Row],[Cap 1.5]]-base_de_datos[[#This Row],[Inscritos]]</f>
        <v>-14</v>
      </c>
      <c r="M86" s="153">
        <f>INDEX(Aulas_capacidad,MATCH(base_de_datos[[#This Row],[Aula]],Aulas,0),5)</f>
        <v>0</v>
      </c>
      <c r="N86" s="153">
        <f>base_de_datos[[#This Row],[Cap .90]]-base_de_datos[[#This Row],[Inscritos]]</f>
        <v>-14</v>
      </c>
      <c r="O86" s="150" t="s">
        <v>235</v>
      </c>
      <c r="P86" s="154"/>
      <c r="Q86" s="154" t="s">
        <v>67</v>
      </c>
      <c r="R86" s="154"/>
      <c r="S86" s="154"/>
      <c r="T86" s="154"/>
      <c r="U86" s="154"/>
      <c r="V86" s="154"/>
      <c r="W86" s="154" t="s">
        <v>1651</v>
      </c>
      <c r="X86" s="155">
        <f>_xlfn.XLOOKUP(base_de_datos[[#This Row],[Materia]],Materias,Horas)/16</f>
        <v>3</v>
      </c>
      <c r="Y86" s="155">
        <f>ROUND(((base_de_datos[[#This Row],[Hora fin]]-base_de_datos[[#This Row],[Hora inicio]])*24)*(COUNTA(base_de_datos[[#This Row],[Lunes]:[Sábado]])),1)</f>
        <v>1.5</v>
      </c>
      <c r="Z8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6" s="155">
        <f ca="1">IF(base_de_datos[[#This Row],[No clase]]=OFFSET(base_de_datos[[#This Row],[No clase]],-1,0),0,1)</f>
        <v>1</v>
      </c>
      <c r="AB86" s="155">
        <f ca="1">IF(NOT(OR(base_de_datos[[#This Row],[Horas totales]]=base_de_datos[[#This Row],[HT Plan]],base_de_datos[[#This Row],[Horas totales]]="N/A")),1,0)</f>
        <v>0</v>
      </c>
      <c r="AC86" s="155" t="str">
        <f>_xlfn.XLOOKUP(base_de_datos[[#This Row],[Profesor]],Nombre,Grado)</f>
        <v>M</v>
      </c>
      <c r="AD86" s="156" t="str">
        <f>_xlfn.XLOOKUP(base_de_datos[[#This Row],[Profesor]],Nombre,Tipo)</f>
        <v>TC</v>
      </c>
      <c r="AE86" s="155">
        <f>IF(IFERROR(VLOOKUP($C86,Planes_de_estudio[],MATCH($AE$2,Carreras,0)+2,0),"")&gt;0,IFERROR(VLOOKUP($C86,Planes_de_estudio[],MATCH($AE$2,Carreras,0)+2,0),""),"")</f>
        <v>5</v>
      </c>
      <c r="AF86" s="155">
        <f>IF(IFERROR(VLOOKUP($C86,Planes_de_estudio[],MATCH($AF$2,Carreras,0)+2,0),"")&gt;0,IFERROR(VLOOKUP($C86,Planes_de_estudio[],MATCH($AF$2,Carreras,0)+2,0),""),"")</f>
        <v>7</v>
      </c>
      <c r="AG86" s="155" t="str">
        <f>IF(IFERROR(VLOOKUP($C86,Planes_de_estudio[],MATCH($AG$2,Carreras,0)+2,0),"")&gt;0,IFERROR(VLOOKUP($C86,Planes_de_estudio[],MATCH($AG$2,Carreras,0)+2,0),""),"")</f>
        <v/>
      </c>
      <c r="AH86" s="155" t="str">
        <f>IF(IFERROR(VLOOKUP($C86,Planes_de_estudio[],MATCH($AH$2,Carreras,0)+2,0),"")&gt;0,IFERROR(VLOOKUP($C86,Planes_de_estudio[],MATCH($AH$2,Carreras,0)+2,0),""),"")</f>
        <v/>
      </c>
      <c r="AI86" s="155" t="str">
        <f>IF(IFERROR(VLOOKUP($C86,Planes_de_estudio[],MATCH($AI$2,Carreras,0)+2,0),"")&gt;0,IFERROR(VLOOKUP($C86,Planes_de_estudio[],MATCH($AI$2,Carreras,0)+2,0),""),"")</f>
        <v/>
      </c>
      <c r="AJ86" s="155" t="str">
        <f>IF(IFERROR(VLOOKUP($C86,Planes_de_estudio[],MATCH($AJ$2,Carreras,0)+2,0),"")&gt;0,IFERROR(VLOOKUP($C86,Planes_de_estudio[],MATCH($AJ$2,Carreras,0)+2,0),""),"")</f>
        <v/>
      </c>
      <c r="AK86" s="155" t="str">
        <f>IF(IFERROR(VLOOKUP($C86,Planes_de_estudio[],MATCH($AK$2,Carreras,0)+2,0),"")&gt;0,IFERROR(VLOOKUP($C86,Planes_de_estudio[],MATCH($AK$2,Carreras,0)+2,0),""),"")</f>
        <v/>
      </c>
      <c r="AL8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37</v>
      </c>
      <c r="AN86" s="155">
        <f>base_de_datos[[#This Row],[Pronóstico]]/25</f>
        <v>1.48</v>
      </c>
      <c r="AO86" s="155" t="str">
        <f>VLOOKUP($C86,Planes_de_estudio[],2)</f>
        <v>DOP</v>
      </c>
      <c r="AP86" s="157">
        <f ca="1">IF(AND(base_de_datos[[#This Row],[Industrial]]&lt;&gt;"",base_de_datos[[#This Row],[Misma o no]]=1),base_de_datos[[#This Row],[Índice]],"")</f>
        <v>4</v>
      </c>
      <c r="AQ86" s="157">
        <f ca="1">IF(AND(base_de_datos[[#This Row],[Mecatrónica]]&lt;&gt;"",base_de_datos[[#This Row],[Misma o no]]=1),base_de_datos[[#This Row],[Índice]],"")</f>
        <v>4</v>
      </c>
      <c r="AR86" s="157" t="str">
        <f ca="1">IF(AND(base_de_datos[[#This Row],[Innovación y Diseño]]&lt;&gt;"",base_de_datos[[#This Row],[Misma o no]]=1),base_de_datos[[#This Row],[Índice]],"")</f>
        <v/>
      </c>
      <c r="AS86" s="157" t="str">
        <f ca="1">IF(AND(base_de_datos[[#This Row],[Inteligencia Artificial]]&lt;&gt;"",base_de_datos[[#This Row],[Misma o no]]=1),base_de_datos[[#This Row],[Índice]],"")</f>
        <v/>
      </c>
      <c r="AT86" s="157" t="str">
        <f ca="1">IF(AND(base_de_datos[[#This Row],[Tecnologías Energéticas]]&lt;&gt;"",base_de_datos[[#This Row],[Misma o no]]=1),base_de_datos[[#This Row],[Índice]],"")</f>
        <v/>
      </c>
      <c r="AU86" s="157" t="str">
        <f ca="1">IF(AND(base_de_datos[[#This Row],[Civil y Administración]]&lt;&gt;"",base_de_datos[[#This Row],[Misma o no]]=1),base_de_datos[[#This Row],[Índice]],"")</f>
        <v/>
      </c>
      <c r="AV86" s="157" t="str">
        <f ca="1">IF(AND(base_de_datos[[#This Row],[Bioelectrónica]]&lt;&gt;"",base_de_datos[[#This Row],[Misma o no]]=1),base_de_datos[[#This Row],[Índice]],"")</f>
        <v/>
      </c>
      <c r="AW86" s="158"/>
      <c r="AX86" s="231" t="s">
        <v>1633</v>
      </c>
    </row>
    <row r="87" spans="2:50" s="6" customFormat="1" ht="15">
      <c r="B87" s="148" t="s">
        <v>232</v>
      </c>
      <c r="C87" s="149" t="s">
        <v>233</v>
      </c>
      <c r="D87" s="150">
        <v>1</v>
      </c>
      <c r="E87" s="151">
        <v>0.625</v>
      </c>
      <c r="F87" s="151">
        <v>0.687499999999994</v>
      </c>
      <c r="G87" s="218" t="s">
        <v>65</v>
      </c>
      <c r="H87" s="150" t="s">
        <v>234</v>
      </c>
      <c r="I87" s="150">
        <f>INDEX(Aulas_capacidad,MATCH(base_de_datos[[#This Row],[Aula]],Aulas,0),2)</f>
        <v>30</v>
      </c>
      <c r="J87" s="152">
        <v>14</v>
      </c>
      <c r="K87" s="150">
        <f>INDEX(Aulas_capacidad,MATCH(base_de_datos[[#This Row],[Aula]],Aulas,0),4)</f>
        <v>0</v>
      </c>
      <c r="L87" s="153">
        <f>base_de_datos[[#This Row],[Cap 1.5]]-base_de_datos[[#This Row],[Inscritos]]</f>
        <v>-14</v>
      </c>
      <c r="M87" s="153">
        <f>INDEX(Aulas_capacidad,MATCH(base_de_datos[[#This Row],[Aula]],Aulas,0),5)</f>
        <v>0</v>
      </c>
      <c r="N87" s="153">
        <f>base_de_datos[[#This Row],[Cap .90]]-base_de_datos[[#This Row],[Inscritos]]</f>
        <v>-14</v>
      </c>
      <c r="O87" s="150" t="s">
        <v>235</v>
      </c>
      <c r="P87" s="154"/>
      <c r="Q87" s="154"/>
      <c r="R87" s="154"/>
      <c r="S87" s="154" t="s">
        <v>67</v>
      </c>
      <c r="T87" s="154"/>
      <c r="U87" s="154"/>
      <c r="V87" s="154"/>
      <c r="W87" s="154" t="s">
        <v>1651</v>
      </c>
      <c r="X87" s="155">
        <f>_xlfn.XLOOKUP(base_de_datos[[#This Row],[Materia]],Materias,Horas)/16</f>
        <v>3</v>
      </c>
      <c r="Y87" s="155">
        <f>ROUND(((base_de_datos[[#This Row],[Hora fin]]-base_de_datos[[#This Row],[Hora inicio]])*24)*(COUNTA(base_de_datos[[#This Row],[Lunes]:[Sábado]])),1)</f>
        <v>1.5</v>
      </c>
      <c r="Z8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7" s="155">
        <f ca="1">IF(base_de_datos[[#This Row],[No clase]]=OFFSET(base_de_datos[[#This Row],[No clase]],-1,0),0,1)</f>
        <v>0</v>
      </c>
      <c r="AB87" s="155">
        <f ca="1">IF(NOT(OR(base_de_datos[[#This Row],[Horas totales]]=base_de_datos[[#This Row],[HT Plan]],base_de_datos[[#This Row],[Horas totales]]="N/A")),1,0)</f>
        <v>0</v>
      </c>
      <c r="AC87" s="155" t="str">
        <f>_xlfn.XLOOKUP(base_de_datos[[#This Row],[Profesor]],Nombre,Grado)</f>
        <v>M</v>
      </c>
      <c r="AD87" s="156" t="str">
        <f>_xlfn.XLOOKUP(base_de_datos[[#This Row],[Profesor]],Nombre,Tipo)</f>
        <v>TC</v>
      </c>
      <c r="AE87" s="155">
        <f>IF(IFERROR(VLOOKUP($C87,Planes_de_estudio[],MATCH($AE$2,Carreras,0)+2,0),"")&gt;0,IFERROR(VLOOKUP($C87,Planes_de_estudio[],MATCH($AE$2,Carreras,0)+2,0),""),"")</f>
        <v>5</v>
      </c>
      <c r="AF87" s="155">
        <f>IF(IFERROR(VLOOKUP($C87,Planes_de_estudio[],MATCH($AF$2,Carreras,0)+2,0),"")&gt;0,IFERROR(VLOOKUP($C87,Planes_de_estudio[],MATCH($AF$2,Carreras,0)+2,0),""),"")</f>
        <v>7</v>
      </c>
      <c r="AG87" s="155" t="str">
        <f>IF(IFERROR(VLOOKUP($C87,Planes_de_estudio[],MATCH($AG$2,Carreras,0)+2,0),"")&gt;0,IFERROR(VLOOKUP($C87,Planes_de_estudio[],MATCH($AG$2,Carreras,0)+2,0),""),"")</f>
        <v/>
      </c>
      <c r="AH87" s="155" t="str">
        <f>IF(IFERROR(VLOOKUP($C87,Planes_de_estudio[],MATCH($AH$2,Carreras,0)+2,0),"")&gt;0,IFERROR(VLOOKUP($C87,Planes_de_estudio[],MATCH($AH$2,Carreras,0)+2,0),""),"")</f>
        <v/>
      </c>
      <c r="AI87" s="155" t="str">
        <f>IF(IFERROR(VLOOKUP($C87,Planes_de_estudio[],MATCH($AI$2,Carreras,0)+2,0),"")&gt;0,IFERROR(VLOOKUP($C87,Planes_de_estudio[],MATCH($AI$2,Carreras,0)+2,0),""),"")</f>
        <v/>
      </c>
      <c r="AJ87" s="155" t="str">
        <f>IF(IFERROR(VLOOKUP($C87,Planes_de_estudio[],MATCH($AJ$2,Carreras,0)+2,0),"")&gt;0,IFERROR(VLOOKUP($C87,Planes_de_estudio[],MATCH($AJ$2,Carreras,0)+2,0),""),"")</f>
        <v/>
      </c>
      <c r="AK87" s="155" t="str">
        <f>IF(IFERROR(VLOOKUP($C87,Planes_de_estudio[],MATCH($AK$2,Carreras,0)+2,0),"")&gt;0,IFERROR(VLOOKUP($C87,Planes_de_estudio[],MATCH($AK$2,Carreras,0)+2,0),""),"")</f>
        <v/>
      </c>
      <c r="AL8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37</v>
      </c>
      <c r="AN87" s="155">
        <f>base_de_datos[[#This Row],[Pronóstico]]/25</f>
        <v>1.48</v>
      </c>
      <c r="AO87" s="155" t="str">
        <f>VLOOKUP($C87,Planes_de_estudio[],2)</f>
        <v>DOP</v>
      </c>
      <c r="AP87" s="157" t="str">
        <f ca="1">IF(AND(base_de_datos[[#This Row],[Industrial]]&lt;&gt;"",base_de_datos[[#This Row],[Misma o no]]=1),base_de_datos[[#This Row],[Índice]],"")</f>
        <v/>
      </c>
      <c r="AQ87" s="157" t="str">
        <f ca="1">IF(AND(base_de_datos[[#This Row],[Mecatrónica]]&lt;&gt;"",base_de_datos[[#This Row],[Misma o no]]=1),base_de_datos[[#This Row],[Índice]],"")</f>
        <v/>
      </c>
      <c r="AR87" s="157" t="str">
        <f ca="1">IF(AND(base_de_datos[[#This Row],[Innovación y Diseño]]&lt;&gt;"",base_de_datos[[#This Row],[Misma o no]]=1),base_de_datos[[#This Row],[Índice]],"")</f>
        <v/>
      </c>
      <c r="AS87" s="157" t="str">
        <f ca="1">IF(AND(base_de_datos[[#This Row],[Inteligencia Artificial]]&lt;&gt;"",base_de_datos[[#This Row],[Misma o no]]=1),base_de_datos[[#This Row],[Índice]],"")</f>
        <v/>
      </c>
      <c r="AT87" s="157" t="str">
        <f ca="1">IF(AND(base_de_datos[[#This Row],[Tecnologías Energéticas]]&lt;&gt;"",base_de_datos[[#This Row],[Misma o no]]=1),base_de_datos[[#This Row],[Índice]],"")</f>
        <v/>
      </c>
      <c r="AU87" s="157" t="str">
        <f ca="1">IF(AND(base_de_datos[[#This Row],[Civil y Administración]]&lt;&gt;"",base_de_datos[[#This Row],[Misma o no]]=1),base_de_datos[[#This Row],[Índice]],"")</f>
        <v/>
      </c>
      <c r="AV87" s="157" t="str">
        <f ca="1">IF(AND(base_de_datos[[#This Row],[Bioelectrónica]]&lt;&gt;"",base_de_datos[[#This Row],[Misma o no]]=1),base_de_datos[[#This Row],[Índice]],"")</f>
        <v/>
      </c>
      <c r="AW87" s="158"/>
      <c r="AX87" s="231">
        <v>2</v>
      </c>
    </row>
    <row r="88" spans="2:50" s="6" customFormat="1" ht="15">
      <c r="B88" s="148" t="s">
        <v>232</v>
      </c>
      <c r="C88" s="149" t="s">
        <v>236</v>
      </c>
      <c r="D88" s="150">
        <v>1</v>
      </c>
      <c r="E88" s="151">
        <v>0.70833333333333304</v>
      </c>
      <c r="F88" s="151">
        <v>0.77083333333332604</v>
      </c>
      <c r="G88" s="218" t="s">
        <v>65</v>
      </c>
      <c r="H88" s="150" t="s">
        <v>127</v>
      </c>
      <c r="I88" s="150">
        <f>INDEX(Aulas_capacidad,MATCH(base_de_datos[[#This Row],[Aula]],Aulas,0),2)</f>
        <v>30</v>
      </c>
      <c r="J88" s="152">
        <v>23</v>
      </c>
      <c r="K88" s="150">
        <f>INDEX(Aulas_capacidad,MATCH(base_de_datos[[#This Row],[Aula]],Aulas,0),4)</f>
        <v>12</v>
      </c>
      <c r="L88" s="153">
        <f>base_de_datos[[#This Row],[Cap 1.5]]-base_de_datos[[#This Row],[Inscritos]]</f>
        <v>-11</v>
      </c>
      <c r="M88" s="153">
        <f>INDEX(Aulas_capacidad,MATCH(base_de_datos[[#This Row],[Aula]],Aulas,0),5)</f>
        <v>18</v>
      </c>
      <c r="N88" s="153">
        <f>base_de_datos[[#This Row],[Cap .90]]-base_de_datos[[#This Row],[Inscritos]]</f>
        <v>-5</v>
      </c>
      <c r="O88" s="150">
        <v>1503</v>
      </c>
      <c r="P88" s="154" t="s">
        <v>67</v>
      </c>
      <c r="Q88" s="154"/>
      <c r="R88" s="154"/>
      <c r="S88" s="154"/>
      <c r="T88" s="154"/>
      <c r="U88" s="154"/>
      <c r="V88" s="154"/>
      <c r="W88" s="154" t="s">
        <v>1655</v>
      </c>
      <c r="X88" s="155">
        <f>_xlfn.XLOOKUP(base_de_datos[[#This Row],[Materia]],Materias,Horas)/16</f>
        <v>3</v>
      </c>
      <c r="Y88" s="155">
        <f>ROUND(((base_de_datos[[#This Row],[Hora fin]]-base_de_datos[[#This Row],[Hora inicio]])*24)*(COUNTA(base_de_datos[[#This Row],[Lunes]:[Sábado]])),1)</f>
        <v>1.5</v>
      </c>
      <c r="Z8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8" s="155">
        <f ca="1">IF(base_de_datos[[#This Row],[No clase]]=OFFSET(base_de_datos[[#This Row],[No clase]],-1,0),0,1)</f>
        <v>1</v>
      </c>
      <c r="AB88" s="155">
        <f ca="1">IF(NOT(OR(base_de_datos[[#This Row],[Horas totales]]=base_de_datos[[#This Row],[HT Plan]],base_de_datos[[#This Row],[Horas totales]]="N/A")),1,0)</f>
        <v>0</v>
      </c>
      <c r="AC88" s="155" t="str">
        <f>_xlfn.XLOOKUP(base_de_datos[[#This Row],[Profesor]],Nombre,Grado)</f>
        <v>M</v>
      </c>
      <c r="AD88" s="156" t="str">
        <f>_xlfn.XLOOKUP(base_de_datos[[#This Row],[Profesor]],Nombre,Tipo)</f>
        <v>TC</v>
      </c>
      <c r="AE88" s="155">
        <f>IF(IFERROR(VLOOKUP($C88,Planes_de_estudio[],MATCH($AE$2,Carreras,0)+2,0),"")&gt;0,IFERROR(VLOOKUP($C88,Planes_de_estudio[],MATCH($AE$2,Carreras,0)+2,0),""),"")</f>
        <v>7</v>
      </c>
      <c r="AF88" s="155" t="str">
        <f>IF(IFERROR(VLOOKUP($C88,Planes_de_estudio[],MATCH($AF$2,Carreras,0)+2,0),"")&gt;0,IFERROR(VLOOKUP($C88,Planes_de_estudio[],MATCH($AF$2,Carreras,0)+2,0),""),"")</f>
        <v/>
      </c>
      <c r="AG88" s="155" t="str">
        <f>IF(IFERROR(VLOOKUP($C88,Planes_de_estudio[],MATCH($AG$2,Carreras,0)+2,0),"")&gt;0,IFERROR(VLOOKUP($C88,Planes_de_estudio[],MATCH($AG$2,Carreras,0)+2,0),""),"")</f>
        <v/>
      </c>
      <c r="AH88" s="155" t="str">
        <f>IF(IFERROR(VLOOKUP($C88,Planes_de_estudio[],MATCH($AH$2,Carreras,0)+2,0),"")&gt;0,IFERROR(VLOOKUP($C88,Planes_de_estudio[],MATCH($AH$2,Carreras,0)+2,0),""),"")</f>
        <v/>
      </c>
      <c r="AI88" s="155" t="str">
        <f>IF(IFERROR(VLOOKUP($C88,Planes_de_estudio[],MATCH($AI$2,Carreras,0)+2,0),"")&gt;0,IFERROR(VLOOKUP($C88,Planes_de_estudio[],MATCH($AI$2,Carreras,0)+2,0),""),"")</f>
        <v/>
      </c>
      <c r="AJ88" s="155" t="str">
        <f>IF(IFERROR(VLOOKUP($C88,Planes_de_estudio[],MATCH($AJ$2,Carreras,0)+2,0),"")&gt;0,IFERROR(VLOOKUP($C88,Planes_de_estudio[],MATCH($AJ$2,Carreras,0)+2,0),""),"")</f>
        <v/>
      </c>
      <c r="AK88" s="155" t="str">
        <f>IF(IFERROR(VLOOKUP($C88,Planes_de_estudio[],MATCH($AK$2,Carreras,0)+2,0),"")&gt;0,IFERROR(VLOOKUP($C88,Planes_de_estudio[],MATCH($AK$2,Carreras,0)+2,0),""),"")</f>
        <v/>
      </c>
      <c r="AL8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88" s="155">
        <f>base_de_datos[[#This Row],[Pronóstico]]/25</f>
        <v>0.96</v>
      </c>
      <c r="AO88" s="155" t="str">
        <f>VLOOKUP($C88,Planes_de_estudio[],2)</f>
        <v>DOP</v>
      </c>
      <c r="AP88" s="157">
        <f ca="1">IF(AND(base_de_datos[[#This Row],[Industrial]]&lt;&gt;"",base_de_datos[[#This Row],[Misma o no]]=1),base_de_datos[[#This Row],[Índice]],"")</f>
        <v>4</v>
      </c>
      <c r="AQ88" s="157" t="str">
        <f ca="1">IF(AND(base_de_datos[[#This Row],[Mecatrónica]]&lt;&gt;"",base_de_datos[[#This Row],[Misma o no]]=1),base_de_datos[[#This Row],[Índice]],"")</f>
        <v/>
      </c>
      <c r="AR88" s="157" t="str">
        <f ca="1">IF(AND(base_de_datos[[#This Row],[Innovación y Diseño]]&lt;&gt;"",base_de_datos[[#This Row],[Misma o no]]=1),base_de_datos[[#This Row],[Índice]],"")</f>
        <v/>
      </c>
      <c r="AS88" s="157" t="str">
        <f ca="1">IF(AND(base_de_datos[[#This Row],[Inteligencia Artificial]]&lt;&gt;"",base_de_datos[[#This Row],[Misma o no]]=1),base_de_datos[[#This Row],[Índice]],"")</f>
        <v/>
      </c>
      <c r="AT88" s="157" t="str">
        <f ca="1">IF(AND(base_de_datos[[#This Row],[Tecnologías Energéticas]]&lt;&gt;"",base_de_datos[[#This Row],[Misma o no]]=1),base_de_datos[[#This Row],[Índice]],"")</f>
        <v/>
      </c>
      <c r="AU88" s="157" t="str">
        <f ca="1">IF(AND(base_de_datos[[#This Row],[Civil y Administración]]&lt;&gt;"",base_de_datos[[#This Row],[Misma o no]]=1),base_de_datos[[#This Row],[Índice]],"")</f>
        <v/>
      </c>
      <c r="AV88" s="157" t="str">
        <f ca="1">IF(AND(base_de_datos[[#This Row],[Bioelectrónica]]&lt;&gt;"",base_de_datos[[#This Row],[Misma o no]]=1),base_de_datos[[#This Row],[Índice]],"")</f>
        <v/>
      </c>
      <c r="AW88" s="158"/>
      <c r="AX88" s="231">
        <v>2</v>
      </c>
    </row>
    <row r="89" spans="2:50" s="6" customFormat="1" ht="15">
      <c r="B89" s="148" t="s">
        <v>232</v>
      </c>
      <c r="C89" s="149" t="s">
        <v>236</v>
      </c>
      <c r="D89" s="150">
        <v>1</v>
      </c>
      <c r="E89" s="151">
        <v>0.70833333333333304</v>
      </c>
      <c r="F89" s="151">
        <v>0.77083333333332604</v>
      </c>
      <c r="G89" s="218" t="s">
        <v>65</v>
      </c>
      <c r="H89" s="150" t="s">
        <v>237</v>
      </c>
      <c r="I89" s="150">
        <f>INDEX(Aulas_capacidad,MATCH(base_de_datos[[#This Row],[Aula]],Aulas,0),2)</f>
        <v>30</v>
      </c>
      <c r="J89" s="152">
        <v>23</v>
      </c>
      <c r="K89" s="150">
        <f>INDEX(Aulas_capacidad,MATCH(base_de_datos[[#This Row],[Aula]],Aulas,0),4)</f>
        <v>0</v>
      </c>
      <c r="L89" s="153">
        <f>base_de_datos[[#This Row],[Cap 1.5]]-base_de_datos[[#This Row],[Inscritos]]</f>
        <v>-23</v>
      </c>
      <c r="M89" s="153">
        <f>INDEX(Aulas_capacidad,MATCH(base_de_datos[[#This Row],[Aula]],Aulas,0),5)</f>
        <v>0</v>
      </c>
      <c r="N89" s="153">
        <f>base_de_datos[[#This Row],[Cap .90]]-base_de_datos[[#This Row],[Inscritos]]</f>
        <v>-23</v>
      </c>
      <c r="O89" s="150">
        <v>1503</v>
      </c>
      <c r="P89" s="154"/>
      <c r="Q89" s="154"/>
      <c r="R89" s="154" t="s">
        <v>67</v>
      </c>
      <c r="S89" s="154"/>
      <c r="T89" s="154"/>
      <c r="U89" s="154"/>
      <c r="V89" s="154"/>
      <c r="W89" s="154" t="s">
        <v>1655</v>
      </c>
      <c r="X89" s="174">
        <f>_xlfn.XLOOKUP(base_de_datos[[#This Row],[Materia]],Materias,Horas)/16</f>
        <v>3</v>
      </c>
      <c r="Y89" s="174">
        <f>ROUND(((base_de_datos[[#This Row],[Hora fin]]-base_de_datos[[#This Row],[Hora inicio]])*24)*(COUNTA(base_de_datos[[#This Row],[Lunes]:[Sábado]])),1)</f>
        <v>1.5</v>
      </c>
      <c r="Z89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9" s="155">
        <f ca="1">IF(base_de_datos[[#This Row],[No clase]]=OFFSET(base_de_datos[[#This Row],[No clase]],-1,0),0,1)</f>
        <v>0</v>
      </c>
      <c r="AB89" s="155">
        <f ca="1">IF(NOT(OR(base_de_datos[[#This Row],[Horas totales]]=base_de_datos[[#This Row],[HT Plan]],base_de_datos[[#This Row],[Horas totales]]="N/A")),1,0)</f>
        <v>0</v>
      </c>
      <c r="AC89" s="155" t="str">
        <f>_xlfn.XLOOKUP(base_de_datos[[#This Row],[Profesor]],Nombre,Grado)</f>
        <v>M</v>
      </c>
      <c r="AD89" s="156" t="str">
        <f>_xlfn.XLOOKUP(base_de_datos[[#This Row],[Profesor]],Nombre,Tipo)</f>
        <v>TC</v>
      </c>
      <c r="AE89" s="155">
        <f>IF(IFERROR(VLOOKUP($C89,Planes_de_estudio[],MATCH($AE$2,Carreras,0)+2,0),"")&gt;0,IFERROR(VLOOKUP($C89,Planes_de_estudio[],MATCH($AE$2,Carreras,0)+2,0),""),"")</f>
        <v>7</v>
      </c>
      <c r="AF89" s="155" t="str">
        <f>IF(IFERROR(VLOOKUP($C89,Planes_de_estudio[],MATCH($AF$2,Carreras,0)+2,0),"")&gt;0,IFERROR(VLOOKUP($C89,Planes_de_estudio[],MATCH($AF$2,Carreras,0)+2,0),""),"")</f>
        <v/>
      </c>
      <c r="AG89" s="155" t="str">
        <f>IF(IFERROR(VLOOKUP($C89,Planes_de_estudio[],MATCH($AG$2,Carreras,0)+2,0),"")&gt;0,IFERROR(VLOOKUP($C89,Planes_de_estudio[],MATCH($AG$2,Carreras,0)+2,0),""),"")</f>
        <v/>
      </c>
      <c r="AH89" s="155" t="str">
        <f>IF(IFERROR(VLOOKUP($C89,Planes_de_estudio[],MATCH($AH$2,Carreras,0)+2,0),"")&gt;0,IFERROR(VLOOKUP($C89,Planes_de_estudio[],MATCH($AH$2,Carreras,0)+2,0),""),"")</f>
        <v/>
      </c>
      <c r="AI89" s="155" t="str">
        <f>IF(IFERROR(VLOOKUP($C89,Planes_de_estudio[],MATCH($AI$2,Carreras,0)+2,0),"")&gt;0,IFERROR(VLOOKUP($C89,Planes_de_estudio[],MATCH($AI$2,Carreras,0)+2,0),""),"")</f>
        <v/>
      </c>
      <c r="AJ89" s="155" t="str">
        <f>IF(IFERROR(VLOOKUP($C89,Planes_de_estudio[],MATCH($AJ$2,Carreras,0)+2,0),"")&gt;0,IFERROR(VLOOKUP($C89,Planes_de_estudio[],MATCH($AJ$2,Carreras,0)+2,0),""),"")</f>
        <v/>
      </c>
      <c r="AK89" s="155" t="str">
        <f>IF(IFERROR(VLOOKUP($C89,Planes_de_estudio[],MATCH($AK$2,Carreras,0)+2,0),"")&gt;0,IFERROR(VLOOKUP($C89,Planes_de_estudio[],MATCH($AK$2,Carreras,0)+2,0),""),"")</f>
        <v/>
      </c>
      <c r="AL8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89" s="155">
        <f>base_de_datos[[#This Row],[Pronóstico]]/25</f>
        <v>0.96</v>
      </c>
      <c r="AO89" s="155" t="str">
        <f>VLOOKUP($C89,Planes_de_estudio[],2)</f>
        <v>DOP</v>
      </c>
      <c r="AP89" s="157" t="str">
        <f ca="1">IF(AND(base_de_datos[[#This Row],[Industrial]]&lt;&gt;"",base_de_datos[[#This Row],[Misma o no]]=1),base_de_datos[[#This Row],[Índice]],"")</f>
        <v/>
      </c>
      <c r="AQ89" s="157" t="str">
        <f ca="1">IF(AND(base_de_datos[[#This Row],[Mecatrónica]]&lt;&gt;"",base_de_datos[[#This Row],[Misma o no]]=1),base_de_datos[[#This Row],[Índice]],"")</f>
        <v/>
      </c>
      <c r="AR89" s="157" t="str">
        <f ca="1">IF(AND(base_de_datos[[#This Row],[Innovación y Diseño]]&lt;&gt;"",base_de_datos[[#This Row],[Misma o no]]=1),base_de_datos[[#This Row],[Índice]],"")</f>
        <v/>
      </c>
      <c r="AS89" s="157" t="str">
        <f ca="1">IF(AND(base_de_datos[[#This Row],[Inteligencia Artificial]]&lt;&gt;"",base_de_datos[[#This Row],[Misma o no]]=1),base_de_datos[[#This Row],[Índice]],"")</f>
        <v/>
      </c>
      <c r="AT89" s="157" t="str">
        <f ca="1">IF(AND(base_de_datos[[#This Row],[Tecnologías Energéticas]]&lt;&gt;"",base_de_datos[[#This Row],[Misma o no]]=1),base_de_datos[[#This Row],[Índice]],"")</f>
        <v/>
      </c>
      <c r="AU89" s="157" t="str">
        <f ca="1">IF(AND(base_de_datos[[#This Row],[Civil y Administración]]&lt;&gt;"",base_de_datos[[#This Row],[Misma o no]]=1),base_de_datos[[#This Row],[Índice]],"")</f>
        <v/>
      </c>
      <c r="AV89" s="157" t="str">
        <f ca="1">IF(AND(base_de_datos[[#This Row],[Bioelectrónica]]&lt;&gt;"",base_de_datos[[#This Row],[Misma o no]]=1),base_de_datos[[#This Row],[Índice]],"")</f>
        <v/>
      </c>
      <c r="AW89" s="158"/>
      <c r="AX89" s="231">
        <v>2</v>
      </c>
    </row>
    <row r="90" spans="2:50" s="6" customFormat="1" ht="15">
      <c r="B90" s="148" t="s">
        <v>238</v>
      </c>
      <c r="C90" s="149" t="s">
        <v>239</v>
      </c>
      <c r="D90" s="150">
        <v>4</v>
      </c>
      <c r="E90" s="151">
        <v>0.5</v>
      </c>
      <c r="F90" s="151">
        <v>0.58333333333332904</v>
      </c>
      <c r="G90" s="150"/>
      <c r="H90" s="150" t="s">
        <v>80</v>
      </c>
      <c r="I90" s="150">
        <f>INDEX(Aulas_capacidad,MATCH(base_de_datos[[#This Row],[Aula]],Aulas,0),2)</f>
        <v>30</v>
      </c>
      <c r="J90" s="152">
        <v>24</v>
      </c>
      <c r="K90" s="150">
        <f>INDEX(Aulas_capacidad,MATCH(base_de_datos[[#This Row],[Aula]],Aulas,0),4)</f>
        <v>0</v>
      </c>
      <c r="L90" s="153">
        <f>base_de_datos[[#This Row],[Cap 1.5]]-base_de_datos[[#This Row],[Inscritos]]</f>
        <v>-24</v>
      </c>
      <c r="M90" s="153">
        <f>INDEX(Aulas_capacidad,MATCH(base_de_datos[[#This Row],[Aula]],Aulas,0),5)</f>
        <v>0</v>
      </c>
      <c r="N90" s="153">
        <f>base_de_datos[[#This Row],[Cap .90]]-base_de_datos[[#This Row],[Inscritos]]</f>
        <v>-24</v>
      </c>
      <c r="O90" s="150" t="s">
        <v>240</v>
      </c>
      <c r="P90" s="154" t="s">
        <v>67</v>
      </c>
      <c r="Q90" s="154"/>
      <c r="R90" s="154"/>
      <c r="S90" s="154"/>
      <c r="T90" s="154"/>
      <c r="U90" s="154"/>
      <c r="V90" s="154"/>
      <c r="W90" s="154" t="s">
        <v>1653</v>
      </c>
      <c r="X90" s="155">
        <f>_xlfn.XLOOKUP(base_de_datos[[#This Row],[Materia]],Materias,Horas)/16</f>
        <v>4</v>
      </c>
      <c r="Y90" s="155">
        <f>ROUND(((base_de_datos[[#This Row],[Hora fin]]-base_de_datos[[#This Row],[Hora inicio]])*24)*(COUNTA(base_de_datos[[#This Row],[Lunes]:[Sábado]])),1)</f>
        <v>2</v>
      </c>
      <c r="Z9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0" s="155">
        <f ca="1">IF(base_de_datos[[#This Row],[No clase]]=OFFSET(base_de_datos[[#This Row],[No clase]],-1,0),0,1)</f>
        <v>1</v>
      </c>
      <c r="AB90" s="155">
        <f ca="1">IF(NOT(OR(base_de_datos[[#This Row],[Horas totales]]=base_de_datos[[#This Row],[HT Plan]],base_de_datos[[#This Row],[Horas totales]]="N/A")),1,0)</f>
        <v>0</v>
      </c>
      <c r="AC90" s="155" t="str">
        <f>_xlfn.XLOOKUP(base_de_datos[[#This Row],[Profesor]],Nombre,Grado)</f>
        <v>M</v>
      </c>
      <c r="AD90" s="156" t="str">
        <f>_xlfn.XLOOKUP(base_de_datos[[#This Row],[Profesor]],Nombre,Tipo)</f>
        <v>A</v>
      </c>
      <c r="AE90" s="155">
        <f>IF(IFERROR(VLOOKUP($C90,Planes_de_estudio[],MATCH($AE$2,Carreras,0)+2,0),"")&gt;0,IFERROR(VLOOKUP($C90,Planes_de_estudio[],MATCH($AE$2,Carreras,0)+2,0),""),"")</f>
        <v>1</v>
      </c>
      <c r="AF90" s="155">
        <f>IF(IFERROR(VLOOKUP($C90,Planes_de_estudio[],MATCH($AF$2,Carreras,0)+2,0),"")&gt;0,IFERROR(VLOOKUP($C90,Planes_de_estudio[],MATCH($AF$2,Carreras,0)+2,0),""),"")</f>
        <v>1</v>
      </c>
      <c r="AG90" s="155">
        <f>IF(IFERROR(VLOOKUP($C90,Planes_de_estudio[],MATCH($AG$2,Carreras,0)+2,0),"")&gt;0,IFERROR(VLOOKUP($C90,Planes_de_estudio[],MATCH($AG$2,Carreras,0)+2,0),""),"")</f>
        <v>1</v>
      </c>
      <c r="AH90" s="155">
        <f>IF(IFERROR(VLOOKUP($C90,Planes_de_estudio[],MATCH($AH$2,Carreras,0)+2,0),"")&gt;0,IFERROR(VLOOKUP($C90,Planes_de_estudio[],MATCH($AH$2,Carreras,0)+2,0),""),"")</f>
        <v>1</v>
      </c>
      <c r="AI90" s="155">
        <f>IF(IFERROR(VLOOKUP($C90,Planes_de_estudio[],MATCH($AI$2,Carreras,0)+2,0),"")&gt;0,IFERROR(VLOOKUP($C90,Planes_de_estudio[],MATCH($AI$2,Carreras,0)+2,0),""),"")</f>
        <v>2</v>
      </c>
      <c r="AJ90" s="155">
        <f>IF(IFERROR(VLOOKUP($C90,Planes_de_estudio[],MATCH($AJ$2,Carreras,0)+2,0),"")&gt;0,IFERROR(VLOOKUP($C90,Planes_de_estudio[],MATCH($AJ$2,Carreras,0)+2,0),""),"")</f>
        <v>1</v>
      </c>
      <c r="AK90" s="155">
        <f>IF(IFERROR(VLOOKUP($C90,Planes_de_estudio[],MATCH($AK$2,Carreras,0)+2,0),"")&gt;0,IFERROR(VLOOKUP($C90,Planes_de_estudio[],MATCH($AK$2,Carreras,0)+2,0),""),"")</f>
        <v>1</v>
      </c>
      <c r="AL9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90" s="155">
        <f>base_de_datos[[#This Row],[Pronóstico]]/25</f>
        <v>4.16</v>
      </c>
      <c r="AO90" s="155" t="str">
        <f>VLOOKUP($C90,Planes_de_estudio[],2)</f>
        <v>MEC</v>
      </c>
      <c r="AP90" s="157">
        <f ca="1">IF(AND(base_de_datos[[#This Row],[Industrial]]&lt;&gt;"",base_de_datos[[#This Row],[Misma o no]]=1),base_de_datos[[#This Row],[Índice]],"")</f>
        <v>4</v>
      </c>
      <c r="AQ90" s="157">
        <f ca="1">IF(AND(base_de_datos[[#This Row],[Mecatrónica]]&lt;&gt;"",base_de_datos[[#This Row],[Misma o no]]=1),base_de_datos[[#This Row],[Índice]],"")</f>
        <v>4</v>
      </c>
      <c r="AR90" s="157">
        <f ca="1">IF(AND(base_de_datos[[#This Row],[Innovación y Diseño]]&lt;&gt;"",base_de_datos[[#This Row],[Misma o no]]=1),base_de_datos[[#This Row],[Índice]],"")</f>
        <v>4</v>
      </c>
      <c r="AS90" s="157">
        <f ca="1">IF(AND(base_de_datos[[#This Row],[Inteligencia Artificial]]&lt;&gt;"",base_de_datos[[#This Row],[Misma o no]]=1),base_de_datos[[#This Row],[Índice]],"")</f>
        <v>4</v>
      </c>
      <c r="AT90" s="157">
        <f ca="1">IF(AND(base_de_datos[[#This Row],[Tecnologías Energéticas]]&lt;&gt;"",base_de_datos[[#This Row],[Misma o no]]=1),base_de_datos[[#This Row],[Índice]],"")</f>
        <v>4</v>
      </c>
      <c r="AU90" s="157">
        <f ca="1">IF(AND(base_de_datos[[#This Row],[Civil y Administración]]&lt;&gt;"",base_de_datos[[#This Row],[Misma o no]]=1),base_de_datos[[#This Row],[Índice]],"")</f>
        <v>4</v>
      </c>
      <c r="AV90" s="157">
        <f ca="1">IF(AND(base_de_datos[[#This Row],[Bioelectrónica]]&lt;&gt;"",base_de_datos[[#This Row],[Misma o no]]=1),base_de_datos[[#This Row],[Índice]],"")</f>
        <v>4</v>
      </c>
      <c r="AW90" s="158"/>
      <c r="AX90" s="231">
        <v>2</v>
      </c>
    </row>
    <row r="91" spans="2:50" s="6" customFormat="1" ht="15">
      <c r="B91" s="148" t="s">
        <v>238</v>
      </c>
      <c r="C91" s="149" t="s">
        <v>239</v>
      </c>
      <c r="D91" s="150">
        <v>4</v>
      </c>
      <c r="E91" s="151">
        <v>0.5</v>
      </c>
      <c r="F91" s="151">
        <v>0.58333333333332904</v>
      </c>
      <c r="G91" s="150"/>
      <c r="H91" s="150" t="s">
        <v>182</v>
      </c>
      <c r="I91" s="150">
        <f>INDEX(Aulas_capacidad,MATCH(base_de_datos[[#This Row],[Aula]],Aulas,0),2)</f>
        <v>30</v>
      </c>
      <c r="J91" s="152">
        <v>24</v>
      </c>
      <c r="K91" s="150">
        <f>INDEX(Aulas_capacidad,MATCH(base_de_datos[[#This Row],[Aula]],Aulas,0),4)</f>
        <v>12</v>
      </c>
      <c r="L91" s="153">
        <f>base_de_datos[[#This Row],[Cap 1.5]]-base_de_datos[[#This Row],[Inscritos]]</f>
        <v>-12</v>
      </c>
      <c r="M91" s="153">
        <f>INDEX(Aulas_capacidad,MATCH(base_de_datos[[#This Row],[Aula]],Aulas,0),5)</f>
        <v>18</v>
      </c>
      <c r="N91" s="153">
        <f>base_de_datos[[#This Row],[Cap .90]]-base_de_datos[[#This Row],[Inscritos]]</f>
        <v>-6</v>
      </c>
      <c r="O91" s="150" t="s">
        <v>240</v>
      </c>
      <c r="P91" s="154"/>
      <c r="Q91" s="154"/>
      <c r="R91" s="154" t="s">
        <v>67</v>
      </c>
      <c r="S91" s="154"/>
      <c r="T91" s="154"/>
      <c r="U91" s="154"/>
      <c r="V91" s="154"/>
      <c r="W91" s="154" t="s">
        <v>1653</v>
      </c>
      <c r="X91" s="155">
        <f>_xlfn.XLOOKUP(base_de_datos[[#This Row],[Materia]],Materias,Horas)/16</f>
        <v>4</v>
      </c>
      <c r="Y91" s="155">
        <f>ROUND(((base_de_datos[[#This Row],[Hora fin]]-base_de_datos[[#This Row],[Hora inicio]])*24)*(COUNTA(base_de_datos[[#This Row],[Lunes]:[Sábado]])),1)</f>
        <v>2</v>
      </c>
      <c r="Z9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1" s="155">
        <f ca="1">IF(base_de_datos[[#This Row],[No clase]]=OFFSET(base_de_datos[[#This Row],[No clase]],-1,0),0,1)</f>
        <v>0</v>
      </c>
      <c r="AB91" s="155">
        <f ca="1">IF(NOT(OR(base_de_datos[[#This Row],[Horas totales]]=base_de_datos[[#This Row],[HT Plan]],base_de_datos[[#This Row],[Horas totales]]="N/A")),1,0)</f>
        <v>0</v>
      </c>
      <c r="AC91" s="155" t="str">
        <f>_xlfn.XLOOKUP(base_de_datos[[#This Row],[Profesor]],Nombre,Grado)</f>
        <v>M</v>
      </c>
      <c r="AD91" s="156" t="str">
        <f>_xlfn.XLOOKUP(base_de_datos[[#This Row],[Profesor]],Nombre,Tipo)</f>
        <v>A</v>
      </c>
      <c r="AE91" s="155">
        <f>IF(IFERROR(VLOOKUP($C91,Planes_de_estudio[],MATCH($AE$2,Carreras,0)+2,0),"")&gt;0,IFERROR(VLOOKUP($C91,Planes_de_estudio[],MATCH($AE$2,Carreras,0)+2,0),""),"")</f>
        <v>1</v>
      </c>
      <c r="AF91" s="155">
        <f>IF(IFERROR(VLOOKUP($C91,Planes_de_estudio[],MATCH($AF$2,Carreras,0)+2,0),"")&gt;0,IFERROR(VLOOKUP($C91,Planes_de_estudio[],MATCH($AF$2,Carreras,0)+2,0),""),"")</f>
        <v>1</v>
      </c>
      <c r="AG91" s="155">
        <f>IF(IFERROR(VLOOKUP($C91,Planes_de_estudio[],MATCH($AG$2,Carreras,0)+2,0),"")&gt;0,IFERROR(VLOOKUP($C91,Planes_de_estudio[],MATCH($AG$2,Carreras,0)+2,0),""),"")</f>
        <v>1</v>
      </c>
      <c r="AH91" s="155">
        <f>IF(IFERROR(VLOOKUP($C91,Planes_de_estudio[],MATCH($AH$2,Carreras,0)+2,0),"")&gt;0,IFERROR(VLOOKUP($C91,Planes_de_estudio[],MATCH($AH$2,Carreras,0)+2,0),""),"")</f>
        <v>1</v>
      </c>
      <c r="AI91" s="155">
        <f>IF(IFERROR(VLOOKUP($C91,Planes_de_estudio[],MATCH($AI$2,Carreras,0)+2,0),"")&gt;0,IFERROR(VLOOKUP($C91,Planes_de_estudio[],MATCH($AI$2,Carreras,0)+2,0),""),"")</f>
        <v>2</v>
      </c>
      <c r="AJ91" s="155">
        <f>IF(IFERROR(VLOOKUP($C91,Planes_de_estudio[],MATCH($AJ$2,Carreras,0)+2,0),"")&gt;0,IFERROR(VLOOKUP($C91,Planes_de_estudio[],MATCH($AJ$2,Carreras,0)+2,0),""),"")</f>
        <v>1</v>
      </c>
      <c r="AK91" s="155">
        <f>IF(IFERROR(VLOOKUP($C91,Planes_de_estudio[],MATCH($AK$2,Carreras,0)+2,0),"")&gt;0,IFERROR(VLOOKUP($C91,Planes_de_estudio[],MATCH($AK$2,Carreras,0)+2,0),""),"")</f>
        <v>1</v>
      </c>
      <c r="AL9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91" s="155">
        <f>base_de_datos[[#This Row],[Pronóstico]]/25</f>
        <v>4.16</v>
      </c>
      <c r="AO91" s="155" t="str">
        <f>VLOOKUP($C91,Planes_de_estudio[],2)</f>
        <v>MEC</v>
      </c>
      <c r="AP91" s="157" t="str">
        <f ca="1">IF(AND(base_de_datos[[#This Row],[Industrial]]&lt;&gt;"",base_de_datos[[#This Row],[Misma o no]]=1),base_de_datos[[#This Row],[Índice]],"")</f>
        <v/>
      </c>
      <c r="AQ91" s="157" t="str">
        <f ca="1">IF(AND(base_de_datos[[#This Row],[Mecatrónica]]&lt;&gt;"",base_de_datos[[#This Row],[Misma o no]]=1),base_de_datos[[#This Row],[Índice]],"")</f>
        <v/>
      </c>
      <c r="AR91" s="157" t="str">
        <f ca="1">IF(AND(base_de_datos[[#This Row],[Innovación y Diseño]]&lt;&gt;"",base_de_datos[[#This Row],[Misma o no]]=1),base_de_datos[[#This Row],[Índice]],"")</f>
        <v/>
      </c>
      <c r="AS91" s="157" t="str">
        <f ca="1">IF(AND(base_de_datos[[#This Row],[Inteligencia Artificial]]&lt;&gt;"",base_de_datos[[#This Row],[Misma o no]]=1),base_de_datos[[#This Row],[Índice]],"")</f>
        <v/>
      </c>
      <c r="AT91" s="157" t="str">
        <f ca="1">IF(AND(base_de_datos[[#This Row],[Tecnologías Energéticas]]&lt;&gt;"",base_de_datos[[#This Row],[Misma o no]]=1),base_de_datos[[#This Row],[Índice]],"")</f>
        <v/>
      </c>
      <c r="AU91" s="157" t="str">
        <f ca="1">IF(AND(base_de_datos[[#This Row],[Civil y Administración]]&lt;&gt;"",base_de_datos[[#This Row],[Misma o no]]=1),base_de_datos[[#This Row],[Índice]],"")</f>
        <v/>
      </c>
      <c r="AV91" s="157" t="str">
        <f ca="1">IF(AND(base_de_datos[[#This Row],[Bioelectrónica]]&lt;&gt;"",base_de_datos[[#This Row],[Misma o no]]=1),base_de_datos[[#This Row],[Índice]],"")</f>
        <v/>
      </c>
      <c r="AW91" s="158"/>
      <c r="AX91" s="231" t="s">
        <v>1634</v>
      </c>
    </row>
    <row r="92" spans="2:50" s="6" customFormat="1" ht="15">
      <c r="B92" s="148" t="s">
        <v>238</v>
      </c>
      <c r="C92" s="149" t="s">
        <v>241</v>
      </c>
      <c r="D92" s="150">
        <v>1</v>
      </c>
      <c r="E92" s="151">
        <v>0.70833333333333304</v>
      </c>
      <c r="F92" s="151">
        <v>0.79166666666665897</v>
      </c>
      <c r="G92" s="150"/>
      <c r="H92" s="150" t="s">
        <v>242</v>
      </c>
      <c r="I92" s="150">
        <f>INDEX(Aulas_capacidad,MATCH(base_de_datos[[#This Row],[Aula]],Aulas,0),2)</f>
        <v>20</v>
      </c>
      <c r="J92" s="152"/>
      <c r="K92" s="150">
        <f>INDEX(Aulas_capacidad,MATCH(base_de_datos[[#This Row],[Aula]],Aulas,0),4)</f>
        <v>8</v>
      </c>
      <c r="L92" s="153">
        <f>base_de_datos[[#This Row],[Cap 1.5]]-base_de_datos[[#This Row],[Inscritos]]</f>
        <v>8</v>
      </c>
      <c r="M92" s="153">
        <f>INDEX(Aulas_capacidad,MATCH(base_de_datos[[#This Row],[Aula]],Aulas,0),5)</f>
        <v>10</v>
      </c>
      <c r="N92" s="153">
        <f>base_de_datos[[#This Row],[Cap .90]]-base_de_datos[[#This Row],[Inscritos]]</f>
        <v>10</v>
      </c>
      <c r="O92" s="150" t="s">
        <v>243</v>
      </c>
      <c r="P92" s="154" t="s">
        <v>67</v>
      </c>
      <c r="Q92" s="154"/>
      <c r="R92" s="154"/>
      <c r="S92" s="154"/>
      <c r="T92" s="154"/>
      <c r="U92" s="154"/>
      <c r="V92" s="154"/>
      <c r="W92" s="154" t="s">
        <v>1655</v>
      </c>
      <c r="X92" s="155">
        <f>_xlfn.XLOOKUP(base_de_datos[[#This Row],[Materia]],Materias,Horas)/16</f>
        <v>4</v>
      </c>
      <c r="Y92" s="155">
        <f>ROUND(((base_de_datos[[#This Row],[Hora fin]]-base_de_datos[[#This Row],[Hora inicio]])*24)*(COUNTA(base_de_datos[[#This Row],[Lunes]:[Sábado]])),1)</f>
        <v>2</v>
      </c>
      <c r="Z9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2" s="155">
        <f ca="1">IF(base_de_datos[[#This Row],[No clase]]=OFFSET(base_de_datos[[#This Row],[No clase]],-1,0),0,1)</f>
        <v>1</v>
      </c>
      <c r="AB92" s="155">
        <f ca="1">IF(NOT(OR(base_de_datos[[#This Row],[Horas totales]]=base_de_datos[[#This Row],[HT Plan]],base_de_datos[[#This Row],[Horas totales]]="N/A")),1,0)</f>
        <v>0</v>
      </c>
      <c r="AC92" s="155" t="str">
        <f>_xlfn.XLOOKUP(base_de_datos[[#This Row],[Profesor]],Nombre,Grado)</f>
        <v>M</v>
      </c>
      <c r="AD92" s="156" t="str">
        <f>_xlfn.XLOOKUP(base_de_datos[[#This Row],[Profesor]],Nombre,Tipo)</f>
        <v>A</v>
      </c>
      <c r="AE92" s="155" t="str">
        <f>IF(IFERROR(VLOOKUP($C92,Planes_de_estudio[],MATCH($AE$2,Carreras,0)+2,0),"")&gt;0,IFERROR(VLOOKUP($C92,Planes_de_estudio[],MATCH($AE$2,Carreras,0)+2,0),""),"")</f>
        <v/>
      </c>
      <c r="AF92" s="155">
        <f>IF(IFERROR(VLOOKUP($C92,Planes_de_estudio[],MATCH($AF$2,Carreras,0)+2,0),"")&gt;0,IFERROR(VLOOKUP($C92,Planes_de_estudio[],MATCH($AF$2,Carreras,0)+2,0),""),"")</f>
        <v>5</v>
      </c>
      <c r="AG92" s="155" t="str">
        <f>IF(IFERROR(VLOOKUP($C92,Planes_de_estudio[],MATCH($AG$2,Carreras,0)+2,0),"")&gt;0,IFERROR(VLOOKUP($C92,Planes_de_estudio[],MATCH($AG$2,Carreras,0)+2,0),""),"")</f>
        <v/>
      </c>
      <c r="AH92" s="155" t="str">
        <f>IF(IFERROR(VLOOKUP($C92,Planes_de_estudio[],MATCH($AH$2,Carreras,0)+2,0),"")&gt;0,IFERROR(VLOOKUP($C92,Planes_de_estudio[],MATCH($AH$2,Carreras,0)+2,0),""),"")</f>
        <v/>
      </c>
      <c r="AI92" s="155" t="str">
        <f>IF(IFERROR(VLOOKUP($C92,Planes_de_estudio[],MATCH($AI$2,Carreras,0)+2,0),"")&gt;0,IFERROR(VLOOKUP($C92,Planes_de_estudio[],MATCH($AI$2,Carreras,0)+2,0),""),"")</f>
        <v/>
      </c>
      <c r="AJ92" s="155" t="str">
        <f>IF(IFERROR(VLOOKUP($C92,Planes_de_estudio[],MATCH($AJ$2,Carreras,0)+2,0),"")&gt;0,IFERROR(VLOOKUP($C92,Planes_de_estudio[],MATCH($AJ$2,Carreras,0)+2,0),""),"")</f>
        <v/>
      </c>
      <c r="AK92" s="155" t="str">
        <f>IF(IFERROR(VLOOKUP($C92,Planes_de_estudio[],MATCH($AK$2,Carreras,0)+2,0),"")&gt;0,IFERROR(VLOOKUP($C92,Planes_de_estudio[],MATCH($AK$2,Carreras,0)+2,0),""),"")</f>
        <v/>
      </c>
      <c r="AL9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92" s="155">
        <f>base_de_datos[[#This Row],[Pronóstico]]/25</f>
        <v>0.56000000000000005</v>
      </c>
      <c r="AO92" s="155" t="str">
        <f>VLOOKUP($C92,Planes_de_estudio[],2)</f>
        <v>MEC</v>
      </c>
      <c r="AP92" s="157" t="str">
        <f ca="1">IF(AND(base_de_datos[[#This Row],[Industrial]]&lt;&gt;"",base_de_datos[[#This Row],[Misma o no]]=1),base_de_datos[[#This Row],[Índice]],"")</f>
        <v/>
      </c>
      <c r="AQ92" s="157">
        <f ca="1">IF(AND(base_de_datos[[#This Row],[Mecatrónica]]&lt;&gt;"",base_de_datos[[#This Row],[Misma o no]]=1),base_de_datos[[#This Row],[Índice]],"")</f>
        <v>4</v>
      </c>
      <c r="AR92" s="157" t="str">
        <f ca="1">IF(AND(base_de_datos[[#This Row],[Innovación y Diseño]]&lt;&gt;"",base_de_datos[[#This Row],[Misma o no]]=1),base_de_datos[[#This Row],[Índice]],"")</f>
        <v/>
      </c>
      <c r="AS92" s="157" t="str">
        <f ca="1">IF(AND(base_de_datos[[#This Row],[Inteligencia Artificial]]&lt;&gt;"",base_de_datos[[#This Row],[Misma o no]]=1),base_de_datos[[#This Row],[Índice]],"")</f>
        <v/>
      </c>
      <c r="AT92" s="157" t="str">
        <f ca="1">IF(AND(base_de_datos[[#This Row],[Tecnologías Energéticas]]&lt;&gt;"",base_de_datos[[#This Row],[Misma o no]]=1),base_de_datos[[#This Row],[Índice]],"")</f>
        <v/>
      </c>
      <c r="AU92" s="157" t="str">
        <f ca="1">IF(AND(base_de_datos[[#This Row],[Civil y Administración]]&lt;&gt;"",base_de_datos[[#This Row],[Misma o no]]=1),base_de_datos[[#This Row],[Índice]],"")</f>
        <v/>
      </c>
      <c r="AV92" s="157" t="str">
        <f ca="1">IF(AND(base_de_datos[[#This Row],[Bioelectrónica]]&lt;&gt;"",base_de_datos[[#This Row],[Misma o no]]=1),base_de_datos[[#This Row],[Índice]],"")</f>
        <v/>
      </c>
      <c r="AW92" s="158"/>
      <c r="AX92" s="231" t="s">
        <v>1634</v>
      </c>
    </row>
    <row r="93" spans="2:50" s="6" customFormat="1" ht="15">
      <c r="B93" s="148" t="s">
        <v>238</v>
      </c>
      <c r="C93" s="149" t="s">
        <v>241</v>
      </c>
      <c r="D93" s="150">
        <v>1</v>
      </c>
      <c r="E93" s="151">
        <v>0.70833333333333304</v>
      </c>
      <c r="F93" s="151">
        <v>0.79166666666665897</v>
      </c>
      <c r="G93" s="150"/>
      <c r="H93" s="150" t="s">
        <v>70</v>
      </c>
      <c r="I93" s="150">
        <f>INDEX(Aulas_capacidad,MATCH(base_de_datos[[#This Row],[Aula]],Aulas,0),2)</f>
        <v>20</v>
      </c>
      <c r="J93" s="152">
        <v>18</v>
      </c>
      <c r="K93" s="150">
        <f>INDEX(Aulas_capacidad,MATCH(base_de_datos[[#This Row],[Aula]],Aulas,0),4)</f>
        <v>8</v>
      </c>
      <c r="L93" s="153">
        <f>base_de_datos[[#This Row],[Cap 1.5]]-base_de_datos[[#This Row],[Inscritos]]</f>
        <v>-10</v>
      </c>
      <c r="M93" s="153">
        <f>INDEX(Aulas_capacidad,MATCH(base_de_datos[[#This Row],[Aula]],Aulas,0),5)</f>
        <v>10</v>
      </c>
      <c r="N93" s="153">
        <f>base_de_datos[[#This Row],[Cap .90]]-base_de_datos[[#This Row],[Inscritos]]</f>
        <v>-8</v>
      </c>
      <c r="O93" s="150" t="s">
        <v>243</v>
      </c>
      <c r="P93" s="154"/>
      <c r="Q93" s="154"/>
      <c r="R93" s="154" t="s">
        <v>67</v>
      </c>
      <c r="S93" s="154"/>
      <c r="T93" s="154"/>
      <c r="U93" s="154"/>
      <c r="V93" s="154"/>
      <c r="W93" s="154" t="s">
        <v>1655</v>
      </c>
      <c r="X93" s="155">
        <f>_xlfn.XLOOKUP(base_de_datos[[#This Row],[Materia]],Materias,Horas)/16</f>
        <v>4</v>
      </c>
      <c r="Y93" s="155">
        <f>ROUND(((base_de_datos[[#This Row],[Hora fin]]-base_de_datos[[#This Row],[Hora inicio]])*24)*(COUNTA(base_de_datos[[#This Row],[Lunes]:[Sábado]])),1)</f>
        <v>2</v>
      </c>
      <c r="Z9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3" s="155">
        <f ca="1">IF(base_de_datos[[#This Row],[No clase]]=OFFSET(base_de_datos[[#This Row],[No clase]],-1,0),0,1)</f>
        <v>0</v>
      </c>
      <c r="AB93" s="155">
        <f ca="1">IF(NOT(OR(base_de_datos[[#This Row],[Horas totales]]=base_de_datos[[#This Row],[HT Plan]],base_de_datos[[#This Row],[Horas totales]]="N/A")),1,0)</f>
        <v>0</v>
      </c>
      <c r="AC93" s="155" t="str">
        <f>_xlfn.XLOOKUP(base_de_datos[[#This Row],[Profesor]],Nombre,Grado)</f>
        <v>M</v>
      </c>
      <c r="AD93" s="156" t="str">
        <f>_xlfn.XLOOKUP(base_de_datos[[#This Row],[Profesor]],Nombre,Tipo)</f>
        <v>A</v>
      </c>
      <c r="AE93" s="155" t="str">
        <f>IF(IFERROR(VLOOKUP($C93,Planes_de_estudio[],MATCH($AE$2,Carreras,0)+2,0),"")&gt;0,IFERROR(VLOOKUP($C93,Planes_de_estudio[],MATCH($AE$2,Carreras,0)+2,0),""),"")</f>
        <v/>
      </c>
      <c r="AF93" s="155">
        <f>IF(IFERROR(VLOOKUP($C93,Planes_de_estudio[],MATCH($AF$2,Carreras,0)+2,0),"")&gt;0,IFERROR(VLOOKUP($C93,Planes_de_estudio[],MATCH($AF$2,Carreras,0)+2,0),""),"")</f>
        <v>5</v>
      </c>
      <c r="AG93" s="155" t="str">
        <f>IF(IFERROR(VLOOKUP($C93,Planes_de_estudio[],MATCH($AG$2,Carreras,0)+2,0),"")&gt;0,IFERROR(VLOOKUP($C93,Planes_de_estudio[],MATCH($AG$2,Carreras,0)+2,0),""),"")</f>
        <v/>
      </c>
      <c r="AH93" s="155" t="str">
        <f>IF(IFERROR(VLOOKUP($C93,Planes_de_estudio[],MATCH($AH$2,Carreras,0)+2,0),"")&gt;0,IFERROR(VLOOKUP($C93,Planes_de_estudio[],MATCH($AH$2,Carreras,0)+2,0),""),"")</f>
        <v/>
      </c>
      <c r="AI93" s="155" t="str">
        <f>IF(IFERROR(VLOOKUP($C93,Planes_de_estudio[],MATCH($AI$2,Carreras,0)+2,0),"")&gt;0,IFERROR(VLOOKUP($C93,Planes_de_estudio[],MATCH($AI$2,Carreras,0)+2,0),""),"")</f>
        <v/>
      </c>
      <c r="AJ93" s="155" t="str">
        <f>IF(IFERROR(VLOOKUP($C93,Planes_de_estudio[],MATCH($AJ$2,Carreras,0)+2,0),"")&gt;0,IFERROR(VLOOKUP($C93,Planes_de_estudio[],MATCH($AJ$2,Carreras,0)+2,0),""),"")</f>
        <v/>
      </c>
      <c r="AK93" s="155" t="str">
        <f>IF(IFERROR(VLOOKUP($C93,Planes_de_estudio[],MATCH($AK$2,Carreras,0)+2,0),"")&gt;0,IFERROR(VLOOKUP($C93,Planes_de_estudio[],MATCH($AK$2,Carreras,0)+2,0),""),"")</f>
        <v/>
      </c>
      <c r="AL9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93" s="155">
        <f>base_de_datos[[#This Row],[Pronóstico]]/25</f>
        <v>0.56000000000000005</v>
      </c>
      <c r="AO93" s="155" t="str">
        <f>VLOOKUP($C93,Planes_de_estudio[],2)</f>
        <v>MEC</v>
      </c>
      <c r="AP93" s="157" t="str">
        <f ca="1">IF(AND(base_de_datos[[#This Row],[Industrial]]&lt;&gt;"",base_de_datos[[#This Row],[Misma o no]]=1),base_de_datos[[#This Row],[Índice]],"")</f>
        <v/>
      </c>
      <c r="AQ93" s="157" t="str">
        <f ca="1">IF(AND(base_de_datos[[#This Row],[Mecatrónica]]&lt;&gt;"",base_de_datos[[#This Row],[Misma o no]]=1),base_de_datos[[#This Row],[Índice]],"")</f>
        <v/>
      </c>
      <c r="AR93" s="157" t="str">
        <f ca="1">IF(AND(base_de_datos[[#This Row],[Innovación y Diseño]]&lt;&gt;"",base_de_datos[[#This Row],[Misma o no]]=1),base_de_datos[[#This Row],[Índice]],"")</f>
        <v/>
      </c>
      <c r="AS93" s="157" t="str">
        <f ca="1">IF(AND(base_de_datos[[#This Row],[Inteligencia Artificial]]&lt;&gt;"",base_de_datos[[#This Row],[Misma o no]]=1),base_de_datos[[#This Row],[Índice]],"")</f>
        <v/>
      </c>
      <c r="AT93" s="157" t="str">
        <f ca="1">IF(AND(base_de_datos[[#This Row],[Tecnologías Energéticas]]&lt;&gt;"",base_de_datos[[#This Row],[Misma o no]]=1),base_de_datos[[#This Row],[Índice]],"")</f>
        <v/>
      </c>
      <c r="AU93" s="157" t="str">
        <f ca="1">IF(AND(base_de_datos[[#This Row],[Civil y Administración]]&lt;&gt;"",base_de_datos[[#This Row],[Misma o no]]=1),base_de_datos[[#This Row],[Índice]],"")</f>
        <v/>
      </c>
      <c r="AV93" s="157" t="str">
        <f ca="1">IF(AND(base_de_datos[[#This Row],[Bioelectrónica]]&lt;&gt;"",base_de_datos[[#This Row],[Misma o no]]=1),base_de_datos[[#This Row],[Índice]],"")</f>
        <v/>
      </c>
      <c r="AW93" s="158"/>
      <c r="AX93" s="231">
        <v>3</v>
      </c>
    </row>
    <row r="94" spans="2:50" s="6" customFormat="1" ht="15">
      <c r="B94" s="148" t="s">
        <v>244</v>
      </c>
      <c r="C94" s="149" t="s">
        <v>245</v>
      </c>
      <c r="D94" s="150">
        <v>1</v>
      </c>
      <c r="E94" s="151">
        <v>0.79166666666666696</v>
      </c>
      <c r="F94" s="151">
        <v>0.91666666666665697</v>
      </c>
      <c r="G94" s="150"/>
      <c r="H94" s="150" t="s">
        <v>108</v>
      </c>
      <c r="I94" s="150">
        <f>INDEX(Aulas_capacidad,MATCH(base_de_datos[[#This Row],[Aula]],Aulas,0),2)</f>
        <v>30</v>
      </c>
      <c r="J94" s="152"/>
      <c r="K94" s="150">
        <f>INDEX(Aulas_capacidad,MATCH(base_de_datos[[#This Row],[Aula]],Aulas,0),4)</f>
        <v>12</v>
      </c>
      <c r="L94" s="153">
        <f>base_de_datos[[#This Row],[Cap 1.5]]-base_de_datos[[#This Row],[Inscritos]]</f>
        <v>12</v>
      </c>
      <c r="M94" s="153">
        <f>INDEX(Aulas_capacidad,MATCH(base_de_datos[[#This Row],[Aula]],Aulas,0),5)</f>
        <v>18</v>
      </c>
      <c r="N94" s="153">
        <f>base_de_datos[[#This Row],[Cap .90]]-base_de_datos[[#This Row],[Inscritos]]</f>
        <v>18</v>
      </c>
      <c r="O94" s="150" t="s">
        <v>246</v>
      </c>
      <c r="P94" s="154"/>
      <c r="Q94" s="154" t="s">
        <v>67</v>
      </c>
      <c r="R94" s="154"/>
      <c r="S94" s="154"/>
      <c r="T94" s="154"/>
      <c r="U94" s="154"/>
      <c r="V94" s="154"/>
      <c r="W94" s="154" t="s">
        <v>1659</v>
      </c>
      <c r="X94" s="155">
        <f>_xlfn.XLOOKUP(base_de_datos[[#This Row],[Materia]],Materias,Horas)/16</f>
        <v>3</v>
      </c>
      <c r="Y94" s="155">
        <f>ROUND(((base_de_datos[[#This Row],[Hora fin]]-base_de_datos[[#This Row],[Hora inicio]])*24)*(COUNTA(base_de_datos[[#This Row],[Lunes]:[Sábado]])),1)</f>
        <v>3</v>
      </c>
      <c r="Z9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4" s="155">
        <f ca="1">IF(base_de_datos[[#This Row],[No clase]]=OFFSET(base_de_datos[[#This Row],[No clase]],-1,0),0,1)</f>
        <v>1</v>
      </c>
      <c r="AB94" s="155">
        <f ca="1">IF(NOT(OR(base_de_datos[[#This Row],[Horas totales]]=base_de_datos[[#This Row],[HT Plan]],base_de_datos[[#This Row],[Horas totales]]="N/A")),1,0)</f>
        <v>0</v>
      </c>
      <c r="AC94" s="155" t="str">
        <f>_xlfn.XLOOKUP(base_de_datos[[#This Row],[Profesor]],Nombre,Grado)</f>
        <v>L</v>
      </c>
      <c r="AD94" s="156" t="str">
        <f>_xlfn.XLOOKUP(base_de_datos[[#This Row],[Profesor]],Nombre,Tipo)</f>
        <v>H</v>
      </c>
      <c r="AE94" s="155">
        <f>IF(IFERROR(VLOOKUP($C94,Planes_de_estudio[],MATCH($AE$2,Carreras,0)+2,0),"")&gt;0,IFERROR(VLOOKUP($C94,Planes_de_estudio[],MATCH($AE$2,Carreras,0)+2,0),""),"")</f>
        <v>8</v>
      </c>
      <c r="AF94" s="155">
        <f>IF(IFERROR(VLOOKUP($C94,Planes_de_estudio[],MATCH($AF$2,Carreras,0)+2,0),"")&gt;0,IFERROR(VLOOKUP($C94,Planes_de_estudio[],MATCH($AF$2,Carreras,0)+2,0),""),"")</f>
        <v>8</v>
      </c>
      <c r="AG94" s="155">
        <f>IF(IFERROR(VLOOKUP($C94,Planes_de_estudio[],MATCH($AG$2,Carreras,0)+2,0),"")&gt;0,IFERROR(VLOOKUP($C94,Planes_de_estudio[],MATCH($AG$2,Carreras,0)+2,0),""),"")</f>
        <v>8</v>
      </c>
      <c r="AH94" s="155">
        <f>IF(IFERROR(VLOOKUP($C94,Planes_de_estudio[],MATCH($AH$2,Carreras,0)+2,0),"")&gt;0,IFERROR(VLOOKUP($C94,Planes_de_estudio[],MATCH($AH$2,Carreras,0)+2,0),""),"")</f>
        <v>8</v>
      </c>
      <c r="AI94" s="155">
        <f>IF(IFERROR(VLOOKUP($C94,Planes_de_estudio[],MATCH($AI$2,Carreras,0)+2,0),"")&gt;0,IFERROR(VLOOKUP($C94,Planes_de_estudio[],MATCH($AI$2,Carreras,0)+2,0),""),"")</f>
        <v>8</v>
      </c>
      <c r="AJ94" s="155">
        <f>IF(IFERROR(VLOOKUP($C94,Planes_de_estudio[],MATCH($AJ$2,Carreras,0)+2,0),"")&gt;0,IFERROR(VLOOKUP($C94,Planes_de_estudio[],MATCH($AJ$2,Carreras,0)+2,0),""),"")</f>
        <v>9</v>
      </c>
      <c r="AK94" s="155">
        <f>IF(IFERROR(VLOOKUP($C94,Planes_de_estudio[],MATCH($AK$2,Carreras,0)+2,0),"")&gt;0,IFERROR(VLOOKUP($C94,Planes_de_estudio[],MATCH($AK$2,Carreras,0)+2,0),""),"")</f>
        <v>8</v>
      </c>
      <c r="AL9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9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28</v>
      </c>
      <c r="AN94" s="155">
        <f>base_de_datos[[#This Row],[Pronóstico]]/25</f>
        <v>1.1200000000000001</v>
      </c>
      <c r="AO94" s="155" t="str">
        <f>VLOOKUP($C94,Planes_de_estudio[],2)</f>
        <v>HUM</v>
      </c>
      <c r="AP94" s="157">
        <f ca="1">IF(AND(base_de_datos[[#This Row],[Industrial]]&lt;&gt;"",base_de_datos[[#This Row],[Misma o no]]=1),base_de_datos[[#This Row],[Índice]],"")</f>
        <v>1</v>
      </c>
      <c r="AQ94" s="157">
        <f ca="1">IF(AND(base_de_datos[[#This Row],[Mecatrónica]]&lt;&gt;"",base_de_datos[[#This Row],[Misma o no]]=1),base_de_datos[[#This Row],[Índice]],"")</f>
        <v>1</v>
      </c>
      <c r="AR94" s="157">
        <f ca="1">IF(AND(base_de_datos[[#This Row],[Innovación y Diseño]]&lt;&gt;"",base_de_datos[[#This Row],[Misma o no]]=1),base_de_datos[[#This Row],[Índice]],"")</f>
        <v>1</v>
      </c>
      <c r="AS94" s="157">
        <f ca="1">IF(AND(base_de_datos[[#This Row],[Inteligencia Artificial]]&lt;&gt;"",base_de_datos[[#This Row],[Misma o no]]=1),base_de_datos[[#This Row],[Índice]],"")</f>
        <v>1</v>
      </c>
      <c r="AT94" s="157">
        <f ca="1">IF(AND(base_de_datos[[#This Row],[Tecnologías Energéticas]]&lt;&gt;"",base_de_datos[[#This Row],[Misma o no]]=1),base_de_datos[[#This Row],[Índice]],"")</f>
        <v>1</v>
      </c>
      <c r="AU94" s="157">
        <f ca="1">IF(AND(base_de_datos[[#This Row],[Civil y Administración]]&lt;&gt;"",base_de_datos[[#This Row],[Misma o no]]=1),base_de_datos[[#This Row],[Índice]],"")</f>
        <v>1</v>
      </c>
      <c r="AV94" s="157">
        <f ca="1">IF(AND(base_de_datos[[#This Row],[Bioelectrónica]]&lt;&gt;"",base_de_datos[[#This Row],[Misma o no]]=1),base_de_datos[[#This Row],[Índice]],"")</f>
        <v>1</v>
      </c>
      <c r="AW94" s="158"/>
      <c r="AX94" s="231">
        <v>2</v>
      </c>
    </row>
    <row r="95" spans="2:50" s="6" customFormat="1" ht="15">
      <c r="B95" s="148" t="s">
        <v>247</v>
      </c>
      <c r="C95" s="149" t="s">
        <v>248</v>
      </c>
      <c r="D95" s="150">
        <v>1</v>
      </c>
      <c r="E95" s="151">
        <v>0.5</v>
      </c>
      <c r="F95" s="151">
        <v>0.562499999999996</v>
      </c>
      <c r="G95" s="218" t="s">
        <v>65</v>
      </c>
      <c r="H95" s="150" t="s">
        <v>182</v>
      </c>
      <c r="I95" s="150">
        <f>INDEX(Aulas_capacidad,MATCH(base_de_datos[[#This Row],[Aula]],Aulas,0),2)</f>
        <v>30</v>
      </c>
      <c r="J95" s="212">
        <v>28</v>
      </c>
      <c r="K95" s="150">
        <f>INDEX(Aulas_capacidad,MATCH(base_de_datos[[#This Row],[Aula]],Aulas,0),4)</f>
        <v>12</v>
      </c>
      <c r="L95" s="153">
        <f>base_de_datos[[#This Row],[Cap 1.5]]-base_de_datos[[#This Row],[Inscritos]]</f>
        <v>-16</v>
      </c>
      <c r="M95" s="153">
        <f>INDEX(Aulas_capacidad,MATCH(base_de_datos[[#This Row],[Aula]],Aulas,0),5)</f>
        <v>18</v>
      </c>
      <c r="N95" s="153">
        <f>base_de_datos[[#This Row],[Cap .90]]-base_de_datos[[#This Row],[Inscritos]]</f>
        <v>-10</v>
      </c>
      <c r="O95" s="150" t="s">
        <v>249</v>
      </c>
      <c r="P95" s="154"/>
      <c r="Q95" s="154" t="s">
        <v>67</v>
      </c>
      <c r="R95" s="154"/>
      <c r="S95" s="154" t="s">
        <v>67</v>
      </c>
      <c r="T95" s="154"/>
      <c r="U95" s="154"/>
      <c r="V95" s="154"/>
      <c r="W95" s="154" t="s">
        <v>1650</v>
      </c>
      <c r="X95" s="174">
        <f>_xlfn.XLOOKUP(base_de_datos[[#This Row],[Materia]],Materias,Horas)/16</f>
        <v>3</v>
      </c>
      <c r="Y95" s="174">
        <f>ROUND(((base_de_datos[[#This Row],[Hora fin]]-base_de_datos[[#This Row],[Hora inicio]])*24)*(COUNTA(base_de_datos[[#This Row],[Lunes]:[Sábado]])),1)</f>
        <v>3</v>
      </c>
      <c r="Z95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5" s="155">
        <f ca="1">IF(base_de_datos[[#This Row],[No clase]]=OFFSET(base_de_datos[[#This Row],[No clase]],-1,0),0,1)</f>
        <v>1</v>
      </c>
      <c r="AB95" s="155">
        <f ca="1">IF(NOT(OR(base_de_datos[[#This Row],[Horas totales]]=base_de_datos[[#This Row],[HT Plan]],base_de_datos[[#This Row],[Horas totales]]="N/A")),1,0)</f>
        <v>0</v>
      </c>
      <c r="AC95" s="155" t="str">
        <f>_xlfn.XLOOKUP(base_de_datos[[#This Row],[Profesor]],Nombre,Grado)</f>
        <v>SNI</v>
      </c>
      <c r="AD95" s="156" t="str">
        <f>_xlfn.XLOOKUP(base_de_datos[[#This Row],[Profesor]],Nombre,Tipo)</f>
        <v>TC</v>
      </c>
      <c r="AE95" s="155">
        <f>IF(IFERROR(VLOOKUP($C95,Planes_de_estudio[],MATCH($AE$2,Carreras,0)+2,0),"")&gt;0,IFERROR(VLOOKUP($C95,Planes_de_estudio[],MATCH($AE$2,Carreras,0)+2,0),""),"")</f>
        <v>3</v>
      </c>
      <c r="AF95" s="155">
        <f>IF(IFERROR(VLOOKUP($C95,Planes_de_estudio[],MATCH($AF$2,Carreras,0)+2,0),"")&gt;0,IFERROR(VLOOKUP($C95,Planes_de_estudio[],MATCH($AF$2,Carreras,0)+2,0),""),"")</f>
        <v>3</v>
      </c>
      <c r="AG95" s="155" t="str">
        <f>IF(IFERROR(VLOOKUP($C95,Planes_de_estudio[],MATCH($AG$2,Carreras,0)+2,0),"")&gt;0,IFERROR(VLOOKUP($C95,Planes_de_estudio[],MATCH($AG$2,Carreras,0)+2,0),""),"")</f>
        <v/>
      </c>
      <c r="AH95" s="155">
        <f>IF(IFERROR(VLOOKUP($C95,Planes_de_estudio[],MATCH($AH$2,Carreras,0)+2,0),"")&gt;0,IFERROR(VLOOKUP($C95,Planes_de_estudio[],MATCH($AH$2,Carreras,0)+2,0),""),"")</f>
        <v>4</v>
      </c>
      <c r="AI95" s="155">
        <f>IF(IFERROR(VLOOKUP($C95,Planes_de_estudio[],MATCH($AI$2,Carreras,0)+2,0),"")&gt;0,IFERROR(VLOOKUP($C95,Planes_de_estudio[],MATCH($AI$2,Carreras,0)+2,0),""),"")</f>
        <v>4</v>
      </c>
      <c r="AJ95" s="155">
        <f>IF(IFERROR(VLOOKUP($C95,Planes_de_estudio[],MATCH($AJ$2,Carreras,0)+2,0),"")&gt;0,IFERROR(VLOOKUP($C95,Planes_de_estudio[],MATCH($AJ$2,Carreras,0)+2,0),""),"")</f>
        <v>4</v>
      </c>
      <c r="AK95" s="155">
        <f>IF(IFERROR(VLOOKUP($C95,Planes_de_estudio[],MATCH($AK$2,Carreras,0)+2,0),"")&gt;0,IFERROR(VLOOKUP($C95,Planes_de_estudio[],MATCH($AK$2,Carreras,0)+2,0),""),"")</f>
        <v>3</v>
      </c>
      <c r="AL9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57</v>
      </c>
      <c r="AN95" s="155">
        <f>base_de_datos[[#This Row],[Pronóstico]]/25</f>
        <v>2.2799999999999998</v>
      </c>
      <c r="AO95" s="155" t="str">
        <f>VLOOKUP($C95,Planes_de_estudio[],2)</f>
        <v>MAT</v>
      </c>
      <c r="AP95" s="157">
        <f ca="1">IF(AND(base_de_datos[[#This Row],[Industrial]]&lt;&gt;"",base_de_datos[[#This Row],[Misma o no]]=1),base_de_datos[[#This Row],[Índice]],"")</f>
        <v>6</v>
      </c>
      <c r="AQ95" s="157">
        <f ca="1">IF(AND(base_de_datos[[#This Row],[Mecatrónica]]&lt;&gt;"",base_de_datos[[#This Row],[Misma o no]]=1),base_de_datos[[#This Row],[Índice]],"")</f>
        <v>6</v>
      </c>
      <c r="AR95" s="157" t="str">
        <f ca="1">IF(AND(base_de_datos[[#This Row],[Innovación y Diseño]]&lt;&gt;"",base_de_datos[[#This Row],[Misma o no]]=1),base_de_datos[[#This Row],[Índice]],"")</f>
        <v/>
      </c>
      <c r="AS95" s="157">
        <f ca="1">IF(AND(base_de_datos[[#This Row],[Inteligencia Artificial]]&lt;&gt;"",base_de_datos[[#This Row],[Misma o no]]=1),base_de_datos[[#This Row],[Índice]],"")</f>
        <v>6</v>
      </c>
      <c r="AT95" s="157">
        <f ca="1">IF(AND(base_de_datos[[#This Row],[Tecnologías Energéticas]]&lt;&gt;"",base_de_datos[[#This Row],[Misma o no]]=1),base_de_datos[[#This Row],[Índice]],"")</f>
        <v>6</v>
      </c>
      <c r="AU95" s="157">
        <f ca="1">IF(AND(base_de_datos[[#This Row],[Civil y Administración]]&lt;&gt;"",base_de_datos[[#This Row],[Misma o no]]=1),base_de_datos[[#This Row],[Índice]],"")</f>
        <v>6</v>
      </c>
      <c r="AV95" s="157">
        <f ca="1">IF(AND(base_de_datos[[#This Row],[Bioelectrónica]]&lt;&gt;"",base_de_datos[[#This Row],[Misma o no]]=1),base_de_datos[[#This Row],[Índice]],"")</f>
        <v>6</v>
      </c>
      <c r="AW95" s="158"/>
      <c r="AX95" s="231">
        <v>2</v>
      </c>
    </row>
    <row r="96" spans="2:50" s="6" customFormat="1" ht="15">
      <c r="B96" s="148" t="s">
        <v>247</v>
      </c>
      <c r="C96" s="149" t="s">
        <v>250</v>
      </c>
      <c r="D96" s="150">
        <v>2</v>
      </c>
      <c r="E96" s="151">
        <v>0.29166666666666669</v>
      </c>
      <c r="F96" s="151">
        <v>0.374999999999999</v>
      </c>
      <c r="G96" s="218" t="s">
        <v>111</v>
      </c>
      <c r="H96" s="150" t="s">
        <v>1</v>
      </c>
      <c r="I96" s="150">
        <f>INDEX(Aulas_capacidad,MATCH(base_de_datos[[#This Row],[Aula]],Aulas,0),2)</f>
        <v>30</v>
      </c>
      <c r="J96" s="152"/>
      <c r="K96" s="150">
        <f>INDEX(Aulas_capacidad,MATCH(base_de_datos[[#This Row],[Aula]],Aulas,0),4)</f>
        <v>0</v>
      </c>
      <c r="L96" s="153">
        <f>base_de_datos[[#This Row],[Cap 1.5]]-base_de_datos[[#This Row],[Inscritos]]</f>
        <v>0</v>
      </c>
      <c r="M96" s="153">
        <f>INDEX(Aulas_capacidad,MATCH(base_de_datos[[#This Row],[Aula]],Aulas,0),5)</f>
        <v>0</v>
      </c>
      <c r="N96" s="153">
        <f>base_de_datos[[#This Row],[Cap .90]]-base_de_datos[[#This Row],[Inscritos]]</f>
        <v>0</v>
      </c>
      <c r="O96" s="150">
        <v>5886</v>
      </c>
      <c r="P96" s="154"/>
      <c r="Q96" s="154"/>
      <c r="R96" s="154"/>
      <c r="S96" s="154" t="s">
        <v>67</v>
      </c>
      <c r="T96" s="154"/>
      <c r="U96" s="154"/>
      <c r="V96" s="154"/>
      <c r="W96" s="154" t="s">
        <v>1657</v>
      </c>
      <c r="X96" s="155">
        <f>_xlfn.XLOOKUP(base_de_datos[[#This Row],[Materia]],Materias,Horas)/16</f>
        <v>4</v>
      </c>
      <c r="Y96" s="155">
        <f>ROUND(((base_de_datos[[#This Row],[Hora fin]]-base_de_datos[[#This Row],[Hora inicio]])*24)*(COUNTA(base_de_datos[[#This Row],[Lunes]:[Sábado]])),1)</f>
        <v>2</v>
      </c>
      <c r="Z9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6" s="155">
        <f ca="1">IF(base_de_datos[[#This Row],[No clase]]=OFFSET(base_de_datos[[#This Row],[No clase]],-1,0),0,1)</f>
        <v>1</v>
      </c>
      <c r="AB96" s="155">
        <f ca="1">IF(NOT(OR(base_de_datos[[#This Row],[Horas totales]]=base_de_datos[[#This Row],[HT Plan]],base_de_datos[[#This Row],[Horas totales]]="N/A")),1,0)</f>
        <v>0</v>
      </c>
      <c r="AC96" s="155" t="str">
        <f>_xlfn.XLOOKUP(base_de_datos[[#This Row],[Profesor]],Nombre,Grado)</f>
        <v>SNI</v>
      </c>
      <c r="AD96" s="156" t="str">
        <f>_xlfn.XLOOKUP(base_de_datos[[#This Row],[Profesor]],Nombre,Tipo)</f>
        <v>TC</v>
      </c>
      <c r="AE96" s="155">
        <f>IF(IFERROR(VLOOKUP($C96,Planes_de_estudio[],MATCH($AE$2,Carreras,0)+2,0),"")&gt;0,IFERROR(VLOOKUP($C96,Planes_de_estudio[],MATCH($AE$2,Carreras,0)+2,0),""),"")</f>
        <v>4</v>
      </c>
      <c r="AF96" s="155">
        <f>IF(IFERROR(VLOOKUP($C96,Planes_de_estudio[],MATCH($AF$2,Carreras,0)+2,0),"")&gt;0,IFERROR(VLOOKUP($C96,Planes_de_estudio[],MATCH($AF$2,Carreras,0)+2,0),""),"")</f>
        <v>4</v>
      </c>
      <c r="AG96" s="155">
        <f>IF(IFERROR(VLOOKUP($C96,Planes_de_estudio[],MATCH($AG$2,Carreras,0)+2,0),"")&gt;0,IFERROR(VLOOKUP($C96,Planes_de_estudio[],MATCH($AG$2,Carreras,0)+2,0),""),"")</f>
        <v>5</v>
      </c>
      <c r="AH96" s="155" t="str">
        <f>IF(IFERROR(VLOOKUP($C96,Planes_de_estudio[],MATCH($AH$2,Carreras,0)+2,0),"")&gt;0,IFERROR(VLOOKUP($C96,Planes_de_estudio[],MATCH($AH$2,Carreras,0)+2,0),""),"")</f>
        <v/>
      </c>
      <c r="AI96" s="155">
        <f>IF(IFERROR(VLOOKUP($C96,Planes_de_estudio[],MATCH($AI$2,Carreras,0)+2,0),"")&gt;0,IFERROR(VLOOKUP($C96,Planes_de_estudio[],MATCH($AI$2,Carreras,0)+2,0),""),"")</f>
        <v>3</v>
      </c>
      <c r="AJ96" s="155" t="str">
        <f>IF(IFERROR(VLOOKUP($C96,Planes_de_estudio[],MATCH($AJ$2,Carreras,0)+2,0),"")&gt;0,IFERROR(VLOOKUP($C96,Planes_de_estudio[],MATCH($AJ$2,Carreras,0)+2,0),""),"")</f>
        <v/>
      </c>
      <c r="AK96" s="155">
        <f>IF(IFERROR(VLOOKUP($C96,Planes_de_estudio[],MATCH($AK$2,Carreras,0)+2,0),"")&gt;0,IFERROR(VLOOKUP($C96,Planes_de_estudio[],MATCH($AK$2,Carreras,0)+2,0),""),"")</f>
        <v>4</v>
      </c>
      <c r="AL9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96" s="155">
        <f>base_de_datos[[#This Row],[Pronóstico]]/25</f>
        <v>0.88</v>
      </c>
      <c r="AO96" s="155" t="str">
        <f>VLOOKUP($C96,Planes_de_estudio[],2)</f>
        <v>EEC</v>
      </c>
      <c r="AP96" s="157">
        <f ca="1">IF(AND(base_de_datos[[#This Row],[Industrial]]&lt;&gt;"",base_de_datos[[#This Row],[Misma o no]]=1),base_de_datos[[#This Row],[Índice]],"")</f>
        <v>6</v>
      </c>
      <c r="AQ96" s="157">
        <f ca="1">IF(AND(base_de_datos[[#This Row],[Mecatrónica]]&lt;&gt;"",base_de_datos[[#This Row],[Misma o no]]=1),base_de_datos[[#This Row],[Índice]],"")</f>
        <v>6</v>
      </c>
      <c r="AR96" s="157">
        <f ca="1">IF(AND(base_de_datos[[#This Row],[Innovación y Diseño]]&lt;&gt;"",base_de_datos[[#This Row],[Misma o no]]=1),base_de_datos[[#This Row],[Índice]],"")</f>
        <v>6</v>
      </c>
      <c r="AS96" s="157" t="str">
        <f ca="1">IF(AND(base_de_datos[[#This Row],[Inteligencia Artificial]]&lt;&gt;"",base_de_datos[[#This Row],[Misma o no]]=1),base_de_datos[[#This Row],[Índice]],"")</f>
        <v/>
      </c>
      <c r="AT96" s="157">
        <f ca="1">IF(AND(base_de_datos[[#This Row],[Tecnologías Energéticas]]&lt;&gt;"",base_de_datos[[#This Row],[Misma o no]]=1),base_de_datos[[#This Row],[Índice]],"")</f>
        <v>6</v>
      </c>
      <c r="AU96" s="157" t="str">
        <f ca="1">IF(AND(base_de_datos[[#This Row],[Civil y Administración]]&lt;&gt;"",base_de_datos[[#This Row],[Misma o no]]=1),base_de_datos[[#This Row],[Índice]],"")</f>
        <v/>
      </c>
      <c r="AV96" s="157">
        <f ca="1">IF(AND(base_de_datos[[#This Row],[Bioelectrónica]]&lt;&gt;"",base_de_datos[[#This Row],[Misma o no]]=1),base_de_datos[[#This Row],[Índice]],"")</f>
        <v>6</v>
      </c>
      <c r="AW96" s="158"/>
      <c r="AX96" s="231">
        <v>1</v>
      </c>
    </row>
    <row r="97" spans="2:50" s="6" customFormat="1" ht="15">
      <c r="B97" s="148" t="s">
        <v>247</v>
      </c>
      <c r="C97" s="149" t="s">
        <v>250</v>
      </c>
      <c r="D97" s="150">
        <v>2</v>
      </c>
      <c r="E97" s="151">
        <v>0.375</v>
      </c>
      <c r="F97" s="151">
        <v>0.45833333333333098</v>
      </c>
      <c r="G97" s="218" t="s">
        <v>111</v>
      </c>
      <c r="H97" s="150" t="s">
        <v>1</v>
      </c>
      <c r="I97" s="150">
        <f>INDEX(Aulas_capacidad,MATCH(base_de_datos[[#This Row],[Aula]],Aulas,0),2)</f>
        <v>30</v>
      </c>
      <c r="J97" s="152"/>
      <c r="K97" s="150">
        <f>INDEX(Aulas_capacidad,MATCH(base_de_datos[[#This Row],[Aula]],Aulas,0),4)</f>
        <v>0</v>
      </c>
      <c r="L97" s="153">
        <f>base_de_datos[[#This Row],[Cap 1.5]]-base_de_datos[[#This Row],[Inscritos]]</f>
        <v>0</v>
      </c>
      <c r="M97" s="153">
        <f>INDEX(Aulas_capacidad,MATCH(base_de_datos[[#This Row],[Aula]],Aulas,0),5)</f>
        <v>0</v>
      </c>
      <c r="N97" s="153">
        <f>base_de_datos[[#This Row],[Cap .90]]-base_de_datos[[#This Row],[Inscritos]]</f>
        <v>0</v>
      </c>
      <c r="O97" s="150">
        <v>5886</v>
      </c>
      <c r="P97" s="154"/>
      <c r="Q97" s="154"/>
      <c r="R97" s="154"/>
      <c r="S97" s="154"/>
      <c r="T97" s="154" t="s">
        <v>67</v>
      </c>
      <c r="U97" s="154"/>
      <c r="V97" s="154"/>
      <c r="W97" s="154" t="s">
        <v>1657</v>
      </c>
      <c r="X97" s="155">
        <f>_xlfn.XLOOKUP(base_de_datos[[#This Row],[Materia]],Materias,Horas)/16</f>
        <v>4</v>
      </c>
      <c r="Y97" s="155">
        <f>ROUND(((base_de_datos[[#This Row],[Hora fin]]-base_de_datos[[#This Row],[Hora inicio]])*24)*(COUNTA(base_de_datos[[#This Row],[Lunes]:[Sábado]])),1)</f>
        <v>2</v>
      </c>
      <c r="Z9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7" s="155">
        <f ca="1">IF(base_de_datos[[#This Row],[No clase]]=OFFSET(base_de_datos[[#This Row],[No clase]],-1,0),0,1)</f>
        <v>0</v>
      </c>
      <c r="AB97" s="155">
        <f ca="1">IF(NOT(OR(base_de_datos[[#This Row],[Horas totales]]=base_de_datos[[#This Row],[HT Plan]],base_de_datos[[#This Row],[Horas totales]]="N/A")),1,0)</f>
        <v>0</v>
      </c>
      <c r="AC97" s="155" t="str">
        <f>_xlfn.XLOOKUP(base_de_datos[[#This Row],[Profesor]],Nombre,Grado)</f>
        <v>SNI</v>
      </c>
      <c r="AD97" s="156" t="str">
        <f>_xlfn.XLOOKUP(base_de_datos[[#This Row],[Profesor]],Nombre,Tipo)</f>
        <v>TC</v>
      </c>
      <c r="AE97" s="155">
        <f>IF(IFERROR(VLOOKUP($C97,Planes_de_estudio[],MATCH($AE$2,Carreras,0)+2,0),"")&gt;0,IFERROR(VLOOKUP($C97,Planes_de_estudio[],MATCH($AE$2,Carreras,0)+2,0),""),"")</f>
        <v>4</v>
      </c>
      <c r="AF97" s="155">
        <f>IF(IFERROR(VLOOKUP($C97,Planes_de_estudio[],MATCH($AF$2,Carreras,0)+2,0),"")&gt;0,IFERROR(VLOOKUP($C97,Planes_de_estudio[],MATCH($AF$2,Carreras,0)+2,0),""),"")</f>
        <v>4</v>
      </c>
      <c r="AG97" s="155">
        <f>IF(IFERROR(VLOOKUP($C97,Planes_de_estudio[],MATCH($AG$2,Carreras,0)+2,0),"")&gt;0,IFERROR(VLOOKUP($C97,Planes_de_estudio[],MATCH($AG$2,Carreras,0)+2,0),""),"")</f>
        <v>5</v>
      </c>
      <c r="AH97" s="155" t="str">
        <f>IF(IFERROR(VLOOKUP($C97,Planes_de_estudio[],MATCH($AH$2,Carreras,0)+2,0),"")&gt;0,IFERROR(VLOOKUP($C97,Planes_de_estudio[],MATCH($AH$2,Carreras,0)+2,0),""),"")</f>
        <v/>
      </c>
      <c r="AI97" s="155">
        <f>IF(IFERROR(VLOOKUP($C97,Planes_de_estudio[],MATCH($AI$2,Carreras,0)+2,0),"")&gt;0,IFERROR(VLOOKUP($C97,Planes_de_estudio[],MATCH($AI$2,Carreras,0)+2,0),""),"")</f>
        <v>3</v>
      </c>
      <c r="AJ97" s="155" t="str">
        <f>IF(IFERROR(VLOOKUP($C97,Planes_de_estudio[],MATCH($AJ$2,Carreras,0)+2,0),"")&gt;0,IFERROR(VLOOKUP($C97,Planes_de_estudio[],MATCH($AJ$2,Carreras,0)+2,0),""),"")</f>
        <v/>
      </c>
      <c r="AK97" s="155">
        <f>IF(IFERROR(VLOOKUP($C97,Planes_de_estudio[],MATCH($AK$2,Carreras,0)+2,0),"")&gt;0,IFERROR(VLOOKUP($C97,Planes_de_estudio[],MATCH($AK$2,Carreras,0)+2,0),""),"")</f>
        <v>4</v>
      </c>
      <c r="AL9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97" s="155">
        <f>base_de_datos[[#This Row],[Pronóstico]]/25</f>
        <v>0.88</v>
      </c>
      <c r="AO97" s="155" t="str">
        <f>VLOOKUP($C97,Planes_de_estudio[],2)</f>
        <v>EEC</v>
      </c>
      <c r="AP97" s="157" t="str">
        <f ca="1">IF(AND(base_de_datos[[#This Row],[Industrial]]&lt;&gt;"",base_de_datos[[#This Row],[Misma o no]]=1),base_de_datos[[#This Row],[Índice]],"")</f>
        <v/>
      </c>
      <c r="AQ97" s="157" t="str">
        <f ca="1">IF(AND(base_de_datos[[#This Row],[Mecatrónica]]&lt;&gt;"",base_de_datos[[#This Row],[Misma o no]]=1),base_de_datos[[#This Row],[Índice]],"")</f>
        <v/>
      </c>
      <c r="AR97" s="157" t="str">
        <f ca="1">IF(AND(base_de_datos[[#This Row],[Innovación y Diseño]]&lt;&gt;"",base_de_datos[[#This Row],[Misma o no]]=1),base_de_datos[[#This Row],[Índice]],"")</f>
        <v/>
      </c>
      <c r="AS97" s="157" t="str">
        <f ca="1">IF(AND(base_de_datos[[#This Row],[Inteligencia Artificial]]&lt;&gt;"",base_de_datos[[#This Row],[Misma o no]]=1),base_de_datos[[#This Row],[Índice]],"")</f>
        <v/>
      </c>
      <c r="AT97" s="157" t="str">
        <f ca="1">IF(AND(base_de_datos[[#This Row],[Tecnologías Energéticas]]&lt;&gt;"",base_de_datos[[#This Row],[Misma o no]]=1),base_de_datos[[#This Row],[Índice]],"")</f>
        <v/>
      </c>
      <c r="AU97" s="157" t="str">
        <f ca="1">IF(AND(base_de_datos[[#This Row],[Civil y Administración]]&lt;&gt;"",base_de_datos[[#This Row],[Misma o no]]=1),base_de_datos[[#This Row],[Índice]],"")</f>
        <v/>
      </c>
      <c r="AV97" s="157" t="str">
        <f ca="1">IF(AND(base_de_datos[[#This Row],[Bioelectrónica]]&lt;&gt;"",base_de_datos[[#This Row],[Misma o no]]=1),base_de_datos[[#This Row],[Índice]],"")</f>
        <v/>
      </c>
      <c r="AW97" s="158"/>
      <c r="AX97" s="231" t="s">
        <v>1635</v>
      </c>
    </row>
    <row r="98" spans="2:50" s="6" customFormat="1" ht="15">
      <c r="B98" s="148" t="s">
        <v>247</v>
      </c>
      <c r="C98" s="149" t="s">
        <v>251</v>
      </c>
      <c r="D98" s="150">
        <v>1</v>
      </c>
      <c r="E98" s="151">
        <v>0.625</v>
      </c>
      <c r="F98" s="151">
        <v>0.70833333333332704</v>
      </c>
      <c r="G98" s="218" t="s">
        <v>65</v>
      </c>
      <c r="H98" s="150" t="s">
        <v>1</v>
      </c>
      <c r="I98" s="150">
        <f>INDEX(Aulas_capacidad,MATCH(base_de_datos[[#This Row],[Aula]],Aulas,0),2)</f>
        <v>30</v>
      </c>
      <c r="J98" s="152">
        <v>6</v>
      </c>
      <c r="K98" s="150">
        <f>INDEX(Aulas_capacidad,MATCH(base_de_datos[[#This Row],[Aula]],Aulas,0),4)</f>
        <v>0</v>
      </c>
      <c r="L98" s="153">
        <f>base_de_datos[[#This Row],[Cap 1.5]]-base_de_datos[[#This Row],[Inscritos]]</f>
        <v>-6</v>
      </c>
      <c r="M98" s="153">
        <f>INDEX(Aulas_capacidad,MATCH(base_de_datos[[#This Row],[Aula]],Aulas,0),5)</f>
        <v>0</v>
      </c>
      <c r="N98" s="153">
        <f>base_de_datos[[#This Row],[Cap .90]]-base_de_datos[[#This Row],[Inscritos]]</f>
        <v>-6</v>
      </c>
      <c r="O98" s="150">
        <v>1584</v>
      </c>
      <c r="P98" s="154"/>
      <c r="Q98" s="154" t="s">
        <v>67</v>
      </c>
      <c r="R98" s="154"/>
      <c r="S98" s="154" t="s">
        <v>67</v>
      </c>
      <c r="T98" s="154"/>
      <c r="U98" s="154"/>
      <c r="V98" s="154"/>
      <c r="W98" s="154" t="s">
        <v>1650</v>
      </c>
      <c r="X98" s="155">
        <f>_xlfn.XLOOKUP(base_de_datos[[#This Row],[Materia]],Materias,Horas)/16</f>
        <v>4</v>
      </c>
      <c r="Y98" s="155">
        <f>ROUND(((base_de_datos[[#This Row],[Hora fin]]-base_de_datos[[#This Row],[Hora inicio]])*24)*(COUNTA(base_de_datos[[#This Row],[Lunes]:[Sábado]])),1)</f>
        <v>4</v>
      </c>
      <c r="Z9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8" s="155">
        <f ca="1">IF(base_de_datos[[#This Row],[No clase]]=OFFSET(base_de_datos[[#This Row],[No clase]],-1,0),0,1)</f>
        <v>1</v>
      </c>
      <c r="AB98" s="155">
        <f ca="1">IF(NOT(OR(base_de_datos[[#This Row],[Horas totales]]=base_de_datos[[#This Row],[HT Plan]],base_de_datos[[#This Row],[Horas totales]]="N/A")),1,0)</f>
        <v>0</v>
      </c>
      <c r="AC98" s="155" t="str">
        <f>_xlfn.XLOOKUP(base_de_datos[[#This Row],[Profesor]],Nombre,Grado)</f>
        <v>SNI</v>
      </c>
      <c r="AD98" s="156" t="str">
        <f>_xlfn.XLOOKUP(base_de_datos[[#This Row],[Profesor]],Nombre,Tipo)</f>
        <v>TC</v>
      </c>
      <c r="AE98" s="155" t="str">
        <f>IF(IFERROR(VLOOKUP($C98,Planes_de_estudio[],MATCH($AE$2,Carreras,0)+2,0),"")&gt;0,IFERROR(VLOOKUP($C98,Planes_de_estudio[],MATCH($AE$2,Carreras,0)+2,0),""),"")</f>
        <v/>
      </c>
      <c r="AF98" s="155" t="str">
        <f>IF(IFERROR(VLOOKUP($C98,Planes_de_estudio[],MATCH($AF$2,Carreras,0)+2,0),"")&gt;0,IFERROR(VLOOKUP($C98,Planes_de_estudio[],MATCH($AF$2,Carreras,0)+2,0),""),"")</f>
        <v/>
      </c>
      <c r="AG98" s="155" t="str">
        <f>IF(IFERROR(VLOOKUP($C98,Planes_de_estudio[],MATCH($AG$2,Carreras,0)+2,0),"")&gt;0,IFERROR(VLOOKUP($C98,Planes_de_estudio[],MATCH($AG$2,Carreras,0)+2,0),""),"")</f>
        <v/>
      </c>
      <c r="AH98" s="155" t="str">
        <f>IF(IFERROR(VLOOKUP($C98,Planes_de_estudio[],MATCH($AH$2,Carreras,0)+2,0),"")&gt;0,IFERROR(VLOOKUP($C98,Planes_de_estudio[],MATCH($AH$2,Carreras,0)+2,0),""),"")</f>
        <v/>
      </c>
      <c r="AI98" s="155">
        <f>IF(IFERROR(VLOOKUP($C98,Planes_de_estudio[],MATCH($AI$2,Carreras,0)+2,0),"")&gt;0,IFERROR(VLOOKUP($C98,Planes_de_estudio[],MATCH($AI$2,Carreras,0)+2,0),""),"")</f>
        <v>5</v>
      </c>
      <c r="AJ98" s="155" t="str">
        <f>IF(IFERROR(VLOOKUP($C98,Planes_de_estudio[],MATCH($AJ$2,Carreras,0)+2,0),"")&gt;0,IFERROR(VLOOKUP($C98,Planes_de_estudio[],MATCH($AJ$2,Carreras,0)+2,0),""),"")</f>
        <v/>
      </c>
      <c r="AK98" s="155" t="str">
        <f>IF(IFERROR(VLOOKUP($C98,Planes_de_estudio[],MATCH($AK$2,Carreras,0)+2,0),"")&gt;0,IFERROR(VLOOKUP($C98,Planes_de_estudio[],MATCH($AK$2,Carreras,0)+2,0),""),"")</f>
        <v/>
      </c>
      <c r="AL9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98" s="155">
        <f>base_de_datos[[#This Row],[Pronóstico]]/25</f>
        <v>0.16</v>
      </c>
      <c r="AO98" s="155" t="str">
        <f>VLOOKUP($C98,Planes_de_estudio[],2)</f>
        <v>ETF</v>
      </c>
      <c r="AP98" s="157" t="str">
        <f ca="1">IF(AND(base_de_datos[[#This Row],[Industrial]]&lt;&gt;"",base_de_datos[[#This Row],[Misma o no]]=1),base_de_datos[[#This Row],[Índice]],"")</f>
        <v/>
      </c>
      <c r="AQ98" s="157" t="str">
        <f ca="1">IF(AND(base_de_datos[[#This Row],[Mecatrónica]]&lt;&gt;"",base_de_datos[[#This Row],[Misma o no]]=1),base_de_datos[[#This Row],[Índice]],"")</f>
        <v/>
      </c>
      <c r="AR98" s="157" t="str">
        <f ca="1">IF(AND(base_de_datos[[#This Row],[Innovación y Diseño]]&lt;&gt;"",base_de_datos[[#This Row],[Misma o no]]=1),base_de_datos[[#This Row],[Índice]],"")</f>
        <v/>
      </c>
      <c r="AS98" s="157" t="str">
        <f ca="1">IF(AND(base_de_datos[[#This Row],[Inteligencia Artificial]]&lt;&gt;"",base_de_datos[[#This Row],[Misma o no]]=1),base_de_datos[[#This Row],[Índice]],"")</f>
        <v/>
      </c>
      <c r="AT98" s="157">
        <f ca="1">IF(AND(base_de_datos[[#This Row],[Tecnologías Energéticas]]&lt;&gt;"",base_de_datos[[#This Row],[Misma o no]]=1),base_de_datos[[#This Row],[Índice]],"")</f>
        <v>6</v>
      </c>
      <c r="AU98" s="157" t="str">
        <f ca="1">IF(AND(base_de_datos[[#This Row],[Civil y Administración]]&lt;&gt;"",base_de_datos[[#This Row],[Misma o no]]=1),base_de_datos[[#This Row],[Índice]],"")</f>
        <v/>
      </c>
      <c r="AV98" s="157" t="str">
        <f ca="1">IF(AND(base_de_datos[[#This Row],[Bioelectrónica]]&lt;&gt;"",base_de_datos[[#This Row],[Misma o no]]=1),base_de_datos[[#This Row],[Índice]],"")</f>
        <v/>
      </c>
      <c r="AW98" s="158"/>
      <c r="AX98" s="231">
        <v>1</v>
      </c>
    </row>
    <row r="99" spans="2:50" s="6" customFormat="1" ht="15">
      <c r="B99" s="148" t="s">
        <v>252</v>
      </c>
      <c r="C99" s="149" t="s">
        <v>253</v>
      </c>
      <c r="D99" s="150">
        <v>1</v>
      </c>
      <c r="E99" s="151">
        <v>0.66666666666666696</v>
      </c>
      <c r="F99" s="151">
        <v>0.79166666666665897</v>
      </c>
      <c r="G99" s="150"/>
      <c r="H99" s="150" t="s">
        <v>178</v>
      </c>
      <c r="I99" s="150">
        <f>INDEX(Aulas_capacidad,MATCH(base_de_datos[[#This Row],[Aula]],Aulas,0),2)</f>
        <v>24</v>
      </c>
      <c r="J99" s="152">
        <v>9</v>
      </c>
      <c r="K99" s="150">
        <f>INDEX(Aulas_capacidad,MATCH(base_de_datos[[#This Row],[Aula]],Aulas,0),4)</f>
        <v>12</v>
      </c>
      <c r="L99" s="153">
        <f>base_de_datos[[#This Row],[Cap 1.5]]-base_de_datos[[#This Row],[Inscritos]]</f>
        <v>3</v>
      </c>
      <c r="M99" s="153">
        <f>INDEX(Aulas_capacidad,MATCH(base_de_datos[[#This Row],[Aula]],Aulas,0),5)</f>
        <v>12</v>
      </c>
      <c r="N99" s="153">
        <f>base_de_datos[[#This Row],[Cap .90]]-base_de_datos[[#This Row],[Inscritos]]</f>
        <v>3</v>
      </c>
      <c r="O99" s="150" t="s">
        <v>254</v>
      </c>
      <c r="P99" s="154"/>
      <c r="Q99" s="154"/>
      <c r="R99" s="154" t="s">
        <v>67</v>
      </c>
      <c r="S99" s="154"/>
      <c r="T99" s="154"/>
      <c r="U99" s="154"/>
      <c r="V99" s="154" t="s">
        <v>67</v>
      </c>
      <c r="W99" s="154" t="s">
        <v>1654</v>
      </c>
      <c r="X99" s="155">
        <f>_xlfn.XLOOKUP(base_de_datos[[#This Row],[Materia]],Materias,Horas)/16</f>
        <v>4</v>
      </c>
      <c r="Y99" s="155">
        <f>ROUND(((base_de_datos[[#This Row],[Hora fin]]-base_de_datos[[#This Row],[Hora inicio]])*24)*(COUNTA(base_de_datos[[#This Row],[Lunes]:[Sábado]])),1)</f>
        <v>3</v>
      </c>
      <c r="Z9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9" s="155">
        <f ca="1">IF(base_de_datos[[#This Row],[No clase]]=OFFSET(base_de_datos[[#This Row],[No clase]],-1,0),0,1)</f>
        <v>1</v>
      </c>
      <c r="AB99" s="155">
        <f ca="1">IF(NOT(OR(base_de_datos[[#This Row],[Horas totales]]=base_de_datos[[#This Row],[HT Plan]],base_de_datos[[#This Row],[Horas totales]]="N/A")),1,0)</f>
        <v>0</v>
      </c>
      <c r="AC99" s="155" t="str">
        <f>_xlfn.XLOOKUP(base_de_datos[[#This Row],[Profesor]],Nombre,Grado)</f>
        <v>D</v>
      </c>
      <c r="AD99" s="156" t="str">
        <f>_xlfn.XLOOKUP(base_de_datos[[#This Row],[Profesor]],Nombre,Tipo)</f>
        <v>A</v>
      </c>
      <c r="AE99" s="155" t="str">
        <f>IF(IFERROR(VLOOKUP($C99,Planes_de_estudio[],MATCH($AE$2,Carreras,0)+2,0),"")&gt;0,IFERROR(VLOOKUP($C99,Planes_de_estudio[],MATCH($AE$2,Carreras,0)+2,0),""),"")</f>
        <v/>
      </c>
      <c r="AF99" s="155" t="str">
        <f>IF(IFERROR(VLOOKUP($C99,Planes_de_estudio[],MATCH($AF$2,Carreras,0)+2,0),"")&gt;0,IFERROR(VLOOKUP($C99,Planes_de_estudio[],MATCH($AF$2,Carreras,0)+2,0),""),"")</f>
        <v/>
      </c>
      <c r="AG99" s="155" t="str">
        <f>IF(IFERROR(VLOOKUP($C99,Planes_de_estudio[],MATCH($AG$2,Carreras,0)+2,0),"")&gt;0,IFERROR(VLOOKUP($C99,Planes_de_estudio[],MATCH($AG$2,Carreras,0)+2,0),""),"")</f>
        <v/>
      </c>
      <c r="AH99" s="155" t="str">
        <f>IF(IFERROR(VLOOKUP($C99,Planes_de_estudio[],MATCH($AH$2,Carreras,0)+2,0),"")&gt;0,IFERROR(VLOOKUP($C99,Planes_de_estudio[],MATCH($AH$2,Carreras,0)+2,0),""),"")</f>
        <v/>
      </c>
      <c r="AI99" s="155" t="str">
        <f>IF(IFERROR(VLOOKUP($C99,Planes_de_estudio[],MATCH($AI$2,Carreras,0)+2,0),"")&gt;0,IFERROR(VLOOKUP($C99,Planes_de_estudio[],MATCH($AI$2,Carreras,0)+2,0),""),"")</f>
        <v/>
      </c>
      <c r="AJ99" s="155" t="str">
        <f>IF(IFERROR(VLOOKUP($C99,Planes_de_estudio[],MATCH($AJ$2,Carreras,0)+2,0),"")&gt;0,IFERROR(VLOOKUP($C99,Planes_de_estudio[],MATCH($AJ$2,Carreras,0)+2,0),""),"")</f>
        <v/>
      </c>
      <c r="AK99" s="155">
        <f>IF(IFERROR(VLOOKUP($C99,Planes_de_estudio[],MATCH($AK$2,Carreras,0)+2,0),"")&gt;0,IFERROR(VLOOKUP($C99,Planes_de_estudio[],MATCH($AK$2,Carreras,0)+2,0),""),"")</f>
        <v>7</v>
      </c>
      <c r="AL9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99" s="155">
        <f>base_de_datos[[#This Row],[Pronóstico]]/25</f>
        <v>0.16</v>
      </c>
      <c r="AO99" s="155" t="str">
        <f>VLOOKUP($C99,Planes_de_estudio[],2)</f>
        <v>EEC</v>
      </c>
      <c r="AP99" s="157" t="str">
        <f ca="1">IF(AND(base_de_datos[[#This Row],[Industrial]]&lt;&gt;"",base_de_datos[[#This Row],[Misma o no]]=1),base_de_datos[[#This Row],[Índice]],"")</f>
        <v/>
      </c>
      <c r="AQ99" s="157" t="str">
        <f ca="1">IF(AND(base_de_datos[[#This Row],[Mecatrónica]]&lt;&gt;"",base_de_datos[[#This Row],[Misma o no]]=1),base_de_datos[[#This Row],[Índice]],"")</f>
        <v/>
      </c>
      <c r="AR99" s="157" t="str">
        <f ca="1">IF(AND(base_de_datos[[#This Row],[Innovación y Diseño]]&lt;&gt;"",base_de_datos[[#This Row],[Misma o no]]=1),base_de_datos[[#This Row],[Índice]],"")</f>
        <v/>
      </c>
      <c r="AS99" s="157" t="str">
        <f ca="1">IF(AND(base_de_datos[[#This Row],[Inteligencia Artificial]]&lt;&gt;"",base_de_datos[[#This Row],[Misma o no]]=1),base_de_datos[[#This Row],[Índice]],"")</f>
        <v/>
      </c>
      <c r="AT99" s="157" t="str">
        <f ca="1">IF(AND(base_de_datos[[#This Row],[Tecnologías Energéticas]]&lt;&gt;"",base_de_datos[[#This Row],[Misma o no]]=1),base_de_datos[[#This Row],[Índice]],"")</f>
        <v/>
      </c>
      <c r="AU99" s="157" t="str">
        <f ca="1">IF(AND(base_de_datos[[#This Row],[Civil y Administración]]&lt;&gt;"",base_de_datos[[#This Row],[Misma o no]]=1),base_de_datos[[#This Row],[Índice]],"")</f>
        <v/>
      </c>
      <c r="AV99" s="157">
        <f ca="1">IF(AND(base_de_datos[[#This Row],[Bioelectrónica]]&lt;&gt;"",base_de_datos[[#This Row],[Misma o no]]=1),base_de_datos[[#This Row],[Índice]],"")</f>
        <v>6</v>
      </c>
      <c r="AW99" s="158"/>
      <c r="AX99" s="231">
        <v>1</v>
      </c>
    </row>
    <row r="100" spans="2:50" s="6" customFormat="1" ht="15">
      <c r="B100" s="148" t="s">
        <v>252</v>
      </c>
      <c r="C100" s="149" t="s">
        <v>253</v>
      </c>
      <c r="D100" s="150">
        <v>1</v>
      </c>
      <c r="E100" s="151">
        <v>0.66666666666666696</v>
      </c>
      <c r="F100" s="151">
        <v>0.70833333333332704</v>
      </c>
      <c r="G100" s="150"/>
      <c r="H100" s="150" t="s">
        <v>255</v>
      </c>
      <c r="I100" s="150">
        <f>INDEX(Aulas_capacidad,MATCH(base_de_datos[[#This Row],[Aula]],Aulas,0),2)</f>
        <v>10</v>
      </c>
      <c r="J100" s="152">
        <v>9</v>
      </c>
      <c r="K100" s="150">
        <f>INDEX(Aulas_capacidad,MATCH(base_de_datos[[#This Row],[Aula]],Aulas,0),4)</f>
        <v>7</v>
      </c>
      <c r="L100" s="153">
        <f>base_de_datos[[#This Row],[Cap 1.5]]-base_de_datos[[#This Row],[Inscritos]]</f>
        <v>-2</v>
      </c>
      <c r="M100" s="153">
        <f>INDEX(Aulas_capacidad,MATCH(base_de_datos[[#This Row],[Aula]],Aulas,0),5)</f>
        <v>7</v>
      </c>
      <c r="N100" s="153">
        <f>base_de_datos[[#This Row],[Cap .90]]-base_de_datos[[#This Row],[Inscritos]]</f>
        <v>-2</v>
      </c>
      <c r="O100" s="150" t="s">
        <v>254</v>
      </c>
      <c r="P100" s="154"/>
      <c r="Q100" s="154"/>
      <c r="R100" s="154"/>
      <c r="S100" s="154"/>
      <c r="T100" s="154" t="s">
        <v>67</v>
      </c>
      <c r="U100" s="154"/>
      <c r="V100" s="154" t="s">
        <v>67</v>
      </c>
      <c r="W100" s="154" t="s">
        <v>1654</v>
      </c>
      <c r="X100" s="155">
        <f>_xlfn.XLOOKUP(base_de_datos[[#This Row],[Materia]],Materias,Horas)/16</f>
        <v>4</v>
      </c>
      <c r="Y100" s="155">
        <f>ROUND(((base_de_datos[[#This Row],[Hora fin]]-base_de_datos[[#This Row],[Hora inicio]])*24)*(COUNTA(base_de_datos[[#This Row],[Lunes]:[Sábado]])),1)</f>
        <v>1</v>
      </c>
      <c r="Z10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0" s="155">
        <f ca="1">IF(base_de_datos[[#This Row],[No clase]]=OFFSET(base_de_datos[[#This Row],[No clase]],-1,0),0,1)</f>
        <v>0</v>
      </c>
      <c r="AB100" s="155">
        <f ca="1">IF(NOT(OR(base_de_datos[[#This Row],[Horas totales]]=base_de_datos[[#This Row],[HT Plan]],base_de_datos[[#This Row],[Horas totales]]="N/A")),1,0)</f>
        <v>0</v>
      </c>
      <c r="AC100" s="155" t="str">
        <f>_xlfn.XLOOKUP(base_de_datos[[#This Row],[Profesor]],Nombre,Grado)</f>
        <v>D</v>
      </c>
      <c r="AD100" s="156" t="str">
        <f>_xlfn.XLOOKUP(base_de_datos[[#This Row],[Profesor]],Nombre,Tipo)</f>
        <v>A</v>
      </c>
      <c r="AE100" s="155" t="str">
        <f>IF(IFERROR(VLOOKUP($C100,Planes_de_estudio[],MATCH($AE$2,Carreras,0)+2,0),"")&gt;0,IFERROR(VLOOKUP($C100,Planes_de_estudio[],MATCH($AE$2,Carreras,0)+2,0),""),"")</f>
        <v/>
      </c>
      <c r="AF100" s="155" t="str">
        <f>IF(IFERROR(VLOOKUP($C100,Planes_de_estudio[],MATCH($AF$2,Carreras,0)+2,0),"")&gt;0,IFERROR(VLOOKUP($C100,Planes_de_estudio[],MATCH($AF$2,Carreras,0)+2,0),""),"")</f>
        <v/>
      </c>
      <c r="AG100" s="155" t="str">
        <f>IF(IFERROR(VLOOKUP($C100,Planes_de_estudio[],MATCH($AG$2,Carreras,0)+2,0),"")&gt;0,IFERROR(VLOOKUP($C100,Planes_de_estudio[],MATCH($AG$2,Carreras,0)+2,0),""),"")</f>
        <v/>
      </c>
      <c r="AH100" s="155" t="str">
        <f>IF(IFERROR(VLOOKUP($C100,Planes_de_estudio[],MATCH($AH$2,Carreras,0)+2,0),"")&gt;0,IFERROR(VLOOKUP($C100,Planes_de_estudio[],MATCH($AH$2,Carreras,0)+2,0),""),"")</f>
        <v/>
      </c>
      <c r="AI100" s="155" t="str">
        <f>IF(IFERROR(VLOOKUP($C100,Planes_de_estudio[],MATCH($AI$2,Carreras,0)+2,0),"")&gt;0,IFERROR(VLOOKUP($C100,Planes_de_estudio[],MATCH($AI$2,Carreras,0)+2,0),""),"")</f>
        <v/>
      </c>
      <c r="AJ100" s="155" t="str">
        <f>IF(IFERROR(VLOOKUP($C100,Planes_de_estudio[],MATCH($AJ$2,Carreras,0)+2,0),"")&gt;0,IFERROR(VLOOKUP($C100,Planes_de_estudio[],MATCH($AJ$2,Carreras,0)+2,0),""),"")</f>
        <v/>
      </c>
      <c r="AK100" s="155">
        <f>IF(IFERROR(VLOOKUP($C100,Planes_de_estudio[],MATCH($AK$2,Carreras,0)+2,0),"")&gt;0,IFERROR(VLOOKUP($C100,Planes_de_estudio[],MATCH($AK$2,Carreras,0)+2,0),""),"")</f>
        <v>7</v>
      </c>
      <c r="AL10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100" s="155">
        <f>base_de_datos[[#This Row],[Pronóstico]]/25</f>
        <v>0.16</v>
      </c>
      <c r="AO100" s="155" t="str">
        <f>VLOOKUP($C100,Planes_de_estudio[],2)</f>
        <v>EEC</v>
      </c>
      <c r="AP100" s="157" t="str">
        <f ca="1">IF(AND(base_de_datos[[#This Row],[Industrial]]&lt;&gt;"",base_de_datos[[#This Row],[Misma o no]]=1),base_de_datos[[#This Row],[Índice]],"")</f>
        <v/>
      </c>
      <c r="AQ100" s="157" t="str">
        <f ca="1">IF(AND(base_de_datos[[#This Row],[Mecatrónica]]&lt;&gt;"",base_de_datos[[#This Row],[Misma o no]]=1),base_de_datos[[#This Row],[Índice]],"")</f>
        <v/>
      </c>
      <c r="AR100" s="157" t="str">
        <f ca="1">IF(AND(base_de_datos[[#This Row],[Innovación y Diseño]]&lt;&gt;"",base_de_datos[[#This Row],[Misma o no]]=1),base_de_datos[[#This Row],[Índice]],"")</f>
        <v/>
      </c>
      <c r="AS100" s="157" t="str">
        <f ca="1">IF(AND(base_de_datos[[#This Row],[Inteligencia Artificial]]&lt;&gt;"",base_de_datos[[#This Row],[Misma o no]]=1),base_de_datos[[#This Row],[Índice]],"")</f>
        <v/>
      </c>
      <c r="AT100" s="157" t="str">
        <f ca="1">IF(AND(base_de_datos[[#This Row],[Tecnologías Energéticas]]&lt;&gt;"",base_de_datos[[#This Row],[Misma o no]]=1),base_de_datos[[#This Row],[Índice]],"")</f>
        <v/>
      </c>
      <c r="AU100" s="157" t="str">
        <f ca="1">IF(AND(base_de_datos[[#This Row],[Civil y Administración]]&lt;&gt;"",base_de_datos[[#This Row],[Misma o no]]=1),base_de_datos[[#This Row],[Índice]],"")</f>
        <v/>
      </c>
      <c r="AV100" s="157" t="str">
        <f ca="1">IF(AND(base_de_datos[[#This Row],[Bioelectrónica]]&lt;&gt;"",base_de_datos[[#This Row],[Misma o no]]=1),base_de_datos[[#This Row],[Índice]],"")</f>
        <v/>
      </c>
      <c r="AW100" s="158"/>
      <c r="AX100" s="231">
        <v>1</v>
      </c>
    </row>
    <row r="101" spans="2:50" s="6" customFormat="1" ht="15">
      <c r="B101" s="148" t="s">
        <v>256</v>
      </c>
      <c r="C101" s="149" t="s">
        <v>257</v>
      </c>
      <c r="D101" s="150">
        <v>1</v>
      </c>
      <c r="E101" s="151">
        <v>0.375</v>
      </c>
      <c r="F101" s="151">
        <v>0.45833333333333098</v>
      </c>
      <c r="G101" s="218" t="s">
        <v>65</v>
      </c>
      <c r="H101" s="182" t="s">
        <v>154</v>
      </c>
      <c r="I101" s="150">
        <f>INDEX(Aulas_capacidad,MATCH(base_de_datos[[#This Row],[Aula]],Aulas,0),2)</f>
        <v>40</v>
      </c>
      <c r="J101" s="152">
        <v>7</v>
      </c>
      <c r="K101" s="150">
        <f>INDEX(Aulas_capacidad,MATCH(base_de_datos[[#This Row],[Aula]],Aulas,0),4)</f>
        <v>10</v>
      </c>
      <c r="L101" s="153">
        <f>base_de_datos[[#This Row],[Cap 1.5]]-base_de_datos[[#This Row],[Inscritos]]</f>
        <v>3</v>
      </c>
      <c r="M101" s="153">
        <f>INDEX(Aulas_capacidad,MATCH(base_de_datos[[#This Row],[Aula]],Aulas,0),5)</f>
        <v>15</v>
      </c>
      <c r="N101" s="153">
        <f>base_de_datos[[#This Row],[Cap .90]]-base_de_datos[[#This Row],[Inscritos]]</f>
        <v>8</v>
      </c>
      <c r="O101" s="150" t="s">
        <v>258</v>
      </c>
      <c r="P101" s="154"/>
      <c r="Q101" s="154" t="s">
        <v>67</v>
      </c>
      <c r="R101" s="154"/>
      <c r="S101" s="154"/>
      <c r="T101" s="154"/>
      <c r="U101" s="154"/>
      <c r="V101" s="154"/>
      <c r="W101" s="154" t="s">
        <v>1659</v>
      </c>
      <c r="X101" s="155">
        <f>_xlfn.XLOOKUP(base_de_datos[[#This Row],[Materia]],Materias,Horas)/16</f>
        <v>4</v>
      </c>
      <c r="Y101" s="155">
        <f>ROUND(((base_de_datos[[#This Row],[Hora fin]]-base_de_datos[[#This Row],[Hora inicio]])*24)*(COUNTA(base_de_datos[[#This Row],[Lunes]:[Sábado]])),1)</f>
        <v>2</v>
      </c>
      <c r="Z10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1" s="155">
        <f ca="1">IF(base_de_datos[[#This Row],[No clase]]=OFFSET(base_de_datos[[#This Row],[No clase]],-1,0),0,1)</f>
        <v>1</v>
      </c>
      <c r="AB101" s="155">
        <f ca="1">IF(NOT(OR(base_de_datos[[#This Row],[Horas totales]]=base_de_datos[[#This Row],[HT Plan]],base_de_datos[[#This Row],[Horas totales]]="N/A")),1,0)</f>
        <v>0</v>
      </c>
      <c r="AC101" s="155" t="str">
        <f>_xlfn.XLOOKUP(base_de_datos[[#This Row],[Profesor]],Nombre,Grado)</f>
        <v>E</v>
      </c>
      <c r="AD101" s="156" t="str">
        <f>_xlfn.XLOOKUP(base_de_datos[[#This Row],[Profesor]],Nombre,Tipo)</f>
        <v>TC</v>
      </c>
      <c r="AE101" s="155" t="str">
        <f>IF(IFERROR(VLOOKUP($C101,Planes_de_estudio[],MATCH($AE$2,Carreras,0)+2,0),"")&gt;0,IFERROR(VLOOKUP($C101,Planes_de_estudio[],MATCH($AE$2,Carreras,0)+2,0),""),"")</f>
        <v/>
      </c>
      <c r="AF101" s="155" t="str">
        <f>IF(IFERROR(VLOOKUP($C101,Planes_de_estudio[],MATCH($AF$2,Carreras,0)+2,0),"")&gt;0,IFERROR(VLOOKUP($C101,Planes_de_estudio[],MATCH($AF$2,Carreras,0)+2,0),""),"")</f>
        <v/>
      </c>
      <c r="AG101" s="155" t="str">
        <f>IF(IFERROR(VLOOKUP($C101,Planes_de_estudio[],MATCH($AG$2,Carreras,0)+2,0),"")&gt;0,IFERROR(VLOOKUP($C101,Planes_de_estudio[],MATCH($AG$2,Carreras,0)+2,0),""),"")</f>
        <v/>
      </c>
      <c r="AH101" s="155" t="str">
        <f>IF(IFERROR(VLOOKUP($C101,Planes_de_estudio[],MATCH($AH$2,Carreras,0)+2,0),"")&gt;0,IFERROR(VLOOKUP($C101,Planes_de_estudio[],MATCH($AH$2,Carreras,0)+2,0),""),"")</f>
        <v/>
      </c>
      <c r="AI101" s="155" t="str">
        <f>IF(IFERROR(VLOOKUP($C101,Planes_de_estudio[],MATCH($AI$2,Carreras,0)+2,0),"")&gt;0,IFERROR(VLOOKUP($C101,Planes_de_estudio[],MATCH($AI$2,Carreras,0)+2,0),""),"")</f>
        <v/>
      </c>
      <c r="AJ101" s="155" t="str">
        <f>IF(IFERROR(VLOOKUP($C101,Planes_de_estudio[],MATCH($AJ$2,Carreras,0)+2,0),"")&gt;0,IFERROR(VLOOKUP($C101,Planes_de_estudio[],MATCH($AJ$2,Carreras,0)+2,0),""),"")</f>
        <v/>
      </c>
      <c r="AK101" s="155">
        <f>IF(IFERROR(VLOOKUP($C101,Planes_de_estudio[],MATCH($AK$2,Carreras,0)+2,0),"")&gt;0,IFERROR(VLOOKUP($C101,Planes_de_estudio[],MATCH($AK$2,Carreras,0)+2,0),""),"")</f>
        <v>3</v>
      </c>
      <c r="AL10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01" s="155">
        <f>base_de_datos[[#This Row],[Pronóstico]]/25</f>
        <v>0.28000000000000003</v>
      </c>
      <c r="AO101" s="155" t="str">
        <f>VLOOKUP($C101,Planes_de_estudio[],2)</f>
        <v>BIO</v>
      </c>
      <c r="AP101" s="157" t="str">
        <f ca="1">IF(AND(base_de_datos[[#This Row],[Industrial]]&lt;&gt;"",base_de_datos[[#This Row],[Misma o no]]=1),base_de_datos[[#This Row],[Índice]],"")</f>
        <v/>
      </c>
      <c r="AQ101" s="157" t="str">
        <f ca="1">IF(AND(base_de_datos[[#This Row],[Mecatrónica]]&lt;&gt;"",base_de_datos[[#This Row],[Misma o no]]=1),base_de_datos[[#This Row],[Índice]],"")</f>
        <v/>
      </c>
      <c r="AR101" s="157" t="str">
        <f ca="1">IF(AND(base_de_datos[[#This Row],[Innovación y Diseño]]&lt;&gt;"",base_de_datos[[#This Row],[Misma o no]]=1),base_de_datos[[#This Row],[Índice]],"")</f>
        <v/>
      </c>
      <c r="AS101" s="157" t="str">
        <f ca="1">IF(AND(base_de_datos[[#This Row],[Inteligencia Artificial]]&lt;&gt;"",base_de_datos[[#This Row],[Misma o no]]=1),base_de_datos[[#This Row],[Índice]],"")</f>
        <v/>
      </c>
      <c r="AT101" s="157" t="str">
        <f ca="1">IF(AND(base_de_datos[[#This Row],[Tecnologías Energéticas]]&lt;&gt;"",base_de_datos[[#This Row],[Misma o no]]=1),base_de_datos[[#This Row],[Índice]],"")</f>
        <v/>
      </c>
      <c r="AU101" s="157" t="str">
        <f ca="1">IF(AND(base_de_datos[[#This Row],[Civil y Administración]]&lt;&gt;"",base_de_datos[[#This Row],[Misma o no]]=1),base_de_datos[[#This Row],[Índice]],"")</f>
        <v/>
      </c>
      <c r="AV101" s="157">
        <f ca="1">IF(AND(base_de_datos[[#This Row],[Bioelectrónica]]&lt;&gt;"",base_de_datos[[#This Row],[Misma o no]]=1),base_de_datos[[#This Row],[Índice]],"")</f>
        <v>2</v>
      </c>
      <c r="AW101" s="158"/>
      <c r="AX101" s="231">
        <v>3</v>
      </c>
    </row>
    <row r="102" spans="2:50" s="6" customFormat="1" ht="15">
      <c r="B102" s="148" t="s">
        <v>256</v>
      </c>
      <c r="C102" s="149" t="s">
        <v>257</v>
      </c>
      <c r="D102" s="150">
        <v>1</v>
      </c>
      <c r="E102" s="151">
        <v>0.375</v>
      </c>
      <c r="F102" s="151">
        <v>0.45833333333333098</v>
      </c>
      <c r="G102" s="218" t="s">
        <v>65</v>
      </c>
      <c r="H102" s="182" t="s">
        <v>154</v>
      </c>
      <c r="I102" s="150">
        <f>INDEX(Aulas_capacidad,MATCH(base_de_datos[[#This Row],[Aula]],Aulas,0),2)</f>
        <v>40</v>
      </c>
      <c r="J102" s="152">
        <v>7</v>
      </c>
      <c r="K102" s="150">
        <f>INDEX(Aulas_capacidad,MATCH(base_de_datos[[#This Row],[Aula]],Aulas,0),4)</f>
        <v>10</v>
      </c>
      <c r="L102" s="153">
        <f>base_de_datos[[#This Row],[Cap 1.5]]-base_de_datos[[#This Row],[Inscritos]]</f>
        <v>3</v>
      </c>
      <c r="M102" s="153">
        <f>INDEX(Aulas_capacidad,MATCH(base_de_datos[[#This Row],[Aula]],Aulas,0),5)</f>
        <v>15</v>
      </c>
      <c r="N102" s="153">
        <f>base_de_datos[[#This Row],[Cap .90]]-base_de_datos[[#This Row],[Inscritos]]</f>
        <v>8</v>
      </c>
      <c r="O102" s="150" t="s">
        <v>258</v>
      </c>
      <c r="P102" s="154"/>
      <c r="Q102" s="154"/>
      <c r="R102" s="154"/>
      <c r="S102" s="154" t="s">
        <v>67</v>
      </c>
      <c r="T102" s="154"/>
      <c r="U102" s="154"/>
      <c r="V102" s="154"/>
      <c r="W102" s="154" t="s">
        <v>1659</v>
      </c>
      <c r="X102" s="155">
        <f>_xlfn.XLOOKUP(base_de_datos[[#This Row],[Materia]],Materias,Horas)/16</f>
        <v>4</v>
      </c>
      <c r="Y102" s="155">
        <f>ROUND(((base_de_datos[[#This Row],[Hora fin]]-base_de_datos[[#This Row],[Hora inicio]])*24)*(COUNTA(base_de_datos[[#This Row],[Lunes]:[Sábado]])),1)</f>
        <v>2</v>
      </c>
      <c r="Z10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2" s="155">
        <f ca="1">IF(base_de_datos[[#This Row],[No clase]]=OFFSET(base_de_datos[[#This Row],[No clase]],-1,0),0,1)</f>
        <v>0</v>
      </c>
      <c r="AB102" s="155">
        <f ca="1">IF(NOT(OR(base_de_datos[[#This Row],[Horas totales]]=base_de_datos[[#This Row],[HT Plan]],base_de_datos[[#This Row],[Horas totales]]="N/A")),1,0)</f>
        <v>0</v>
      </c>
      <c r="AC102" s="155" t="str">
        <f>_xlfn.XLOOKUP(base_de_datos[[#This Row],[Profesor]],Nombre,Grado)</f>
        <v>E</v>
      </c>
      <c r="AD102" s="156" t="str">
        <f>_xlfn.XLOOKUP(base_de_datos[[#This Row],[Profesor]],Nombre,Tipo)</f>
        <v>TC</v>
      </c>
      <c r="AE102" s="155" t="str">
        <f>IF(IFERROR(VLOOKUP($C102,Planes_de_estudio[],MATCH($AE$2,Carreras,0)+2,0),"")&gt;0,IFERROR(VLOOKUP($C102,Planes_de_estudio[],MATCH($AE$2,Carreras,0)+2,0),""),"")</f>
        <v/>
      </c>
      <c r="AF102" s="155" t="str">
        <f>IF(IFERROR(VLOOKUP($C102,Planes_de_estudio[],MATCH($AF$2,Carreras,0)+2,0),"")&gt;0,IFERROR(VLOOKUP($C102,Planes_de_estudio[],MATCH($AF$2,Carreras,0)+2,0),""),"")</f>
        <v/>
      </c>
      <c r="AG102" s="155" t="str">
        <f>IF(IFERROR(VLOOKUP($C102,Planes_de_estudio[],MATCH($AG$2,Carreras,0)+2,0),"")&gt;0,IFERROR(VLOOKUP($C102,Planes_de_estudio[],MATCH($AG$2,Carreras,0)+2,0),""),"")</f>
        <v/>
      </c>
      <c r="AH102" s="155" t="str">
        <f>IF(IFERROR(VLOOKUP($C102,Planes_de_estudio[],MATCH($AH$2,Carreras,0)+2,0),"")&gt;0,IFERROR(VLOOKUP($C102,Planes_de_estudio[],MATCH($AH$2,Carreras,0)+2,0),""),"")</f>
        <v/>
      </c>
      <c r="AI102" s="155" t="str">
        <f>IF(IFERROR(VLOOKUP($C102,Planes_de_estudio[],MATCH($AI$2,Carreras,0)+2,0),"")&gt;0,IFERROR(VLOOKUP($C102,Planes_de_estudio[],MATCH($AI$2,Carreras,0)+2,0),""),"")</f>
        <v/>
      </c>
      <c r="AJ102" s="155" t="str">
        <f>IF(IFERROR(VLOOKUP($C102,Planes_de_estudio[],MATCH($AJ$2,Carreras,0)+2,0),"")&gt;0,IFERROR(VLOOKUP($C102,Planes_de_estudio[],MATCH($AJ$2,Carreras,0)+2,0),""),"")</f>
        <v/>
      </c>
      <c r="AK102" s="155">
        <f>IF(IFERROR(VLOOKUP($C102,Planes_de_estudio[],MATCH($AK$2,Carreras,0)+2,0),"")&gt;0,IFERROR(VLOOKUP($C102,Planes_de_estudio[],MATCH($AK$2,Carreras,0)+2,0),""),"")</f>
        <v>3</v>
      </c>
      <c r="AL10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02" s="155">
        <f>base_de_datos[[#This Row],[Pronóstico]]/25</f>
        <v>0.28000000000000003</v>
      </c>
      <c r="AO102" s="155" t="str">
        <f>VLOOKUP($C102,Planes_de_estudio[],2)</f>
        <v>BIO</v>
      </c>
      <c r="AP102" s="157" t="str">
        <f ca="1">IF(AND(base_de_datos[[#This Row],[Industrial]]&lt;&gt;"",base_de_datos[[#This Row],[Misma o no]]=1),base_de_datos[[#This Row],[Índice]],"")</f>
        <v/>
      </c>
      <c r="AQ102" s="157" t="str">
        <f ca="1">IF(AND(base_de_datos[[#This Row],[Mecatrónica]]&lt;&gt;"",base_de_datos[[#This Row],[Misma o no]]=1),base_de_datos[[#This Row],[Índice]],"")</f>
        <v/>
      </c>
      <c r="AR102" s="157" t="str">
        <f ca="1">IF(AND(base_de_datos[[#This Row],[Innovación y Diseño]]&lt;&gt;"",base_de_datos[[#This Row],[Misma o no]]=1),base_de_datos[[#This Row],[Índice]],"")</f>
        <v/>
      </c>
      <c r="AS102" s="157" t="str">
        <f ca="1">IF(AND(base_de_datos[[#This Row],[Inteligencia Artificial]]&lt;&gt;"",base_de_datos[[#This Row],[Misma o no]]=1),base_de_datos[[#This Row],[Índice]],"")</f>
        <v/>
      </c>
      <c r="AT102" s="157" t="str">
        <f ca="1">IF(AND(base_de_datos[[#This Row],[Tecnologías Energéticas]]&lt;&gt;"",base_de_datos[[#This Row],[Misma o no]]=1),base_de_datos[[#This Row],[Índice]],"")</f>
        <v/>
      </c>
      <c r="AU102" s="157" t="str">
        <f ca="1">IF(AND(base_de_datos[[#This Row],[Civil y Administración]]&lt;&gt;"",base_de_datos[[#This Row],[Misma o no]]=1),base_de_datos[[#This Row],[Índice]],"")</f>
        <v/>
      </c>
      <c r="AV102" s="157" t="str">
        <f ca="1">IF(AND(base_de_datos[[#This Row],[Bioelectrónica]]&lt;&gt;"",base_de_datos[[#This Row],[Misma o no]]=1),base_de_datos[[#This Row],[Índice]],"")</f>
        <v/>
      </c>
      <c r="AW102" s="158"/>
      <c r="AX102" s="231">
        <v>3</v>
      </c>
    </row>
    <row r="103" spans="2:50" s="6" customFormat="1" ht="15">
      <c r="B103" s="148" t="s">
        <v>256</v>
      </c>
      <c r="C103" s="149" t="s">
        <v>259</v>
      </c>
      <c r="D103" s="150">
        <v>1</v>
      </c>
      <c r="E103" s="151">
        <v>0.70833333333333304</v>
      </c>
      <c r="F103" s="151">
        <v>0.79166666666665897</v>
      </c>
      <c r="G103" s="218" t="s">
        <v>65</v>
      </c>
      <c r="H103" s="150" t="s">
        <v>260</v>
      </c>
      <c r="I103" s="150">
        <f>INDEX(Aulas_capacidad,MATCH(base_de_datos[[#This Row],[Aula]],Aulas,0),2)</f>
        <v>20</v>
      </c>
      <c r="J103" s="152">
        <v>7</v>
      </c>
      <c r="K103" s="150">
        <f>INDEX(Aulas_capacidad,MATCH(base_de_datos[[#This Row],[Aula]],Aulas,0),4)</f>
        <v>8</v>
      </c>
      <c r="L103" s="153">
        <f>base_de_datos[[#This Row],[Cap 1.5]]-base_de_datos[[#This Row],[Inscritos]]</f>
        <v>1</v>
      </c>
      <c r="M103" s="153">
        <f>INDEX(Aulas_capacidad,MATCH(base_de_datos[[#This Row],[Aula]],Aulas,0),5)</f>
        <v>10</v>
      </c>
      <c r="N103" s="153">
        <f>base_de_datos[[#This Row],[Cap .90]]-base_de_datos[[#This Row],[Inscritos]]</f>
        <v>3</v>
      </c>
      <c r="O103" s="150" t="s">
        <v>261</v>
      </c>
      <c r="P103" s="154" t="s">
        <v>67</v>
      </c>
      <c r="Q103" s="154"/>
      <c r="R103" s="154"/>
      <c r="S103" s="154"/>
      <c r="T103" s="154"/>
      <c r="U103" s="154"/>
      <c r="V103" s="154"/>
      <c r="W103" s="154" t="s">
        <v>1655</v>
      </c>
      <c r="X103" s="155">
        <f>_xlfn.XLOOKUP(base_de_datos[[#This Row],[Materia]],Materias,Horas)/16</f>
        <v>4</v>
      </c>
      <c r="Y103" s="155">
        <f>ROUND(((base_de_datos[[#This Row],[Hora fin]]-base_de_datos[[#This Row],[Hora inicio]])*24)*(COUNTA(base_de_datos[[#This Row],[Lunes]:[Sábado]])),1)</f>
        <v>2</v>
      </c>
      <c r="Z10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3" s="155">
        <f ca="1">IF(base_de_datos[[#This Row],[No clase]]=OFFSET(base_de_datos[[#This Row],[No clase]],-1,0),0,1)</f>
        <v>1</v>
      </c>
      <c r="AB103" s="155">
        <f ca="1">IF(NOT(OR(base_de_datos[[#This Row],[Horas totales]]=base_de_datos[[#This Row],[HT Plan]],base_de_datos[[#This Row],[Horas totales]]="N/A")),1,0)</f>
        <v>0</v>
      </c>
      <c r="AC103" s="155" t="str">
        <f>_xlfn.XLOOKUP(base_de_datos[[#This Row],[Profesor]],Nombre,Grado)</f>
        <v>E</v>
      </c>
      <c r="AD103" s="156" t="str">
        <f>_xlfn.XLOOKUP(base_de_datos[[#This Row],[Profesor]],Nombre,Tipo)</f>
        <v>TC</v>
      </c>
      <c r="AE103" s="155" t="str">
        <f>IF(IFERROR(VLOOKUP($C103,Planes_de_estudio[],MATCH($AE$2,Carreras,0)+2,0),"")&gt;0,IFERROR(VLOOKUP($C103,Planes_de_estudio[],MATCH($AE$2,Carreras,0)+2,0),""),"")</f>
        <v/>
      </c>
      <c r="AF103" s="155" t="str">
        <f>IF(IFERROR(VLOOKUP($C103,Planes_de_estudio[],MATCH($AF$2,Carreras,0)+2,0),"")&gt;0,IFERROR(VLOOKUP($C103,Planes_de_estudio[],MATCH($AF$2,Carreras,0)+2,0),""),"")</f>
        <v/>
      </c>
      <c r="AG103" s="155" t="str">
        <f>IF(IFERROR(VLOOKUP($C103,Planes_de_estudio[],MATCH($AG$2,Carreras,0)+2,0),"")&gt;0,IFERROR(VLOOKUP($C103,Planes_de_estudio[],MATCH($AG$2,Carreras,0)+2,0),""),"")</f>
        <v/>
      </c>
      <c r="AH103" s="155" t="str">
        <f>IF(IFERROR(VLOOKUP($C103,Planes_de_estudio[],MATCH($AH$2,Carreras,0)+2,0),"")&gt;0,IFERROR(VLOOKUP($C103,Planes_de_estudio[],MATCH($AH$2,Carreras,0)+2,0),""),"")</f>
        <v/>
      </c>
      <c r="AI103" s="155" t="str">
        <f>IF(IFERROR(VLOOKUP($C103,Planes_de_estudio[],MATCH($AI$2,Carreras,0)+2,0),"")&gt;0,IFERROR(VLOOKUP($C103,Planes_de_estudio[],MATCH($AI$2,Carreras,0)+2,0),""),"")</f>
        <v/>
      </c>
      <c r="AJ103" s="155" t="str">
        <f>IF(IFERROR(VLOOKUP($C103,Planes_de_estudio[],MATCH($AJ$2,Carreras,0)+2,0),"")&gt;0,IFERROR(VLOOKUP($C103,Planes_de_estudio[],MATCH($AJ$2,Carreras,0)+2,0),""),"")</f>
        <v/>
      </c>
      <c r="AK103" s="155">
        <f>IF(IFERROR(VLOOKUP($C103,Planes_de_estudio[],MATCH($AK$2,Carreras,0)+2,0),"")&gt;0,IFERROR(VLOOKUP($C103,Planes_de_estudio[],MATCH($AK$2,Carreras,0)+2,0),""),"")</f>
        <v>5</v>
      </c>
      <c r="AL10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03" s="155">
        <f>base_de_datos[[#This Row],[Pronóstico]]/25</f>
        <v>0.32</v>
      </c>
      <c r="AO103" s="155" t="str">
        <f>VLOOKUP($C103,Planes_de_estudio[],2)</f>
        <v>BIO</v>
      </c>
      <c r="AP103" s="157" t="str">
        <f ca="1">IF(AND(base_de_datos[[#This Row],[Industrial]]&lt;&gt;"",base_de_datos[[#This Row],[Misma o no]]=1),base_de_datos[[#This Row],[Índice]],"")</f>
        <v/>
      </c>
      <c r="AQ103" s="157" t="str">
        <f ca="1">IF(AND(base_de_datos[[#This Row],[Mecatrónica]]&lt;&gt;"",base_de_datos[[#This Row],[Misma o no]]=1),base_de_datos[[#This Row],[Índice]],"")</f>
        <v/>
      </c>
      <c r="AR103" s="157" t="str">
        <f ca="1">IF(AND(base_de_datos[[#This Row],[Innovación y Diseño]]&lt;&gt;"",base_de_datos[[#This Row],[Misma o no]]=1),base_de_datos[[#This Row],[Índice]],"")</f>
        <v/>
      </c>
      <c r="AS103" s="157" t="str">
        <f ca="1">IF(AND(base_de_datos[[#This Row],[Inteligencia Artificial]]&lt;&gt;"",base_de_datos[[#This Row],[Misma o no]]=1),base_de_datos[[#This Row],[Índice]],"")</f>
        <v/>
      </c>
      <c r="AT103" s="157" t="str">
        <f ca="1">IF(AND(base_de_datos[[#This Row],[Tecnologías Energéticas]]&lt;&gt;"",base_de_datos[[#This Row],[Misma o no]]=1),base_de_datos[[#This Row],[Índice]],"")</f>
        <v/>
      </c>
      <c r="AU103" s="157" t="str">
        <f ca="1">IF(AND(base_de_datos[[#This Row],[Civil y Administración]]&lt;&gt;"",base_de_datos[[#This Row],[Misma o no]]=1),base_de_datos[[#This Row],[Índice]],"")</f>
        <v/>
      </c>
      <c r="AV103" s="157">
        <f ca="1">IF(AND(base_de_datos[[#This Row],[Bioelectrónica]]&lt;&gt;"",base_de_datos[[#This Row],[Misma o no]]=1),base_de_datos[[#This Row],[Índice]],"")</f>
        <v>2</v>
      </c>
      <c r="AW103" s="158"/>
      <c r="AX103" s="231">
        <v>2</v>
      </c>
    </row>
    <row r="104" spans="2:50" s="6" customFormat="1" ht="15">
      <c r="B104" s="148" t="s">
        <v>256</v>
      </c>
      <c r="C104" s="149" t="s">
        <v>259</v>
      </c>
      <c r="D104" s="150">
        <v>1</v>
      </c>
      <c r="E104" s="151">
        <v>0.70833333333333304</v>
      </c>
      <c r="F104" s="151">
        <v>0.79166666666665897</v>
      </c>
      <c r="G104" s="218" t="s">
        <v>65</v>
      </c>
      <c r="H104" s="150" t="s">
        <v>80</v>
      </c>
      <c r="I104" s="150">
        <f>INDEX(Aulas_capacidad,MATCH(base_de_datos[[#This Row],[Aula]],Aulas,0),2)</f>
        <v>30</v>
      </c>
      <c r="J104" s="152">
        <v>7</v>
      </c>
      <c r="K104" s="150">
        <f>INDEX(Aulas_capacidad,MATCH(base_de_datos[[#This Row],[Aula]],Aulas,0),4)</f>
        <v>0</v>
      </c>
      <c r="L104" s="153">
        <f>base_de_datos[[#This Row],[Cap 1.5]]-base_de_datos[[#This Row],[Inscritos]]</f>
        <v>-7</v>
      </c>
      <c r="M104" s="153">
        <f>INDEX(Aulas_capacidad,MATCH(base_de_datos[[#This Row],[Aula]],Aulas,0),5)</f>
        <v>0</v>
      </c>
      <c r="N104" s="153">
        <f>base_de_datos[[#This Row],[Cap .90]]-base_de_datos[[#This Row],[Inscritos]]</f>
        <v>-7</v>
      </c>
      <c r="O104" s="150" t="s">
        <v>261</v>
      </c>
      <c r="P104" s="154"/>
      <c r="Q104" s="154" t="s">
        <v>67</v>
      </c>
      <c r="R104" s="154"/>
      <c r="S104" s="154"/>
      <c r="T104" s="154"/>
      <c r="U104" s="154"/>
      <c r="V104" s="154"/>
      <c r="W104" s="154" t="s">
        <v>1655</v>
      </c>
      <c r="X104" s="155">
        <f>_xlfn.XLOOKUP(base_de_datos[[#This Row],[Materia]],Materias,Horas)/16</f>
        <v>4</v>
      </c>
      <c r="Y104" s="155">
        <f>ROUND(((base_de_datos[[#This Row],[Hora fin]]-base_de_datos[[#This Row],[Hora inicio]])*24)*(COUNTA(base_de_datos[[#This Row],[Lunes]:[Sábado]])),1)</f>
        <v>2</v>
      </c>
      <c r="Z10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4" s="155">
        <f ca="1">IF(base_de_datos[[#This Row],[No clase]]=OFFSET(base_de_datos[[#This Row],[No clase]],-1,0),0,1)</f>
        <v>0</v>
      </c>
      <c r="AB104" s="155">
        <f ca="1">IF(NOT(OR(base_de_datos[[#This Row],[Horas totales]]=base_de_datos[[#This Row],[HT Plan]],base_de_datos[[#This Row],[Horas totales]]="N/A")),1,0)</f>
        <v>0</v>
      </c>
      <c r="AC104" s="155" t="str">
        <f>_xlfn.XLOOKUP(base_de_datos[[#This Row],[Profesor]],Nombre,Grado)</f>
        <v>E</v>
      </c>
      <c r="AD104" s="156" t="str">
        <f>_xlfn.XLOOKUP(base_de_datos[[#This Row],[Profesor]],Nombre,Tipo)</f>
        <v>TC</v>
      </c>
      <c r="AE104" s="155" t="str">
        <f>IF(IFERROR(VLOOKUP($C104,Planes_de_estudio[],MATCH($AE$2,Carreras,0)+2,0),"")&gt;0,IFERROR(VLOOKUP($C104,Planes_de_estudio[],MATCH($AE$2,Carreras,0)+2,0),""),"")</f>
        <v/>
      </c>
      <c r="AF104" s="155" t="str">
        <f>IF(IFERROR(VLOOKUP($C104,Planes_de_estudio[],MATCH($AF$2,Carreras,0)+2,0),"")&gt;0,IFERROR(VLOOKUP($C104,Planes_de_estudio[],MATCH($AF$2,Carreras,0)+2,0),""),"")</f>
        <v/>
      </c>
      <c r="AG104" s="155" t="str">
        <f>IF(IFERROR(VLOOKUP($C104,Planes_de_estudio[],MATCH($AG$2,Carreras,0)+2,0),"")&gt;0,IFERROR(VLOOKUP($C104,Planes_de_estudio[],MATCH($AG$2,Carreras,0)+2,0),""),"")</f>
        <v/>
      </c>
      <c r="AH104" s="155" t="str">
        <f>IF(IFERROR(VLOOKUP($C104,Planes_de_estudio[],MATCH($AH$2,Carreras,0)+2,0),"")&gt;0,IFERROR(VLOOKUP($C104,Planes_de_estudio[],MATCH($AH$2,Carreras,0)+2,0),""),"")</f>
        <v/>
      </c>
      <c r="AI104" s="155" t="str">
        <f>IF(IFERROR(VLOOKUP($C104,Planes_de_estudio[],MATCH($AI$2,Carreras,0)+2,0),"")&gt;0,IFERROR(VLOOKUP($C104,Planes_de_estudio[],MATCH($AI$2,Carreras,0)+2,0),""),"")</f>
        <v/>
      </c>
      <c r="AJ104" s="155" t="str">
        <f>IF(IFERROR(VLOOKUP($C104,Planes_de_estudio[],MATCH($AJ$2,Carreras,0)+2,0),"")&gt;0,IFERROR(VLOOKUP($C104,Planes_de_estudio[],MATCH($AJ$2,Carreras,0)+2,0),""),"")</f>
        <v/>
      </c>
      <c r="AK104" s="155">
        <f>IF(IFERROR(VLOOKUP($C104,Planes_de_estudio[],MATCH($AK$2,Carreras,0)+2,0),"")&gt;0,IFERROR(VLOOKUP($C104,Planes_de_estudio[],MATCH($AK$2,Carreras,0)+2,0),""),"")</f>
        <v>5</v>
      </c>
      <c r="AL10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04" s="155">
        <f>base_de_datos[[#This Row],[Pronóstico]]/25</f>
        <v>0.32</v>
      </c>
      <c r="AO104" s="155" t="str">
        <f>VLOOKUP($C104,Planes_de_estudio[],2)</f>
        <v>BIO</v>
      </c>
      <c r="AP104" s="157" t="str">
        <f ca="1">IF(AND(base_de_datos[[#This Row],[Industrial]]&lt;&gt;"",base_de_datos[[#This Row],[Misma o no]]=1),base_de_datos[[#This Row],[Índice]],"")</f>
        <v/>
      </c>
      <c r="AQ104" s="157" t="str">
        <f ca="1">IF(AND(base_de_datos[[#This Row],[Mecatrónica]]&lt;&gt;"",base_de_datos[[#This Row],[Misma o no]]=1),base_de_datos[[#This Row],[Índice]],"")</f>
        <v/>
      </c>
      <c r="AR104" s="157" t="str">
        <f ca="1">IF(AND(base_de_datos[[#This Row],[Innovación y Diseño]]&lt;&gt;"",base_de_datos[[#This Row],[Misma o no]]=1),base_de_datos[[#This Row],[Índice]],"")</f>
        <v/>
      </c>
      <c r="AS104" s="157" t="str">
        <f ca="1">IF(AND(base_de_datos[[#This Row],[Inteligencia Artificial]]&lt;&gt;"",base_de_datos[[#This Row],[Misma o no]]=1),base_de_datos[[#This Row],[Índice]],"")</f>
        <v/>
      </c>
      <c r="AT104" s="157" t="str">
        <f ca="1">IF(AND(base_de_datos[[#This Row],[Tecnologías Energéticas]]&lt;&gt;"",base_de_datos[[#This Row],[Misma o no]]=1),base_de_datos[[#This Row],[Índice]],"")</f>
        <v/>
      </c>
      <c r="AU104" s="157" t="str">
        <f ca="1">IF(AND(base_de_datos[[#This Row],[Civil y Administración]]&lt;&gt;"",base_de_datos[[#This Row],[Misma o no]]=1),base_de_datos[[#This Row],[Índice]],"")</f>
        <v/>
      </c>
      <c r="AV104" s="157" t="str">
        <f ca="1">IF(AND(base_de_datos[[#This Row],[Bioelectrónica]]&lt;&gt;"",base_de_datos[[#This Row],[Misma o no]]=1),base_de_datos[[#This Row],[Índice]],"")</f>
        <v/>
      </c>
      <c r="AW104" s="158"/>
      <c r="AX104" s="231">
        <v>2</v>
      </c>
    </row>
    <row r="105" spans="2:50" s="6" customFormat="1" ht="15">
      <c r="B105" s="148" t="s">
        <v>262</v>
      </c>
      <c r="C105" s="149" t="s">
        <v>263</v>
      </c>
      <c r="D105" s="150">
        <v>2</v>
      </c>
      <c r="E105" s="151">
        <v>0.79166666666666696</v>
      </c>
      <c r="F105" s="151">
        <v>0.91666666666665697</v>
      </c>
      <c r="G105" s="150"/>
      <c r="H105" s="150" t="s">
        <v>80</v>
      </c>
      <c r="I105" s="150">
        <f>INDEX(Aulas_capacidad,MATCH(base_de_datos[[#This Row],[Aula]],Aulas,0),2)</f>
        <v>30</v>
      </c>
      <c r="J105" s="152"/>
      <c r="K105" s="150">
        <f>INDEX(Aulas_capacidad,MATCH(base_de_datos[[#This Row],[Aula]],Aulas,0),4)</f>
        <v>0</v>
      </c>
      <c r="L105" s="153">
        <f>base_de_datos[[#This Row],[Cap 1.5]]-base_de_datos[[#This Row],[Inscritos]]</f>
        <v>0</v>
      </c>
      <c r="M105" s="153">
        <f>INDEX(Aulas_capacidad,MATCH(base_de_datos[[#This Row],[Aula]],Aulas,0),5)</f>
        <v>0</v>
      </c>
      <c r="N105" s="153">
        <f>base_de_datos[[#This Row],[Cap .90]]-base_de_datos[[#This Row],[Inscritos]]</f>
        <v>0</v>
      </c>
      <c r="O105" s="150" t="s">
        <v>264</v>
      </c>
      <c r="P105" s="154"/>
      <c r="Q105" s="154" t="s">
        <v>67</v>
      </c>
      <c r="R105" s="154"/>
      <c r="S105" s="154"/>
      <c r="T105" s="154"/>
      <c r="U105" s="154"/>
      <c r="V105" s="154"/>
      <c r="W105" s="154" t="s">
        <v>1659</v>
      </c>
      <c r="X105" s="155">
        <f>_xlfn.XLOOKUP(base_de_datos[[#This Row],[Materia]],Materias,Horas)/16</f>
        <v>3</v>
      </c>
      <c r="Y105" s="155">
        <f>ROUND(((base_de_datos[[#This Row],[Hora fin]]-base_de_datos[[#This Row],[Hora inicio]])*24)*(COUNTA(base_de_datos[[#This Row],[Lunes]:[Sábado]])),1)</f>
        <v>3</v>
      </c>
      <c r="Z10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5" s="155">
        <f ca="1">IF(base_de_datos[[#This Row],[No clase]]=OFFSET(base_de_datos[[#This Row],[No clase]],-1,0),0,1)</f>
        <v>1</v>
      </c>
      <c r="AB105" s="155">
        <f ca="1">IF(NOT(OR(base_de_datos[[#This Row],[Horas totales]]=base_de_datos[[#This Row],[HT Plan]],base_de_datos[[#This Row],[Horas totales]]="N/A")),1,0)</f>
        <v>0</v>
      </c>
      <c r="AC105" s="155" t="str">
        <f>_xlfn.XLOOKUP(base_de_datos[[#This Row],[Profesor]],Nombre,Grado)</f>
        <v>L</v>
      </c>
      <c r="AD105" s="156" t="str">
        <f>_xlfn.XLOOKUP(base_de_datos[[#This Row],[Profesor]],Nombre,Tipo)</f>
        <v>H</v>
      </c>
      <c r="AE105" s="155">
        <f>IF(IFERROR(VLOOKUP($C105,Planes_de_estudio[],MATCH($AE$2,Carreras,0)+2,0),"")&gt;0,IFERROR(VLOOKUP($C105,Planes_de_estudio[],MATCH($AE$2,Carreras,0)+2,0),""),"")</f>
        <v>7</v>
      </c>
      <c r="AF105" s="155">
        <f>IF(IFERROR(VLOOKUP($C105,Planes_de_estudio[],MATCH($AF$2,Carreras,0)+2,0),"")&gt;0,IFERROR(VLOOKUP($C105,Planes_de_estudio[],MATCH($AF$2,Carreras,0)+2,0),""),"")</f>
        <v>7</v>
      </c>
      <c r="AG105" s="155">
        <f>IF(IFERROR(VLOOKUP($C105,Planes_de_estudio[],MATCH($AG$2,Carreras,0)+2,0),"")&gt;0,IFERROR(VLOOKUP($C105,Planes_de_estudio[],MATCH($AG$2,Carreras,0)+2,0),""),"")</f>
        <v>7</v>
      </c>
      <c r="AH105" s="155">
        <f>IF(IFERROR(VLOOKUP($C105,Planes_de_estudio[],MATCH($AH$2,Carreras,0)+2,0),"")&gt;0,IFERROR(VLOOKUP($C105,Planes_de_estudio[],MATCH($AH$2,Carreras,0)+2,0),""),"")</f>
        <v>7</v>
      </c>
      <c r="AI105" s="155">
        <f>IF(IFERROR(VLOOKUP($C105,Planes_de_estudio[],MATCH($AI$2,Carreras,0)+2,0),"")&gt;0,IFERROR(VLOOKUP($C105,Planes_de_estudio[],MATCH($AI$2,Carreras,0)+2,0),""),"")</f>
        <v>7</v>
      </c>
      <c r="AJ105" s="155">
        <f>IF(IFERROR(VLOOKUP($C105,Planes_de_estudio[],MATCH($AJ$2,Carreras,0)+2,0),"")&gt;0,IFERROR(VLOOKUP($C105,Planes_de_estudio[],MATCH($AJ$2,Carreras,0)+2,0),""),"")</f>
        <v>7</v>
      </c>
      <c r="AK105" s="155">
        <f>IF(IFERROR(VLOOKUP($C105,Planes_de_estudio[],MATCH($AK$2,Carreras,0)+2,0),"")&gt;0,IFERROR(VLOOKUP($C105,Planes_de_estudio[],MATCH($AK$2,Carreras,0)+2,0),""),"")</f>
        <v>7</v>
      </c>
      <c r="AL10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05" s="155">
        <f>base_de_datos[[#This Row],[Pronóstico]]/25</f>
        <v>3.8</v>
      </c>
      <c r="AO105" s="155" t="str">
        <f>VLOOKUP($C105,Planes_de_estudio[],2)</f>
        <v>HUM</v>
      </c>
      <c r="AP105" s="157">
        <f ca="1">IF(AND(base_de_datos[[#This Row],[Industrial]]&lt;&gt;"",base_de_datos[[#This Row],[Misma o no]]=1),base_de_datos[[#This Row],[Índice]],"")</f>
        <v>1</v>
      </c>
      <c r="AQ105" s="157">
        <f ca="1">IF(AND(base_de_datos[[#This Row],[Mecatrónica]]&lt;&gt;"",base_de_datos[[#This Row],[Misma o no]]=1),base_de_datos[[#This Row],[Índice]],"")</f>
        <v>1</v>
      </c>
      <c r="AR105" s="157">
        <f ca="1">IF(AND(base_de_datos[[#This Row],[Innovación y Diseño]]&lt;&gt;"",base_de_datos[[#This Row],[Misma o no]]=1),base_de_datos[[#This Row],[Índice]],"")</f>
        <v>1</v>
      </c>
      <c r="AS105" s="157">
        <f ca="1">IF(AND(base_de_datos[[#This Row],[Inteligencia Artificial]]&lt;&gt;"",base_de_datos[[#This Row],[Misma o no]]=1),base_de_datos[[#This Row],[Índice]],"")</f>
        <v>1</v>
      </c>
      <c r="AT105" s="157">
        <f ca="1">IF(AND(base_de_datos[[#This Row],[Tecnologías Energéticas]]&lt;&gt;"",base_de_datos[[#This Row],[Misma o no]]=1),base_de_datos[[#This Row],[Índice]],"")</f>
        <v>1</v>
      </c>
      <c r="AU105" s="157">
        <f ca="1">IF(AND(base_de_datos[[#This Row],[Civil y Administración]]&lt;&gt;"",base_de_datos[[#This Row],[Misma o no]]=1),base_de_datos[[#This Row],[Índice]],"")</f>
        <v>1</v>
      </c>
      <c r="AV105" s="157">
        <f ca="1">IF(AND(base_de_datos[[#This Row],[Bioelectrónica]]&lt;&gt;"",base_de_datos[[#This Row],[Misma o no]]=1),base_de_datos[[#This Row],[Índice]],"")</f>
        <v>1</v>
      </c>
      <c r="AW105" s="158"/>
      <c r="AX105" s="231">
        <v>1</v>
      </c>
    </row>
    <row r="106" spans="2:50" s="6" customFormat="1" ht="15">
      <c r="B106" s="148" t="s">
        <v>265</v>
      </c>
      <c r="C106" s="149" t="s">
        <v>266</v>
      </c>
      <c r="D106" s="150">
        <v>1</v>
      </c>
      <c r="E106" s="151">
        <v>0.85416666666666696</v>
      </c>
      <c r="F106" s="151">
        <v>0.91666666666665697</v>
      </c>
      <c r="G106" s="150"/>
      <c r="H106" s="150" t="s">
        <v>178</v>
      </c>
      <c r="I106" s="150">
        <f>INDEX(Aulas_capacidad,MATCH(base_de_datos[[#This Row],[Aula]],Aulas,0),2)</f>
        <v>24</v>
      </c>
      <c r="J106" s="152">
        <v>7</v>
      </c>
      <c r="K106" s="150">
        <f>INDEX(Aulas_capacidad,MATCH(base_de_datos[[#This Row],[Aula]],Aulas,0),4)</f>
        <v>12</v>
      </c>
      <c r="L106" s="153">
        <f>base_de_datos[[#This Row],[Cap 1.5]]-base_de_datos[[#This Row],[Inscritos]]</f>
        <v>5</v>
      </c>
      <c r="M106" s="153">
        <f>INDEX(Aulas_capacidad,MATCH(base_de_datos[[#This Row],[Aula]],Aulas,0),5)</f>
        <v>12</v>
      </c>
      <c r="N106" s="153">
        <f>base_de_datos[[#This Row],[Cap .90]]-base_de_datos[[#This Row],[Inscritos]]</f>
        <v>5</v>
      </c>
      <c r="O106" s="150" t="s">
        <v>267</v>
      </c>
      <c r="P106" s="154"/>
      <c r="Q106" s="154"/>
      <c r="R106" s="154" t="s">
        <v>67</v>
      </c>
      <c r="S106" s="154"/>
      <c r="T106" s="154"/>
      <c r="U106" s="154"/>
      <c r="V106" s="154"/>
      <c r="W106" s="154" t="s">
        <v>1658</v>
      </c>
      <c r="X106" s="155">
        <f>_xlfn.XLOOKUP(base_de_datos[[#This Row],[Materia]],Materias,Horas)/16</f>
        <v>4</v>
      </c>
      <c r="Y106" s="155">
        <f>ROUND(((base_de_datos[[#This Row],[Hora fin]]-base_de_datos[[#This Row],[Hora inicio]])*24)*(COUNTA(base_de_datos[[#This Row],[Lunes]:[Sábado]])),1)</f>
        <v>1.5</v>
      </c>
      <c r="Z10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6" s="155">
        <f ca="1">IF(base_de_datos[[#This Row],[No clase]]=OFFSET(base_de_datos[[#This Row],[No clase]],-1,0),0,1)</f>
        <v>1</v>
      </c>
      <c r="AB106" s="155">
        <f ca="1">IF(NOT(OR(base_de_datos[[#This Row],[Horas totales]]=base_de_datos[[#This Row],[HT Plan]],base_de_datos[[#This Row],[Horas totales]]="N/A")),1,0)</f>
        <v>0</v>
      </c>
      <c r="AC106" s="155">
        <f>_xlfn.XLOOKUP(base_de_datos[[#This Row],[Profesor]],Nombre,Grado)</f>
        <v>0</v>
      </c>
      <c r="AD106" s="156" t="str">
        <f>_xlfn.XLOOKUP(base_de_datos[[#This Row],[Profesor]],Nombre,Tipo)</f>
        <v>A</v>
      </c>
      <c r="AE106" s="155" t="str">
        <f>IF(IFERROR(VLOOKUP($C106,Planes_de_estudio[],MATCH($AE$2,Carreras,0)+2,0),"")&gt;0,IFERROR(VLOOKUP($C106,Planes_de_estudio[],MATCH($AE$2,Carreras,0)+2,0),""),"")</f>
        <v/>
      </c>
      <c r="AF106" s="155" t="str">
        <f>IF(IFERROR(VLOOKUP($C106,Planes_de_estudio[],MATCH($AF$2,Carreras,0)+2,0),"")&gt;0,IFERROR(VLOOKUP($C106,Planes_de_estudio[],MATCH($AF$2,Carreras,0)+2,0),""),"")</f>
        <v/>
      </c>
      <c r="AG106" s="155" t="str">
        <f>IF(IFERROR(VLOOKUP($C106,Planes_de_estudio[],MATCH($AG$2,Carreras,0)+2,0),"")&gt;0,IFERROR(VLOOKUP($C106,Planes_de_estudio[],MATCH($AG$2,Carreras,0)+2,0),""),"")</f>
        <v/>
      </c>
      <c r="AH106" s="155" t="str">
        <f>IF(IFERROR(VLOOKUP($C106,Planes_de_estudio[],MATCH($AH$2,Carreras,0)+2,0),"")&gt;0,IFERROR(VLOOKUP($C106,Planes_de_estudio[],MATCH($AH$2,Carreras,0)+2,0),""),"")</f>
        <v/>
      </c>
      <c r="AI106" s="155" t="str">
        <f>IF(IFERROR(VLOOKUP($C106,Planes_de_estudio[],MATCH($AI$2,Carreras,0)+2,0),"")&gt;0,IFERROR(VLOOKUP($C106,Planes_de_estudio[],MATCH($AI$2,Carreras,0)+2,0),""),"")</f>
        <v/>
      </c>
      <c r="AJ106" s="155" t="str">
        <f>IF(IFERROR(VLOOKUP($C106,Planes_de_estudio[],MATCH($AJ$2,Carreras,0)+2,0),"")&gt;0,IFERROR(VLOOKUP($C106,Planes_de_estudio[],MATCH($AJ$2,Carreras,0)+2,0),""),"")</f>
        <v/>
      </c>
      <c r="AK106" s="155">
        <f>IF(IFERROR(VLOOKUP($C106,Planes_de_estudio[],MATCH($AK$2,Carreras,0)+2,0),"")&gt;0,IFERROR(VLOOKUP($C106,Planes_de_estudio[],MATCH($AK$2,Carreras,0)+2,0),""),"")</f>
        <v>7</v>
      </c>
      <c r="AL10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06" s="155">
        <f>base_de_datos[[#This Row],[Pronóstico]]/25</f>
        <v>0.16</v>
      </c>
      <c r="AO106" s="155" t="str">
        <f>VLOOKUP($C106,Planes_de_estudio[],2)</f>
        <v>BIO</v>
      </c>
      <c r="AP106" s="157" t="str">
        <f ca="1">IF(AND(base_de_datos[[#This Row],[Industrial]]&lt;&gt;"",base_de_datos[[#This Row],[Misma o no]]=1),base_de_datos[[#This Row],[Índice]],"")</f>
        <v/>
      </c>
      <c r="AQ106" s="157" t="str">
        <f ca="1">IF(AND(base_de_datos[[#This Row],[Mecatrónica]]&lt;&gt;"",base_de_datos[[#This Row],[Misma o no]]=1),base_de_datos[[#This Row],[Índice]],"")</f>
        <v/>
      </c>
      <c r="AR106" s="157" t="str">
        <f ca="1">IF(AND(base_de_datos[[#This Row],[Innovación y Diseño]]&lt;&gt;"",base_de_datos[[#This Row],[Misma o no]]=1),base_de_datos[[#This Row],[Índice]],"")</f>
        <v/>
      </c>
      <c r="AS106" s="157" t="str">
        <f ca="1">IF(AND(base_de_datos[[#This Row],[Inteligencia Artificial]]&lt;&gt;"",base_de_datos[[#This Row],[Misma o no]]=1),base_de_datos[[#This Row],[Índice]],"")</f>
        <v/>
      </c>
      <c r="AT106" s="157" t="str">
        <f ca="1">IF(AND(base_de_datos[[#This Row],[Tecnologías Energéticas]]&lt;&gt;"",base_de_datos[[#This Row],[Misma o no]]=1),base_de_datos[[#This Row],[Índice]],"")</f>
        <v/>
      </c>
      <c r="AU106" s="157" t="str">
        <f ca="1">IF(AND(base_de_datos[[#This Row],[Civil y Administración]]&lt;&gt;"",base_de_datos[[#This Row],[Misma o no]]=1),base_de_datos[[#This Row],[Índice]],"")</f>
        <v/>
      </c>
      <c r="AV106" s="157">
        <f ca="1">IF(AND(base_de_datos[[#This Row],[Bioelectrónica]]&lt;&gt;"",base_de_datos[[#This Row],[Misma o no]]=1),base_de_datos[[#This Row],[Índice]],"")</f>
        <v>6</v>
      </c>
      <c r="AW106" s="158"/>
      <c r="AX106" s="231">
        <v>2</v>
      </c>
    </row>
    <row r="107" spans="2:50" s="6" customFormat="1" ht="15">
      <c r="B107" s="148" t="s">
        <v>265</v>
      </c>
      <c r="C107" s="149" t="s">
        <v>266</v>
      </c>
      <c r="D107" s="150">
        <v>1</v>
      </c>
      <c r="E107" s="151">
        <v>0.79166666666666696</v>
      </c>
      <c r="F107" s="151">
        <v>0.89583333333332305</v>
      </c>
      <c r="G107" s="150"/>
      <c r="H107" s="150" t="s">
        <v>178</v>
      </c>
      <c r="I107" s="150">
        <f>INDEX(Aulas_capacidad,MATCH(base_de_datos[[#This Row],[Aula]],Aulas,0),2)</f>
        <v>24</v>
      </c>
      <c r="J107" s="152">
        <v>7</v>
      </c>
      <c r="K107" s="150">
        <f>INDEX(Aulas_capacidad,MATCH(base_de_datos[[#This Row],[Aula]],Aulas,0),4)</f>
        <v>12</v>
      </c>
      <c r="L107" s="153">
        <f>base_de_datos[[#This Row],[Cap 1.5]]-base_de_datos[[#This Row],[Inscritos]]</f>
        <v>5</v>
      </c>
      <c r="M107" s="153">
        <f>INDEX(Aulas_capacidad,MATCH(base_de_datos[[#This Row],[Aula]],Aulas,0),5)</f>
        <v>12</v>
      </c>
      <c r="N107" s="153">
        <f>base_de_datos[[#This Row],[Cap .90]]-base_de_datos[[#This Row],[Inscritos]]</f>
        <v>5</v>
      </c>
      <c r="O107" s="150" t="s">
        <v>267</v>
      </c>
      <c r="P107" s="154"/>
      <c r="Q107" s="154"/>
      <c r="R107" s="154"/>
      <c r="S107" s="154"/>
      <c r="T107" s="154" t="s">
        <v>67</v>
      </c>
      <c r="U107" s="154"/>
      <c r="V107" s="154"/>
      <c r="W107" s="154" t="s">
        <v>1658</v>
      </c>
      <c r="X107" s="155">
        <f>_xlfn.XLOOKUP(base_de_datos[[#This Row],[Materia]],Materias,Horas)/16</f>
        <v>4</v>
      </c>
      <c r="Y107" s="155">
        <f>ROUND(((base_de_datos[[#This Row],[Hora fin]]-base_de_datos[[#This Row],[Hora inicio]])*24)*(COUNTA(base_de_datos[[#This Row],[Lunes]:[Sábado]])),1)</f>
        <v>2.5</v>
      </c>
      <c r="Z10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7" s="155">
        <f ca="1">IF(base_de_datos[[#This Row],[No clase]]=OFFSET(base_de_datos[[#This Row],[No clase]],-1,0),0,1)</f>
        <v>0</v>
      </c>
      <c r="AB107" s="155">
        <f ca="1">IF(NOT(OR(base_de_datos[[#This Row],[Horas totales]]=base_de_datos[[#This Row],[HT Plan]],base_de_datos[[#This Row],[Horas totales]]="N/A")),1,0)</f>
        <v>0</v>
      </c>
      <c r="AC107" s="155">
        <f>_xlfn.XLOOKUP(base_de_datos[[#This Row],[Profesor]],Nombre,Grado)</f>
        <v>0</v>
      </c>
      <c r="AD107" s="156" t="str">
        <f>_xlfn.XLOOKUP(base_de_datos[[#This Row],[Profesor]],Nombre,Tipo)</f>
        <v>A</v>
      </c>
      <c r="AE107" s="155" t="str">
        <f>IF(IFERROR(VLOOKUP($C107,Planes_de_estudio[],MATCH($AE$2,Carreras,0)+2,0),"")&gt;0,IFERROR(VLOOKUP($C107,Planes_de_estudio[],MATCH($AE$2,Carreras,0)+2,0),""),"")</f>
        <v/>
      </c>
      <c r="AF107" s="155" t="str">
        <f>IF(IFERROR(VLOOKUP($C107,Planes_de_estudio[],MATCH($AF$2,Carreras,0)+2,0),"")&gt;0,IFERROR(VLOOKUP($C107,Planes_de_estudio[],MATCH($AF$2,Carreras,0)+2,0),""),"")</f>
        <v/>
      </c>
      <c r="AG107" s="155" t="str">
        <f>IF(IFERROR(VLOOKUP($C107,Planes_de_estudio[],MATCH($AG$2,Carreras,0)+2,0),"")&gt;0,IFERROR(VLOOKUP($C107,Planes_de_estudio[],MATCH($AG$2,Carreras,0)+2,0),""),"")</f>
        <v/>
      </c>
      <c r="AH107" s="155" t="str">
        <f>IF(IFERROR(VLOOKUP($C107,Planes_de_estudio[],MATCH($AH$2,Carreras,0)+2,0),"")&gt;0,IFERROR(VLOOKUP($C107,Planes_de_estudio[],MATCH($AH$2,Carreras,0)+2,0),""),"")</f>
        <v/>
      </c>
      <c r="AI107" s="155" t="str">
        <f>IF(IFERROR(VLOOKUP($C107,Planes_de_estudio[],MATCH($AI$2,Carreras,0)+2,0),"")&gt;0,IFERROR(VLOOKUP($C107,Planes_de_estudio[],MATCH($AI$2,Carreras,0)+2,0),""),"")</f>
        <v/>
      </c>
      <c r="AJ107" s="155" t="str">
        <f>IF(IFERROR(VLOOKUP($C107,Planes_de_estudio[],MATCH($AJ$2,Carreras,0)+2,0),"")&gt;0,IFERROR(VLOOKUP($C107,Planes_de_estudio[],MATCH($AJ$2,Carreras,0)+2,0),""),"")</f>
        <v/>
      </c>
      <c r="AK107" s="155">
        <f>IF(IFERROR(VLOOKUP($C107,Planes_de_estudio[],MATCH($AK$2,Carreras,0)+2,0),"")&gt;0,IFERROR(VLOOKUP($C107,Planes_de_estudio[],MATCH($AK$2,Carreras,0)+2,0),""),"")</f>
        <v>7</v>
      </c>
      <c r="AL10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07" s="155">
        <f>base_de_datos[[#This Row],[Pronóstico]]/25</f>
        <v>0.16</v>
      </c>
      <c r="AO107" s="155" t="str">
        <f>VLOOKUP($C107,Planes_de_estudio[],2)</f>
        <v>BIO</v>
      </c>
      <c r="AP107" s="157" t="str">
        <f ca="1">IF(AND(base_de_datos[[#This Row],[Industrial]]&lt;&gt;"",base_de_datos[[#This Row],[Misma o no]]=1),base_de_datos[[#This Row],[Índice]],"")</f>
        <v/>
      </c>
      <c r="AQ107" s="157" t="str">
        <f ca="1">IF(AND(base_de_datos[[#This Row],[Mecatrónica]]&lt;&gt;"",base_de_datos[[#This Row],[Misma o no]]=1),base_de_datos[[#This Row],[Índice]],"")</f>
        <v/>
      </c>
      <c r="AR107" s="157" t="str">
        <f ca="1">IF(AND(base_de_datos[[#This Row],[Innovación y Diseño]]&lt;&gt;"",base_de_datos[[#This Row],[Misma o no]]=1),base_de_datos[[#This Row],[Índice]],"")</f>
        <v/>
      </c>
      <c r="AS107" s="157" t="str">
        <f ca="1">IF(AND(base_de_datos[[#This Row],[Inteligencia Artificial]]&lt;&gt;"",base_de_datos[[#This Row],[Misma o no]]=1),base_de_datos[[#This Row],[Índice]],"")</f>
        <v/>
      </c>
      <c r="AT107" s="157" t="str">
        <f ca="1">IF(AND(base_de_datos[[#This Row],[Tecnologías Energéticas]]&lt;&gt;"",base_de_datos[[#This Row],[Misma o no]]=1),base_de_datos[[#This Row],[Índice]],"")</f>
        <v/>
      </c>
      <c r="AU107" s="157" t="str">
        <f ca="1">IF(AND(base_de_datos[[#This Row],[Civil y Administración]]&lt;&gt;"",base_de_datos[[#This Row],[Misma o no]]=1),base_de_datos[[#This Row],[Índice]],"")</f>
        <v/>
      </c>
      <c r="AV107" s="157" t="str">
        <f ca="1">IF(AND(base_de_datos[[#This Row],[Bioelectrónica]]&lt;&gt;"",base_de_datos[[#This Row],[Misma o no]]=1),base_de_datos[[#This Row],[Índice]],"")</f>
        <v/>
      </c>
      <c r="AW107" s="158"/>
      <c r="AX107" s="231">
        <v>2</v>
      </c>
    </row>
    <row r="108" spans="2:50" s="6" customFormat="1" ht="15">
      <c r="B108" s="148" t="s">
        <v>268</v>
      </c>
      <c r="C108" s="149" t="s">
        <v>269</v>
      </c>
      <c r="D108" s="150">
        <v>2</v>
      </c>
      <c r="E108" s="151">
        <v>0.70833333333333304</v>
      </c>
      <c r="F108" s="151">
        <v>0.79166666666665897</v>
      </c>
      <c r="G108" s="150"/>
      <c r="H108" s="150" t="s">
        <v>270</v>
      </c>
      <c r="I108" s="150">
        <f>INDEX(Aulas_capacidad,MATCH(base_de_datos[[#This Row],[Aula]],Aulas,0),2)</f>
        <v>60</v>
      </c>
      <c r="J108" s="152"/>
      <c r="K108" s="150">
        <f>INDEX(Aulas_capacidad,MATCH(base_de_datos[[#This Row],[Aula]],Aulas,0),4)</f>
        <v>36</v>
      </c>
      <c r="L108" s="153">
        <f>base_de_datos[[#This Row],[Cap 1.5]]-base_de_datos[[#This Row],[Inscritos]]</f>
        <v>36</v>
      </c>
      <c r="M108" s="153">
        <f>INDEX(Aulas_capacidad,MATCH(base_de_datos[[#This Row],[Aula]],Aulas,0),5)</f>
        <v>36</v>
      </c>
      <c r="N108" s="153">
        <f>base_de_datos[[#This Row],[Cap .90]]-base_de_datos[[#This Row],[Inscritos]]</f>
        <v>36</v>
      </c>
      <c r="O108" s="150" t="s">
        <v>271</v>
      </c>
      <c r="P108" s="154"/>
      <c r="Q108" s="154"/>
      <c r="R108" s="154"/>
      <c r="S108" s="154" t="s">
        <v>67</v>
      </c>
      <c r="T108" s="154"/>
      <c r="U108" s="154"/>
      <c r="V108" s="154"/>
      <c r="W108" s="154" t="s">
        <v>1659</v>
      </c>
      <c r="X108" s="155">
        <f>_xlfn.XLOOKUP(base_de_datos[[#This Row],[Materia]],Materias,Horas)/16</f>
        <v>2</v>
      </c>
      <c r="Y108" s="155">
        <f>ROUND(((base_de_datos[[#This Row],[Hora fin]]-base_de_datos[[#This Row],[Hora inicio]])*24)*(COUNTA(base_de_datos[[#This Row],[Lunes]:[Sábado]])),1)</f>
        <v>2</v>
      </c>
      <c r="Z108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08" s="155">
        <f ca="1">IF(base_de_datos[[#This Row],[No clase]]=OFFSET(base_de_datos[[#This Row],[No clase]],-1,0),0,1)</f>
        <v>1</v>
      </c>
      <c r="AB108" s="155">
        <f ca="1">IF(NOT(OR(base_de_datos[[#This Row],[Horas totales]]=base_de_datos[[#This Row],[HT Plan]],base_de_datos[[#This Row],[Horas totales]]="N/A")),1,0)</f>
        <v>0</v>
      </c>
      <c r="AC108" s="155" t="str">
        <f>_xlfn.XLOOKUP(base_de_datos[[#This Row],[Profesor]],Nombre,Grado)</f>
        <v>D</v>
      </c>
      <c r="AD108" s="156" t="str">
        <f>_xlfn.XLOOKUP(base_de_datos[[#This Row],[Profesor]],Nombre,Tipo)</f>
        <v>H</v>
      </c>
      <c r="AE108" s="155">
        <f>IF(IFERROR(VLOOKUP($C108,Planes_de_estudio[],MATCH($AE$2,Carreras,0)+2,0),"")&gt;0,IFERROR(VLOOKUP($C108,Planes_de_estudio[],MATCH($AE$2,Carreras,0)+2,0),""),"")</f>
        <v>5</v>
      </c>
      <c r="AF108" s="155">
        <f>IF(IFERROR(VLOOKUP($C108,Planes_de_estudio[],MATCH($AF$2,Carreras,0)+2,0),"")&gt;0,IFERROR(VLOOKUP($C108,Planes_de_estudio[],MATCH($AF$2,Carreras,0)+2,0),""),"")</f>
        <v>5</v>
      </c>
      <c r="AG108" s="155">
        <f>IF(IFERROR(VLOOKUP($C108,Planes_de_estudio[],MATCH($AG$2,Carreras,0)+2,0),"")&gt;0,IFERROR(VLOOKUP($C108,Planes_de_estudio[],MATCH($AG$2,Carreras,0)+2,0),""),"")</f>
        <v>5</v>
      </c>
      <c r="AH108" s="155">
        <f>IF(IFERROR(VLOOKUP($C108,Planes_de_estudio[],MATCH($AH$2,Carreras,0)+2,0),"")&gt;0,IFERROR(VLOOKUP($C108,Planes_de_estudio[],MATCH($AH$2,Carreras,0)+2,0),""),"")</f>
        <v>5</v>
      </c>
      <c r="AI108" s="155">
        <f>IF(IFERROR(VLOOKUP($C108,Planes_de_estudio[],MATCH($AI$2,Carreras,0)+2,0),"")&gt;0,IFERROR(VLOOKUP($C108,Planes_de_estudio[],MATCH($AI$2,Carreras,0)+2,0),""),"")</f>
        <v>5</v>
      </c>
      <c r="AJ108" s="155">
        <f>IF(IFERROR(VLOOKUP($C108,Planes_de_estudio[],MATCH($AJ$2,Carreras,0)+2,0),"")&gt;0,IFERROR(VLOOKUP($C108,Planes_de_estudio[],MATCH($AJ$2,Carreras,0)+2,0),""),"")</f>
        <v>5</v>
      </c>
      <c r="AK108" s="155">
        <f>IF(IFERROR(VLOOKUP($C108,Planes_de_estudio[],MATCH($AK$2,Carreras,0)+2,0),"")&gt;0,IFERROR(VLOOKUP($C108,Planes_de_estudio[],MATCH($AK$2,Carreras,0)+2,0),""),"")</f>
        <v>5</v>
      </c>
      <c r="AL10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08" s="155">
        <f>base_de_datos[[#This Row],[Pronóstico]]/25</f>
        <v>3.8</v>
      </c>
      <c r="AO108" s="155" t="str">
        <f>VLOOKUP($C108,Planes_de_estudio[],2)</f>
        <v>HUM</v>
      </c>
      <c r="AP108" s="157">
        <f ca="1">IF(AND(base_de_datos[[#This Row],[Industrial]]&lt;&gt;"",base_de_datos[[#This Row],[Misma o no]]=1),base_de_datos[[#This Row],[Índice]],"")</f>
        <v>6</v>
      </c>
      <c r="AQ108" s="157">
        <f ca="1">IF(AND(base_de_datos[[#This Row],[Mecatrónica]]&lt;&gt;"",base_de_datos[[#This Row],[Misma o no]]=1),base_de_datos[[#This Row],[Índice]],"")</f>
        <v>6</v>
      </c>
      <c r="AR108" s="157">
        <f ca="1">IF(AND(base_de_datos[[#This Row],[Innovación y Diseño]]&lt;&gt;"",base_de_datos[[#This Row],[Misma o no]]=1),base_de_datos[[#This Row],[Índice]],"")</f>
        <v>6</v>
      </c>
      <c r="AS108" s="157">
        <f ca="1">IF(AND(base_de_datos[[#This Row],[Inteligencia Artificial]]&lt;&gt;"",base_de_datos[[#This Row],[Misma o no]]=1),base_de_datos[[#This Row],[Índice]],"")</f>
        <v>6</v>
      </c>
      <c r="AT108" s="157">
        <f ca="1">IF(AND(base_de_datos[[#This Row],[Tecnologías Energéticas]]&lt;&gt;"",base_de_datos[[#This Row],[Misma o no]]=1),base_de_datos[[#This Row],[Índice]],"")</f>
        <v>6</v>
      </c>
      <c r="AU108" s="157">
        <f ca="1">IF(AND(base_de_datos[[#This Row],[Civil y Administración]]&lt;&gt;"",base_de_datos[[#This Row],[Misma o no]]=1),base_de_datos[[#This Row],[Índice]],"")</f>
        <v>6</v>
      </c>
      <c r="AV108" s="157">
        <f ca="1">IF(AND(base_de_datos[[#This Row],[Bioelectrónica]]&lt;&gt;"",base_de_datos[[#This Row],[Misma o no]]=1),base_de_datos[[#This Row],[Índice]],"")</f>
        <v>6</v>
      </c>
      <c r="AW108" s="158"/>
      <c r="AX108" s="231">
        <v>1</v>
      </c>
    </row>
    <row r="109" spans="2:50" s="6" customFormat="1" ht="15">
      <c r="B109" s="148" t="s">
        <v>272</v>
      </c>
      <c r="C109" s="149" t="s">
        <v>169</v>
      </c>
      <c r="D109" s="150">
        <v>1</v>
      </c>
      <c r="E109" s="151">
        <v>0.5</v>
      </c>
      <c r="F109" s="151">
        <v>0.58333333333332904</v>
      </c>
      <c r="G109" s="150"/>
      <c r="H109" s="215" t="s">
        <v>66</v>
      </c>
      <c r="I109" s="150">
        <f>INDEX(Aulas_capacidad,MATCH(base_de_datos[[#This Row],[Aula]],Aulas,0),2)</f>
        <v>0</v>
      </c>
      <c r="J109" s="152">
        <v>20</v>
      </c>
      <c r="K109" s="150">
        <f>INDEX(Aulas_capacidad,MATCH(base_de_datos[[#This Row],[Aula]],Aulas,0),4)</f>
        <v>0</v>
      </c>
      <c r="L109" s="153">
        <f>base_de_datos[[#This Row],[Cap 1.5]]-base_de_datos[[#This Row],[Inscritos]]</f>
        <v>-20</v>
      </c>
      <c r="M109" s="153">
        <f>INDEX(Aulas_capacidad,MATCH(base_de_datos[[#This Row],[Aula]],Aulas,0),5)</f>
        <v>0</v>
      </c>
      <c r="N109" s="153">
        <f>base_de_datos[[#This Row],[Cap .90]]-base_de_datos[[#This Row],[Inscritos]]</f>
        <v>-20</v>
      </c>
      <c r="O109" s="150">
        <v>1497</v>
      </c>
      <c r="P109" s="154"/>
      <c r="Q109" s="154" t="s">
        <v>67</v>
      </c>
      <c r="R109" s="154"/>
      <c r="S109" s="154" t="s">
        <v>67</v>
      </c>
      <c r="T109" s="154"/>
      <c r="U109" s="154"/>
      <c r="V109" s="154"/>
      <c r="W109" s="154" t="s">
        <v>1657</v>
      </c>
      <c r="X109" s="155">
        <f>_xlfn.XLOOKUP(base_de_datos[[#This Row],[Materia]],Materias,Horas)/16</f>
        <v>4</v>
      </c>
      <c r="Y109" s="155">
        <f>ROUND(((base_de_datos[[#This Row],[Hora fin]]-base_de_datos[[#This Row],[Hora inicio]])*24)*(COUNTA(base_de_datos[[#This Row],[Lunes]:[Sábado]])),1)</f>
        <v>4</v>
      </c>
      <c r="Z10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9" s="155">
        <f ca="1">IF(base_de_datos[[#This Row],[No clase]]=OFFSET(base_de_datos[[#This Row],[No clase]],-1,0),0,1)</f>
        <v>1</v>
      </c>
      <c r="AB109" s="155">
        <f ca="1">IF(NOT(OR(base_de_datos[[#This Row],[Horas totales]]=base_de_datos[[#This Row],[HT Plan]],base_de_datos[[#This Row],[Horas totales]]="N/A")),1,0)</f>
        <v>0</v>
      </c>
      <c r="AC109" s="155" t="str">
        <f>_xlfn.XLOOKUP(base_de_datos[[#This Row],[Profesor]],Nombre,Grado)</f>
        <v>L</v>
      </c>
      <c r="AD109" s="156" t="str">
        <f>_xlfn.XLOOKUP(base_de_datos[[#This Row],[Profesor]],Nombre,Tipo)</f>
        <v>A</v>
      </c>
      <c r="AE109" s="155" t="str">
        <f>IF(IFERROR(VLOOKUP($C109,Planes_de_estudio[],MATCH($AE$2,Carreras,0)+2,0),"")&gt;0,IFERROR(VLOOKUP($C109,Planes_de_estudio[],MATCH($AE$2,Carreras,0)+2,0),""),"")</f>
        <v/>
      </c>
      <c r="AF109" s="155">
        <f>IF(IFERROR(VLOOKUP($C109,Planes_de_estudio[],MATCH($AF$2,Carreras,0)+2,0),"")&gt;0,IFERROR(VLOOKUP($C109,Planes_de_estudio[],MATCH($AF$2,Carreras,0)+2,0),""),"")</f>
        <v>3</v>
      </c>
      <c r="AG109" s="155" t="str">
        <f>IF(IFERROR(VLOOKUP($C109,Planes_de_estudio[],MATCH($AG$2,Carreras,0)+2,0),"")&gt;0,IFERROR(VLOOKUP($C109,Planes_de_estudio[],MATCH($AG$2,Carreras,0)+2,0),""),"")</f>
        <v/>
      </c>
      <c r="AH109" s="155">
        <f>IF(IFERROR(VLOOKUP($C109,Planes_de_estudio[],MATCH($AH$2,Carreras,0)+2,0),"")&gt;0,IFERROR(VLOOKUP($C109,Planes_de_estudio[],MATCH($AH$2,Carreras,0)+2,0),""),"")</f>
        <v>3</v>
      </c>
      <c r="AI109" s="155" t="str">
        <f>IF(IFERROR(VLOOKUP($C109,Planes_de_estudio[],MATCH($AI$2,Carreras,0)+2,0),"")&gt;0,IFERROR(VLOOKUP($C109,Planes_de_estudio[],MATCH($AI$2,Carreras,0)+2,0),""),"")</f>
        <v/>
      </c>
      <c r="AJ109" s="155" t="str">
        <f>IF(IFERROR(VLOOKUP($C109,Planes_de_estudio[],MATCH($AJ$2,Carreras,0)+2,0),"")&gt;0,IFERROR(VLOOKUP($C109,Planes_de_estudio[],MATCH($AJ$2,Carreras,0)+2,0),""),"")</f>
        <v/>
      </c>
      <c r="AK109" s="155">
        <f>IF(IFERROR(VLOOKUP($C109,Planes_de_estudio[],MATCH($AK$2,Carreras,0)+2,0),"")&gt;0,IFERROR(VLOOKUP($C109,Planes_de_estudio[],MATCH($AK$2,Carreras,0)+2,0),""),"")</f>
        <v>3</v>
      </c>
      <c r="AL10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54</v>
      </c>
      <c r="AN109" s="155">
        <f>base_de_datos[[#This Row],[Pronóstico]]/25</f>
        <v>2.16</v>
      </c>
      <c r="AO109" s="155" t="str">
        <f>VLOOKUP($C109,Planes_de_estudio[],2)</f>
        <v>COM</v>
      </c>
      <c r="AP109" s="157" t="str">
        <f ca="1">IF(AND(base_de_datos[[#This Row],[Industrial]]&lt;&gt;"",base_de_datos[[#This Row],[Misma o no]]=1),base_de_datos[[#This Row],[Índice]],"")</f>
        <v/>
      </c>
      <c r="AQ109" s="157">
        <f ca="1">IF(AND(base_de_datos[[#This Row],[Mecatrónica]]&lt;&gt;"",base_de_datos[[#This Row],[Misma o no]]=1),base_de_datos[[#This Row],[Índice]],"")</f>
        <v>1</v>
      </c>
      <c r="AR109" s="157" t="str">
        <f ca="1">IF(AND(base_de_datos[[#This Row],[Innovación y Diseño]]&lt;&gt;"",base_de_datos[[#This Row],[Misma o no]]=1),base_de_datos[[#This Row],[Índice]],"")</f>
        <v/>
      </c>
      <c r="AS109" s="157">
        <f ca="1">IF(AND(base_de_datos[[#This Row],[Inteligencia Artificial]]&lt;&gt;"",base_de_datos[[#This Row],[Misma o no]]=1),base_de_datos[[#This Row],[Índice]],"")</f>
        <v>1</v>
      </c>
      <c r="AT109" s="157" t="str">
        <f ca="1">IF(AND(base_de_datos[[#This Row],[Tecnologías Energéticas]]&lt;&gt;"",base_de_datos[[#This Row],[Misma o no]]=1),base_de_datos[[#This Row],[Índice]],"")</f>
        <v/>
      </c>
      <c r="AU109" s="157" t="str">
        <f ca="1">IF(AND(base_de_datos[[#This Row],[Civil y Administración]]&lt;&gt;"",base_de_datos[[#This Row],[Misma o no]]=1),base_de_datos[[#This Row],[Índice]],"")</f>
        <v/>
      </c>
      <c r="AV109" s="157">
        <f ca="1">IF(AND(base_de_datos[[#This Row],[Bioelectrónica]]&lt;&gt;"",base_de_datos[[#This Row],[Misma o no]]=1),base_de_datos[[#This Row],[Índice]],"")</f>
        <v>1</v>
      </c>
      <c r="AW109" s="216" t="s">
        <v>273</v>
      </c>
      <c r="AX109" s="231">
        <v>1</v>
      </c>
    </row>
    <row r="110" spans="2:50" s="6" customFormat="1" ht="15">
      <c r="B110" s="148" t="s">
        <v>274</v>
      </c>
      <c r="C110" s="149" t="s">
        <v>275</v>
      </c>
      <c r="D110" s="150">
        <v>1</v>
      </c>
      <c r="E110" s="151">
        <v>0.375</v>
      </c>
      <c r="F110" s="151">
        <v>0.45833333333333098</v>
      </c>
      <c r="G110" s="218" t="s">
        <v>65</v>
      </c>
      <c r="H110" s="150" t="s">
        <v>230</v>
      </c>
      <c r="I110" s="150" t="e">
        <f>INDEX(Aulas_capacidad,MATCH(base_de_datos[[#This Row],[Aula]],Aulas,0),2)</f>
        <v>#N/A</v>
      </c>
      <c r="J110" s="152">
        <v>11</v>
      </c>
      <c r="K110" s="150" t="e">
        <f>INDEX(Aulas_capacidad,MATCH(base_de_datos[[#This Row],[Aula]],Aulas,0),4)</f>
        <v>#N/A</v>
      </c>
      <c r="L110" s="153" t="e">
        <f>base_de_datos[[#This Row],[Cap 1.5]]-base_de_datos[[#This Row],[Inscritos]]</f>
        <v>#N/A</v>
      </c>
      <c r="M110" s="153" t="e">
        <f>INDEX(Aulas_capacidad,MATCH(base_de_datos[[#This Row],[Aula]],Aulas,0),5)</f>
        <v>#N/A</v>
      </c>
      <c r="N110" s="153" t="e">
        <f>base_de_datos[[#This Row],[Cap .90]]-base_de_datos[[#This Row],[Inscritos]]</f>
        <v>#N/A</v>
      </c>
      <c r="O110" s="150" t="s">
        <v>276</v>
      </c>
      <c r="P110" s="154" t="s">
        <v>67</v>
      </c>
      <c r="Q110" s="154"/>
      <c r="R110" s="154" t="s">
        <v>67</v>
      </c>
      <c r="S110" s="154"/>
      <c r="T110" s="154"/>
      <c r="U110" s="154"/>
      <c r="V110" s="154"/>
      <c r="W110" s="154" t="s">
        <v>1653</v>
      </c>
      <c r="X110" s="155">
        <f>_xlfn.XLOOKUP(base_de_datos[[#This Row],[Materia]],Materias,Horas)/16</f>
        <v>4</v>
      </c>
      <c r="Y110" s="155">
        <f>ROUND(((base_de_datos[[#This Row],[Hora fin]]-base_de_datos[[#This Row],[Hora inicio]])*24)*(COUNTA(base_de_datos[[#This Row],[Lunes]:[Sábado]])),1)</f>
        <v>4</v>
      </c>
      <c r="Z11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0" s="155">
        <f ca="1">IF(base_de_datos[[#This Row],[No clase]]=OFFSET(base_de_datos[[#This Row],[No clase]],-1,0),0,1)</f>
        <v>1</v>
      </c>
      <c r="AB110" s="155">
        <f ca="1">IF(NOT(OR(base_de_datos[[#This Row],[Horas totales]]=base_de_datos[[#This Row],[HT Plan]],base_de_datos[[#This Row],[Horas totales]]="N/A")),1,0)</f>
        <v>0</v>
      </c>
      <c r="AC110" s="155" t="str">
        <f>_xlfn.XLOOKUP(base_de_datos[[#This Row],[Profesor]],Nombre,Grado)</f>
        <v>D</v>
      </c>
      <c r="AD110" s="156" t="str">
        <f>_xlfn.XLOOKUP(base_de_datos[[#This Row],[Profesor]],Nombre,Tipo)</f>
        <v>TC</v>
      </c>
      <c r="AE110" s="155" t="str">
        <f>IF(IFERROR(VLOOKUP($C110,Planes_de_estudio[],MATCH($AE$2,Carreras,0)+2,0),"")&gt;0,IFERROR(VLOOKUP($C110,Planes_de_estudio[],MATCH($AE$2,Carreras,0)+2,0),""),"")</f>
        <v/>
      </c>
      <c r="AF110" s="155" t="str">
        <f>IF(IFERROR(VLOOKUP($C110,Planes_de_estudio[],MATCH($AF$2,Carreras,0)+2,0),"")&gt;0,IFERROR(VLOOKUP($C110,Planes_de_estudio[],MATCH($AF$2,Carreras,0)+2,0),""),"")</f>
        <v/>
      </c>
      <c r="AG110" s="155" t="str">
        <f>IF(IFERROR(VLOOKUP($C110,Planes_de_estudio[],MATCH($AG$2,Carreras,0)+2,0),"")&gt;0,IFERROR(VLOOKUP($C110,Planes_de_estudio[],MATCH($AG$2,Carreras,0)+2,0),""),"")</f>
        <v/>
      </c>
      <c r="AH110" s="155" t="str">
        <f>IF(IFERROR(VLOOKUP($C110,Planes_de_estudio[],MATCH($AH$2,Carreras,0)+2,0),"")&gt;0,IFERROR(VLOOKUP($C110,Planes_de_estudio[],MATCH($AH$2,Carreras,0)+2,0),""),"")</f>
        <v/>
      </c>
      <c r="AI110" s="155" t="str">
        <f>IF(IFERROR(VLOOKUP($C110,Planes_de_estudio[],MATCH($AI$2,Carreras,0)+2,0),"")&gt;0,IFERROR(VLOOKUP($C110,Planes_de_estudio[],MATCH($AI$2,Carreras,0)+2,0),""),"")</f>
        <v/>
      </c>
      <c r="AJ110" s="155">
        <f>IF(IFERROR(VLOOKUP($C110,Planes_de_estudio[],MATCH($AJ$2,Carreras,0)+2,0),"")&gt;0,IFERROR(VLOOKUP($C110,Planes_de_estudio[],MATCH($AJ$2,Carreras,0)+2,0),""),"")</f>
        <v>5</v>
      </c>
      <c r="AK110" s="155" t="str">
        <f>IF(IFERROR(VLOOKUP($C110,Planes_de_estudio[],MATCH($AK$2,Carreras,0)+2,0),"")&gt;0,IFERROR(VLOOKUP($C110,Planes_de_estudio[],MATCH($AK$2,Carreras,0)+2,0),""),"")</f>
        <v/>
      </c>
      <c r="AL11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10" s="155">
        <f>base_de_datos[[#This Row],[Pronóstico]]/25</f>
        <v>0.4</v>
      </c>
      <c r="AO110" s="155" t="str">
        <f>VLOOKUP($C110,Planes_de_estudio[],2)</f>
        <v>ETF</v>
      </c>
      <c r="AP110" s="157" t="str">
        <f ca="1">IF(AND(base_de_datos[[#This Row],[Industrial]]&lt;&gt;"",base_de_datos[[#This Row],[Misma o no]]=1),base_de_datos[[#This Row],[Índice]],"")</f>
        <v/>
      </c>
      <c r="AQ110" s="157" t="str">
        <f ca="1">IF(AND(base_de_datos[[#This Row],[Mecatrónica]]&lt;&gt;"",base_de_datos[[#This Row],[Misma o no]]=1),base_de_datos[[#This Row],[Índice]],"")</f>
        <v/>
      </c>
      <c r="AR110" s="157" t="str">
        <f ca="1">IF(AND(base_de_datos[[#This Row],[Innovación y Diseño]]&lt;&gt;"",base_de_datos[[#This Row],[Misma o no]]=1),base_de_datos[[#This Row],[Índice]],"")</f>
        <v/>
      </c>
      <c r="AS110" s="157" t="str">
        <f ca="1">IF(AND(base_de_datos[[#This Row],[Inteligencia Artificial]]&lt;&gt;"",base_de_datos[[#This Row],[Misma o no]]=1),base_de_datos[[#This Row],[Índice]],"")</f>
        <v/>
      </c>
      <c r="AT110" s="157" t="str">
        <f ca="1">IF(AND(base_de_datos[[#This Row],[Tecnologías Energéticas]]&lt;&gt;"",base_de_datos[[#This Row],[Misma o no]]=1),base_de_datos[[#This Row],[Índice]],"")</f>
        <v/>
      </c>
      <c r="AU110" s="157">
        <f ca="1">IF(AND(base_de_datos[[#This Row],[Civil y Administración]]&lt;&gt;"",base_de_datos[[#This Row],[Misma o no]]=1),base_de_datos[[#This Row],[Índice]],"")</f>
        <v>6</v>
      </c>
      <c r="AV110" s="157" t="str">
        <f ca="1">IF(AND(base_de_datos[[#This Row],[Bioelectrónica]]&lt;&gt;"",base_de_datos[[#This Row],[Misma o no]]=1),base_de_datos[[#This Row],[Índice]],"")</f>
        <v/>
      </c>
      <c r="AW110" s="158"/>
      <c r="AX110" s="231">
        <v>1</v>
      </c>
    </row>
    <row r="111" spans="2:50" s="6" customFormat="1" ht="15">
      <c r="B111" s="148" t="s">
        <v>274</v>
      </c>
      <c r="C111" s="149" t="s">
        <v>277</v>
      </c>
      <c r="D111" s="150">
        <v>1</v>
      </c>
      <c r="E111" s="151">
        <v>0.66666666666666696</v>
      </c>
      <c r="F111" s="151">
        <v>0.72916666666665997</v>
      </c>
      <c r="G111" s="218" t="s">
        <v>65</v>
      </c>
      <c r="H111" s="150" t="s">
        <v>278</v>
      </c>
      <c r="I111" s="150">
        <f>INDEX(Aulas_capacidad,MATCH(base_de_datos[[#This Row],[Aula]],Aulas,0),2)</f>
        <v>20</v>
      </c>
      <c r="J111" s="152">
        <v>4</v>
      </c>
      <c r="K111" s="150">
        <f>INDEX(Aulas_capacidad,MATCH(base_de_datos[[#This Row],[Aula]],Aulas,0),4)</f>
        <v>7</v>
      </c>
      <c r="L111" s="153">
        <f>base_de_datos[[#This Row],[Cap 1.5]]-base_de_datos[[#This Row],[Inscritos]]</f>
        <v>3</v>
      </c>
      <c r="M111" s="153">
        <f>INDEX(Aulas_capacidad,MATCH(base_de_datos[[#This Row],[Aula]],Aulas,0),5)</f>
        <v>10</v>
      </c>
      <c r="N111" s="153">
        <f>base_de_datos[[#This Row],[Cap .90]]-base_de_datos[[#This Row],[Inscritos]]</f>
        <v>6</v>
      </c>
      <c r="O111" s="150">
        <v>1555</v>
      </c>
      <c r="P111" s="154"/>
      <c r="Q111" s="154" t="s">
        <v>67</v>
      </c>
      <c r="R111" s="154"/>
      <c r="S111" s="154" t="s">
        <v>67</v>
      </c>
      <c r="T111" s="154"/>
      <c r="U111" s="154"/>
      <c r="V111" s="154"/>
      <c r="W111" s="154" t="s">
        <v>1659</v>
      </c>
      <c r="X111" s="155">
        <f>_xlfn.XLOOKUP(base_de_datos[[#This Row],[Materia]],Materias,Horas)/16</f>
        <v>3</v>
      </c>
      <c r="Y111" s="155">
        <f>ROUND(((base_de_datos[[#This Row],[Hora fin]]-base_de_datos[[#This Row],[Hora inicio]])*24)*(COUNTA(base_de_datos[[#This Row],[Lunes]:[Sábado]])),1)</f>
        <v>3</v>
      </c>
      <c r="Z11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1" s="155">
        <f ca="1">IF(base_de_datos[[#This Row],[No clase]]=OFFSET(base_de_datos[[#This Row],[No clase]],-1,0),0,1)</f>
        <v>1</v>
      </c>
      <c r="AB111" s="155">
        <f ca="1">IF(NOT(OR(base_de_datos[[#This Row],[Horas totales]]=base_de_datos[[#This Row],[HT Plan]],base_de_datos[[#This Row],[Horas totales]]="N/A")),1,0)</f>
        <v>0</v>
      </c>
      <c r="AC111" s="155" t="str">
        <f>_xlfn.XLOOKUP(base_de_datos[[#This Row],[Profesor]],Nombre,Grado)</f>
        <v>D</v>
      </c>
      <c r="AD111" s="156" t="str">
        <f>_xlfn.XLOOKUP(base_de_datos[[#This Row],[Profesor]],Nombre,Tipo)</f>
        <v>TC</v>
      </c>
      <c r="AE111" s="155" t="str">
        <f>IF(IFERROR(VLOOKUP($C111,Planes_de_estudio[],MATCH($AE$2,Carreras,0)+2,0),"")&gt;0,IFERROR(VLOOKUP($C111,Planes_de_estudio[],MATCH($AE$2,Carreras,0)+2,0),""),"")</f>
        <v/>
      </c>
      <c r="AF111" s="155" t="str">
        <f>IF(IFERROR(VLOOKUP($C111,Planes_de_estudio[],MATCH($AF$2,Carreras,0)+2,0),"")&gt;0,IFERROR(VLOOKUP($C111,Planes_de_estudio[],MATCH($AF$2,Carreras,0)+2,0),""),"")</f>
        <v/>
      </c>
      <c r="AG111" s="155" t="str">
        <f>IF(IFERROR(VLOOKUP($C111,Planes_de_estudio[],MATCH($AG$2,Carreras,0)+2,0),"")&gt;0,IFERROR(VLOOKUP($C111,Planes_de_estudio[],MATCH($AG$2,Carreras,0)+2,0),""),"")</f>
        <v/>
      </c>
      <c r="AH111" s="155" t="str">
        <f>IF(IFERROR(VLOOKUP($C111,Planes_de_estudio[],MATCH($AH$2,Carreras,0)+2,0),"")&gt;0,IFERROR(VLOOKUP($C111,Planes_de_estudio[],MATCH($AH$2,Carreras,0)+2,0),""),"")</f>
        <v/>
      </c>
      <c r="AI111" s="155" t="str">
        <f>IF(IFERROR(VLOOKUP($C111,Planes_de_estudio[],MATCH($AI$2,Carreras,0)+2,0),"")&gt;0,IFERROR(VLOOKUP($C111,Planes_de_estudio[],MATCH($AI$2,Carreras,0)+2,0),""),"")</f>
        <v/>
      </c>
      <c r="AJ111" s="155">
        <f>IF(IFERROR(VLOOKUP($C111,Planes_de_estudio[],MATCH($AJ$2,Carreras,0)+2,0),"")&gt;0,IFERROR(VLOOKUP($C111,Planes_de_estudio[],MATCH($AJ$2,Carreras,0)+2,0),""),"")</f>
        <v>9</v>
      </c>
      <c r="AK111" s="155" t="str">
        <f>IF(IFERROR(VLOOKUP($C111,Planes_de_estudio[],MATCH($AK$2,Carreras,0)+2,0),"")&gt;0,IFERROR(VLOOKUP($C111,Planes_de_estudio[],MATCH($AK$2,Carreras,0)+2,0),""),"")</f>
        <v/>
      </c>
      <c r="AL11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111" s="155">
        <f>base_de_datos[[#This Row],[Pronóstico]]/25</f>
        <v>0.56000000000000005</v>
      </c>
      <c r="AO111" s="155" t="str">
        <f>VLOOKUP($C111,Planes_de_estudio[],2)</f>
        <v>AIC</v>
      </c>
      <c r="AP111" s="157" t="str">
        <f ca="1">IF(AND(base_de_datos[[#This Row],[Industrial]]&lt;&gt;"",base_de_datos[[#This Row],[Misma o no]]=1),base_de_datos[[#This Row],[Índice]],"")</f>
        <v/>
      </c>
      <c r="AQ111" s="157" t="str">
        <f ca="1">IF(AND(base_de_datos[[#This Row],[Mecatrónica]]&lt;&gt;"",base_de_datos[[#This Row],[Misma o no]]=1),base_de_datos[[#This Row],[Índice]],"")</f>
        <v/>
      </c>
      <c r="AR111" s="157" t="str">
        <f ca="1">IF(AND(base_de_datos[[#This Row],[Innovación y Diseño]]&lt;&gt;"",base_de_datos[[#This Row],[Misma o no]]=1),base_de_datos[[#This Row],[Índice]],"")</f>
        <v/>
      </c>
      <c r="AS111" s="157" t="str">
        <f ca="1">IF(AND(base_de_datos[[#This Row],[Inteligencia Artificial]]&lt;&gt;"",base_de_datos[[#This Row],[Misma o no]]=1),base_de_datos[[#This Row],[Índice]],"")</f>
        <v/>
      </c>
      <c r="AT111" s="157" t="str">
        <f ca="1">IF(AND(base_de_datos[[#This Row],[Tecnologías Energéticas]]&lt;&gt;"",base_de_datos[[#This Row],[Misma o no]]=1),base_de_datos[[#This Row],[Índice]],"")</f>
        <v/>
      </c>
      <c r="AU111" s="157">
        <f ca="1">IF(AND(base_de_datos[[#This Row],[Civil y Administración]]&lt;&gt;"",base_de_datos[[#This Row],[Misma o no]]=1),base_de_datos[[#This Row],[Índice]],"")</f>
        <v>6</v>
      </c>
      <c r="AV111" s="157" t="str">
        <f ca="1">IF(AND(base_de_datos[[#This Row],[Bioelectrónica]]&lt;&gt;"",base_de_datos[[#This Row],[Misma o no]]=1),base_de_datos[[#This Row],[Índice]],"")</f>
        <v/>
      </c>
      <c r="AW111" s="158"/>
      <c r="AX111" s="231">
        <v>1</v>
      </c>
    </row>
    <row r="112" spans="2:50" s="6" customFormat="1" ht="15">
      <c r="B112" s="148" t="s">
        <v>279</v>
      </c>
      <c r="C112" s="149" t="s">
        <v>280</v>
      </c>
      <c r="D112" s="150">
        <v>1</v>
      </c>
      <c r="E112" s="151">
        <v>0.29166666666666669</v>
      </c>
      <c r="F112" s="151">
        <v>0.35416666666666602</v>
      </c>
      <c r="G112" s="150"/>
      <c r="H112" s="150" t="s">
        <v>114</v>
      </c>
      <c r="I112" s="150">
        <f>INDEX(Aulas_capacidad,MATCH(base_de_datos[[#This Row],[Aula]],Aulas,0),2)</f>
        <v>36</v>
      </c>
      <c r="J112" s="152">
        <v>15</v>
      </c>
      <c r="K112" s="150">
        <f>INDEX(Aulas_capacidad,MATCH(base_de_datos[[#This Row],[Aula]],Aulas,0),4)</f>
        <v>18</v>
      </c>
      <c r="L112" s="153">
        <f>base_de_datos[[#This Row],[Cap 1.5]]-base_de_datos[[#This Row],[Inscritos]]</f>
        <v>3</v>
      </c>
      <c r="M112" s="153">
        <f>INDEX(Aulas_capacidad,MATCH(base_de_datos[[#This Row],[Aula]],Aulas,0),5)</f>
        <v>18</v>
      </c>
      <c r="N112" s="153">
        <f>base_de_datos[[#This Row],[Cap .90]]-base_de_datos[[#This Row],[Inscritos]]</f>
        <v>3</v>
      </c>
      <c r="O112" s="150">
        <v>1624</v>
      </c>
      <c r="P112" s="154" t="s">
        <v>67</v>
      </c>
      <c r="Q112" s="154"/>
      <c r="R112" s="154" t="s">
        <v>67</v>
      </c>
      <c r="S112" s="154"/>
      <c r="T112" s="154"/>
      <c r="U112" s="154"/>
      <c r="V112" s="154"/>
      <c r="W112" s="154" t="s">
        <v>1654</v>
      </c>
      <c r="X112" s="155">
        <f>_xlfn.XLOOKUP(base_de_datos[[#This Row],[Materia]],Materias,Horas)/16</f>
        <v>3</v>
      </c>
      <c r="Y112" s="155">
        <f>ROUND(((base_de_datos[[#This Row],[Hora fin]]-base_de_datos[[#This Row],[Hora inicio]])*24)*(COUNTA(base_de_datos[[#This Row],[Lunes]:[Sábado]])),1)</f>
        <v>3</v>
      </c>
      <c r="Z11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2" s="155">
        <f ca="1">IF(base_de_datos[[#This Row],[No clase]]=OFFSET(base_de_datos[[#This Row],[No clase]],-1,0),0,1)</f>
        <v>1</v>
      </c>
      <c r="AB112" s="155">
        <f ca="1">IF(NOT(OR(base_de_datos[[#This Row],[Horas totales]]=base_de_datos[[#This Row],[HT Plan]],base_de_datos[[#This Row],[Horas totales]]="N/A")),1,0)</f>
        <v>0</v>
      </c>
      <c r="AC112" s="155" t="str">
        <f>_xlfn.XLOOKUP(base_de_datos[[#This Row],[Profesor]],Nombre,Grado)</f>
        <v>E</v>
      </c>
      <c r="AD112" s="156" t="str">
        <f>_xlfn.XLOOKUP(base_de_datos[[#This Row],[Profesor]],Nombre,Tipo)</f>
        <v>A</v>
      </c>
      <c r="AE112" s="155" t="str">
        <f>IF(IFERROR(VLOOKUP($C112,Planes_de_estudio[],MATCH($AE$2,Carreras,0)+2,0),"")&gt;0,IFERROR(VLOOKUP($C112,Planes_de_estudio[],MATCH($AE$2,Carreras,0)+2,0),""),"")</f>
        <v/>
      </c>
      <c r="AF112" s="155" t="str">
        <f>IF(IFERROR(VLOOKUP($C112,Planes_de_estudio[],MATCH($AF$2,Carreras,0)+2,0),"")&gt;0,IFERROR(VLOOKUP($C112,Planes_de_estudio[],MATCH($AF$2,Carreras,0)+2,0),""),"")</f>
        <v/>
      </c>
      <c r="AG112" s="155">
        <f>IF(IFERROR(VLOOKUP($C112,Planes_de_estudio[],MATCH($AG$2,Carreras,0)+2,0),"")&gt;0,IFERROR(VLOOKUP($C112,Planes_de_estudio[],MATCH($AG$2,Carreras,0)+2,0),""),"")</f>
        <v>1</v>
      </c>
      <c r="AH112" s="155" t="str">
        <f>IF(IFERROR(VLOOKUP($C112,Planes_de_estudio[],MATCH($AH$2,Carreras,0)+2,0),"")&gt;0,IFERROR(VLOOKUP($C112,Planes_de_estudio[],MATCH($AH$2,Carreras,0)+2,0),""),"")</f>
        <v/>
      </c>
      <c r="AI112" s="155" t="str">
        <f>IF(IFERROR(VLOOKUP($C112,Planes_de_estudio[],MATCH($AI$2,Carreras,0)+2,0),"")&gt;0,IFERROR(VLOOKUP($C112,Planes_de_estudio[],MATCH($AI$2,Carreras,0)+2,0),""),"")</f>
        <v/>
      </c>
      <c r="AJ112" s="155" t="str">
        <f>IF(IFERROR(VLOOKUP($C112,Planes_de_estudio[],MATCH($AJ$2,Carreras,0)+2,0),"")&gt;0,IFERROR(VLOOKUP($C112,Planes_de_estudio[],MATCH($AJ$2,Carreras,0)+2,0),""),"")</f>
        <v/>
      </c>
      <c r="AK112" s="155" t="str">
        <f>IF(IFERROR(VLOOKUP($C112,Planes_de_estudio[],MATCH($AK$2,Carreras,0)+2,0),"")&gt;0,IFERROR(VLOOKUP($C112,Planes_de_estudio[],MATCH($AK$2,Carreras,0)+2,0),""),"")</f>
        <v/>
      </c>
      <c r="AL11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1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12" s="155">
        <f>base_de_datos[[#This Row],[Pronóstico]]/25</f>
        <v>0.6</v>
      </c>
      <c r="AO112" s="155" t="s">
        <v>226</v>
      </c>
      <c r="AP112" s="157" t="str">
        <f ca="1">IF(AND(base_de_datos[[#This Row],[Industrial]]&lt;&gt;"",base_de_datos[[#This Row],[Misma o no]]=1),base_de_datos[[#This Row],[Índice]],"")</f>
        <v/>
      </c>
      <c r="AQ112" s="157" t="str">
        <f ca="1">IF(AND(base_de_datos[[#This Row],[Mecatrónica]]&lt;&gt;"",base_de_datos[[#This Row],[Misma o no]]=1),base_de_datos[[#This Row],[Índice]],"")</f>
        <v/>
      </c>
      <c r="AR112" s="157">
        <f ca="1">IF(AND(base_de_datos[[#This Row],[Innovación y Diseño]]&lt;&gt;"",base_de_datos[[#This Row],[Misma o no]]=1),base_de_datos[[#This Row],[Índice]],"")</f>
        <v>2</v>
      </c>
      <c r="AS112" s="157" t="str">
        <f ca="1">IF(AND(base_de_datos[[#This Row],[Inteligencia Artificial]]&lt;&gt;"",base_de_datos[[#This Row],[Misma o no]]=1),base_de_datos[[#This Row],[Índice]],"")</f>
        <v/>
      </c>
      <c r="AT112" s="157" t="str">
        <f ca="1">IF(AND(base_de_datos[[#This Row],[Tecnologías Energéticas]]&lt;&gt;"",base_de_datos[[#This Row],[Misma o no]]=1),base_de_datos[[#This Row],[Índice]],"")</f>
        <v/>
      </c>
      <c r="AU112" s="157" t="str">
        <f ca="1">IF(AND(base_de_datos[[#This Row],[Civil y Administración]]&lt;&gt;"",base_de_datos[[#This Row],[Misma o no]]=1),base_de_datos[[#This Row],[Índice]],"")</f>
        <v/>
      </c>
      <c r="AV112" s="157" t="str">
        <f ca="1">IF(AND(base_de_datos[[#This Row],[Bioelectrónica]]&lt;&gt;"",base_de_datos[[#This Row],[Misma o no]]=1),base_de_datos[[#This Row],[Índice]],"")</f>
        <v/>
      </c>
      <c r="AW112" s="158"/>
      <c r="AX112" s="231">
        <v>1</v>
      </c>
    </row>
    <row r="113" spans="1:221" s="6" customFormat="1" ht="15">
      <c r="B113" s="148" t="s">
        <v>281</v>
      </c>
      <c r="C113" s="149" t="s">
        <v>282</v>
      </c>
      <c r="D113" s="150">
        <v>1</v>
      </c>
      <c r="E113" s="151">
        <v>0.625</v>
      </c>
      <c r="F113" s="151">
        <v>0.70833333333332704</v>
      </c>
      <c r="G113" s="150"/>
      <c r="H113" s="150" t="s">
        <v>230</v>
      </c>
      <c r="I113" s="150" t="e">
        <f>INDEX(Aulas_capacidad,MATCH(base_de_datos[[#This Row],[Aula]],Aulas,0),2)</f>
        <v>#N/A</v>
      </c>
      <c r="J113" s="152">
        <v>7</v>
      </c>
      <c r="K113" s="150" t="e">
        <f>INDEX(Aulas_capacidad,MATCH(base_de_datos[[#This Row],[Aula]],Aulas,0),4)</f>
        <v>#N/A</v>
      </c>
      <c r="L113" s="153" t="e">
        <f>base_de_datos[[#This Row],[Cap 1.5]]-base_de_datos[[#This Row],[Inscritos]]</f>
        <v>#N/A</v>
      </c>
      <c r="M113" s="153" t="e">
        <f>INDEX(Aulas_capacidad,MATCH(base_de_datos[[#This Row],[Aula]],Aulas,0),5)</f>
        <v>#N/A</v>
      </c>
      <c r="N113" s="153" t="e">
        <f>base_de_datos[[#This Row],[Cap .90]]-base_de_datos[[#This Row],[Inscritos]]</f>
        <v>#N/A</v>
      </c>
      <c r="O113" s="150">
        <v>1840</v>
      </c>
      <c r="P113" s="154"/>
      <c r="Q113" s="154" t="s">
        <v>67</v>
      </c>
      <c r="R113" s="154"/>
      <c r="S113" s="154"/>
      <c r="T113" s="154"/>
      <c r="U113" s="154"/>
      <c r="V113" s="154"/>
      <c r="W113" s="154" t="s">
        <v>1652</v>
      </c>
      <c r="X113" s="155">
        <f>_xlfn.XLOOKUP(base_de_datos[[#This Row],[Materia]],Materias,Horas)/16</f>
        <v>4</v>
      </c>
      <c r="Y113" s="155">
        <f>ROUND(((base_de_datos[[#This Row],[Hora fin]]-base_de_datos[[#This Row],[Hora inicio]])*24)*(COUNTA(base_de_datos[[#This Row],[Lunes]:[Sábado]])),1)</f>
        <v>2</v>
      </c>
      <c r="Z11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3" s="155">
        <f ca="1">IF(base_de_datos[[#This Row],[No clase]]=OFFSET(base_de_datos[[#This Row],[No clase]],-1,0),0,1)</f>
        <v>1</v>
      </c>
      <c r="AB113" s="155">
        <f ca="1">IF(NOT(OR(base_de_datos[[#This Row],[Horas totales]]=base_de_datos[[#This Row],[HT Plan]],base_de_datos[[#This Row],[Horas totales]]="N/A")),1,0)</f>
        <v>0</v>
      </c>
      <c r="AC113" s="155" t="str">
        <f>_xlfn.XLOOKUP(base_de_datos[[#This Row],[Profesor]],Nombre,Grado)</f>
        <v>L</v>
      </c>
      <c r="AD113" s="156" t="str">
        <f>_xlfn.XLOOKUP(base_de_datos[[#This Row],[Profesor]],Nombre,Tipo)</f>
        <v>A</v>
      </c>
      <c r="AE113" s="155" t="str">
        <f>IF(IFERROR(VLOOKUP($C113,Planes_de_estudio[],MATCH($AE$2,Carreras,0)+2,0),"")&gt;0,IFERROR(VLOOKUP($C113,Planes_de_estudio[],MATCH($AE$2,Carreras,0)+2,0),""),"")</f>
        <v/>
      </c>
      <c r="AF113" s="155" t="str">
        <f>IF(IFERROR(VLOOKUP($C113,Planes_de_estudio[],MATCH($AF$2,Carreras,0)+2,0),"")&gt;0,IFERROR(VLOOKUP($C113,Planes_de_estudio[],MATCH($AF$2,Carreras,0)+2,0),""),"")</f>
        <v/>
      </c>
      <c r="AG113" s="155" t="str">
        <f>IF(IFERROR(VLOOKUP($C113,Planes_de_estudio[],MATCH($AG$2,Carreras,0)+2,0),"")&gt;0,IFERROR(VLOOKUP($C113,Planes_de_estudio[],MATCH($AG$2,Carreras,0)+2,0),""),"")</f>
        <v/>
      </c>
      <c r="AH113" s="155" t="str">
        <f>IF(IFERROR(VLOOKUP($C113,Planes_de_estudio[],MATCH($AH$2,Carreras,0)+2,0),"")&gt;0,IFERROR(VLOOKUP($C113,Planes_de_estudio[],MATCH($AH$2,Carreras,0)+2,0),""),"")</f>
        <v/>
      </c>
      <c r="AI113" s="155" t="str">
        <f>IF(IFERROR(VLOOKUP($C113,Planes_de_estudio[],MATCH($AI$2,Carreras,0)+2,0),"")&gt;0,IFERROR(VLOOKUP($C113,Planes_de_estudio[],MATCH($AI$2,Carreras,0)+2,0),""),"")</f>
        <v/>
      </c>
      <c r="AJ113" s="155">
        <f>IF(IFERROR(VLOOKUP($C113,Planes_de_estudio[],MATCH($AJ$2,Carreras,0)+2,0),"")&gt;0,IFERROR(VLOOKUP($C113,Planes_de_estudio[],MATCH($AJ$2,Carreras,0)+2,0),""),"")</f>
        <v>7</v>
      </c>
      <c r="AK113" s="155" t="str">
        <f>IF(IFERROR(VLOOKUP($C113,Planes_de_estudio[],MATCH($AK$2,Carreras,0)+2,0),"")&gt;0,IFERROR(VLOOKUP($C113,Planes_de_estudio[],MATCH($AK$2,Carreras,0)+2,0),""),"")</f>
        <v/>
      </c>
      <c r="AL11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13" s="155">
        <f>base_de_datos[[#This Row],[Pronóstico]]/25</f>
        <v>0.52</v>
      </c>
      <c r="AO113" s="155" t="str">
        <f>VLOOKUP($C113,Planes_de_estudio[],2)</f>
        <v>ESC</v>
      </c>
      <c r="AP113" s="157" t="str">
        <f ca="1">IF(AND(base_de_datos[[#This Row],[Industrial]]&lt;&gt;"",base_de_datos[[#This Row],[Misma o no]]=1),base_de_datos[[#This Row],[Índice]],"")</f>
        <v/>
      </c>
      <c r="AQ113" s="157" t="str">
        <f ca="1">IF(AND(base_de_datos[[#This Row],[Mecatrónica]]&lt;&gt;"",base_de_datos[[#This Row],[Misma o no]]=1),base_de_datos[[#This Row],[Índice]],"")</f>
        <v/>
      </c>
      <c r="AR113" s="157" t="str">
        <f ca="1">IF(AND(base_de_datos[[#This Row],[Innovación y Diseño]]&lt;&gt;"",base_de_datos[[#This Row],[Misma o no]]=1),base_de_datos[[#This Row],[Índice]],"")</f>
        <v/>
      </c>
      <c r="AS113" s="157" t="str">
        <f ca="1">IF(AND(base_de_datos[[#This Row],[Inteligencia Artificial]]&lt;&gt;"",base_de_datos[[#This Row],[Misma o no]]=1),base_de_datos[[#This Row],[Índice]],"")</f>
        <v/>
      </c>
      <c r="AT113" s="157" t="str">
        <f ca="1">IF(AND(base_de_datos[[#This Row],[Tecnologías Energéticas]]&lt;&gt;"",base_de_datos[[#This Row],[Misma o no]]=1),base_de_datos[[#This Row],[Índice]],"")</f>
        <v/>
      </c>
      <c r="AU113" s="157">
        <f ca="1">IF(AND(base_de_datos[[#This Row],[Civil y Administración]]&lt;&gt;"",base_de_datos[[#This Row],[Misma o no]]=1),base_de_datos[[#This Row],[Índice]],"")</f>
        <v>1</v>
      </c>
      <c r="AV113" s="157" t="str">
        <f ca="1">IF(AND(base_de_datos[[#This Row],[Bioelectrónica]]&lt;&gt;"",base_de_datos[[#This Row],[Misma o no]]=1),base_de_datos[[#This Row],[Índice]],"")</f>
        <v/>
      </c>
      <c r="AW113" s="158"/>
      <c r="AX113" s="231">
        <v>1</v>
      </c>
    </row>
    <row r="114" spans="1:221" s="6" customFormat="1" ht="15">
      <c r="B114" s="148" t="s">
        <v>281</v>
      </c>
      <c r="C114" s="149" t="s">
        <v>282</v>
      </c>
      <c r="D114" s="150">
        <v>1</v>
      </c>
      <c r="E114" s="151">
        <v>0.66666666666666696</v>
      </c>
      <c r="F114" s="151">
        <v>0.74999999999999301</v>
      </c>
      <c r="G114" s="150"/>
      <c r="H114" s="150" t="s">
        <v>230</v>
      </c>
      <c r="I114" s="150" t="e">
        <f>INDEX(Aulas_capacidad,MATCH(base_de_datos[[#This Row],[Aula]],Aulas,0),2)</f>
        <v>#N/A</v>
      </c>
      <c r="J114" s="152">
        <v>7</v>
      </c>
      <c r="K114" s="150" t="e">
        <f>INDEX(Aulas_capacidad,MATCH(base_de_datos[[#This Row],[Aula]],Aulas,0),4)</f>
        <v>#N/A</v>
      </c>
      <c r="L114" s="153" t="e">
        <f>base_de_datos[[#This Row],[Cap 1.5]]-base_de_datos[[#This Row],[Inscritos]]</f>
        <v>#N/A</v>
      </c>
      <c r="M114" s="153" t="e">
        <f>INDEX(Aulas_capacidad,MATCH(base_de_datos[[#This Row],[Aula]],Aulas,0),5)</f>
        <v>#N/A</v>
      </c>
      <c r="N114" s="153" t="e">
        <f>base_de_datos[[#This Row],[Cap .90]]-base_de_datos[[#This Row],[Inscritos]]</f>
        <v>#N/A</v>
      </c>
      <c r="O114" s="150">
        <v>1840</v>
      </c>
      <c r="P114" s="154"/>
      <c r="Q114" s="154"/>
      <c r="R114" s="154"/>
      <c r="S114" s="154"/>
      <c r="T114" s="154" t="s">
        <v>67</v>
      </c>
      <c r="U114" s="154"/>
      <c r="V114" s="154"/>
      <c r="W114" s="154" t="s">
        <v>1652</v>
      </c>
      <c r="X114" s="155">
        <f>_xlfn.XLOOKUP(base_de_datos[[#This Row],[Materia]],Materias,Horas)/16</f>
        <v>4</v>
      </c>
      <c r="Y114" s="155">
        <f>ROUND(((base_de_datos[[#This Row],[Hora fin]]-base_de_datos[[#This Row],[Hora inicio]])*24)*(COUNTA(base_de_datos[[#This Row],[Lunes]:[Sábado]])),1)</f>
        <v>2</v>
      </c>
      <c r="Z11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4" s="155">
        <f ca="1">IF(base_de_datos[[#This Row],[No clase]]=OFFSET(base_de_datos[[#This Row],[No clase]],-1,0),0,1)</f>
        <v>0</v>
      </c>
      <c r="AB114" s="155">
        <f ca="1">IF(NOT(OR(base_de_datos[[#This Row],[Horas totales]]=base_de_datos[[#This Row],[HT Plan]],base_de_datos[[#This Row],[Horas totales]]="N/A")),1,0)</f>
        <v>0</v>
      </c>
      <c r="AC114" s="155" t="str">
        <f>_xlfn.XLOOKUP(base_de_datos[[#This Row],[Profesor]],Nombre,Grado)</f>
        <v>L</v>
      </c>
      <c r="AD114" s="156" t="str">
        <f>_xlfn.XLOOKUP(base_de_datos[[#This Row],[Profesor]],Nombre,Tipo)</f>
        <v>A</v>
      </c>
      <c r="AE114" s="155" t="str">
        <f>IF(IFERROR(VLOOKUP($C114,Planes_de_estudio[],MATCH($AE$2,Carreras,0)+2,0),"")&gt;0,IFERROR(VLOOKUP($C114,Planes_de_estudio[],MATCH($AE$2,Carreras,0)+2,0),""),"")</f>
        <v/>
      </c>
      <c r="AF114" s="155" t="str">
        <f>IF(IFERROR(VLOOKUP($C114,Planes_de_estudio[],MATCH($AF$2,Carreras,0)+2,0),"")&gt;0,IFERROR(VLOOKUP($C114,Planes_de_estudio[],MATCH($AF$2,Carreras,0)+2,0),""),"")</f>
        <v/>
      </c>
      <c r="AG114" s="155" t="str">
        <f>IF(IFERROR(VLOOKUP($C114,Planes_de_estudio[],MATCH($AG$2,Carreras,0)+2,0),"")&gt;0,IFERROR(VLOOKUP($C114,Planes_de_estudio[],MATCH($AG$2,Carreras,0)+2,0),""),"")</f>
        <v/>
      </c>
      <c r="AH114" s="155" t="str">
        <f>IF(IFERROR(VLOOKUP($C114,Planes_de_estudio[],MATCH($AH$2,Carreras,0)+2,0),"")&gt;0,IFERROR(VLOOKUP($C114,Planes_de_estudio[],MATCH($AH$2,Carreras,0)+2,0),""),"")</f>
        <v/>
      </c>
      <c r="AI114" s="155" t="str">
        <f>IF(IFERROR(VLOOKUP($C114,Planes_de_estudio[],MATCH($AI$2,Carreras,0)+2,0),"")&gt;0,IFERROR(VLOOKUP($C114,Planes_de_estudio[],MATCH($AI$2,Carreras,0)+2,0),""),"")</f>
        <v/>
      </c>
      <c r="AJ114" s="155">
        <f>IF(IFERROR(VLOOKUP($C114,Planes_de_estudio[],MATCH($AJ$2,Carreras,0)+2,0),"")&gt;0,IFERROR(VLOOKUP($C114,Planes_de_estudio[],MATCH($AJ$2,Carreras,0)+2,0),""),"")</f>
        <v>7</v>
      </c>
      <c r="AK114" s="155" t="str">
        <f>IF(IFERROR(VLOOKUP($C114,Planes_de_estudio[],MATCH($AK$2,Carreras,0)+2,0),"")&gt;0,IFERROR(VLOOKUP($C114,Planes_de_estudio[],MATCH($AK$2,Carreras,0)+2,0),""),"")</f>
        <v/>
      </c>
      <c r="AL11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14" s="155">
        <f>base_de_datos[[#This Row],[Pronóstico]]/25</f>
        <v>0.52</v>
      </c>
      <c r="AO114" s="155" t="str">
        <f>VLOOKUP($C114,Planes_de_estudio[],2)</f>
        <v>ESC</v>
      </c>
      <c r="AP114" s="157" t="str">
        <f ca="1">IF(AND(base_de_datos[[#This Row],[Industrial]]&lt;&gt;"",base_de_datos[[#This Row],[Misma o no]]=1),base_de_datos[[#This Row],[Índice]],"")</f>
        <v/>
      </c>
      <c r="AQ114" s="157" t="str">
        <f ca="1">IF(AND(base_de_datos[[#This Row],[Mecatrónica]]&lt;&gt;"",base_de_datos[[#This Row],[Misma o no]]=1),base_de_datos[[#This Row],[Índice]],"")</f>
        <v/>
      </c>
      <c r="AR114" s="157" t="str">
        <f ca="1">IF(AND(base_de_datos[[#This Row],[Innovación y Diseño]]&lt;&gt;"",base_de_datos[[#This Row],[Misma o no]]=1),base_de_datos[[#This Row],[Índice]],"")</f>
        <v/>
      </c>
      <c r="AS114" s="157" t="str">
        <f ca="1">IF(AND(base_de_datos[[#This Row],[Inteligencia Artificial]]&lt;&gt;"",base_de_datos[[#This Row],[Misma o no]]=1),base_de_datos[[#This Row],[Índice]],"")</f>
        <v/>
      </c>
      <c r="AT114" s="157" t="str">
        <f ca="1">IF(AND(base_de_datos[[#This Row],[Tecnologías Energéticas]]&lt;&gt;"",base_de_datos[[#This Row],[Misma o no]]=1),base_de_datos[[#This Row],[Índice]],"")</f>
        <v/>
      </c>
      <c r="AU114" s="157" t="str">
        <f ca="1">IF(AND(base_de_datos[[#This Row],[Civil y Administración]]&lt;&gt;"",base_de_datos[[#This Row],[Misma o no]]=1),base_de_datos[[#This Row],[Índice]],"")</f>
        <v/>
      </c>
      <c r="AV114" s="157" t="str">
        <f ca="1">IF(AND(base_de_datos[[#This Row],[Bioelectrónica]]&lt;&gt;"",base_de_datos[[#This Row],[Misma o no]]=1),base_de_datos[[#This Row],[Índice]],"")</f>
        <v/>
      </c>
      <c r="AW114" s="158"/>
      <c r="AX114" s="231">
        <v>1</v>
      </c>
    </row>
    <row r="115" spans="1:221" s="6" customFormat="1" ht="15">
      <c r="B115" s="148" t="s">
        <v>281</v>
      </c>
      <c r="C115" s="149" t="s">
        <v>283</v>
      </c>
      <c r="D115" s="150">
        <v>1</v>
      </c>
      <c r="E115" s="151">
        <v>0.5</v>
      </c>
      <c r="F115" s="151">
        <v>0.58333333333332904</v>
      </c>
      <c r="G115" s="150"/>
      <c r="H115" s="150" t="s">
        <v>230</v>
      </c>
      <c r="I115" s="150" t="e">
        <f>INDEX(Aulas_capacidad,MATCH(base_de_datos[[#This Row],[Aula]],Aulas,0),2)</f>
        <v>#N/A</v>
      </c>
      <c r="J115" s="152">
        <v>9</v>
      </c>
      <c r="K115" s="150" t="e">
        <f>INDEX(Aulas_capacidad,MATCH(base_de_datos[[#This Row],[Aula]],Aulas,0),4)</f>
        <v>#N/A</v>
      </c>
      <c r="L115" s="153" t="e">
        <f>base_de_datos[[#This Row],[Cap 1.5]]-base_de_datos[[#This Row],[Inscritos]]</f>
        <v>#N/A</v>
      </c>
      <c r="M115" s="153" t="e">
        <f>INDEX(Aulas_capacidad,MATCH(base_de_datos[[#This Row],[Aula]],Aulas,0),5)</f>
        <v>#N/A</v>
      </c>
      <c r="N115" s="153" t="e">
        <f>base_de_datos[[#This Row],[Cap .90]]-base_de_datos[[#This Row],[Inscritos]]</f>
        <v>#N/A</v>
      </c>
      <c r="O115" s="150" t="s">
        <v>284</v>
      </c>
      <c r="P115" s="154"/>
      <c r="Q115" s="154"/>
      <c r="R115" s="154" t="s">
        <v>67</v>
      </c>
      <c r="S115" s="154"/>
      <c r="T115" s="154"/>
      <c r="U115" s="154"/>
      <c r="V115" s="154"/>
      <c r="W115" s="154" t="s">
        <v>1654</v>
      </c>
      <c r="X115" s="155">
        <f>_xlfn.XLOOKUP(base_de_datos[[#This Row],[Materia]],Materias,Horas)/16</f>
        <v>5</v>
      </c>
      <c r="Y115" s="155">
        <f>ROUND(((base_de_datos[[#This Row],[Hora fin]]-base_de_datos[[#This Row],[Hora inicio]])*24)*(COUNTA(base_de_datos[[#This Row],[Lunes]:[Sábado]])),1)</f>
        <v>2</v>
      </c>
      <c r="Z115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15" s="155">
        <f ca="1">IF(base_de_datos[[#This Row],[No clase]]=OFFSET(base_de_datos[[#This Row],[No clase]],-1,0),0,1)</f>
        <v>1</v>
      </c>
      <c r="AB115" s="155">
        <f ca="1">IF(NOT(OR(base_de_datos[[#This Row],[Horas totales]]=base_de_datos[[#This Row],[HT Plan]],base_de_datos[[#This Row],[Horas totales]]="N/A")),1,0)</f>
        <v>0</v>
      </c>
      <c r="AC115" s="155" t="str">
        <f>_xlfn.XLOOKUP(base_de_datos[[#This Row],[Profesor]],Nombre,Grado)</f>
        <v>L</v>
      </c>
      <c r="AD115" s="156" t="str">
        <f>_xlfn.XLOOKUP(base_de_datos[[#This Row],[Profesor]],Nombre,Tipo)</f>
        <v>A</v>
      </c>
      <c r="AE115" s="155" t="str">
        <f>IF(IFERROR(VLOOKUP($C115,Planes_de_estudio[],MATCH($AE$2,Carreras,0)+2,0),"")&gt;0,IFERROR(VLOOKUP($C115,Planes_de_estudio[],MATCH($AE$2,Carreras,0)+2,0),""),"")</f>
        <v/>
      </c>
      <c r="AF115" s="155" t="str">
        <f>IF(IFERROR(VLOOKUP($C115,Planes_de_estudio[],MATCH($AF$2,Carreras,0)+2,0),"")&gt;0,IFERROR(VLOOKUP($C115,Planes_de_estudio[],MATCH($AF$2,Carreras,0)+2,0),""),"")</f>
        <v/>
      </c>
      <c r="AG115" s="155" t="str">
        <f>IF(IFERROR(VLOOKUP($C115,Planes_de_estudio[],MATCH($AG$2,Carreras,0)+2,0),"")&gt;0,IFERROR(VLOOKUP($C115,Planes_de_estudio[],MATCH($AG$2,Carreras,0)+2,0),""),"")</f>
        <v/>
      </c>
      <c r="AH115" s="155" t="str">
        <f>IF(IFERROR(VLOOKUP($C115,Planes_de_estudio[],MATCH($AH$2,Carreras,0)+2,0),"")&gt;0,IFERROR(VLOOKUP($C115,Planes_de_estudio[],MATCH($AH$2,Carreras,0)+2,0),""),"")</f>
        <v/>
      </c>
      <c r="AI115" s="155" t="str">
        <f>IF(IFERROR(VLOOKUP($C115,Planes_de_estudio[],MATCH($AI$2,Carreras,0)+2,0),"")&gt;0,IFERROR(VLOOKUP($C115,Planes_de_estudio[],MATCH($AI$2,Carreras,0)+2,0),""),"")</f>
        <v/>
      </c>
      <c r="AJ115" s="155">
        <f>IF(IFERROR(VLOOKUP($C115,Planes_de_estudio[],MATCH($AJ$2,Carreras,0)+2,0),"")&gt;0,IFERROR(VLOOKUP($C115,Planes_de_estudio[],MATCH($AJ$2,Carreras,0)+2,0),""),"")</f>
        <v>5</v>
      </c>
      <c r="AK115" s="155" t="str">
        <f>IF(IFERROR(VLOOKUP($C115,Planes_de_estudio[],MATCH($AK$2,Carreras,0)+2,0),"")&gt;0,IFERROR(VLOOKUP($C115,Planes_de_estudio[],MATCH($AK$2,Carreras,0)+2,0),""),"")</f>
        <v/>
      </c>
      <c r="AL11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15" s="155">
        <f>base_de_datos[[#This Row],[Pronóstico]]/25</f>
        <v>0.4</v>
      </c>
      <c r="AO115" s="155" t="str">
        <f>VLOOKUP($C115,Planes_de_estudio[],2)</f>
        <v>ESC</v>
      </c>
      <c r="AP115" s="157" t="str">
        <f ca="1">IF(AND(base_de_datos[[#This Row],[Industrial]]&lt;&gt;"",base_de_datos[[#This Row],[Misma o no]]=1),base_de_datos[[#This Row],[Índice]],"")</f>
        <v/>
      </c>
      <c r="AQ115" s="157" t="str">
        <f ca="1">IF(AND(base_de_datos[[#This Row],[Mecatrónica]]&lt;&gt;"",base_de_datos[[#This Row],[Misma o no]]=1),base_de_datos[[#This Row],[Índice]],"")</f>
        <v/>
      </c>
      <c r="AR115" s="157" t="str">
        <f ca="1">IF(AND(base_de_datos[[#This Row],[Innovación y Diseño]]&lt;&gt;"",base_de_datos[[#This Row],[Misma o no]]=1),base_de_datos[[#This Row],[Índice]],"")</f>
        <v/>
      </c>
      <c r="AS115" s="157" t="str">
        <f ca="1">IF(AND(base_de_datos[[#This Row],[Inteligencia Artificial]]&lt;&gt;"",base_de_datos[[#This Row],[Misma o no]]=1),base_de_datos[[#This Row],[Índice]],"")</f>
        <v/>
      </c>
      <c r="AT115" s="157" t="str">
        <f ca="1">IF(AND(base_de_datos[[#This Row],[Tecnologías Energéticas]]&lt;&gt;"",base_de_datos[[#This Row],[Misma o no]]=1),base_de_datos[[#This Row],[Índice]],"")</f>
        <v/>
      </c>
      <c r="AU115" s="157">
        <f ca="1">IF(AND(base_de_datos[[#This Row],[Civil y Administración]]&lt;&gt;"",base_de_datos[[#This Row],[Misma o no]]=1),base_de_datos[[#This Row],[Índice]],"")</f>
        <v>1</v>
      </c>
      <c r="AV115" s="157" t="str">
        <f ca="1">IF(AND(base_de_datos[[#This Row],[Bioelectrónica]]&lt;&gt;"",base_de_datos[[#This Row],[Misma o no]]=1),base_de_datos[[#This Row],[Índice]],"")</f>
        <v/>
      </c>
      <c r="AW115" s="158"/>
      <c r="AX115" s="231">
        <v>1</v>
      </c>
    </row>
    <row r="116" spans="1:221" s="6" customFormat="1" ht="15">
      <c r="B116" s="148" t="s">
        <v>281</v>
      </c>
      <c r="C116" s="149" t="s">
        <v>283</v>
      </c>
      <c r="D116" s="150">
        <v>1</v>
      </c>
      <c r="E116" s="151">
        <v>0.5</v>
      </c>
      <c r="F116" s="151">
        <v>0.624999999999995</v>
      </c>
      <c r="G116" s="150"/>
      <c r="H116" s="150" t="s">
        <v>230</v>
      </c>
      <c r="I116" s="150" t="e">
        <f>INDEX(Aulas_capacidad,MATCH(base_de_datos[[#This Row],[Aula]],Aulas,0),2)</f>
        <v>#N/A</v>
      </c>
      <c r="J116" s="152">
        <v>9</v>
      </c>
      <c r="K116" s="150" t="e">
        <f>INDEX(Aulas_capacidad,MATCH(base_de_datos[[#This Row],[Aula]],Aulas,0),4)</f>
        <v>#N/A</v>
      </c>
      <c r="L116" s="153" t="e">
        <f>base_de_datos[[#This Row],[Cap 1.5]]-base_de_datos[[#This Row],[Inscritos]]</f>
        <v>#N/A</v>
      </c>
      <c r="M116" s="153" t="e">
        <f>INDEX(Aulas_capacidad,MATCH(base_de_datos[[#This Row],[Aula]],Aulas,0),5)</f>
        <v>#N/A</v>
      </c>
      <c r="N116" s="153" t="e">
        <f>base_de_datos[[#This Row],[Cap .90]]-base_de_datos[[#This Row],[Inscritos]]</f>
        <v>#N/A</v>
      </c>
      <c r="O116" s="150" t="s">
        <v>284</v>
      </c>
      <c r="P116" s="154"/>
      <c r="Q116" s="154"/>
      <c r="R116" s="154"/>
      <c r="S116" s="154"/>
      <c r="T116" s="154" t="s">
        <v>67</v>
      </c>
      <c r="U116" s="154"/>
      <c r="V116" s="154"/>
      <c r="W116" s="154" t="s">
        <v>1654</v>
      </c>
      <c r="X116" s="155">
        <f>_xlfn.XLOOKUP(base_de_datos[[#This Row],[Materia]],Materias,Horas)/16</f>
        <v>5</v>
      </c>
      <c r="Y116" s="155">
        <f>ROUND(((base_de_datos[[#This Row],[Hora fin]]-base_de_datos[[#This Row],[Hora inicio]])*24)*(COUNTA(base_de_datos[[#This Row],[Lunes]:[Sábado]])),1)</f>
        <v>3</v>
      </c>
      <c r="Z11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6" s="155">
        <f ca="1">IF(base_de_datos[[#This Row],[No clase]]=OFFSET(base_de_datos[[#This Row],[No clase]],-1,0),0,1)</f>
        <v>0</v>
      </c>
      <c r="AB116" s="155">
        <f ca="1">IF(NOT(OR(base_de_datos[[#This Row],[Horas totales]]=base_de_datos[[#This Row],[HT Plan]],base_de_datos[[#This Row],[Horas totales]]="N/A")),1,0)</f>
        <v>0</v>
      </c>
      <c r="AC116" s="155" t="str">
        <f>_xlfn.XLOOKUP(base_de_datos[[#This Row],[Profesor]],Nombre,Grado)</f>
        <v>L</v>
      </c>
      <c r="AD116" s="156" t="str">
        <f>_xlfn.XLOOKUP(base_de_datos[[#This Row],[Profesor]],Nombre,Tipo)</f>
        <v>A</v>
      </c>
      <c r="AE116" s="155" t="str">
        <f>IF(IFERROR(VLOOKUP($C116,Planes_de_estudio[],MATCH($AE$2,Carreras,0)+2,0),"")&gt;0,IFERROR(VLOOKUP($C116,Planes_de_estudio[],MATCH($AE$2,Carreras,0)+2,0),""),"")</f>
        <v/>
      </c>
      <c r="AF116" s="155" t="str">
        <f>IF(IFERROR(VLOOKUP($C116,Planes_de_estudio[],MATCH($AF$2,Carreras,0)+2,0),"")&gt;0,IFERROR(VLOOKUP($C116,Planes_de_estudio[],MATCH($AF$2,Carreras,0)+2,0),""),"")</f>
        <v/>
      </c>
      <c r="AG116" s="155" t="str">
        <f>IF(IFERROR(VLOOKUP($C116,Planes_de_estudio[],MATCH($AG$2,Carreras,0)+2,0),"")&gt;0,IFERROR(VLOOKUP($C116,Planes_de_estudio[],MATCH($AG$2,Carreras,0)+2,0),""),"")</f>
        <v/>
      </c>
      <c r="AH116" s="155" t="str">
        <f>IF(IFERROR(VLOOKUP($C116,Planes_de_estudio[],MATCH($AH$2,Carreras,0)+2,0),"")&gt;0,IFERROR(VLOOKUP($C116,Planes_de_estudio[],MATCH($AH$2,Carreras,0)+2,0),""),"")</f>
        <v/>
      </c>
      <c r="AI116" s="155" t="str">
        <f>IF(IFERROR(VLOOKUP($C116,Planes_de_estudio[],MATCH($AI$2,Carreras,0)+2,0),"")&gt;0,IFERROR(VLOOKUP($C116,Planes_de_estudio[],MATCH($AI$2,Carreras,0)+2,0),""),"")</f>
        <v/>
      </c>
      <c r="AJ116" s="155">
        <f>IF(IFERROR(VLOOKUP($C116,Planes_de_estudio[],MATCH($AJ$2,Carreras,0)+2,0),"")&gt;0,IFERROR(VLOOKUP($C116,Planes_de_estudio[],MATCH($AJ$2,Carreras,0)+2,0),""),"")</f>
        <v>5</v>
      </c>
      <c r="AK116" s="155" t="str">
        <f>IF(IFERROR(VLOOKUP($C116,Planes_de_estudio[],MATCH($AK$2,Carreras,0)+2,0),"")&gt;0,IFERROR(VLOOKUP($C116,Planes_de_estudio[],MATCH($AK$2,Carreras,0)+2,0),""),"")</f>
        <v/>
      </c>
      <c r="AL11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16" s="155">
        <f>base_de_datos[[#This Row],[Pronóstico]]/25</f>
        <v>0.4</v>
      </c>
      <c r="AO116" s="155" t="str">
        <f>VLOOKUP($C116,Planes_de_estudio[],2)</f>
        <v>ESC</v>
      </c>
      <c r="AP116" s="157" t="str">
        <f ca="1">IF(AND(base_de_datos[[#This Row],[Industrial]]&lt;&gt;"",base_de_datos[[#This Row],[Misma o no]]=1),base_de_datos[[#This Row],[Índice]],"")</f>
        <v/>
      </c>
      <c r="AQ116" s="157" t="str">
        <f ca="1">IF(AND(base_de_datos[[#This Row],[Mecatrónica]]&lt;&gt;"",base_de_datos[[#This Row],[Misma o no]]=1),base_de_datos[[#This Row],[Índice]],"")</f>
        <v/>
      </c>
      <c r="AR116" s="157" t="str">
        <f ca="1">IF(AND(base_de_datos[[#This Row],[Innovación y Diseño]]&lt;&gt;"",base_de_datos[[#This Row],[Misma o no]]=1),base_de_datos[[#This Row],[Índice]],"")</f>
        <v/>
      </c>
      <c r="AS116" s="157" t="str">
        <f ca="1">IF(AND(base_de_datos[[#This Row],[Inteligencia Artificial]]&lt;&gt;"",base_de_datos[[#This Row],[Misma o no]]=1),base_de_datos[[#This Row],[Índice]],"")</f>
        <v/>
      </c>
      <c r="AT116" s="157" t="str">
        <f ca="1">IF(AND(base_de_datos[[#This Row],[Tecnologías Energéticas]]&lt;&gt;"",base_de_datos[[#This Row],[Misma o no]]=1),base_de_datos[[#This Row],[Índice]],"")</f>
        <v/>
      </c>
      <c r="AU116" s="157" t="str">
        <f ca="1">IF(AND(base_de_datos[[#This Row],[Civil y Administración]]&lt;&gt;"",base_de_datos[[#This Row],[Misma o no]]=1),base_de_datos[[#This Row],[Índice]],"")</f>
        <v/>
      </c>
      <c r="AV116" s="157" t="str">
        <f ca="1">IF(AND(base_de_datos[[#This Row],[Bioelectrónica]]&lt;&gt;"",base_de_datos[[#This Row],[Misma o no]]=1),base_de_datos[[#This Row],[Índice]],"")</f>
        <v/>
      </c>
      <c r="AW116" s="158"/>
      <c r="AX116" s="231" t="s">
        <v>1636</v>
      </c>
    </row>
    <row r="117" spans="1:221" s="6" customFormat="1" ht="15">
      <c r="B117" s="148" t="s">
        <v>285</v>
      </c>
      <c r="C117" s="149" t="s">
        <v>286</v>
      </c>
      <c r="D117" s="150">
        <v>1</v>
      </c>
      <c r="E117" s="151">
        <v>0.29166666666666669</v>
      </c>
      <c r="F117" s="151">
        <v>0.374999999999999</v>
      </c>
      <c r="G117" s="150"/>
      <c r="H117" s="150" t="s">
        <v>287</v>
      </c>
      <c r="I117" s="150">
        <f>INDEX(Aulas_capacidad,MATCH(base_de_datos[[#This Row],[Aula]],Aulas,0),2)</f>
        <v>60</v>
      </c>
      <c r="J117" s="152">
        <v>4</v>
      </c>
      <c r="K117" s="150">
        <f>INDEX(Aulas_capacidad,MATCH(base_de_datos[[#This Row],[Aula]],Aulas,0),4)</f>
        <v>18</v>
      </c>
      <c r="L117" s="153">
        <f>base_de_datos[[#This Row],[Cap 1.5]]-base_de_datos[[#This Row],[Inscritos]]</f>
        <v>14</v>
      </c>
      <c r="M117" s="153">
        <f>INDEX(Aulas_capacidad,MATCH(base_de_datos[[#This Row],[Aula]],Aulas,0),5)</f>
        <v>26</v>
      </c>
      <c r="N117" s="153">
        <f>base_de_datos[[#This Row],[Cap .90]]-base_de_datos[[#This Row],[Inscritos]]</f>
        <v>22</v>
      </c>
      <c r="O117" s="150" t="s">
        <v>288</v>
      </c>
      <c r="P117" s="154"/>
      <c r="Q117" s="154" t="s">
        <v>67</v>
      </c>
      <c r="R117" s="154"/>
      <c r="S117" s="154"/>
      <c r="T117" s="154"/>
      <c r="U117" s="154"/>
      <c r="V117" s="154"/>
      <c r="W117" s="154" t="s">
        <v>1659</v>
      </c>
      <c r="X117" s="155">
        <f>_xlfn.XLOOKUP(base_de_datos[[#This Row],[Materia]],Materias,Horas)/16</f>
        <v>4</v>
      </c>
      <c r="Y117" s="155">
        <f>ROUND(((base_de_datos[[#This Row],[Hora fin]]-base_de_datos[[#This Row],[Hora inicio]])*24)*(COUNTA(base_de_datos[[#This Row],[Lunes]:[Sábado]])),1)</f>
        <v>2</v>
      </c>
      <c r="Z11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7" s="155">
        <f ca="1">IF(base_de_datos[[#This Row],[No clase]]=OFFSET(base_de_datos[[#This Row],[No clase]],-1,0),0,1)</f>
        <v>1</v>
      </c>
      <c r="AB117" s="155">
        <f ca="1">IF(NOT(OR(base_de_datos[[#This Row],[Horas totales]]=base_de_datos[[#This Row],[HT Plan]],base_de_datos[[#This Row],[Horas totales]]="N/A")),1,0)</f>
        <v>0</v>
      </c>
      <c r="AC117" s="155" t="str">
        <f>_xlfn.XLOOKUP(base_de_datos[[#This Row],[Profesor]],Nombre,Grado)</f>
        <v>D</v>
      </c>
      <c r="AD117" s="156" t="str">
        <f>_xlfn.XLOOKUP(base_de_datos[[#This Row],[Profesor]],Nombre,Tipo)</f>
        <v>A</v>
      </c>
      <c r="AE117" s="155">
        <f>IF(IFERROR(VLOOKUP($C117,Planes_de_estudio[],MATCH($AE$2,Carreras,0)+2,0),"")&gt;0,IFERROR(VLOOKUP($C117,Planes_de_estudio[],MATCH($AE$2,Carreras,0)+2,0),""),"")</f>
        <v>2</v>
      </c>
      <c r="AF117" s="155">
        <f>IF(IFERROR(VLOOKUP($C117,Planes_de_estudio[],MATCH($AF$2,Carreras,0)+2,0),"")&gt;0,IFERROR(VLOOKUP($C117,Planes_de_estudio[],MATCH($AF$2,Carreras,0)+2,0),""),"")</f>
        <v>2</v>
      </c>
      <c r="AG117" s="155" t="str">
        <f>IF(IFERROR(VLOOKUP($C117,Planes_de_estudio[],MATCH($AG$2,Carreras,0)+2,0),"")&gt;0,IFERROR(VLOOKUP($C117,Planes_de_estudio[],MATCH($AG$2,Carreras,0)+2,0),""),"")</f>
        <v/>
      </c>
      <c r="AH117" s="155">
        <f>IF(IFERROR(VLOOKUP($C117,Planes_de_estudio[],MATCH($AH$2,Carreras,0)+2,0),"")&gt;0,IFERROR(VLOOKUP($C117,Planes_de_estudio[],MATCH($AH$2,Carreras,0)+2,0),""),"")</f>
        <v>2</v>
      </c>
      <c r="AI117" s="155">
        <f>IF(IFERROR(VLOOKUP($C117,Planes_de_estudio[],MATCH($AI$2,Carreras,0)+2,0),"")&gt;0,IFERROR(VLOOKUP($C117,Planes_de_estudio[],MATCH($AI$2,Carreras,0)+2,0),""),"")</f>
        <v>2</v>
      </c>
      <c r="AJ117" s="155">
        <f>IF(IFERROR(VLOOKUP($C117,Planes_de_estudio[],MATCH($AJ$2,Carreras,0)+2,0),"")&gt;0,IFERROR(VLOOKUP($C117,Planes_de_estudio[],MATCH($AJ$2,Carreras,0)+2,0),""),"")</f>
        <v>2</v>
      </c>
      <c r="AK117" s="155">
        <f>IF(IFERROR(VLOOKUP($C117,Planes_de_estudio[],MATCH($AK$2,Carreras,0)+2,0),"")&gt;0,IFERROR(VLOOKUP($C117,Planes_de_estudio[],MATCH($AK$2,Carreras,0)+2,0),""),"")</f>
        <v>2</v>
      </c>
      <c r="AL11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17" s="155">
        <f>base_de_datos[[#This Row],[Pronóstico]]/25</f>
        <v>0.28000000000000003</v>
      </c>
      <c r="AO117" s="155" t="str">
        <f>VLOOKUP($C117,Planes_de_estudio[],2)</f>
        <v>MAT</v>
      </c>
      <c r="AP117" s="157">
        <f ca="1">IF(AND(base_de_datos[[#This Row],[Industrial]]&lt;&gt;"",base_de_datos[[#This Row],[Misma o no]]=1),base_de_datos[[#This Row],[Índice]],"")</f>
        <v>6</v>
      </c>
      <c r="AQ117" s="157">
        <f ca="1">IF(AND(base_de_datos[[#This Row],[Mecatrónica]]&lt;&gt;"",base_de_datos[[#This Row],[Misma o no]]=1),base_de_datos[[#This Row],[Índice]],"")</f>
        <v>6</v>
      </c>
      <c r="AR117" s="157" t="str">
        <f ca="1">IF(AND(base_de_datos[[#This Row],[Innovación y Diseño]]&lt;&gt;"",base_de_datos[[#This Row],[Misma o no]]=1),base_de_datos[[#This Row],[Índice]],"")</f>
        <v/>
      </c>
      <c r="AS117" s="157">
        <f ca="1">IF(AND(base_de_datos[[#This Row],[Inteligencia Artificial]]&lt;&gt;"",base_de_datos[[#This Row],[Misma o no]]=1),base_de_datos[[#This Row],[Índice]],"")</f>
        <v>6</v>
      </c>
      <c r="AT117" s="157">
        <f ca="1">IF(AND(base_de_datos[[#This Row],[Tecnologías Energéticas]]&lt;&gt;"",base_de_datos[[#This Row],[Misma o no]]=1),base_de_datos[[#This Row],[Índice]],"")</f>
        <v>6</v>
      </c>
      <c r="AU117" s="157">
        <f ca="1">IF(AND(base_de_datos[[#This Row],[Civil y Administración]]&lt;&gt;"",base_de_datos[[#This Row],[Misma o no]]=1),base_de_datos[[#This Row],[Índice]],"")</f>
        <v>6</v>
      </c>
      <c r="AV117" s="157">
        <f ca="1">IF(AND(base_de_datos[[#This Row],[Bioelectrónica]]&lt;&gt;"",base_de_datos[[#This Row],[Misma o no]]=1),base_de_datos[[#This Row],[Índice]],"")</f>
        <v>6</v>
      </c>
      <c r="AW117" s="158"/>
      <c r="AX117" s="231">
        <v>1</v>
      </c>
    </row>
    <row r="118" spans="1:221" s="6" customFormat="1" ht="15">
      <c r="B118" s="148" t="s">
        <v>285</v>
      </c>
      <c r="C118" s="149" t="s">
        <v>286</v>
      </c>
      <c r="D118" s="150">
        <v>1</v>
      </c>
      <c r="E118" s="151">
        <v>0.29166666666666669</v>
      </c>
      <c r="F118" s="151">
        <v>0.374999999999999</v>
      </c>
      <c r="G118" s="150"/>
      <c r="H118" s="180" t="s">
        <v>182</v>
      </c>
      <c r="I118" s="150">
        <f>INDEX(Aulas_capacidad,MATCH(base_de_datos[[#This Row],[Aula]],Aulas,0),2)</f>
        <v>30</v>
      </c>
      <c r="J118" s="152">
        <v>4</v>
      </c>
      <c r="K118" s="150">
        <f>INDEX(Aulas_capacidad,MATCH(base_de_datos[[#This Row],[Aula]],Aulas,0),4)</f>
        <v>12</v>
      </c>
      <c r="L118" s="153">
        <f>base_de_datos[[#This Row],[Cap 1.5]]-base_de_datos[[#This Row],[Inscritos]]</f>
        <v>8</v>
      </c>
      <c r="M118" s="153">
        <f>INDEX(Aulas_capacidad,MATCH(base_de_datos[[#This Row],[Aula]],Aulas,0),5)</f>
        <v>18</v>
      </c>
      <c r="N118" s="153">
        <f>base_de_datos[[#This Row],[Cap .90]]-base_de_datos[[#This Row],[Inscritos]]</f>
        <v>14</v>
      </c>
      <c r="O118" s="150" t="s">
        <v>288</v>
      </c>
      <c r="P118" s="154"/>
      <c r="Q118" s="154"/>
      <c r="R118" s="154"/>
      <c r="S118" s="154" t="s">
        <v>67</v>
      </c>
      <c r="T118" s="154"/>
      <c r="U118" s="154"/>
      <c r="V118" s="154"/>
      <c r="W118" s="154" t="s">
        <v>1659</v>
      </c>
      <c r="X118" s="155">
        <f>_xlfn.XLOOKUP(base_de_datos[[#This Row],[Materia]],Materias,Horas)/16</f>
        <v>4</v>
      </c>
      <c r="Y118" s="155">
        <f>ROUND(((base_de_datos[[#This Row],[Hora fin]]-base_de_datos[[#This Row],[Hora inicio]])*24)*(COUNTA(base_de_datos[[#This Row],[Lunes]:[Sábado]])),1)</f>
        <v>2</v>
      </c>
      <c r="Z118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8" s="155">
        <f ca="1">IF(base_de_datos[[#This Row],[No clase]]=OFFSET(base_de_datos[[#This Row],[No clase]],-1,0),0,1)</f>
        <v>0</v>
      </c>
      <c r="AB118" s="155">
        <f ca="1">IF(NOT(OR(base_de_datos[[#This Row],[Horas totales]]=base_de_datos[[#This Row],[HT Plan]],base_de_datos[[#This Row],[Horas totales]]="N/A")),1,0)</f>
        <v>0</v>
      </c>
      <c r="AC118" s="155" t="str">
        <f>_xlfn.XLOOKUP(base_de_datos[[#This Row],[Profesor]],Nombre,Grado)</f>
        <v>D</v>
      </c>
      <c r="AD118" s="156" t="str">
        <f>_xlfn.XLOOKUP(base_de_datos[[#This Row],[Profesor]],Nombre,Tipo)</f>
        <v>A</v>
      </c>
      <c r="AE118" s="155">
        <f>IF(IFERROR(VLOOKUP($C118,Planes_de_estudio[],MATCH($AE$2,Carreras,0)+2,0),"")&gt;0,IFERROR(VLOOKUP($C118,Planes_de_estudio[],MATCH($AE$2,Carreras,0)+2,0),""),"")</f>
        <v>2</v>
      </c>
      <c r="AF118" s="155">
        <f>IF(IFERROR(VLOOKUP($C118,Planes_de_estudio[],MATCH($AF$2,Carreras,0)+2,0),"")&gt;0,IFERROR(VLOOKUP($C118,Planes_de_estudio[],MATCH($AF$2,Carreras,0)+2,0),""),"")</f>
        <v>2</v>
      </c>
      <c r="AG118" s="155" t="str">
        <f>IF(IFERROR(VLOOKUP($C118,Planes_de_estudio[],MATCH($AG$2,Carreras,0)+2,0),"")&gt;0,IFERROR(VLOOKUP($C118,Planes_de_estudio[],MATCH($AG$2,Carreras,0)+2,0),""),"")</f>
        <v/>
      </c>
      <c r="AH118" s="155">
        <f>IF(IFERROR(VLOOKUP($C118,Planes_de_estudio[],MATCH($AH$2,Carreras,0)+2,0),"")&gt;0,IFERROR(VLOOKUP($C118,Planes_de_estudio[],MATCH($AH$2,Carreras,0)+2,0),""),"")</f>
        <v>2</v>
      </c>
      <c r="AI118" s="155">
        <f>IF(IFERROR(VLOOKUP($C118,Planes_de_estudio[],MATCH($AI$2,Carreras,0)+2,0),"")&gt;0,IFERROR(VLOOKUP($C118,Planes_de_estudio[],MATCH($AI$2,Carreras,0)+2,0),""),"")</f>
        <v>2</v>
      </c>
      <c r="AJ118" s="155">
        <f>IF(IFERROR(VLOOKUP($C118,Planes_de_estudio[],MATCH($AJ$2,Carreras,0)+2,0),"")&gt;0,IFERROR(VLOOKUP($C118,Planes_de_estudio[],MATCH($AJ$2,Carreras,0)+2,0),""),"")</f>
        <v>2</v>
      </c>
      <c r="AK118" s="155">
        <f>IF(IFERROR(VLOOKUP($C118,Planes_de_estudio[],MATCH($AK$2,Carreras,0)+2,0),"")&gt;0,IFERROR(VLOOKUP($C118,Planes_de_estudio[],MATCH($AK$2,Carreras,0)+2,0),""),"")</f>
        <v>2</v>
      </c>
      <c r="AL11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18" s="155">
        <f>base_de_datos[[#This Row],[Pronóstico]]/25</f>
        <v>0.28000000000000003</v>
      </c>
      <c r="AO118" s="155" t="str">
        <f>VLOOKUP($C118,Planes_de_estudio[],2)</f>
        <v>MAT</v>
      </c>
      <c r="AP118" s="157" t="str">
        <f ca="1">IF(AND(base_de_datos[[#This Row],[Industrial]]&lt;&gt;"",base_de_datos[[#This Row],[Misma o no]]=1),base_de_datos[[#This Row],[Índice]],"")</f>
        <v/>
      </c>
      <c r="AQ118" s="157" t="str">
        <f ca="1">IF(AND(base_de_datos[[#This Row],[Mecatrónica]]&lt;&gt;"",base_de_datos[[#This Row],[Misma o no]]=1),base_de_datos[[#This Row],[Índice]],"")</f>
        <v/>
      </c>
      <c r="AR118" s="157" t="str">
        <f ca="1">IF(AND(base_de_datos[[#This Row],[Innovación y Diseño]]&lt;&gt;"",base_de_datos[[#This Row],[Misma o no]]=1),base_de_datos[[#This Row],[Índice]],"")</f>
        <v/>
      </c>
      <c r="AS118" s="157" t="str">
        <f ca="1">IF(AND(base_de_datos[[#This Row],[Inteligencia Artificial]]&lt;&gt;"",base_de_datos[[#This Row],[Misma o no]]=1),base_de_datos[[#This Row],[Índice]],"")</f>
        <v/>
      </c>
      <c r="AT118" s="157" t="str">
        <f ca="1">IF(AND(base_de_datos[[#This Row],[Tecnologías Energéticas]]&lt;&gt;"",base_de_datos[[#This Row],[Misma o no]]=1),base_de_datos[[#This Row],[Índice]],"")</f>
        <v/>
      </c>
      <c r="AU118" s="157" t="str">
        <f ca="1">IF(AND(base_de_datos[[#This Row],[Civil y Administración]]&lt;&gt;"",base_de_datos[[#This Row],[Misma o no]]=1),base_de_datos[[#This Row],[Índice]],"")</f>
        <v/>
      </c>
      <c r="AV118" s="157" t="str">
        <f ca="1">IF(AND(base_de_datos[[#This Row],[Bioelectrónica]]&lt;&gt;"",base_de_datos[[#This Row],[Misma o no]]=1),base_de_datos[[#This Row],[Índice]],"")</f>
        <v/>
      </c>
      <c r="AW118" s="158"/>
      <c r="AX118" s="231">
        <v>3</v>
      </c>
    </row>
    <row r="119" spans="1:221" s="6" customFormat="1" ht="15">
      <c r="B119" s="148" t="s">
        <v>289</v>
      </c>
      <c r="C119" s="149" t="s">
        <v>290</v>
      </c>
      <c r="D119" s="150">
        <v>1</v>
      </c>
      <c r="E119" s="151">
        <v>0.29166666666666669</v>
      </c>
      <c r="F119" s="151">
        <v>0.374999999999999</v>
      </c>
      <c r="G119" s="150"/>
      <c r="H119" s="150" t="s">
        <v>230</v>
      </c>
      <c r="I119" s="150" t="e">
        <f>INDEX(Aulas_capacidad,MATCH(base_de_datos[[#This Row],[Aula]],Aulas,0),2)</f>
        <v>#N/A</v>
      </c>
      <c r="J119" s="152">
        <v>11</v>
      </c>
      <c r="K119" s="150" t="e">
        <f>INDEX(Aulas_capacidad,MATCH(base_de_datos[[#This Row],[Aula]],Aulas,0),4)</f>
        <v>#N/A</v>
      </c>
      <c r="L119" s="153" t="e">
        <f>base_de_datos[[#This Row],[Cap 1.5]]-base_de_datos[[#This Row],[Inscritos]]</f>
        <v>#N/A</v>
      </c>
      <c r="M119" s="153" t="e">
        <f>INDEX(Aulas_capacidad,MATCH(base_de_datos[[#This Row],[Aula]],Aulas,0),5)</f>
        <v>#N/A</v>
      </c>
      <c r="N119" s="153" t="e">
        <f>base_de_datos[[#This Row],[Cap .90]]-base_de_datos[[#This Row],[Inscritos]]</f>
        <v>#N/A</v>
      </c>
      <c r="O119" s="150">
        <v>1583</v>
      </c>
      <c r="P119" s="154" t="s">
        <v>67</v>
      </c>
      <c r="Q119" s="154"/>
      <c r="R119" s="154" t="s">
        <v>67</v>
      </c>
      <c r="S119" s="154"/>
      <c r="T119" s="154"/>
      <c r="U119" s="154"/>
      <c r="V119" s="181" t="s">
        <v>67</v>
      </c>
      <c r="W119" s="154" t="s">
        <v>1653</v>
      </c>
      <c r="X119" s="155">
        <f>_xlfn.XLOOKUP(base_de_datos[[#This Row],[Materia]],Materias,Horas)/16</f>
        <v>4</v>
      </c>
      <c r="Y119" s="155">
        <f>ROUND(((base_de_datos[[#This Row],[Hora fin]]-base_de_datos[[#This Row],[Hora inicio]])*24)*(COUNTA(base_de_datos[[#This Row],[Lunes]:[Sábado]])),1)</f>
        <v>4</v>
      </c>
      <c r="Z11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9" s="155">
        <f ca="1">IF(base_de_datos[[#This Row],[No clase]]=OFFSET(base_de_datos[[#This Row],[No clase]],-1,0),0,1)</f>
        <v>1</v>
      </c>
      <c r="AB119" s="155">
        <f ca="1">IF(NOT(OR(base_de_datos[[#This Row],[Horas totales]]=base_de_datos[[#This Row],[HT Plan]],base_de_datos[[#This Row],[Horas totales]]="N/A")),1,0)</f>
        <v>0</v>
      </c>
      <c r="AC119" s="155" t="str">
        <f>_xlfn.XLOOKUP(base_de_datos[[#This Row],[Profesor]],Nombre,Grado)</f>
        <v>M</v>
      </c>
      <c r="AD119" s="156" t="str">
        <f>_xlfn.XLOOKUP(base_de_datos[[#This Row],[Profesor]],Nombre,Tipo)</f>
        <v>A</v>
      </c>
      <c r="AE119" s="155" t="str">
        <f>IF(IFERROR(VLOOKUP($C119,Planes_de_estudio[],MATCH($AE$2,Carreras,0)+2,0),"")&gt;0,IFERROR(VLOOKUP($C119,Planes_de_estudio[],MATCH($AE$2,Carreras,0)+2,0),""),"")</f>
        <v/>
      </c>
      <c r="AF119" s="155" t="str">
        <f>IF(IFERROR(VLOOKUP($C119,Planes_de_estudio[],MATCH($AF$2,Carreras,0)+2,0),"")&gt;0,IFERROR(VLOOKUP($C119,Planes_de_estudio[],MATCH($AF$2,Carreras,0)+2,0),""),"")</f>
        <v/>
      </c>
      <c r="AG119" s="155" t="str">
        <f>IF(IFERROR(VLOOKUP($C119,Planes_de_estudio[],MATCH($AG$2,Carreras,0)+2,0),"")&gt;0,IFERROR(VLOOKUP($C119,Planes_de_estudio[],MATCH($AG$2,Carreras,0)+2,0),""),"")</f>
        <v/>
      </c>
      <c r="AH119" s="155" t="str">
        <f>IF(IFERROR(VLOOKUP($C119,Planes_de_estudio[],MATCH($AH$2,Carreras,0)+2,0),"")&gt;0,IFERROR(VLOOKUP($C119,Planes_de_estudio[],MATCH($AH$2,Carreras,0)+2,0),""),"")</f>
        <v/>
      </c>
      <c r="AI119" s="155" t="str">
        <f>IF(IFERROR(VLOOKUP($C119,Planes_de_estudio[],MATCH($AI$2,Carreras,0)+2,0),"")&gt;0,IFERROR(VLOOKUP($C119,Planes_de_estudio[],MATCH($AI$2,Carreras,0)+2,0),""),"")</f>
        <v/>
      </c>
      <c r="AJ119" s="155">
        <f>IF(IFERROR(VLOOKUP($C119,Planes_de_estudio[],MATCH($AJ$2,Carreras,0)+2,0),"")&gt;0,IFERROR(VLOOKUP($C119,Planes_de_estudio[],MATCH($AJ$2,Carreras,0)+2,0),""),"")</f>
        <v>3</v>
      </c>
      <c r="AK119" s="155" t="str">
        <f>IF(IFERROR(VLOOKUP($C119,Planes_de_estudio[],MATCH($AK$2,Carreras,0)+2,0),"")&gt;0,IFERROR(VLOOKUP($C119,Planes_de_estudio[],MATCH($AK$2,Carreras,0)+2,0),""),"")</f>
        <v/>
      </c>
      <c r="AL11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19" s="155">
        <f>base_de_datos[[#This Row],[Pronóstico]]/25</f>
        <v>0.6</v>
      </c>
      <c r="AO119" s="155" t="str">
        <f>VLOOKUP($C119,Planes_de_estudio[],2)</f>
        <v>ESC</v>
      </c>
      <c r="AP119" s="157" t="str">
        <f ca="1">IF(AND(base_de_datos[[#This Row],[Industrial]]&lt;&gt;"",base_de_datos[[#This Row],[Misma o no]]=1),base_de_datos[[#This Row],[Índice]],"")</f>
        <v/>
      </c>
      <c r="AQ119" s="157" t="str">
        <f ca="1">IF(AND(base_de_datos[[#This Row],[Mecatrónica]]&lt;&gt;"",base_de_datos[[#This Row],[Misma o no]]=1),base_de_datos[[#This Row],[Índice]],"")</f>
        <v/>
      </c>
      <c r="AR119" s="157" t="str">
        <f ca="1">IF(AND(base_de_datos[[#This Row],[Innovación y Diseño]]&lt;&gt;"",base_de_datos[[#This Row],[Misma o no]]=1),base_de_datos[[#This Row],[Índice]],"")</f>
        <v/>
      </c>
      <c r="AS119" s="157" t="str">
        <f ca="1">IF(AND(base_de_datos[[#This Row],[Inteligencia Artificial]]&lt;&gt;"",base_de_datos[[#This Row],[Misma o no]]=1),base_de_datos[[#This Row],[Índice]],"")</f>
        <v/>
      </c>
      <c r="AT119" s="157" t="str">
        <f ca="1">IF(AND(base_de_datos[[#This Row],[Tecnologías Energéticas]]&lt;&gt;"",base_de_datos[[#This Row],[Misma o no]]=1),base_de_datos[[#This Row],[Índice]],"")</f>
        <v/>
      </c>
      <c r="AU119" s="157">
        <f ca="1">IF(AND(base_de_datos[[#This Row],[Civil y Administración]]&lt;&gt;"",base_de_datos[[#This Row],[Misma o no]]=1),base_de_datos[[#This Row],[Índice]],"")</f>
        <v>4</v>
      </c>
      <c r="AV119" s="157" t="str">
        <f ca="1">IF(AND(base_de_datos[[#This Row],[Bioelectrónica]]&lt;&gt;"",base_de_datos[[#This Row],[Misma o no]]=1),base_de_datos[[#This Row],[Índice]],"")</f>
        <v/>
      </c>
      <c r="AW119" s="158"/>
      <c r="AX119" s="231">
        <v>3</v>
      </c>
    </row>
    <row r="120" spans="1:221" s="6" customFormat="1" ht="15">
      <c r="B120" s="148" t="s">
        <v>291</v>
      </c>
      <c r="C120" s="149" t="s">
        <v>263</v>
      </c>
      <c r="D120" s="150">
        <v>3</v>
      </c>
      <c r="E120" s="151">
        <v>0.79166666666666696</v>
      </c>
      <c r="F120" s="151">
        <v>0.91666666666665697</v>
      </c>
      <c r="G120" s="150"/>
      <c r="H120" s="150" t="s">
        <v>292</v>
      </c>
      <c r="I120" s="150">
        <f>INDEX(Aulas_capacidad,MATCH(base_de_datos[[#This Row],[Aula]],Aulas,0),2)</f>
        <v>0</v>
      </c>
      <c r="J120" s="152"/>
      <c r="K120" s="150">
        <f>INDEX(Aulas_capacidad,MATCH(base_de_datos[[#This Row],[Aula]],Aulas,0),4)</f>
        <v>0</v>
      </c>
      <c r="L120" s="153">
        <f>base_de_datos[[#This Row],[Cap 1.5]]-base_de_datos[[#This Row],[Inscritos]]</f>
        <v>0</v>
      </c>
      <c r="M120" s="153">
        <f>INDEX(Aulas_capacidad,MATCH(base_de_datos[[#This Row],[Aula]],Aulas,0),5)</f>
        <v>0</v>
      </c>
      <c r="N120" s="153">
        <f>base_de_datos[[#This Row],[Cap .90]]-base_de_datos[[#This Row],[Inscritos]]</f>
        <v>0</v>
      </c>
      <c r="O120" s="150" t="s">
        <v>293</v>
      </c>
      <c r="P120" s="154"/>
      <c r="Q120" s="154" t="s">
        <v>67</v>
      </c>
      <c r="R120" s="154"/>
      <c r="S120" s="154"/>
      <c r="T120" s="154"/>
      <c r="U120" s="154"/>
      <c r="V120" s="154"/>
      <c r="W120" s="154" t="s">
        <v>1659</v>
      </c>
      <c r="X120" s="155">
        <f>_xlfn.XLOOKUP(base_de_datos[[#This Row],[Materia]],Materias,Horas)/16</f>
        <v>3</v>
      </c>
      <c r="Y120" s="155">
        <f>ROUND(((base_de_datos[[#This Row],[Hora fin]]-base_de_datos[[#This Row],[Hora inicio]])*24)*(COUNTA(base_de_datos[[#This Row],[Lunes]:[Sábado]])),1)</f>
        <v>3</v>
      </c>
      <c r="Z12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0" s="155">
        <f ca="1">IF(base_de_datos[[#This Row],[No clase]]=OFFSET(base_de_datos[[#This Row],[No clase]],-1,0),0,1)</f>
        <v>1</v>
      </c>
      <c r="AB120" s="155">
        <f ca="1">IF(NOT(OR(base_de_datos[[#This Row],[Horas totales]]=base_de_datos[[#This Row],[HT Plan]],base_de_datos[[#This Row],[Horas totales]]="N/A")),1,0)</f>
        <v>0</v>
      </c>
      <c r="AC120" s="155" t="str">
        <f>_xlfn.XLOOKUP(base_de_datos[[#This Row],[Profesor]],Nombre,Grado)</f>
        <v>L</v>
      </c>
      <c r="AD120" s="156" t="str">
        <f>_xlfn.XLOOKUP(base_de_datos[[#This Row],[Profesor]],Nombre,Tipo)</f>
        <v>H</v>
      </c>
      <c r="AE120" s="155">
        <f>IF(IFERROR(VLOOKUP($C120,Planes_de_estudio[],MATCH($AE$2,Carreras,0)+2,0),"")&gt;0,IFERROR(VLOOKUP($C120,Planes_de_estudio[],MATCH($AE$2,Carreras,0)+2,0),""),"")</f>
        <v>7</v>
      </c>
      <c r="AF120" s="155">
        <f>IF(IFERROR(VLOOKUP($C120,Planes_de_estudio[],MATCH($AF$2,Carreras,0)+2,0),"")&gt;0,IFERROR(VLOOKUP($C120,Planes_de_estudio[],MATCH($AF$2,Carreras,0)+2,0),""),"")</f>
        <v>7</v>
      </c>
      <c r="AG120" s="155">
        <f>IF(IFERROR(VLOOKUP($C120,Planes_de_estudio[],MATCH($AG$2,Carreras,0)+2,0),"")&gt;0,IFERROR(VLOOKUP($C120,Planes_de_estudio[],MATCH($AG$2,Carreras,0)+2,0),""),"")</f>
        <v>7</v>
      </c>
      <c r="AH120" s="155">
        <f>IF(IFERROR(VLOOKUP($C120,Planes_de_estudio[],MATCH($AH$2,Carreras,0)+2,0),"")&gt;0,IFERROR(VLOOKUP($C120,Planes_de_estudio[],MATCH($AH$2,Carreras,0)+2,0),""),"")</f>
        <v>7</v>
      </c>
      <c r="AI120" s="155">
        <f>IF(IFERROR(VLOOKUP($C120,Planes_de_estudio[],MATCH($AI$2,Carreras,0)+2,0),"")&gt;0,IFERROR(VLOOKUP($C120,Planes_de_estudio[],MATCH($AI$2,Carreras,0)+2,0),""),"")</f>
        <v>7</v>
      </c>
      <c r="AJ120" s="155">
        <f>IF(IFERROR(VLOOKUP($C120,Planes_de_estudio[],MATCH($AJ$2,Carreras,0)+2,0),"")&gt;0,IFERROR(VLOOKUP($C120,Planes_de_estudio[],MATCH($AJ$2,Carreras,0)+2,0),""),"")</f>
        <v>7</v>
      </c>
      <c r="AK120" s="155">
        <f>IF(IFERROR(VLOOKUP($C120,Planes_de_estudio[],MATCH($AK$2,Carreras,0)+2,0),"")&gt;0,IFERROR(VLOOKUP($C120,Planes_de_estudio[],MATCH($AK$2,Carreras,0)+2,0),""),"")</f>
        <v>7</v>
      </c>
      <c r="AL12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20" s="155">
        <f>base_de_datos[[#This Row],[Pronóstico]]/25</f>
        <v>3.8</v>
      </c>
      <c r="AO120" s="155" t="str">
        <f>VLOOKUP($C120,Planes_de_estudio[],2)</f>
        <v>HUM</v>
      </c>
      <c r="AP120" s="157">
        <f ca="1">IF(AND(base_de_datos[[#This Row],[Industrial]]&lt;&gt;"",base_de_datos[[#This Row],[Misma o no]]=1),base_de_datos[[#This Row],[Índice]],"")</f>
        <v>1</v>
      </c>
      <c r="AQ120" s="157">
        <f ca="1">IF(AND(base_de_datos[[#This Row],[Mecatrónica]]&lt;&gt;"",base_de_datos[[#This Row],[Misma o no]]=1),base_de_datos[[#This Row],[Índice]],"")</f>
        <v>1</v>
      </c>
      <c r="AR120" s="157">
        <f ca="1">IF(AND(base_de_datos[[#This Row],[Innovación y Diseño]]&lt;&gt;"",base_de_datos[[#This Row],[Misma o no]]=1),base_de_datos[[#This Row],[Índice]],"")</f>
        <v>1</v>
      </c>
      <c r="AS120" s="157">
        <f ca="1">IF(AND(base_de_datos[[#This Row],[Inteligencia Artificial]]&lt;&gt;"",base_de_datos[[#This Row],[Misma o no]]=1),base_de_datos[[#This Row],[Índice]],"")</f>
        <v>1</v>
      </c>
      <c r="AT120" s="157">
        <f ca="1">IF(AND(base_de_datos[[#This Row],[Tecnologías Energéticas]]&lt;&gt;"",base_de_datos[[#This Row],[Misma o no]]=1),base_de_datos[[#This Row],[Índice]],"")</f>
        <v>1</v>
      </c>
      <c r="AU120" s="157">
        <f ca="1">IF(AND(base_de_datos[[#This Row],[Civil y Administración]]&lt;&gt;"",base_de_datos[[#This Row],[Misma o no]]=1),base_de_datos[[#This Row],[Índice]],"")</f>
        <v>1</v>
      </c>
      <c r="AV120" s="157">
        <f ca="1">IF(AND(base_de_datos[[#This Row],[Bioelectrónica]]&lt;&gt;"",base_de_datos[[#This Row],[Misma o no]]=1),base_de_datos[[#This Row],[Índice]],"")</f>
        <v>1</v>
      </c>
      <c r="AW120" s="158"/>
      <c r="AX120" s="231">
        <v>1</v>
      </c>
    </row>
    <row r="121" spans="1:221" s="6" customFormat="1" ht="15">
      <c r="B121" s="148" t="s">
        <v>294</v>
      </c>
      <c r="C121" s="149" t="s">
        <v>295</v>
      </c>
      <c r="D121" s="150">
        <v>1</v>
      </c>
      <c r="E121" s="151">
        <v>0.70833333333333304</v>
      </c>
      <c r="F121" s="151">
        <v>0.79166666666665897</v>
      </c>
      <c r="G121" s="150"/>
      <c r="H121" s="150" t="s">
        <v>230</v>
      </c>
      <c r="I121" s="150" t="e">
        <f>INDEX(Aulas_capacidad,MATCH(base_de_datos[[#This Row],[Aula]],Aulas,0),2)</f>
        <v>#N/A</v>
      </c>
      <c r="J121" s="152">
        <v>8</v>
      </c>
      <c r="K121" s="150" t="e">
        <f>INDEX(Aulas_capacidad,MATCH(base_de_datos[[#This Row],[Aula]],Aulas,0),4)</f>
        <v>#N/A</v>
      </c>
      <c r="L121" s="153" t="e">
        <f>base_de_datos[[#This Row],[Cap 1.5]]-base_de_datos[[#This Row],[Inscritos]]</f>
        <v>#N/A</v>
      </c>
      <c r="M121" s="153" t="e">
        <f>INDEX(Aulas_capacidad,MATCH(base_de_datos[[#This Row],[Aula]],Aulas,0),5)</f>
        <v>#N/A</v>
      </c>
      <c r="N121" s="153" t="e">
        <f>base_de_datos[[#This Row],[Cap .90]]-base_de_datos[[#This Row],[Inscritos]]</f>
        <v>#N/A</v>
      </c>
      <c r="O121" s="150">
        <v>1843</v>
      </c>
      <c r="P121" s="154" t="s">
        <v>67</v>
      </c>
      <c r="Q121" s="154"/>
      <c r="R121" s="154" t="s">
        <v>67</v>
      </c>
      <c r="S121" s="154"/>
      <c r="T121" s="154"/>
      <c r="U121" s="154"/>
      <c r="V121" s="154"/>
      <c r="W121" s="154" t="s">
        <v>1655</v>
      </c>
      <c r="X121" s="155">
        <f>_xlfn.XLOOKUP(base_de_datos[[#This Row],[Materia]],Materias,Horas)/16</f>
        <v>4</v>
      </c>
      <c r="Y121" s="155">
        <f>ROUND(((base_de_datos[[#This Row],[Hora fin]]-base_de_datos[[#This Row],[Hora inicio]])*24)*(COUNTA(base_de_datos[[#This Row],[Lunes]:[Sábado]])),1)</f>
        <v>4</v>
      </c>
      <c r="Z12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1" s="155">
        <f ca="1">IF(base_de_datos[[#This Row],[No clase]]=OFFSET(base_de_datos[[#This Row],[No clase]],-1,0),0,1)</f>
        <v>1</v>
      </c>
      <c r="AB121" s="155">
        <f ca="1">IF(NOT(OR(base_de_datos[[#This Row],[Horas totales]]=base_de_datos[[#This Row],[HT Plan]],base_de_datos[[#This Row],[Horas totales]]="N/A")),1,0)</f>
        <v>0</v>
      </c>
      <c r="AC121" s="155" t="str">
        <f>_xlfn.XLOOKUP(base_de_datos[[#This Row],[Profesor]],Nombre,Grado)</f>
        <v>M</v>
      </c>
      <c r="AD121" s="156" t="str">
        <f>_xlfn.XLOOKUP(base_de_datos[[#This Row],[Profesor]],Nombre,Tipo)</f>
        <v>A</v>
      </c>
      <c r="AE121" s="155" t="str">
        <f>IF(IFERROR(VLOOKUP($C121,Planes_de_estudio[],MATCH($AE$2,Carreras,0)+2,0),"")&gt;0,IFERROR(VLOOKUP($C121,Planes_de_estudio[],MATCH($AE$2,Carreras,0)+2,0),""),"")</f>
        <v/>
      </c>
      <c r="AF121" s="155" t="str">
        <f>IF(IFERROR(VLOOKUP($C121,Planes_de_estudio[],MATCH($AF$2,Carreras,0)+2,0),"")&gt;0,IFERROR(VLOOKUP($C121,Planes_de_estudio[],MATCH($AF$2,Carreras,0)+2,0),""),"")</f>
        <v/>
      </c>
      <c r="AG121" s="155" t="str">
        <f>IF(IFERROR(VLOOKUP($C121,Planes_de_estudio[],MATCH($AG$2,Carreras,0)+2,0),"")&gt;0,IFERROR(VLOOKUP($C121,Planes_de_estudio[],MATCH($AG$2,Carreras,0)+2,0),""),"")</f>
        <v/>
      </c>
      <c r="AH121" s="155" t="str">
        <f>IF(IFERROR(VLOOKUP($C121,Planes_de_estudio[],MATCH($AH$2,Carreras,0)+2,0),"")&gt;0,IFERROR(VLOOKUP($C121,Planes_de_estudio[],MATCH($AH$2,Carreras,0)+2,0),""),"")</f>
        <v/>
      </c>
      <c r="AI121" s="155" t="str">
        <f>IF(IFERROR(VLOOKUP($C121,Planes_de_estudio[],MATCH($AI$2,Carreras,0)+2,0),"")&gt;0,IFERROR(VLOOKUP($C121,Planes_de_estudio[],MATCH($AI$2,Carreras,0)+2,0),""),"")</f>
        <v/>
      </c>
      <c r="AJ121" s="155">
        <f>IF(IFERROR(VLOOKUP($C121,Planes_de_estudio[],MATCH($AJ$2,Carreras,0)+2,0),"")&gt;0,IFERROR(VLOOKUP($C121,Planes_de_estudio[],MATCH($AJ$2,Carreras,0)+2,0),""),"")</f>
        <v>7</v>
      </c>
      <c r="AK121" s="155" t="str">
        <f>IF(IFERROR(VLOOKUP($C121,Planes_de_estudio[],MATCH($AK$2,Carreras,0)+2,0),"")&gt;0,IFERROR(VLOOKUP($C121,Planes_de_estudio[],MATCH($AK$2,Carreras,0)+2,0),""),"")</f>
        <v/>
      </c>
      <c r="AL12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21" s="155">
        <f>base_de_datos[[#This Row],[Pronóstico]]/25</f>
        <v>0.52</v>
      </c>
      <c r="AO121" s="155" t="str">
        <f>VLOOKUP($C121,Planes_de_estudio[],2)</f>
        <v>ESC</v>
      </c>
      <c r="AP121" s="157" t="str">
        <f ca="1">IF(AND(base_de_datos[[#This Row],[Industrial]]&lt;&gt;"",base_de_datos[[#This Row],[Misma o no]]=1),base_de_datos[[#This Row],[Índice]],"")</f>
        <v/>
      </c>
      <c r="AQ121" s="157" t="str">
        <f ca="1">IF(AND(base_de_datos[[#This Row],[Mecatrónica]]&lt;&gt;"",base_de_datos[[#This Row],[Misma o no]]=1),base_de_datos[[#This Row],[Índice]],"")</f>
        <v/>
      </c>
      <c r="AR121" s="157" t="str">
        <f ca="1">IF(AND(base_de_datos[[#This Row],[Innovación y Diseño]]&lt;&gt;"",base_de_datos[[#This Row],[Misma o no]]=1),base_de_datos[[#This Row],[Índice]],"")</f>
        <v/>
      </c>
      <c r="AS121" s="157" t="str">
        <f ca="1">IF(AND(base_de_datos[[#This Row],[Inteligencia Artificial]]&lt;&gt;"",base_de_datos[[#This Row],[Misma o no]]=1),base_de_datos[[#This Row],[Índice]],"")</f>
        <v/>
      </c>
      <c r="AT121" s="157" t="str">
        <f ca="1">IF(AND(base_de_datos[[#This Row],[Tecnologías Energéticas]]&lt;&gt;"",base_de_datos[[#This Row],[Misma o no]]=1),base_de_datos[[#This Row],[Índice]],"")</f>
        <v/>
      </c>
      <c r="AU121" s="157">
        <f ca="1">IF(AND(base_de_datos[[#This Row],[Civil y Administración]]&lt;&gt;"",base_de_datos[[#This Row],[Misma o no]]=1),base_de_datos[[#This Row],[Índice]],"")</f>
        <v>4</v>
      </c>
      <c r="AV121" s="157" t="str">
        <f ca="1">IF(AND(base_de_datos[[#This Row],[Bioelectrónica]]&lt;&gt;"",base_de_datos[[#This Row],[Misma o no]]=1),base_de_datos[[#This Row],[Índice]],"")</f>
        <v/>
      </c>
      <c r="AW121" s="158"/>
      <c r="AX121" s="231">
        <v>2</v>
      </c>
    </row>
    <row r="122" spans="1:221" s="6" customFormat="1" ht="15">
      <c r="B122" s="148" t="s">
        <v>294</v>
      </c>
      <c r="C122" s="149" t="s">
        <v>296</v>
      </c>
      <c r="D122" s="150">
        <v>1</v>
      </c>
      <c r="E122" s="151">
        <v>0.66666666666666696</v>
      </c>
      <c r="F122" s="151">
        <v>0.79166666666665897</v>
      </c>
      <c r="G122" s="150"/>
      <c r="H122" s="150" t="s">
        <v>145</v>
      </c>
      <c r="I122" s="150">
        <f>INDEX(Aulas_capacidad,MATCH(base_de_datos[[#This Row],[Aula]],Aulas,0),2)</f>
        <v>0</v>
      </c>
      <c r="J122" s="152">
        <v>10</v>
      </c>
      <c r="K122" s="150">
        <f>INDEX(Aulas_capacidad,MATCH(base_de_datos[[#This Row],[Aula]],Aulas,0),4)</f>
        <v>0</v>
      </c>
      <c r="L122" s="153">
        <f>base_de_datos[[#This Row],[Cap 1.5]]-base_de_datos[[#This Row],[Inscritos]]</f>
        <v>-10</v>
      </c>
      <c r="M122" s="153">
        <f>INDEX(Aulas_capacidad,MATCH(base_de_datos[[#This Row],[Aula]],Aulas,0),5)</f>
        <v>0</v>
      </c>
      <c r="N122" s="153">
        <f>base_de_datos[[#This Row],[Cap .90]]-base_de_datos[[#This Row],[Inscritos]]</f>
        <v>-10</v>
      </c>
      <c r="O122" s="150" t="s">
        <v>297</v>
      </c>
      <c r="P122" s="154"/>
      <c r="Q122" s="154"/>
      <c r="R122" s="154"/>
      <c r="S122" s="154"/>
      <c r="T122" s="154" t="s">
        <v>67</v>
      </c>
      <c r="U122" s="154"/>
      <c r="V122" s="154"/>
      <c r="W122" s="154" t="s">
        <v>1652</v>
      </c>
      <c r="X122" s="155">
        <f>_xlfn.XLOOKUP(base_de_datos[[#This Row],[Materia]],Materias,Horas)/16</f>
        <v>3</v>
      </c>
      <c r="Y122" s="155">
        <f>ROUND(((base_de_datos[[#This Row],[Hora fin]]-base_de_datos[[#This Row],[Hora inicio]])*24)*(COUNTA(base_de_datos[[#This Row],[Lunes]:[Sábado]])),1)</f>
        <v>3</v>
      </c>
      <c r="Z12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2" s="155">
        <f ca="1">IF(base_de_datos[[#This Row],[No clase]]=OFFSET(base_de_datos[[#This Row],[No clase]],-1,0),0,1)</f>
        <v>1</v>
      </c>
      <c r="AB122" s="155">
        <f ca="1">IF(NOT(OR(base_de_datos[[#This Row],[Horas totales]]=base_de_datos[[#This Row],[HT Plan]],base_de_datos[[#This Row],[Horas totales]]="N/A")),1,0)</f>
        <v>0</v>
      </c>
      <c r="AC122" s="155" t="str">
        <f>_xlfn.XLOOKUP(base_de_datos[[#This Row],[Profesor]],Nombre,Grado)</f>
        <v>M</v>
      </c>
      <c r="AD122" s="156" t="str">
        <f>_xlfn.XLOOKUP(base_de_datos[[#This Row],[Profesor]],Nombre,Tipo)</f>
        <v>A</v>
      </c>
      <c r="AE122" s="155" t="str">
        <f>IF(IFERROR(VLOOKUP($C122,Planes_de_estudio[],MATCH($AE$2,Carreras,0)+2,0),"")&gt;0,IFERROR(VLOOKUP($C122,Planes_de_estudio[],MATCH($AE$2,Carreras,0)+2,0),""),"")</f>
        <v/>
      </c>
      <c r="AF122" s="155" t="str">
        <f>IF(IFERROR(VLOOKUP($C122,Planes_de_estudio[],MATCH($AF$2,Carreras,0)+2,0),"")&gt;0,IFERROR(VLOOKUP($C122,Planes_de_estudio[],MATCH($AF$2,Carreras,0)+2,0),""),"")</f>
        <v/>
      </c>
      <c r="AG122" s="155" t="str">
        <f>IF(IFERROR(VLOOKUP($C122,Planes_de_estudio[],MATCH($AG$2,Carreras,0)+2,0),"")&gt;0,IFERROR(VLOOKUP($C122,Planes_de_estudio[],MATCH($AG$2,Carreras,0)+2,0),""),"")</f>
        <v/>
      </c>
      <c r="AH122" s="155" t="str">
        <f>IF(IFERROR(VLOOKUP($C122,Planes_de_estudio[],MATCH($AH$2,Carreras,0)+2,0),"")&gt;0,IFERROR(VLOOKUP($C122,Planes_de_estudio[],MATCH($AH$2,Carreras,0)+2,0),""),"")</f>
        <v/>
      </c>
      <c r="AI122" s="155" t="str">
        <f>IF(IFERROR(VLOOKUP($C122,Planes_de_estudio[],MATCH($AI$2,Carreras,0)+2,0),"")&gt;0,IFERROR(VLOOKUP($C122,Planes_de_estudio[],MATCH($AI$2,Carreras,0)+2,0),""),"")</f>
        <v/>
      </c>
      <c r="AJ122" s="155">
        <f>IF(IFERROR(VLOOKUP($C122,Planes_de_estudio[],MATCH($AJ$2,Carreras,0)+2,0),"")&gt;0,IFERROR(VLOOKUP($C122,Planes_de_estudio[],MATCH($AJ$2,Carreras,0)+2,0),""),"")</f>
        <v>9</v>
      </c>
      <c r="AK122" s="155" t="str">
        <f>IF(IFERROR(VLOOKUP($C122,Planes_de_estudio[],MATCH($AK$2,Carreras,0)+2,0),"")&gt;0,IFERROR(VLOOKUP($C122,Planes_de_estudio[],MATCH($AK$2,Carreras,0)+2,0),""),"")</f>
        <v/>
      </c>
      <c r="AL12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22" s="155">
        <f>base_de_datos[[#This Row],[Pronóstico]]/25</f>
        <v>0.56000000000000005</v>
      </c>
      <c r="AO122" s="155" t="str">
        <f>VLOOKUP($C122,Planes_de_estudio[],2)</f>
        <v>ESC</v>
      </c>
      <c r="AP122" s="157" t="str">
        <f ca="1">IF(AND(base_de_datos[[#This Row],[Industrial]]&lt;&gt;"",base_de_datos[[#This Row],[Misma o no]]=1),base_de_datos[[#This Row],[Índice]],"")</f>
        <v/>
      </c>
      <c r="AQ122" s="157" t="str">
        <f ca="1">IF(AND(base_de_datos[[#This Row],[Mecatrónica]]&lt;&gt;"",base_de_datos[[#This Row],[Misma o no]]=1),base_de_datos[[#This Row],[Índice]],"")</f>
        <v/>
      </c>
      <c r="AR122" s="157" t="str">
        <f ca="1">IF(AND(base_de_datos[[#This Row],[Innovación y Diseño]]&lt;&gt;"",base_de_datos[[#This Row],[Misma o no]]=1),base_de_datos[[#This Row],[Índice]],"")</f>
        <v/>
      </c>
      <c r="AS122" s="157" t="str">
        <f ca="1">IF(AND(base_de_datos[[#This Row],[Inteligencia Artificial]]&lt;&gt;"",base_de_datos[[#This Row],[Misma o no]]=1),base_de_datos[[#This Row],[Índice]],"")</f>
        <v/>
      </c>
      <c r="AT122" s="157" t="str">
        <f ca="1">IF(AND(base_de_datos[[#This Row],[Tecnologías Energéticas]]&lt;&gt;"",base_de_datos[[#This Row],[Misma o no]]=1),base_de_datos[[#This Row],[Índice]],"")</f>
        <v/>
      </c>
      <c r="AU122" s="157">
        <f ca="1">IF(AND(base_de_datos[[#This Row],[Civil y Administración]]&lt;&gt;"",base_de_datos[[#This Row],[Misma o no]]=1),base_de_datos[[#This Row],[Índice]],"")</f>
        <v>4</v>
      </c>
      <c r="AV122" s="157" t="str">
        <f ca="1">IF(AND(base_de_datos[[#This Row],[Bioelectrónica]]&lt;&gt;"",base_de_datos[[#This Row],[Misma o no]]=1),base_de_datos[[#This Row],[Índice]],"")</f>
        <v/>
      </c>
      <c r="AW122" s="158"/>
      <c r="AX122" s="231">
        <v>1</v>
      </c>
    </row>
    <row r="123" spans="1:221" s="6" customFormat="1" ht="15">
      <c r="B123" s="148" t="s">
        <v>298</v>
      </c>
      <c r="C123" s="149" t="s">
        <v>299</v>
      </c>
      <c r="D123" s="150"/>
      <c r="E123" s="151">
        <v>0.77083333333333304</v>
      </c>
      <c r="F123" s="151">
        <v>0.89583333333332305</v>
      </c>
      <c r="G123" s="150"/>
      <c r="H123" s="150" t="s">
        <v>300</v>
      </c>
      <c r="I123" s="150">
        <f>INDEX(Aulas_capacidad,MATCH(base_de_datos[[#This Row],[Aula]],Aulas,0),2)</f>
        <v>30</v>
      </c>
      <c r="J123" s="152">
        <v>24</v>
      </c>
      <c r="K123" s="150">
        <f>INDEX(Aulas_capacidad,MATCH(base_de_datos[[#This Row],[Aula]],Aulas,0),4)</f>
        <v>0</v>
      </c>
      <c r="L123" s="153">
        <f>base_de_datos[[#This Row],[Cap 1.5]]-base_de_datos[[#This Row],[Inscritos]]</f>
        <v>-24</v>
      </c>
      <c r="M123" s="153">
        <f>INDEX(Aulas_capacidad,MATCH(base_de_datos[[#This Row],[Aula]],Aulas,0),5)</f>
        <v>0</v>
      </c>
      <c r="N123" s="153">
        <f>base_de_datos[[#This Row],[Cap .90]]-base_de_datos[[#This Row],[Inscritos]]</f>
        <v>-24</v>
      </c>
      <c r="O123" s="150">
        <v>1564</v>
      </c>
      <c r="P123" s="154"/>
      <c r="Q123" s="154"/>
      <c r="R123" s="154" t="s">
        <v>67</v>
      </c>
      <c r="S123" s="154"/>
      <c r="T123" s="154"/>
      <c r="U123" s="154"/>
      <c r="V123" s="154"/>
      <c r="W123" s="154" t="s">
        <v>1654</v>
      </c>
      <c r="X123" s="155">
        <f>_xlfn.XLOOKUP(base_de_datos[[#This Row],[Materia]],Materias,Horas)/16</f>
        <v>3</v>
      </c>
      <c r="Y123" s="155">
        <f>ROUND(((base_de_datos[[#This Row],[Hora fin]]-base_de_datos[[#This Row],[Hora inicio]])*24)*(COUNTA(base_de_datos[[#This Row],[Lunes]:[Sábado]])),1)</f>
        <v>3</v>
      </c>
      <c r="Z12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3" s="155">
        <f ca="1">IF(base_de_datos[[#This Row],[No clase]]=OFFSET(base_de_datos[[#This Row],[No clase]],-1,0),0,1)</f>
        <v>1</v>
      </c>
      <c r="AB123" s="155">
        <f ca="1">IF(NOT(OR(base_de_datos[[#This Row],[Horas totales]]=base_de_datos[[#This Row],[HT Plan]],base_de_datos[[#This Row],[Horas totales]]="N/A")),1,0)</f>
        <v>0</v>
      </c>
      <c r="AC123" s="155" t="str">
        <f>_xlfn.XLOOKUP(base_de_datos[[#This Row],[Profesor]],Nombre,Grado)</f>
        <v>SNI</v>
      </c>
      <c r="AD123" s="156" t="str">
        <f>_xlfn.XLOOKUP(base_de_datos[[#This Row],[Profesor]],Nombre,Tipo)</f>
        <v>A</v>
      </c>
      <c r="AE123" s="155" t="str">
        <f>IF(IFERROR(VLOOKUP($C123,Planes_de_estudio[],MATCH($AE$2,Carreras,0)+2,0),"")&gt;0,IFERROR(VLOOKUP($C123,Planes_de_estudio[],MATCH($AE$2,Carreras,0)+2,0),""),"")</f>
        <v/>
      </c>
      <c r="AF123" s="155" t="str">
        <f>IF(IFERROR(VLOOKUP($C123,Planes_de_estudio[],MATCH($AF$2,Carreras,0)+2,0),"")&gt;0,IFERROR(VLOOKUP($C123,Planes_de_estudio[],MATCH($AF$2,Carreras,0)+2,0),""),"")</f>
        <v/>
      </c>
      <c r="AG123" s="155" t="str">
        <f>IF(IFERROR(VLOOKUP($C123,Planes_de_estudio[],MATCH($AG$2,Carreras,0)+2,0),"")&gt;0,IFERROR(VLOOKUP($C123,Planes_de_estudio[],MATCH($AG$2,Carreras,0)+2,0),""),"")</f>
        <v/>
      </c>
      <c r="AH123" s="155">
        <f>IF(IFERROR(VLOOKUP($C123,Planes_de_estudio[],MATCH($AH$2,Carreras,0)+2,0),"")&gt;0,IFERROR(VLOOKUP($C123,Planes_de_estudio[],MATCH($AH$2,Carreras,0)+2,0),""),"")</f>
        <v>5</v>
      </c>
      <c r="AI123" s="155" t="str">
        <f>IF(IFERROR(VLOOKUP($C123,Planes_de_estudio[],MATCH($AI$2,Carreras,0)+2,0),"")&gt;0,IFERROR(VLOOKUP($C123,Planes_de_estudio[],MATCH($AI$2,Carreras,0)+2,0),""),"")</f>
        <v/>
      </c>
      <c r="AJ123" s="155" t="str">
        <f>IF(IFERROR(VLOOKUP($C123,Planes_de_estudio[],MATCH($AJ$2,Carreras,0)+2,0),"")&gt;0,IFERROR(VLOOKUP($C123,Planes_de_estudio[],MATCH($AJ$2,Carreras,0)+2,0),""),"")</f>
        <v/>
      </c>
      <c r="AK123" s="155" t="str">
        <f>IF(IFERROR(VLOOKUP($C123,Planes_de_estudio[],MATCH($AK$2,Carreras,0)+2,0),"")&gt;0,IFERROR(VLOOKUP($C123,Planes_de_estudio[],MATCH($AK$2,Carreras,0)+2,0),""),"")</f>
        <v/>
      </c>
      <c r="AL12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25</v>
      </c>
      <c r="AN123" s="155">
        <f>base_de_datos[[#This Row],[Pronóstico]]/25</f>
        <v>1</v>
      </c>
      <c r="AO123" s="155" t="str">
        <f>VLOOKUP($C123,Planes_de_estudio[],2)</f>
        <v>COM</v>
      </c>
      <c r="AP123" s="157" t="str">
        <f ca="1">IF(AND(base_de_datos[[#This Row],[Industrial]]&lt;&gt;"",base_de_datos[[#This Row],[Misma o no]]=1),base_de_datos[[#This Row],[Índice]],"")</f>
        <v/>
      </c>
      <c r="AQ123" s="157" t="str">
        <f ca="1">IF(AND(base_de_datos[[#This Row],[Mecatrónica]]&lt;&gt;"",base_de_datos[[#This Row],[Misma o no]]=1),base_de_datos[[#This Row],[Índice]],"")</f>
        <v/>
      </c>
      <c r="AR123" s="157" t="str">
        <f ca="1">IF(AND(base_de_datos[[#This Row],[Innovación y Diseño]]&lt;&gt;"",base_de_datos[[#This Row],[Misma o no]]=1),base_de_datos[[#This Row],[Índice]],"")</f>
        <v/>
      </c>
      <c r="AS123" s="157">
        <f ca="1">IF(AND(base_de_datos[[#This Row],[Inteligencia Artificial]]&lt;&gt;"",base_de_datos[[#This Row],[Misma o no]]=1),base_de_datos[[#This Row],[Índice]],"")</f>
        <v>6</v>
      </c>
      <c r="AT123" s="157" t="str">
        <f ca="1">IF(AND(base_de_datos[[#This Row],[Tecnologías Energéticas]]&lt;&gt;"",base_de_datos[[#This Row],[Misma o no]]=1),base_de_datos[[#This Row],[Índice]],"")</f>
        <v/>
      </c>
      <c r="AU123" s="157" t="str">
        <f ca="1">IF(AND(base_de_datos[[#This Row],[Civil y Administración]]&lt;&gt;"",base_de_datos[[#This Row],[Misma o no]]=1),base_de_datos[[#This Row],[Índice]],"")</f>
        <v/>
      </c>
      <c r="AV123" s="157" t="str">
        <f ca="1">IF(AND(base_de_datos[[#This Row],[Bioelectrónica]]&lt;&gt;"",base_de_datos[[#This Row],[Misma o no]]=1),base_de_datos[[#This Row],[Índice]],"")</f>
        <v/>
      </c>
      <c r="AW123" s="158"/>
      <c r="AX123" s="231">
        <v>1</v>
      </c>
    </row>
    <row r="124" spans="1:221" s="163" customFormat="1" ht="15">
      <c r="A124" s="6"/>
      <c r="B124" s="148" t="s">
        <v>301</v>
      </c>
      <c r="C124" s="149" t="s">
        <v>138</v>
      </c>
      <c r="D124" s="150">
        <v>3</v>
      </c>
      <c r="E124" s="151">
        <v>0.39583333333333398</v>
      </c>
      <c r="F124" s="151">
        <v>0.45833333333333098</v>
      </c>
      <c r="G124" s="150"/>
      <c r="H124" s="150" t="s">
        <v>287</v>
      </c>
      <c r="I124" s="150">
        <f>INDEX(Aulas_capacidad,MATCH(base_de_datos[[#This Row],[Aula]],Aulas,0),2)</f>
        <v>60</v>
      </c>
      <c r="J124" s="152"/>
      <c r="K124" s="150">
        <f>INDEX(Aulas_capacidad,MATCH(base_de_datos[[#This Row],[Aula]],Aulas,0),4)</f>
        <v>18</v>
      </c>
      <c r="L124" s="153">
        <f>base_de_datos[[#This Row],[Cap 1.5]]-base_de_datos[[#This Row],[Inscritos]]</f>
        <v>18</v>
      </c>
      <c r="M124" s="153">
        <f>INDEX(Aulas_capacidad,MATCH(base_de_datos[[#This Row],[Aula]],Aulas,0),5)</f>
        <v>26</v>
      </c>
      <c r="N124" s="153">
        <f>base_de_datos[[#This Row],[Cap .90]]-base_de_datos[[#This Row],[Inscritos]]</f>
        <v>26</v>
      </c>
      <c r="O124" s="150" t="s">
        <v>302</v>
      </c>
      <c r="P124" s="154"/>
      <c r="Q124" s="154"/>
      <c r="R124" s="154" t="s">
        <v>67</v>
      </c>
      <c r="S124" s="154"/>
      <c r="T124" s="154"/>
      <c r="U124" s="154"/>
      <c r="V124" s="154"/>
      <c r="W124" s="154" t="s">
        <v>1654</v>
      </c>
      <c r="X124" s="155">
        <f>_xlfn.XLOOKUP(base_de_datos[[#This Row],[Materia]],Materias,Horas)/16</f>
        <v>3</v>
      </c>
      <c r="Y124" s="155">
        <f>ROUND(((base_de_datos[[#This Row],[Hora fin]]-base_de_datos[[#This Row],[Hora inicio]])*24)*(COUNTA(base_de_datos[[#This Row],[Lunes]:[Sábado]])),1)</f>
        <v>1.5</v>
      </c>
      <c r="Z12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4" s="155">
        <f ca="1">IF(base_de_datos[[#This Row],[No clase]]=OFFSET(base_de_datos[[#This Row],[No clase]],-1,0),0,1)</f>
        <v>1</v>
      </c>
      <c r="AB124" s="155">
        <f ca="1">IF(NOT(OR(base_de_datos[[#This Row],[Horas totales]]=base_de_datos[[#This Row],[HT Plan]],base_de_datos[[#This Row],[Horas totales]]="N/A")),1,0)</f>
        <v>0</v>
      </c>
      <c r="AC124" s="155" t="str">
        <f>_xlfn.XLOOKUP(base_de_datos[[#This Row],[Profesor]],Nombre,Grado)</f>
        <v>L</v>
      </c>
      <c r="AD124" s="156" t="str">
        <f>_xlfn.XLOOKUP(base_de_datos[[#This Row],[Profesor]],Nombre,Tipo)</f>
        <v>H</v>
      </c>
      <c r="AE124" s="155">
        <f>IF(IFERROR(VLOOKUP($C124,Planes_de_estudio[],MATCH($AE$2,Carreras,0)+2,0),"")&gt;0,IFERROR(VLOOKUP($C124,Planes_de_estudio[],MATCH($AE$2,Carreras,0)+2,0),""),"")</f>
        <v>1</v>
      </c>
      <c r="AF124" s="155">
        <f>IF(IFERROR(VLOOKUP($C124,Planes_de_estudio[],MATCH($AF$2,Carreras,0)+2,0),"")&gt;0,IFERROR(VLOOKUP($C124,Planes_de_estudio[],MATCH($AF$2,Carreras,0)+2,0),""),"")</f>
        <v>1</v>
      </c>
      <c r="AG124" s="155">
        <f>IF(IFERROR(VLOOKUP($C124,Planes_de_estudio[],MATCH($AG$2,Carreras,0)+2,0),"")&gt;0,IFERROR(VLOOKUP($C124,Planes_de_estudio[],MATCH($AG$2,Carreras,0)+2,0),""),"")</f>
        <v>1</v>
      </c>
      <c r="AH124" s="155">
        <f>IF(IFERROR(VLOOKUP($C124,Planes_de_estudio[],MATCH($AH$2,Carreras,0)+2,0),"")&gt;0,IFERROR(VLOOKUP($C124,Planes_de_estudio[],MATCH($AH$2,Carreras,0)+2,0),""),"")</f>
        <v>1</v>
      </c>
      <c r="AI124" s="155">
        <f>IF(IFERROR(VLOOKUP($C124,Planes_de_estudio[],MATCH($AI$2,Carreras,0)+2,0),"")&gt;0,IFERROR(VLOOKUP($C124,Planes_de_estudio[],MATCH($AI$2,Carreras,0)+2,0),""),"")</f>
        <v>1</v>
      </c>
      <c r="AJ124" s="155">
        <f>IF(IFERROR(VLOOKUP($C124,Planes_de_estudio[],MATCH($AJ$2,Carreras,0)+2,0),"")&gt;0,IFERROR(VLOOKUP($C124,Planes_de_estudio[],MATCH($AJ$2,Carreras,0)+2,0),""),"")</f>
        <v>1</v>
      </c>
      <c r="AK124" s="155">
        <f>IF(IFERROR(VLOOKUP($C124,Planes_de_estudio[],MATCH($AK$2,Carreras,0)+2,0),"")&gt;0,IFERROR(VLOOKUP($C124,Planes_de_estudio[],MATCH($AK$2,Carreras,0)+2,0),""),"")</f>
        <v>1</v>
      </c>
      <c r="AL12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24" s="155">
        <f>base_de_datos[[#This Row],[Pronóstico]]/25</f>
        <v>4.3600000000000003</v>
      </c>
      <c r="AO124" s="155" t="str">
        <f>VLOOKUP($C124,Planes_de_estudio[],2)</f>
        <v>HUM</v>
      </c>
      <c r="AP124" s="157">
        <f ca="1">IF(AND(base_de_datos[[#This Row],[Industrial]]&lt;&gt;"",base_de_datos[[#This Row],[Misma o no]]=1),base_de_datos[[#This Row],[Índice]],"")</f>
        <v>1</v>
      </c>
      <c r="AQ124" s="157">
        <f ca="1">IF(AND(base_de_datos[[#This Row],[Mecatrónica]]&lt;&gt;"",base_de_datos[[#This Row],[Misma o no]]=1),base_de_datos[[#This Row],[Índice]],"")</f>
        <v>1</v>
      </c>
      <c r="AR124" s="157">
        <f ca="1">IF(AND(base_de_datos[[#This Row],[Innovación y Diseño]]&lt;&gt;"",base_de_datos[[#This Row],[Misma o no]]=1),base_de_datos[[#This Row],[Índice]],"")</f>
        <v>1</v>
      </c>
      <c r="AS124" s="157">
        <f ca="1">IF(AND(base_de_datos[[#This Row],[Inteligencia Artificial]]&lt;&gt;"",base_de_datos[[#This Row],[Misma o no]]=1),base_de_datos[[#This Row],[Índice]],"")</f>
        <v>1</v>
      </c>
      <c r="AT124" s="157">
        <f ca="1">IF(AND(base_de_datos[[#This Row],[Tecnologías Energéticas]]&lt;&gt;"",base_de_datos[[#This Row],[Misma o no]]=1),base_de_datos[[#This Row],[Índice]],"")</f>
        <v>1</v>
      </c>
      <c r="AU124" s="157">
        <f ca="1">IF(AND(base_de_datos[[#This Row],[Civil y Administración]]&lt;&gt;"",base_de_datos[[#This Row],[Misma o no]]=1),base_de_datos[[#This Row],[Índice]],"")</f>
        <v>1</v>
      </c>
      <c r="AV124" s="157">
        <f ca="1">IF(AND(base_de_datos[[#This Row],[Bioelectrónica]]&lt;&gt;"",base_de_datos[[#This Row],[Misma o no]]=1),base_de_datos[[#This Row],[Índice]],"")</f>
        <v>1</v>
      </c>
      <c r="AW124" s="158"/>
      <c r="AX124" s="231">
        <v>1</v>
      </c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X124" s="6"/>
      <c r="GY124" s="6"/>
      <c r="GZ124" s="6"/>
      <c r="HA124" s="6"/>
      <c r="HB124" s="6"/>
      <c r="HC124" s="6"/>
      <c r="HD124" s="6"/>
      <c r="HE124" s="6"/>
      <c r="HF124" s="6"/>
      <c r="HG124" s="6"/>
      <c r="HH124" s="6"/>
      <c r="HI124" s="6"/>
      <c r="HJ124" s="6"/>
      <c r="HK124" s="6"/>
      <c r="HL124" s="6"/>
      <c r="HM124" s="6"/>
    </row>
    <row r="125" spans="1:221" s="163" customFormat="1" ht="15">
      <c r="A125" s="6"/>
      <c r="B125" s="148" t="s">
        <v>301</v>
      </c>
      <c r="C125" s="149" t="s">
        <v>138</v>
      </c>
      <c r="D125" s="150">
        <v>3</v>
      </c>
      <c r="E125" s="151">
        <v>0.39583333333333398</v>
      </c>
      <c r="F125" s="151">
        <v>0.45833333333333098</v>
      </c>
      <c r="G125" s="150"/>
      <c r="H125" s="150" t="s">
        <v>87</v>
      </c>
      <c r="I125" s="150">
        <f>INDEX(Aulas_capacidad,MATCH(base_de_datos[[#This Row],[Aula]],Aulas,0),2)</f>
        <v>40</v>
      </c>
      <c r="J125" s="152"/>
      <c r="K125" s="150">
        <f>INDEX(Aulas_capacidad,MATCH(base_de_datos[[#This Row],[Aula]],Aulas,0),4)</f>
        <v>0</v>
      </c>
      <c r="L125" s="153">
        <f>base_de_datos[[#This Row],[Cap 1.5]]-base_de_datos[[#This Row],[Inscritos]]</f>
        <v>0</v>
      </c>
      <c r="M125" s="153">
        <f>INDEX(Aulas_capacidad,MATCH(base_de_datos[[#This Row],[Aula]],Aulas,0),5)</f>
        <v>0</v>
      </c>
      <c r="N125" s="153">
        <f>base_de_datos[[#This Row],[Cap .90]]-base_de_datos[[#This Row],[Inscritos]]</f>
        <v>0</v>
      </c>
      <c r="O125" s="150" t="s">
        <v>302</v>
      </c>
      <c r="P125" s="154"/>
      <c r="Q125" s="154"/>
      <c r="R125" s="154"/>
      <c r="S125" s="154"/>
      <c r="T125" s="154" t="s">
        <v>67</v>
      </c>
      <c r="U125" s="154"/>
      <c r="V125" s="154"/>
      <c r="W125" s="154" t="s">
        <v>1654</v>
      </c>
      <c r="X125" s="155">
        <f>_xlfn.XLOOKUP(base_de_datos[[#This Row],[Materia]],Materias,Horas)/16</f>
        <v>3</v>
      </c>
      <c r="Y125" s="155">
        <f>ROUND(((base_de_datos[[#This Row],[Hora fin]]-base_de_datos[[#This Row],[Hora inicio]])*24)*(COUNTA(base_de_datos[[#This Row],[Lunes]:[Sábado]])),1)</f>
        <v>1.5</v>
      </c>
      <c r="Z12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5" s="155">
        <f ca="1">IF(base_de_datos[[#This Row],[No clase]]=OFFSET(base_de_datos[[#This Row],[No clase]],-1,0),0,1)</f>
        <v>0</v>
      </c>
      <c r="AB125" s="155">
        <f ca="1">IF(NOT(OR(base_de_datos[[#This Row],[Horas totales]]=base_de_datos[[#This Row],[HT Plan]],base_de_datos[[#This Row],[Horas totales]]="N/A")),1,0)</f>
        <v>0</v>
      </c>
      <c r="AC125" s="155" t="str">
        <f>_xlfn.XLOOKUP(base_de_datos[[#This Row],[Profesor]],Nombre,Grado)</f>
        <v>L</v>
      </c>
      <c r="AD125" s="156" t="str">
        <f>_xlfn.XLOOKUP(base_de_datos[[#This Row],[Profesor]],Nombre,Tipo)</f>
        <v>H</v>
      </c>
      <c r="AE125" s="155">
        <f>IF(IFERROR(VLOOKUP($C125,Planes_de_estudio[],MATCH($AE$2,Carreras,0)+2,0),"")&gt;0,IFERROR(VLOOKUP($C125,Planes_de_estudio[],MATCH($AE$2,Carreras,0)+2,0),""),"")</f>
        <v>1</v>
      </c>
      <c r="AF125" s="155">
        <f>IF(IFERROR(VLOOKUP($C125,Planes_de_estudio[],MATCH($AF$2,Carreras,0)+2,0),"")&gt;0,IFERROR(VLOOKUP($C125,Planes_de_estudio[],MATCH($AF$2,Carreras,0)+2,0),""),"")</f>
        <v>1</v>
      </c>
      <c r="AG125" s="155">
        <f>IF(IFERROR(VLOOKUP($C125,Planes_de_estudio[],MATCH($AG$2,Carreras,0)+2,0),"")&gt;0,IFERROR(VLOOKUP($C125,Planes_de_estudio[],MATCH($AG$2,Carreras,0)+2,0),""),"")</f>
        <v>1</v>
      </c>
      <c r="AH125" s="155">
        <f>IF(IFERROR(VLOOKUP($C125,Planes_de_estudio[],MATCH($AH$2,Carreras,0)+2,0),"")&gt;0,IFERROR(VLOOKUP($C125,Planes_de_estudio[],MATCH($AH$2,Carreras,0)+2,0),""),"")</f>
        <v>1</v>
      </c>
      <c r="AI125" s="155">
        <f>IF(IFERROR(VLOOKUP($C125,Planes_de_estudio[],MATCH($AI$2,Carreras,0)+2,0),"")&gt;0,IFERROR(VLOOKUP($C125,Planes_de_estudio[],MATCH($AI$2,Carreras,0)+2,0),""),"")</f>
        <v>1</v>
      </c>
      <c r="AJ125" s="155">
        <f>IF(IFERROR(VLOOKUP($C125,Planes_de_estudio[],MATCH($AJ$2,Carreras,0)+2,0),"")&gt;0,IFERROR(VLOOKUP($C125,Planes_de_estudio[],MATCH($AJ$2,Carreras,0)+2,0),""),"")</f>
        <v>1</v>
      </c>
      <c r="AK125" s="155">
        <f>IF(IFERROR(VLOOKUP($C125,Planes_de_estudio[],MATCH($AK$2,Carreras,0)+2,0),"")&gt;0,IFERROR(VLOOKUP($C125,Planes_de_estudio[],MATCH($AK$2,Carreras,0)+2,0),""),"")</f>
        <v>1</v>
      </c>
      <c r="AL12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25" s="155">
        <f>base_de_datos[[#This Row],[Pronóstico]]/25</f>
        <v>4.3600000000000003</v>
      </c>
      <c r="AO125" s="155" t="str">
        <f>VLOOKUP($C125,Planes_de_estudio[],2)</f>
        <v>HUM</v>
      </c>
      <c r="AP125" s="157" t="str">
        <f ca="1">IF(AND(base_de_datos[[#This Row],[Industrial]]&lt;&gt;"",base_de_datos[[#This Row],[Misma o no]]=1),base_de_datos[[#This Row],[Índice]],"")</f>
        <v/>
      </c>
      <c r="AQ125" s="157" t="str">
        <f ca="1">IF(AND(base_de_datos[[#This Row],[Mecatrónica]]&lt;&gt;"",base_de_datos[[#This Row],[Misma o no]]=1),base_de_datos[[#This Row],[Índice]],"")</f>
        <v/>
      </c>
      <c r="AR125" s="157" t="str">
        <f ca="1">IF(AND(base_de_datos[[#This Row],[Innovación y Diseño]]&lt;&gt;"",base_de_datos[[#This Row],[Misma o no]]=1),base_de_datos[[#This Row],[Índice]],"")</f>
        <v/>
      </c>
      <c r="AS125" s="157" t="str">
        <f ca="1">IF(AND(base_de_datos[[#This Row],[Inteligencia Artificial]]&lt;&gt;"",base_de_datos[[#This Row],[Misma o no]]=1),base_de_datos[[#This Row],[Índice]],"")</f>
        <v/>
      </c>
      <c r="AT125" s="157" t="str">
        <f ca="1">IF(AND(base_de_datos[[#This Row],[Tecnologías Energéticas]]&lt;&gt;"",base_de_datos[[#This Row],[Misma o no]]=1),base_de_datos[[#This Row],[Índice]],"")</f>
        <v/>
      </c>
      <c r="AU125" s="157" t="str">
        <f ca="1">IF(AND(base_de_datos[[#This Row],[Civil y Administración]]&lt;&gt;"",base_de_datos[[#This Row],[Misma o no]]=1),base_de_datos[[#This Row],[Índice]],"")</f>
        <v/>
      </c>
      <c r="AV125" s="157" t="str">
        <f ca="1">IF(AND(base_de_datos[[#This Row],[Bioelectrónica]]&lt;&gt;"",base_de_datos[[#This Row],[Misma o no]]=1),base_de_datos[[#This Row],[Índice]],"")</f>
        <v/>
      </c>
      <c r="AW125" s="158"/>
      <c r="AX125" s="231">
        <v>3</v>
      </c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/>
      <c r="GF125" s="6"/>
      <c r="GG125" s="6"/>
      <c r="GH125" s="6"/>
      <c r="GI125" s="6"/>
      <c r="GJ125" s="6"/>
      <c r="GK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  <c r="GX125" s="6"/>
      <c r="GY125" s="6"/>
      <c r="GZ125" s="6"/>
      <c r="HA125" s="6"/>
      <c r="HB125" s="6"/>
      <c r="HC125" s="6"/>
      <c r="HD125" s="6"/>
      <c r="HE125" s="6"/>
      <c r="HF125" s="6"/>
      <c r="HG125" s="6"/>
      <c r="HH125" s="6"/>
      <c r="HI125" s="6"/>
      <c r="HJ125" s="6"/>
      <c r="HK125" s="6"/>
      <c r="HL125" s="6"/>
      <c r="HM125" s="6"/>
    </row>
    <row r="126" spans="1:221" s="163" customFormat="1" ht="15">
      <c r="A126" s="6"/>
      <c r="B126" s="148" t="s">
        <v>303</v>
      </c>
      <c r="C126" s="149" t="s">
        <v>304</v>
      </c>
      <c r="D126" s="150">
        <v>1</v>
      </c>
      <c r="E126" s="151">
        <v>0.66666666666666696</v>
      </c>
      <c r="F126" s="151">
        <v>0.83333333333332504</v>
      </c>
      <c r="G126" s="150"/>
      <c r="H126" s="215" t="s">
        <v>73</v>
      </c>
      <c r="I126" s="150">
        <f>INDEX(Aulas_capacidad,MATCH(base_de_datos[[#This Row],[Aula]],Aulas,0),2)</f>
        <v>0</v>
      </c>
      <c r="J126" s="152">
        <v>14</v>
      </c>
      <c r="K126" s="150">
        <f>INDEX(Aulas_capacidad,MATCH(base_de_datos[[#This Row],[Aula]],Aulas,0),4)</f>
        <v>0</v>
      </c>
      <c r="L126" s="153">
        <f>base_de_datos[[#This Row],[Cap 1.5]]-base_de_datos[[#This Row],[Inscritos]]</f>
        <v>-14</v>
      </c>
      <c r="M126" s="153">
        <f>INDEX(Aulas_capacidad,MATCH(base_de_datos[[#This Row],[Aula]],Aulas,0),5)</f>
        <v>0</v>
      </c>
      <c r="N126" s="153">
        <f>base_de_datos[[#This Row],[Cap .90]]-base_de_datos[[#This Row],[Inscritos]]</f>
        <v>-14</v>
      </c>
      <c r="O126" s="150">
        <v>1632</v>
      </c>
      <c r="P126" s="154"/>
      <c r="Q126" s="154"/>
      <c r="R126" s="154"/>
      <c r="S126" s="154"/>
      <c r="T126" s="154" t="s">
        <v>67</v>
      </c>
      <c r="U126" s="154"/>
      <c r="V126" s="154"/>
      <c r="W126" s="154" t="s">
        <v>1652</v>
      </c>
      <c r="X126" s="155">
        <f>_xlfn.XLOOKUP(base_de_datos[[#This Row],[Materia]],Materias,Horas)/16</f>
        <v>4</v>
      </c>
      <c r="Y126" s="155">
        <f>ROUND(((base_de_datos[[#This Row],[Hora fin]]-base_de_datos[[#This Row],[Hora inicio]])*24)*(COUNTA(base_de_datos[[#This Row],[Lunes]:[Sábado]])),1)</f>
        <v>4</v>
      </c>
      <c r="Z12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6" s="155">
        <f ca="1">IF(base_de_datos[[#This Row],[No clase]]=OFFSET(base_de_datos[[#This Row],[No clase]],-1,0),0,1)</f>
        <v>1</v>
      </c>
      <c r="AB126" s="155">
        <f ca="1">IF(NOT(OR(base_de_datos[[#This Row],[Horas totales]]=base_de_datos[[#This Row],[HT Plan]],base_de_datos[[#This Row],[Horas totales]]="N/A")),1,0)</f>
        <v>0</v>
      </c>
      <c r="AC126" s="155" t="str">
        <f>_xlfn.XLOOKUP(base_de_datos[[#This Row],[Profesor]],Nombre,Grado)</f>
        <v>M</v>
      </c>
      <c r="AD126" s="156" t="str">
        <f>_xlfn.XLOOKUP(base_de_datos[[#This Row],[Profesor]],Nombre,Tipo)</f>
        <v>A</v>
      </c>
      <c r="AE126" s="155" t="str">
        <f>IF(IFERROR(VLOOKUP($C126,Planes_de_estudio[],MATCH($AE$2,Carreras,0)+2,0),"")&gt;0,IFERROR(VLOOKUP($C126,Planes_de_estudio[],MATCH($AE$2,Carreras,0)+2,0),""),"")</f>
        <v/>
      </c>
      <c r="AF126" s="155" t="str">
        <f>IF(IFERROR(VLOOKUP($C126,Planes_de_estudio[],MATCH($AF$2,Carreras,0)+2,0),"")&gt;0,IFERROR(VLOOKUP($C126,Planes_de_estudio[],MATCH($AF$2,Carreras,0)+2,0),""),"")</f>
        <v/>
      </c>
      <c r="AG126" s="155">
        <f>IF(IFERROR(VLOOKUP($C126,Planes_de_estudio[],MATCH($AG$2,Carreras,0)+2,0),"")&gt;0,IFERROR(VLOOKUP($C126,Planes_de_estudio[],MATCH($AG$2,Carreras,0)+2,0),""),"")</f>
        <v>7</v>
      </c>
      <c r="AH126" s="155">
        <f>IF(IFERROR(VLOOKUP($C126,Planes_de_estudio[],MATCH($AH$2,Carreras,0)+2,0),"")&gt;0,IFERROR(VLOOKUP($C126,Planes_de_estudio[],MATCH($AH$2,Carreras,0)+2,0),""),"")</f>
        <v>8</v>
      </c>
      <c r="AI126" s="155" t="str">
        <f>IF(IFERROR(VLOOKUP($C126,Planes_de_estudio[],MATCH($AI$2,Carreras,0)+2,0),"")&gt;0,IFERROR(VLOOKUP($C126,Planes_de_estudio[],MATCH($AI$2,Carreras,0)+2,0),""),"")</f>
        <v/>
      </c>
      <c r="AJ126" s="155" t="str">
        <f>IF(IFERROR(VLOOKUP($C126,Planes_de_estudio[],MATCH($AJ$2,Carreras,0)+2,0),"")&gt;0,IFERROR(VLOOKUP($C126,Planes_de_estudio[],MATCH($AJ$2,Carreras,0)+2,0),""),"")</f>
        <v/>
      </c>
      <c r="AK126" s="155" t="str">
        <f>IF(IFERROR(VLOOKUP($C126,Planes_de_estudio[],MATCH($AK$2,Carreras,0)+2,0),"")&gt;0,IFERROR(VLOOKUP($C126,Planes_de_estudio[],MATCH($AK$2,Carreras,0)+2,0),""),"")</f>
        <v/>
      </c>
      <c r="AL12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126" s="155">
        <f>base_de_datos[[#This Row],[Pronóstico]]/25</f>
        <v>0.8</v>
      </c>
      <c r="AO126" s="155" t="str">
        <f>VLOOKUP($C126,Planes_de_estudio[],2)</f>
        <v>DOP</v>
      </c>
      <c r="AP126" s="157" t="str">
        <f ca="1">IF(AND(base_de_datos[[#This Row],[Industrial]]&lt;&gt;"",base_de_datos[[#This Row],[Misma o no]]=1),base_de_datos[[#This Row],[Índice]],"")</f>
        <v/>
      </c>
      <c r="AQ126" s="157" t="str">
        <f ca="1">IF(AND(base_de_datos[[#This Row],[Mecatrónica]]&lt;&gt;"",base_de_datos[[#This Row],[Misma o no]]=1),base_de_datos[[#This Row],[Índice]],"")</f>
        <v/>
      </c>
      <c r="AR126" s="157">
        <f ca="1">IF(AND(base_de_datos[[#This Row],[Innovación y Diseño]]&lt;&gt;"",base_de_datos[[#This Row],[Misma o no]]=1),base_de_datos[[#This Row],[Índice]],"")</f>
        <v>4</v>
      </c>
      <c r="AS126" s="157">
        <f ca="1">IF(AND(base_de_datos[[#This Row],[Inteligencia Artificial]]&lt;&gt;"",base_de_datos[[#This Row],[Misma o no]]=1),base_de_datos[[#This Row],[Índice]],"")</f>
        <v>4</v>
      </c>
      <c r="AT126" s="157" t="str">
        <f ca="1">IF(AND(base_de_datos[[#This Row],[Tecnologías Energéticas]]&lt;&gt;"",base_de_datos[[#This Row],[Misma o no]]=1),base_de_datos[[#This Row],[Índice]],"")</f>
        <v/>
      </c>
      <c r="AU126" s="157" t="str">
        <f ca="1">IF(AND(base_de_datos[[#This Row],[Civil y Administración]]&lt;&gt;"",base_de_datos[[#This Row],[Misma o no]]=1),base_de_datos[[#This Row],[Índice]],"")</f>
        <v/>
      </c>
      <c r="AV126" s="157" t="str">
        <f ca="1">IF(AND(base_de_datos[[#This Row],[Bioelectrónica]]&lt;&gt;"",base_de_datos[[#This Row],[Misma o no]]=1),base_de_datos[[#This Row],[Índice]],"")</f>
        <v/>
      </c>
      <c r="AW126" s="158"/>
      <c r="AX126" s="231">
        <v>1</v>
      </c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  <c r="HL126" s="6"/>
      <c r="HM126" s="6"/>
    </row>
    <row r="127" spans="1:221" s="163" customFormat="1" ht="15">
      <c r="A127" s="6"/>
      <c r="B127" s="148" t="s">
        <v>305</v>
      </c>
      <c r="C127" s="149" t="s">
        <v>306</v>
      </c>
      <c r="D127" s="150">
        <v>1</v>
      </c>
      <c r="E127" s="151">
        <v>0.79166666666666696</v>
      </c>
      <c r="F127" s="151">
        <v>0.87499999999999001</v>
      </c>
      <c r="G127" s="150"/>
      <c r="H127" s="150" t="s">
        <v>230</v>
      </c>
      <c r="I127" s="150" t="e">
        <f>INDEX(Aulas_capacidad,MATCH(base_de_datos[[#This Row],[Aula]],Aulas,0),2)</f>
        <v>#N/A</v>
      </c>
      <c r="J127" s="152">
        <v>9</v>
      </c>
      <c r="K127" s="150" t="e">
        <f>INDEX(Aulas_capacidad,MATCH(base_de_datos[[#This Row],[Aula]],Aulas,0),4)</f>
        <v>#N/A</v>
      </c>
      <c r="L127" s="153" t="e">
        <f>base_de_datos[[#This Row],[Cap 1.5]]-base_de_datos[[#This Row],[Inscritos]]</f>
        <v>#N/A</v>
      </c>
      <c r="M127" s="153" t="e">
        <f>INDEX(Aulas_capacidad,MATCH(base_de_datos[[#This Row],[Aula]],Aulas,0),5)</f>
        <v>#N/A</v>
      </c>
      <c r="N127" s="153" t="e">
        <f>base_de_datos[[#This Row],[Cap .90]]-base_de_datos[[#This Row],[Inscritos]]</f>
        <v>#N/A</v>
      </c>
      <c r="O127" s="150">
        <v>1842</v>
      </c>
      <c r="P127" s="154" t="s">
        <v>67</v>
      </c>
      <c r="Q127" s="154"/>
      <c r="R127" s="154"/>
      <c r="S127" s="154" t="s">
        <v>67</v>
      </c>
      <c r="T127" s="154"/>
      <c r="U127" s="154"/>
      <c r="V127" s="154"/>
      <c r="W127" s="154" t="s">
        <v>1656</v>
      </c>
      <c r="X127" s="155">
        <f>_xlfn.XLOOKUP(base_de_datos[[#This Row],[Materia]],Materias,Horas)/16</f>
        <v>4</v>
      </c>
      <c r="Y127" s="155">
        <f>ROUND(((base_de_datos[[#This Row],[Hora fin]]-base_de_datos[[#This Row],[Hora inicio]])*24)*(COUNTA(base_de_datos[[#This Row],[Lunes]:[Sábado]])),1)</f>
        <v>4</v>
      </c>
      <c r="Z12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7" s="155">
        <f ca="1">IF(base_de_datos[[#This Row],[No clase]]=OFFSET(base_de_datos[[#This Row],[No clase]],-1,0),0,1)</f>
        <v>1</v>
      </c>
      <c r="AB127" s="155">
        <f ca="1">IF(NOT(OR(base_de_datos[[#This Row],[Horas totales]]=base_de_datos[[#This Row],[HT Plan]],base_de_datos[[#This Row],[Horas totales]]="N/A")),1,0)</f>
        <v>0</v>
      </c>
      <c r="AC127" s="155" t="str">
        <f>_xlfn.XLOOKUP(base_de_datos[[#This Row],[Profesor]],Nombre,Grado)</f>
        <v>M</v>
      </c>
      <c r="AD127" s="156" t="str">
        <f>_xlfn.XLOOKUP(base_de_datos[[#This Row],[Profesor]],Nombre,Tipo)</f>
        <v>A</v>
      </c>
      <c r="AE127" s="155" t="str">
        <f>IF(IFERROR(VLOOKUP($C127,Planes_de_estudio[],MATCH($AE$2,Carreras,0)+2,0),"")&gt;0,IFERROR(VLOOKUP($C127,Planes_de_estudio[],MATCH($AE$2,Carreras,0)+2,0),""),"")</f>
        <v/>
      </c>
      <c r="AF127" s="155" t="str">
        <f>IF(IFERROR(VLOOKUP($C127,Planes_de_estudio[],MATCH($AF$2,Carreras,0)+2,0),"")&gt;0,IFERROR(VLOOKUP($C127,Planes_de_estudio[],MATCH($AF$2,Carreras,0)+2,0),""),"")</f>
        <v/>
      </c>
      <c r="AG127" s="155" t="str">
        <f>IF(IFERROR(VLOOKUP($C127,Planes_de_estudio[],MATCH($AG$2,Carreras,0)+2,0),"")&gt;0,IFERROR(VLOOKUP($C127,Planes_de_estudio[],MATCH($AG$2,Carreras,0)+2,0),""),"")</f>
        <v/>
      </c>
      <c r="AH127" s="155" t="str">
        <f>IF(IFERROR(VLOOKUP($C127,Planes_de_estudio[],MATCH($AH$2,Carreras,0)+2,0),"")&gt;0,IFERROR(VLOOKUP($C127,Planes_de_estudio[],MATCH($AH$2,Carreras,0)+2,0),""),"")</f>
        <v/>
      </c>
      <c r="AI127" s="155" t="str">
        <f>IF(IFERROR(VLOOKUP($C127,Planes_de_estudio[],MATCH($AI$2,Carreras,0)+2,0),"")&gt;0,IFERROR(VLOOKUP($C127,Planes_de_estudio[],MATCH($AI$2,Carreras,0)+2,0),""),"")</f>
        <v/>
      </c>
      <c r="AJ127" s="155">
        <f>IF(IFERROR(VLOOKUP($C127,Planes_de_estudio[],MATCH($AJ$2,Carreras,0)+2,0),"")&gt;0,IFERROR(VLOOKUP($C127,Planes_de_estudio[],MATCH($AJ$2,Carreras,0)+2,0),""),"")</f>
        <v>7</v>
      </c>
      <c r="AK127" s="155" t="str">
        <f>IF(IFERROR(VLOOKUP($C127,Planes_de_estudio[],MATCH($AK$2,Carreras,0)+2,0),"")&gt;0,IFERROR(VLOOKUP($C127,Planes_de_estudio[],MATCH($AK$2,Carreras,0)+2,0),""),"")</f>
        <v/>
      </c>
      <c r="AL12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27" s="155">
        <f>base_de_datos[[#This Row],[Pronóstico]]/25</f>
        <v>0.52</v>
      </c>
      <c r="AO127" s="155" t="str">
        <f>VLOOKUP($C127,Planes_de_estudio[],2)</f>
        <v>ETF</v>
      </c>
      <c r="AP127" s="157" t="str">
        <f ca="1">IF(AND(base_de_datos[[#This Row],[Industrial]]&lt;&gt;"",base_de_datos[[#This Row],[Misma o no]]=1),base_de_datos[[#This Row],[Índice]],"")</f>
        <v/>
      </c>
      <c r="AQ127" s="157" t="str">
        <f ca="1">IF(AND(base_de_datos[[#This Row],[Mecatrónica]]&lt;&gt;"",base_de_datos[[#This Row],[Misma o no]]=1),base_de_datos[[#This Row],[Índice]],"")</f>
        <v/>
      </c>
      <c r="AR127" s="157" t="str">
        <f ca="1">IF(AND(base_de_datos[[#This Row],[Innovación y Diseño]]&lt;&gt;"",base_de_datos[[#This Row],[Misma o no]]=1),base_de_datos[[#This Row],[Índice]],"")</f>
        <v/>
      </c>
      <c r="AS127" s="157" t="str">
        <f ca="1">IF(AND(base_de_datos[[#This Row],[Inteligencia Artificial]]&lt;&gt;"",base_de_datos[[#This Row],[Misma o no]]=1),base_de_datos[[#This Row],[Índice]],"")</f>
        <v/>
      </c>
      <c r="AT127" s="157" t="str">
        <f ca="1">IF(AND(base_de_datos[[#This Row],[Tecnologías Energéticas]]&lt;&gt;"",base_de_datos[[#This Row],[Misma o no]]=1),base_de_datos[[#This Row],[Índice]],"")</f>
        <v/>
      </c>
      <c r="AU127" s="157">
        <f ca="1">IF(AND(base_de_datos[[#This Row],[Civil y Administración]]&lt;&gt;"",base_de_datos[[#This Row],[Misma o no]]=1),base_de_datos[[#This Row],[Índice]],"")</f>
        <v>4</v>
      </c>
      <c r="AV127" s="157" t="str">
        <f ca="1">IF(AND(base_de_datos[[#This Row],[Bioelectrónica]]&lt;&gt;"",base_de_datos[[#This Row],[Misma o no]]=1),base_de_datos[[#This Row],[Índice]],"")</f>
        <v/>
      </c>
      <c r="AW127" s="158"/>
      <c r="AX127" s="231">
        <v>2</v>
      </c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  <c r="GK127" s="6"/>
      <c r="GL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  <c r="GX127" s="6"/>
      <c r="GY127" s="6"/>
      <c r="GZ127" s="6"/>
      <c r="HA127" s="6"/>
      <c r="HB127" s="6"/>
      <c r="HC127" s="6"/>
      <c r="HD127" s="6"/>
      <c r="HE127" s="6"/>
      <c r="HF127" s="6"/>
      <c r="HG127" s="6"/>
      <c r="HH127" s="6"/>
      <c r="HI127" s="6"/>
      <c r="HJ127" s="6"/>
      <c r="HK127" s="6"/>
      <c r="HL127" s="6"/>
      <c r="HM127" s="6"/>
    </row>
    <row r="128" spans="1:221" s="163" customFormat="1" ht="15">
      <c r="A128" s="6"/>
      <c r="B128" s="148" t="s">
        <v>307</v>
      </c>
      <c r="C128" s="149" t="s">
        <v>308</v>
      </c>
      <c r="D128" s="150">
        <v>1</v>
      </c>
      <c r="E128" s="151">
        <v>0.79166666666666696</v>
      </c>
      <c r="F128" s="151">
        <v>0.89583333333332305</v>
      </c>
      <c r="G128" s="150"/>
      <c r="H128" s="150" t="s">
        <v>178</v>
      </c>
      <c r="I128" s="150">
        <f>INDEX(Aulas_capacidad,MATCH(base_de_datos[[#This Row],[Aula]],Aulas,0),2)</f>
        <v>24</v>
      </c>
      <c r="J128" s="152">
        <v>7</v>
      </c>
      <c r="K128" s="150">
        <f>INDEX(Aulas_capacidad,MATCH(base_de_datos[[#This Row],[Aula]],Aulas,0),4)</f>
        <v>12</v>
      </c>
      <c r="L128" s="153">
        <f>base_de_datos[[#This Row],[Cap 1.5]]-base_de_datos[[#This Row],[Inscritos]]</f>
        <v>5</v>
      </c>
      <c r="M128" s="153">
        <f>INDEX(Aulas_capacidad,MATCH(base_de_datos[[#This Row],[Aula]],Aulas,0),5)</f>
        <v>12</v>
      </c>
      <c r="N128" s="153">
        <f>base_de_datos[[#This Row],[Cap .90]]-base_de_datos[[#This Row],[Inscritos]]</f>
        <v>5</v>
      </c>
      <c r="O128" s="150" t="s">
        <v>309</v>
      </c>
      <c r="P128" s="154" t="s">
        <v>67</v>
      </c>
      <c r="Q128" s="154"/>
      <c r="R128" s="154"/>
      <c r="S128" s="154"/>
      <c r="T128" s="154"/>
      <c r="U128" s="154"/>
      <c r="V128" s="154"/>
      <c r="W128" s="154" t="s">
        <v>1653</v>
      </c>
      <c r="X128" s="155">
        <f>_xlfn.XLOOKUP(base_de_datos[[#This Row],[Materia]],Materias,Horas)/16</f>
        <v>4</v>
      </c>
      <c r="Y128" s="155">
        <f>ROUND(((base_de_datos[[#This Row],[Hora fin]]-base_de_datos[[#This Row],[Hora inicio]])*24)*(COUNTA(base_de_datos[[#This Row],[Lunes]:[Sábado]])),1)</f>
        <v>2.5</v>
      </c>
      <c r="Z12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8" s="155">
        <f ca="1">IF(base_de_datos[[#This Row],[No clase]]=OFFSET(base_de_datos[[#This Row],[No clase]],-1,0),0,1)</f>
        <v>1</v>
      </c>
      <c r="AB128" s="155">
        <f ca="1">IF(NOT(OR(base_de_datos[[#This Row],[Horas totales]]=base_de_datos[[#This Row],[HT Plan]],base_de_datos[[#This Row],[Horas totales]]="N/A")),1,0)</f>
        <v>0</v>
      </c>
      <c r="AC128" s="155" t="str">
        <f>_xlfn.XLOOKUP(base_de_datos[[#This Row],[Profesor]],Nombre,Grado)</f>
        <v>A</v>
      </c>
      <c r="AD128" s="156" t="str">
        <f>_xlfn.XLOOKUP(base_de_datos[[#This Row],[Profesor]],Nombre,Tipo)</f>
        <v>A</v>
      </c>
      <c r="AE128" s="155" t="str">
        <f>IF(IFERROR(VLOOKUP($C128,Planes_de_estudio[],MATCH($AE$2,Carreras,0)+2,0),"")&gt;0,IFERROR(VLOOKUP($C128,Planes_de_estudio[],MATCH($AE$2,Carreras,0)+2,0),""),"")</f>
        <v/>
      </c>
      <c r="AF128" s="155" t="str">
        <f>IF(IFERROR(VLOOKUP($C128,Planes_de_estudio[],MATCH($AF$2,Carreras,0)+2,0),"")&gt;0,IFERROR(VLOOKUP($C128,Planes_de_estudio[],MATCH($AF$2,Carreras,0)+2,0),""),"")</f>
        <v/>
      </c>
      <c r="AG128" s="155" t="str">
        <f>IF(IFERROR(VLOOKUP($C128,Planes_de_estudio[],MATCH($AG$2,Carreras,0)+2,0),"")&gt;0,IFERROR(VLOOKUP($C128,Planes_de_estudio[],MATCH($AG$2,Carreras,0)+2,0),""),"")</f>
        <v/>
      </c>
      <c r="AH128" s="155" t="str">
        <f>IF(IFERROR(VLOOKUP($C128,Planes_de_estudio[],MATCH($AH$2,Carreras,0)+2,0),"")&gt;0,IFERROR(VLOOKUP($C128,Planes_de_estudio[],MATCH($AH$2,Carreras,0)+2,0),""),"")</f>
        <v/>
      </c>
      <c r="AI128" s="155" t="str">
        <f>IF(IFERROR(VLOOKUP($C128,Planes_de_estudio[],MATCH($AI$2,Carreras,0)+2,0),"")&gt;0,IFERROR(VLOOKUP($C128,Planes_de_estudio[],MATCH($AI$2,Carreras,0)+2,0),""),"")</f>
        <v/>
      </c>
      <c r="AJ128" s="155" t="str">
        <f>IF(IFERROR(VLOOKUP($C128,Planes_de_estudio[],MATCH($AJ$2,Carreras,0)+2,0),"")&gt;0,IFERROR(VLOOKUP($C128,Planes_de_estudio[],MATCH($AJ$2,Carreras,0)+2,0),""),"")</f>
        <v/>
      </c>
      <c r="AK128" s="155">
        <f>IF(IFERROR(VLOOKUP($C128,Planes_de_estudio[],MATCH($AK$2,Carreras,0)+2,0),"")&gt;0,IFERROR(VLOOKUP($C128,Planes_de_estudio[],MATCH($AK$2,Carreras,0)+2,0),""),"")</f>
        <v>7</v>
      </c>
      <c r="AL12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0</v>
      </c>
      <c r="AM12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28" s="155">
        <f>base_de_datos[[#This Row],[Pronóstico]]/25</f>
        <v>0.16</v>
      </c>
      <c r="AO128" s="155" t="str">
        <f>VLOOKUP($C128,Planes_de_estudio[],2)</f>
        <v>EEC</v>
      </c>
      <c r="AP128" s="157" t="str">
        <f ca="1">IF(AND(base_de_datos[[#This Row],[Industrial]]&lt;&gt;"",base_de_datos[[#This Row],[Misma o no]]=1),base_de_datos[[#This Row],[Índice]],"")</f>
        <v/>
      </c>
      <c r="AQ128" s="157" t="str">
        <f ca="1">IF(AND(base_de_datos[[#This Row],[Mecatrónica]]&lt;&gt;"",base_de_datos[[#This Row],[Misma o no]]=1),base_de_datos[[#This Row],[Índice]],"")</f>
        <v/>
      </c>
      <c r="AR128" s="157" t="str">
        <f ca="1">IF(AND(base_de_datos[[#This Row],[Innovación y Diseño]]&lt;&gt;"",base_de_datos[[#This Row],[Misma o no]]=1),base_de_datos[[#This Row],[Índice]],"")</f>
        <v/>
      </c>
      <c r="AS128" s="157" t="str">
        <f ca="1">IF(AND(base_de_datos[[#This Row],[Inteligencia Artificial]]&lt;&gt;"",base_de_datos[[#This Row],[Misma o no]]=1),base_de_datos[[#This Row],[Índice]],"")</f>
        <v/>
      </c>
      <c r="AT128" s="157" t="str">
        <f ca="1">IF(AND(base_de_datos[[#This Row],[Tecnologías Energéticas]]&lt;&gt;"",base_de_datos[[#This Row],[Misma o no]]=1),base_de_datos[[#This Row],[Índice]],"")</f>
        <v/>
      </c>
      <c r="AU128" s="157" t="str">
        <f ca="1">IF(AND(base_de_datos[[#This Row],[Civil y Administración]]&lt;&gt;"",base_de_datos[[#This Row],[Misma o no]]=1),base_de_datos[[#This Row],[Índice]],"")</f>
        <v/>
      </c>
      <c r="AV128" s="157">
        <f ca="1">IF(AND(base_de_datos[[#This Row],[Bioelectrónica]]&lt;&gt;"",base_de_datos[[#This Row],[Misma o no]]=1),base_de_datos[[#This Row],[Índice]],"")</f>
        <v>0</v>
      </c>
      <c r="AW128" s="158"/>
      <c r="AX128" s="231">
        <v>2</v>
      </c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/>
      <c r="HF128" s="6"/>
      <c r="HG128" s="6"/>
      <c r="HH128" s="6"/>
      <c r="HI128" s="6"/>
      <c r="HJ128" s="6"/>
      <c r="HK128" s="6"/>
      <c r="HL128" s="6"/>
      <c r="HM128" s="6"/>
    </row>
    <row r="129" spans="1:221" s="163" customFormat="1" ht="15">
      <c r="A129" s="6"/>
      <c r="B129" s="148" t="s">
        <v>307</v>
      </c>
      <c r="C129" s="149" t="s">
        <v>308</v>
      </c>
      <c r="D129" s="150">
        <v>1</v>
      </c>
      <c r="E129" s="151">
        <v>0.79166666666666696</v>
      </c>
      <c r="F129" s="151">
        <v>0.85416666666665797</v>
      </c>
      <c r="G129" s="150"/>
      <c r="H129" s="150" t="s">
        <v>178</v>
      </c>
      <c r="I129" s="150">
        <f>INDEX(Aulas_capacidad,MATCH(base_de_datos[[#This Row],[Aula]],Aulas,0),2)</f>
        <v>24</v>
      </c>
      <c r="J129" s="152">
        <v>7</v>
      </c>
      <c r="K129" s="150">
        <f>INDEX(Aulas_capacidad,MATCH(base_de_datos[[#This Row],[Aula]],Aulas,0),4)</f>
        <v>12</v>
      </c>
      <c r="L129" s="153">
        <f>base_de_datos[[#This Row],[Cap 1.5]]-base_de_datos[[#This Row],[Inscritos]]</f>
        <v>5</v>
      </c>
      <c r="M129" s="153">
        <f>INDEX(Aulas_capacidad,MATCH(base_de_datos[[#This Row],[Aula]],Aulas,0),5)</f>
        <v>12</v>
      </c>
      <c r="N129" s="153">
        <f>base_de_datos[[#This Row],[Cap .90]]-base_de_datos[[#This Row],[Inscritos]]</f>
        <v>5</v>
      </c>
      <c r="O129" s="150" t="s">
        <v>309</v>
      </c>
      <c r="P129" s="154"/>
      <c r="Q129" s="154"/>
      <c r="R129" s="154" t="s">
        <v>67</v>
      </c>
      <c r="S129" s="154"/>
      <c r="T129" s="154"/>
      <c r="U129" s="154"/>
      <c r="V129" s="154"/>
      <c r="W129" s="154" t="s">
        <v>1653</v>
      </c>
      <c r="X129" s="155">
        <f>_xlfn.XLOOKUP(base_de_datos[[#This Row],[Materia]],Materias,Horas)/16</f>
        <v>4</v>
      </c>
      <c r="Y129" s="155">
        <f>ROUND(((base_de_datos[[#This Row],[Hora fin]]-base_de_datos[[#This Row],[Hora inicio]])*24)*(COUNTA(base_de_datos[[#This Row],[Lunes]:[Sábado]])),1)</f>
        <v>1.5</v>
      </c>
      <c r="Z12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9" s="155">
        <f ca="1">IF(base_de_datos[[#This Row],[No clase]]=OFFSET(base_de_datos[[#This Row],[No clase]],-1,0),0,1)</f>
        <v>0</v>
      </c>
      <c r="AB129" s="155">
        <f ca="1">IF(NOT(OR(base_de_datos[[#This Row],[Horas totales]]=base_de_datos[[#This Row],[HT Plan]],base_de_datos[[#This Row],[Horas totales]]="N/A")),1,0)</f>
        <v>0</v>
      </c>
      <c r="AC129" s="155" t="str">
        <f>_xlfn.XLOOKUP(base_de_datos[[#This Row],[Profesor]],Nombre,Grado)</f>
        <v>A</v>
      </c>
      <c r="AD129" s="156" t="str">
        <f>_xlfn.XLOOKUP(base_de_datos[[#This Row],[Profesor]],Nombre,Tipo)</f>
        <v>A</v>
      </c>
      <c r="AE129" s="155" t="str">
        <f>IF(IFERROR(VLOOKUP($C129,Planes_de_estudio[],MATCH($AE$2,Carreras,0)+2,0),"")&gt;0,IFERROR(VLOOKUP($C129,Planes_de_estudio[],MATCH($AE$2,Carreras,0)+2,0),""),"")</f>
        <v/>
      </c>
      <c r="AF129" s="155" t="str">
        <f>IF(IFERROR(VLOOKUP($C129,Planes_de_estudio[],MATCH($AF$2,Carreras,0)+2,0),"")&gt;0,IFERROR(VLOOKUP($C129,Planes_de_estudio[],MATCH($AF$2,Carreras,0)+2,0),""),"")</f>
        <v/>
      </c>
      <c r="AG129" s="155" t="str">
        <f>IF(IFERROR(VLOOKUP($C129,Planes_de_estudio[],MATCH($AG$2,Carreras,0)+2,0),"")&gt;0,IFERROR(VLOOKUP($C129,Planes_de_estudio[],MATCH($AG$2,Carreras,0)+2,0),""),"")</f>
        <v/>
      </c>
      <c r="AH129" s="155" t="str">
        <f>IF(IFERROR(VLOOKUP($C129,Planes_de_estudio[],MATCH($AH$2,Carreras,0)+2,0),"")&gt;0,IFERROR(VLOOKUP($C129,Planes_de_estudio[],MATCH($AH$2,Carreras,0)+2,0),""),"")</f>
        <v/>
      </c>
      <c r="AI129" s="155" t="str">
        <f>IF(IFERROR(VLOOKUP($C129,Planes_de_estudio[],MATCH($AI$2,Carreras,0)+2,0),"")&gt;0,IFERROR(VLOOKUP($C129,Planes_de_estudio[],MATCH($AI$2,Carreras,0)+2,0),""),"")</f>
        <v/>
      </c>
      <c r="AJ129" s="155" t="str">
        <f>IF(IFERROR(VLOOKUP($C129,Planes_de_estudio[],MATCH($AJ$2,Carreras,0)+2,0),"")&gt;0,IFERROR(VLOOKUP($C129,Planes_de_estudio[],MATCH($AJ$2,Carreras,0)+2,0),""),"")</f>
        <v/>
      </c>
      <c r="AK129" s="155">
        <f>IF(IFERROR(VLOOKUP($C129,Planes_de_estudio[],MATCH($AK$2,Carreras,0)+2,0),"")&gt;0,IFERROR(VLOOKUP($C129,Planes_de_estudio[],MATCH($AK$2,Carreras,0)+2,0),""),"")</f>
        <v>7</v>
      </c>
      <c r="AL12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0</v>
      </c>
      <c r="AM12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129" s="155">
        <f>base_de_datos[[#This Row],[Pronóstico]]/25</f>
        <v>0.16</v>
      </c>
      <c r="AO129" s="155" t="str">
        <f>VLOOKUP($C129,Planes_de_estudio[],2)</f>
        <v>EEC</v>
      </c>
      <c r="AP129" s="157" t="str">
        <f ca="1">IF(AND(base_de_datos[[#This Row],[Industrial]]&lt;&gt;"",base_de_datos[[#This Row],[Misma o no]]=1),base_de_datos[[#This Row],[Índice]],"")</f>
        <v/>
      </c>
      <c r="AQ129" s="157" t="str">
        <f ca="1">IF(AND(base_de_datos[[#This Row],[Mecatrónica]]&lt;&gt;"",base_de_datos[[#This Row],[Misma o no]]=1),base_de_datos[[#This Row],[Índice]],"")</f>
        <v/>
      </c>
      <c r="AR129" s="157" t="str">
        <f ca="1">IF(AND(base_de_datos[[#This Row],[Innovación y Diseño]]&lt;&gt;"",base_de_datos[[#This Row],[Misma o no]]=1),base_de_datos[[#This Row],[Índice]],"")</f>
        <v/>
      </c>
      <c r="AS129" s="157" t="str">
        <f ca="1">IF(AND(base_de_datos[[#This Row],[Inteligencia Artificial]]&lt;&gt;"",base_de_datos[[#This Row],[Misma o no]]=1),base_de_datos[[#This Row],[Índice]],"")</f>
        <v/>
      </c>
      <c r="AT129" s="157" t="str">
        <f ca="1">IF(AND(base_de_datos[[#This Row],[Tecnologías Energéticas]]&lt;&gt;"",base_de_datos[[#This Row],[Misma o no]]=1),base_de_datos[[#This Row],[Índice]],"")</f>
        <v/>
      </c>
      <c r="AU129" s="157" t="str">
        <f ca="1">IF(AND(base_de_datos[[#This Row],[Civil y Administración]]&lt;&gt;"",base_de_datos[[#This Row],[Misma o no]]=1),base_de_datos[[#This Row],[Índice]],"")</f>
        <v/>
      </c>
      <c r="AV129" s="157" t="str">
        <f ca="1">IF(AND(base_de_datos[[#This Row],[Bioelectrónica]]&lt;&gt;"",base_de_datos[[#This Row],[Misma o no]]=1),base_de_datos[[#This Row],[Índice]],"")</f>
        <v/>
      </c>
      <c r="AW129" s="158"/>
      <c r="AX129" s="231">
        <v>2</v>
      </c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  <c r="HL129" s="6"/>
      <c r="HM129" s="6"/>
    </row>
    <row r="130" spans="1:221" s="6" customFormat="1" ht="15">
      <c r="B130" s="148" t="s">
        <v>310</v>
      </c>
      <c r="C130" s="149" t="s">
        <v>159</v>
      </c>
      <c r="D130" s="150">
        <v>3</v>
      </c>
      <c r="E130" s="151">
        <v>0.5</v>
      </c>
      <c r="F130" s="151">
        <v>0.624999999999995</v>
      </c>
      <c r="G130" s="150"/>
      <c r="H130" s="150" t="s">
        <v>132</v>
      </c>
      <c r="I130" s="150">
        <f>INDEX(Aulas_capacidad,MATCH(base_de_datos[[#This Row],[Aula]],Aulas,0),2)</f>
        <v>30</v>
      </c>
      <c r="J130" s="152"/>
      <c r="K130" s="150">
        <f>INDEX(Aulas_capacidad,MATCH(base_de_datos[[#This Row],[Aula]],Aulas,0),4)</f>
        <v>12</v>
      </c>
      <c r="L130" s="153">
        <f>base_de_datos[[#This Row],[Cap 1.5]]-base_de_datos[[#This Row],[Inscritos]]</f>
        <v>12</v>
      </c>
      <c r="M130" s="153">
        <f>INDEX(Aulas_capacidad,MATCH(base_de_datos[[#This Row],[Aula]],Aulas,0),5)</f>
        <v>18</v>
      </c>
      <c r="N130" s="153">
        <f>base_de_datos[[#This Row],[Cap .90]]-base_de_datos[[#This Row],[Inscritos]]</f>
        <v>18</v>
      </c>
      <c r="O130" s="150" t="s">
        <v>311</v>
      </c>
      <c r="P130" s="154"/>
      <c r="Q130" s="154"/>
      <c r="R130" s="154"/>
      <c r="S130" s="154"/>
      <c r="T130" s="154" t="s">
        <v>67</v>
      </c>
      <c r="U130" s="154"/>
      <c r="V130" s="154"/>
      <c r="W130" s="154" t="s">
        <v>1652</v>
      </c>
      <c r="X130" s="155">
        <f>_xlfn.XLOOKUP(base_de_datos[[#This Row],[Materia]],Materias,Horas)/16</f>
        <v>3</v>
      </c>
      <c r="Y130" s="155">
        <f>ROUND(((base_de_datos[[#This Row],[Hora fin]]-base_de_datos[[#This Row],[Hora inicio]])*24)*(COUNTA(base_de_datos[[#This Row],[Lunes]:[Sábado]])),1)</f>
        <v>3</v>
      </c>
      <c r="Z13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0" s="155">
        <f ca="1">IF(base_de_datos[[#This Row],[No clase]]=OFFSET(base_de_datos[[#This Row],[No clase]],-1,0),0,1)</f>
        <v>1</v>
      </c>
      <c r="AB130" s="155">
        <f ca="1">IF(NOT(OR(base_de_datos[[#This Row],[Horas totales]]=base_de_datos[[#This Row],[HT Plan]],base_de_datos[[#This Row],[Horas totales]]="N/A")),1,0)</f>
        <v>0</v>
      </c>
      <c r="AC130" s="155" t="str">
        <f>_xlfn.XLOOKUP(base_de_datos[[#This Row],[Profesor]],Nombre,Grado)</f>
        <v>D</v>
      </c>
      <c r="AD130" s="156" t="str">
        <f>_xlfn.XLOOKUP(base_de_datos[[#This Row],[Profesor]],Nombre,Tipo)</f>
        <v>H</v>
      </c>
      <c r="AE130" s="155">
        <f>IF(IFERROR(VLOOKUP($C130,Planes_de_estudio[],MATCH($AE$2,Carreras,0)+2,0),"")&gt;0,IFERROR(VLOOKUP($C130,Planes_de_estudio[],MATCH($AE$2,Carreras,0)+2,0),""),"")</f>
        <v>3</v>
      </c>
      <c r="AF130" s="155">
        <f>IF(IFERROR(VLOOKUP($C130,Planes_de_estudio[],MATCH($AF$2,Carreras,0)+2,0),"")&gt;0,IFERROR(VLOOKUP($C130,Planes_de_estudio[],MATCH($AF$2,Carreras,0)+2,0),""),"")</f>
        <v>3</v>
      </c>
      <c r="AG130" s="155">
        <f>IF(IFERROR(VLOOKUP($C130,Planes_de_estudio[],MATCH($AG$2,Carreras,0)+2,0),"")&gt;0,IFERROR(VLOOKUP($C130,Planes_de_estudio[],MATCH($AG$2,Carreras,0)+2,0),""),"")</f>
        <v>3</v>
      </c>
      <c r="AH130" s="155">
        <f>IF(IFERROR(VLOOKUP($C130,Planes_de_estudio[],MATCH($AH$2,Carreras,0)+2,0),"")&gt;0,IFERROR(VLOOKUP($C130,Planes_de_estudio[],MATCH($AH$2,Carreras,0)+2,0),""),"")</f>
        <v>3</v>
      </c>
      <c r="AI130" s="155">
        <f>IF(IFERROR(VLOOKUP($C130,Planes_de_estudio[],MATCH($AI$2,Carreras,0)+2,0),"")&gt;0,IFERROR(VLOOKUP($C130,Planes_de_estudio[],MATCH($AI$2,Carreras,0)+2,0),""),"")</f>
        <v>3</v>
      </c>
      <c r="AJ130" s="155">
        <f>IF(IFERROR(VLOOKUP($C130,Planes_de_estudio[],MATCH($AJ$2,Carreras,0)+2,0),"")&gt;0,IFERROR(VLOOKUP($C130,Planes_de_estudio[],MATCH($AJ$2,Carreras,0)+2,0),""),"")</f>
        <v>3</v>
      </c>
      <c r="AK130" s="155">
        <f>IF(IFERROR(VLOOKUP($C130,Planes_de_estudio[],MATCH($AK$2,Carreras,0)+2,0),"")&gt;0,IFERROR(VLOOKUP($C130,Planes_de_estudio[],MATCH($AK$2,Carreras,0)+2,0),""),"")</f>
        <v>3</v>
      </c>
      <c r="AL13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130" s="155">
        <f>base_de_datos[[#This Row],[Pronóstico]]/25</f>
        <v>4.4000000000000004</v>
      </c>
      <c r="AO130" s="155" t="str">
        <f>VLOOKUP($C130,Planes_de_estudio[],2)</f>
        <v>HUM</v>
      </c>
      <c r="AP130" s="157">
        <f ca="1">IF(AND(base_de_datos[[#This Row],[Industrial]]&lt;&gt;"",base_de_datos[[#This Row],[Misma o no]]=1),base_de_datos[[#This Row],[Índice]],"")</f>
        <v>6</v>
      </c>
      <c r="AQ130" s="157">
        <f ca="1">IF(AND(base_de_datos[[#This Row],[Mecatrónica]]&lt;&gt;"",base_de_datos[[#This Row],[Misma o no]]=1),base_de_datos[[#This Row],[Índice]],"")</f>
        <v>6</v>
      </c>
      <c r="AR130" s="157">
        <f ca="1">IF(AND(base_de_datos[[#This Row],[Innovación y Diseño]]&lt;&gt;"",base_de_datos[[#This Row],[Misma o no]]=1),base_de_datos[[#This Row],[Índice]],"")</f>
        <v>6</v>
      </c>
      <c r="AS130" s="157">
        <f ca="1">IF(AND(base_de_datos[[#This Row],[Inteligencia Artificial]]&lt;&gt;"",base_de_datos[[#This Row],[Misma o no]]=1),base_de_datos[[#This Row],[Índice]],"")</f>
        <v>6</v>
      </c>
      <c r="AT130" s="157">
        <f ca="1">IF(AND(base_de_datos[[#This Row],[Tecnologías Energéticas]]&lt;&gt;"",base_de_datos[[#This Row],[Misma o no]]=1),base_de_datos[[#This Row],[Índice]],"")</f>
        <v>6</v>
      </c>
      <c r="AU130" s="157">
        <f ca="1">IF(AND(base_de_datos[[#This Row],[Civil y Administración]]&lt;&gt;"",base_de_datos[[#This Row],[Misma o no]]=1),base_de_datos[[#This Row],[Índice]],"")</f>
        <v>6</v>
      </c>
      <c r="AV130" s="157">
        <f ca="1">IF(AND(base_de_datos[[#This Row],[Bioelectrónica]]&lt;&gt;"",base_de_datos[[#This Row],[Misma o no]]=1),base_de_datos[[#This Row],[Índice]],"")</f>
        <v>6</v>
      </c>
      <c r="AW130" s="158"/>
      <c r="AX130" s="231">
        <v>2</v>
      </c>
    </row>
    <row r="131" spans="1:221" s="160" customFormat="1" ht="15">
      <c r="A131" s="6"/>
      <c r="B131" s="148" t="s">
        <v>312</v>
      </c>
      <c r="C131" s="149" t="s">
        <v>313</v>
      </c>
      <c r="D131" s="150">
        <v>1</v>
      </c>
      <c r="E131" s="151">
        <v>0.5</v>
      </c>
      <c r="F131" s="151">
        <v>0.58333333333332904</v>
      </c>
      <c r="G131" s="150"/>
      <c r="H131" s="150" t="s">
        <v>70</v>
      </c>
      <c r="I131" s="150">
        <f>INDEX(Aulas_capacidad,MATCH(base_de_datos[[#This Row],[Aula]],Aulas,0),2)</f>
        <v>20</v>
      </c>
      <c r="J131" s="152">
        <v>9</v>
      </c>
      <c r="K131" s="150">
        <f>INDEX(Aulas_capacidad,MATCH(base_de_datos[[#This Row],[Aula]],Aulas,0),4)</f>
        <v>8</v>
      </c>
      <c r="L131" s="153">
        <f>base_de_datos[[#This Row],[Cap 1.5]]-base_de_datos[[#This Row],[Inscritos]]</f>
        <v>-1</v>
      </c>
      <c r="M131" s="153">
        <f>INDEX(Aulas_capacidad,MATCH(base_de_datos[[#This Row],[Aula]],Aulas,0),5)</f>
        <v>10</v>
      </c>
      <c r="N131" s="153">
        <f>base_de_datos[[#This Row],[Cap .90]]-base_de_datos[[#This Row],[Inscritos]]</f>
        <v>1</v>
      </c>
      <c r="O131" s="150">
        <v>1473</v>
      </c>
      <c r="P131" s="154" t="s">
        <v>67</v>
      </c>
      <c r="Q131" s="154"/>
      <c r="R131" s="154"/>
      <c r="S131" s="154"/>
      <c r="T131" s="154"/>
      <c r="U131" s="154"/>
      <c r="V131" s="154"/>
      <c r="W131" s="154" t="s">
        <v>1655</v>
      </c>
      <c r="X131" s="155">
        <f>_xlfn.XLOOKUP(base_de_datos[[#This Row],[Materia]],Materias,Horas)/16</f>
        <v>4</v>
      </c>
      <c r="Y131" s="155">
        <f>ROUND(((base_de_datos[[#This Row],[Hora fin]]-base_de_datos[[#This Row],[Hora inicio]])*24)*(COUNTA(base_de_datos[[#This Row],[Lunes]:[Sábado]])),1)</f>
        <v>2</v>
      </c>
      <c r="Z13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1" s="155">
        <f ca="1">IF(base_de_datos[[#This Row],[No clase]]=OFFSET(base_de_datos[[#This Row],[No clase]],-1,0),0,1)</f>
        <v>1</v>
      </c>
      <c r="AB131" s="155">
        <f ca="1">IF(NOT(OR(base_de_datos[[#This Row],[Horas totales]]=base_de_datos[[#This Row],[HT Plan]],base_de_datos[[#This Row],[Horas totales]]="N/A")),1,0)</f>
        <v>0</v>
      </c>
      <c r="AC131" s="155" t="str">
        <f>_xlfn.XLOOKUP(base_de_datos[[#This Row],[Profesor]],Nombre,Grado)</f>
        <v>M</v>
      </c>
      <c r="AD131" s="156" t="str">
        <f>_xlfn.XLOOKUP(base_de_datos[[#This Row],[Profesor]],Nombre,Tipo)</f>
        <v>OA</v>
      </c>
      <c r="AE131" s="155" t="str">
        <f>IF(IFERROR(VLOOKUP($C131,Planes_de_estudio[],MATCH($AE$2,Carreras,0)+2,0),"")&gt;0,IFERROR(VLOOKUP($C131,Planes_de_estudio[],MATCH($AE$2,Carreras,0)+2,0),""),"")</f>
        <v/>
      </c>
      <c r="AF131" s="155" t="str">
        <f>IF(IFERROR(VLOOKUP($C131,Planes_de_estudio[],MATCH($AF$2,Carreras,0)+2,0),"")&gt;0,IFERROR(VLOOKUP($C131,Planes_de_estudio[],MATCH($AF$2,Carreras,0)+2,0),""),"")</f>
        <v/>
      </c>
      <c r="AG131" s="155" t="str">
        <f>IF(IFERROR(VLOOKUP($C131,Planes_de_estudio[],MATCH($AG$2,Carreras,0)+2,0),"")&gt;0,IFERROR(VLOOKUP($C131,Planes_de_estudio[],MATCH($AG$2,Carreras,0)+2,0),""),"")</f>
        <v/>
      </c>
      <c r="AH131" s="155" t="str">
        <f>IF(IFERROR(VLOOKUP($C131,Planes_de_estudio[],MATCH($AH$2,Carreras,0)+2,0),"")&gt;0,IFERROR(VLOOKUP($C131,Planes_de_estudio[],MATCH($AH$2,Carreras,0)+2,0),""),"")</f>
        <v/>
      </c>
      <c r="AI131" s="155" t="str">
        <f>IF(IFERROR(VLOOKUP($C131,Planes_de_estudio[],MATCH($AI$2,Carreras,0)+2,0),"")&gt;0,IFERROR(VLOOKUP($C131,Planes_de_estudio[],MATCH($AI$2,Carreras,0)+2,0),""),"")</f>
        <v/>
      </c>
      <c r="AJ131" s="155">
        <f>IF(IFERROR(VLOOKUP($C131,Planes_de_estudio[],MATCH($AJ$2,Carreras,0)+2,0),"")&gt;0,IFERROR(VLOOKUP($C131,Planes_de_estudio[],MATCH($AJ$2,Carreras,0)+2,0),""),"")</f>
        <v>5</v>
      </c>
      <c r="AK131" s="155" t="str">
        <f>IF(IFERROR(VLOOKUP($C131,Planes_de_estudio[],MATCH($AK$2,Carreras,0)+2,0),"")&gt;0,IFERROR(VLOOKUP($C131,Planes_de_estudio[],MATCH($AK$2,Carreras,0)+2,0),""),"")</f>
        <v/>
      </c>
      <c r="AL13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31" s="155">
        <f>base_de_datos[[#This Row],[Pronóstico]]/25</f>
        <v>0.4</v>
      </c>
      <c r="AO131" s="155" t="str">
        <f>VLOOKUP($C131,Planes_de_estudio[],2)</f>
        <v>COM</v>
      </c>
      <c r="AP131" s="157" t="str">
        <f ca="1">IF(AND(base_de_datos[[#This Row],[Industrial]]&lt;&gt;"",base_de_datos[[#This Row],[Misma o no]]=1),base_de_datos[[#This Row],[Índice]],"")</f>
        <v/>
      </c>
      <c r="AQ131" s="157" t="str">
        <f ca="1">IF(AND(base_de_datos[[#This Row],[Mecatrónica]]&lt;&gt;"",base_de_datos[[#This Row],[Misma o no]]=1),base_de_datos[[#This Row],[Índice]],"")</f>
        <v/>
      </c>
      <c r="AR131" s="157" t="str">
        <f ca="1">IF(AND(base_de_datos[[#This Row],[Innovación y Diseño]]&lt;&gt;"",base_de_datos[[#This Row],[Misma o no]]=1),base_de_datos[[#This Row],[Índice]],"")</f>
        <v/>
      </c>
      <c r="AS131" s="157" t="str">
        <f ca="1">IF(AND(base_de_datos[[#This Row],[Inteligencia Artificial]]&lt;&gt;"",base_de_datos[[#This Row],[Misma o no]]=1),base_de_datos[[#This Row],[Índice]],"")</f>
        <v/>
      </c>
      <c r="AT131" s="157" t="str">
        <f ca="1">IF(AND(base_de_datos[[#This Row],[Tecnologías Energéticas]]&lt;&gt;"",base_de_datos[[#This Row],[Misma o no]]=1),base_de_datos[[#This Row],[Índice]],"")</f>
        <v/>
      </c>
      <c r="AU131" s="157">
        <f ca="1">IF(AND(base_de_datos[[#This Row],[Civil y Administración]]&lt;&gt;"",base_de_datos[[#This Row],[Misma o no]]=1),base_de_datos[[#This Row],[Índice]],"")</f>
        <v>4</v>
      </c>
      <c r="AV131" s="157" t="str">
        <f ca="1">IF(AND(base_de_datos[[#This Row],[Bioelectrónica]]&lt;&gt;"",base_de_datos[[#This Row],[Misma o no]]=1),base_de_datos[[#This Row],[Índice]],"")</f>
        <v/>
      </c>
      <c r="AW131" s="158"/>
      <c r="AX131" s="231">
        <v>2</v>
      </c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</row>
    <row r="132" spans="1:221" s="160" customFormat="1" ht="15">
      <c r="A132" s="6"/>
      <c r="B132" s="148" t="s">
        <v>312</v>
      </c>
      <c r="C132" s="149" t="s">
        <v>313</v>
      </c>
      <c r="D132" s="150">
        <v>1</v>
      </c>
      <c r="E132" s="151">
        <v>0.5</v>
      </c>
      <c r="F132" s="151">
        <v>0.58333333333332904</v>
      </c>
      <c r="G132" s="150"/>
      <c r="H132" s="150" t="s">
        <v>119</v>
      </c>
      <c r="I132" s="150">
        <f>INDEX(Aulas_capacidad,MATCH(base_de_datos[[#This Row],[Aula]],Aulas,0),2)</f>
        <v>20</v>
      </c>
      <c r="J132" s="152">
        <v>9</v>
      </c>
      <c r="K132" s="150">
        <f>INDEX(Aulas_capacidad,MATCH(base_de_datos[[#This Row],[Aula]],Aulas,0),4)</f>
        <v>7</v>
      </c>
      <c r="L132" s="153">
        <f>base_de_datos[[#This Row],[Cap 1.5]]-base_de_datos[[#This Row],[Inscritos]]</f>
        <v>-2</v>
      </c>
      <c r="M132" s="153">
        <f>INDEX(Aulas_capacidad,MATCH(base_de_datos[[#This Row],[Aula]],Aulas,0),5)</f>
        <v>8</v>
      </c>
      <c r="N132" s="153">
        <f>base_de_datos[[#This Row],[Cap .90]]-base_de_datos[[#This Row],[Inscritos]]</f>
        <v>-1</v>
      </c>
      <c r="O132" s="150">
        <v>1473</v>
      </c>
      <c r="P132" s="154"/>
      <c r="Q132" s="154" t="s">
        <v>67</v>
      </c>
      <c r="R132" s="154"/>
      <c r="S132" s="154"/>
      <c r="T132" s="154"/>
      <c r="U132" s="154"/>
      <c r="V132" s="154"/>
      <c r="W132" s="154" t="s">
        <v>1655</v>
      </c>
      <c r="X132" s="155">
        <f>_xlfn.XLOOKUP(base_de_datos[[#This Row],[Materia]],Materias,Horas)/16</f>
        <v>4</v>
      </c>
      <c r="Y132" s="155">
        <f>ROUND(((base_de_datos[[#This Row],[Hora fin]]-base_de_datos[[#This Row],[Hora inicio]])*24)*(COUNTA(base_de_datos[[#This Row],[Lunes]:[Sábado]])),1)</f>
        <v>2</v>
      </c>
      <c r="Z13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2" s="155">
        <f ca="1">IF(base_de_datos[[#This Row],[No clase]]=OFFSET(base_de_datos[[#This Row],[No clase]],-1,0),0,1)</f>
        <v>0</v>
      </c>
      <c r="AB132" s="155">
        <f ca="1">IF(NOT(OR(base_de_datos[[#This Row],[Horas totales]]=base_de_datos[[#This Row],[HT Plan]],base_de_datos[[#This Row],[Horas totales]]="N/A")),1,0)</f>
        <v>0</v>
      </c>
      <c r="AC132" s="155" t="str">
        <f>_xlfn.XLOOKUP(base_de_datos[[#This Row],[Profesor]],Nombre,Grado)</f>
        <v>M</v>
      </c>
      <c r="AD132" s="156" t="str">
        <f>_xlfn.XLOOKUP(base_de_datos[[#This Row],[Profesor]],Nombre,Tipo)</f>
        <v>OA</v>
      </c>
      <c r="AE132" s="155" t="str">
        <f>IF(IFERROR(VLOOKUP($C132,Planes_de_estudio[],MATCH($AE$2,Carreras,0)+2,0),"")&gt;0,IFERROR(VLOOKUP($C132,Planes_de_estudio[],MATCH($AE$2,Carreras,0)+2,0),""),"")</f>
        <v/>
      </c>
      <c r="AF132" s="155" t="str">
        <f>IF(IFERROR(VLOOKUP($C132,Planes_de_estudio[],MATCH($AF$2,Carreras,0)+2,0),"")&gt;0,IFERROR(VLOOKUP($C132,Planes_de_estudio[],MATCH($AF$2,Carreras,0)+2,0),""),"")</f>
        <v/>
      </c>
      <c r="AG132" s="155" t="str">
        <f>IF(IFERROR(VLOOKUP($C132,Planes_de_estudio[],MATCH($AG$2,Carreras,0)+2,0),"")&gt;0,IFERROR(VLOOKUP($C132,Planes_de_estudio[],MATCH($AG$2,Carreras,0)+2,0),""),"")</f>
        <v/>
      </c>
      <c r="AH132" s="155" t="str">
        <f>IF(IFERROR(VLOOKUP($C132,Planes_de_estudio[],MATCH($AH$2,Carreras,0)+2,0),"")&gt;0,IFERROR(VLOOKUP($C132,Planes_de_estudio[],MATCH($AH$2,Carreras,0)+2,0),""),"")</f>
        <v/>
      </c>
      <c r="AI132" s="155" t="str">
        <f>IF(IFERROR(VLOOKUP($C132,Planes_de_estudio[],MATCH($AI$2,Carreras,0)+2,0),"")&gt;0,IFERROR(VLOOKUP($C132,Planes_de_estudio[],MATCH($AI$2,Carreras,0)+2,0),""),"")</f>
        <v/>
      </c>
      <c r="AJ132" s="155">
        <f>IF(IFERROR(VLOOKUP($C132,Planes_de_estudio[],MATCH($AJ$2,Carreras,0)+2,0),"")&gt;0,IFERROR(VLOOKUP($C132,Planes_de_estudio[],MATCH($AJ$2,Carreras,0)+2,0),""),"")</f>
        <v>5</v>
      </c>
      <c r="AK132" s="155" t="str">
        <f>IF(IFERROR(VLOOKUP($C132,Planes_de_estudio[],MATCH($AK$2,Carreras,0)+2,0),"")&gt;0,IFERROR(VLOOKUP($C132,Planes_de_estudio[],MATCH($AK$2,Carreras,0)+2,0),""),"")</f>
        <v/>
      </c>
      <c r="AL13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32" s="155">
        <f>base_de_datos[[#This Row],[Pronóstico]]/25</f>
        <v>0.4</v>
      </c>
      <c r="AO132" s="155" t="str">
        <f>VLOOKUP($C132,Planes_de_estudio[],2)</f>
        <v>COM</v>
      </c>
      <c r="AP132" s="157" t="str">
        <f ca="1">IF(AND(base_de_datos[[#This Row],[Industrial]]&lt;&gt;"",base_de_datos[[#This Row],[Misma o no]]=1),base_de_datos[[#This Row],[Índice]],"")</f>
        <v/>
      </c>
      <c r="AQ132" s="157" t="str">
        <f ca="1">IF(AND(base_de_datos[[#This Row],[Mecatrónica]]&lt;&gt;"",base_de_datos[[#This Row],[Misma o no]]=1),base_de_datos[[#This Row],[Índice]],"")</f>
        <v/>
      </c>
      <c r="AR132" s="157" t="str">
        <f ca="1">IF(AND(base_de_datos[[#This Row],[Innovación y Diseño]]&lt;&gt;"",base_de_datos[[#This Row],[Misma o no]]=1),base_de_datos[[#This Row],[Índice]],"")</f>
        <v/>
      </c>
      <c r="AS132" s="157" t="str">
        <f ca="1">IF(AND(base_de_datos[[#This Row],[Inteligencia Artificial]]&lt;&gt;"",base_de_datos[[#This Row],[Misma o no]]=1),base_de_datos[[#This Row],[Índice]],"")</f>
        <v/>
      </c>
      <c r="AT132" s="157" t="str">
        <f ca="1">IF(AND(base_de_datos[[#This Row],[Tecnologías Energéticas]]&lt;&gt;"",base_de_datos[[#This Row],[Misma o no]]=1),base_de_datos[[#This Row],[Índice]],"")</f>
        <v/>
      </c>
      <c r="AU132" s="157" t="str">
        <f ca="1">IF(AND(base_de_datos[[#This Row],[Civil y Administración]]&lt;&gt;"",base_de_datos[[#This Row],[Misma o no]]=1),base_de_datos[[#This Row],[Índice]],"")</f>
        <v/>
      </c>
      <c r="AV132" s="157" t="str">
        <f ca="1">IF(AND(base_de_datos[[#This Row],[Bioelectrónica]]&lt;&gt;"",base_de_datos[[#This Row],[Misma o no]]=1),base_de_datos[[#This Row],[Índice]],"")</f>
        <v/>
      </c>
      <c r="AW132" s="158"/>
      <c r="AX132" s="231">
        <v>1</v>
      </c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</row>
    <row r="133" spans="1:221" s="160" customFormat="1" ht="15">
      <c r="A133" s="6"/>
      <c r="B133" s="148" t="s">
        <v>314</v>
      </c>
      <c r="C133" s="149" t="s">
        <v>315</v>
      </c>
      <c r="D133" s="150">
        <v>1</v>
      </c>
      <c r="E133" s="151">
        <v>0.29166666666666669</v>
      </c>
      <c r="F133" s="151">
        <v>0.35416666666666602</v>
      </c>
      <c r="G133" s="150"/>
      <c r="H133" s="150" t="s">
        <v>260</v>
      </c>
      <c r="I133" s="150">
        <f>INDEX(Aulas_capacidad,MATCH(base_de_datos[[#This Row],[Aula]],Aulas,0),2)</f>
        <v>20</v>
      </c>
      <c r="J133" s="152">
        <v>12</v>
      </c>
      <c r="K133" s="150">
        <f>INDEX(Aulas_capacidad,MATCH(base_de_datos[[#This Row],[Aula]],Aulas,0),4)</f>
        <v>8</v>
      </c>
      <c r="L133" s="153">
        <f>base_de_datos[[#This Row],[Cap 1.5]]-base_de_datos[[#This Row],[Inscritos]]</f>
        <v>-4</v>
      </c>
      <c r="M133" s="153">
        <f>INDEX(Aulas_capacidad,MATCH(base_de_datos[[#This Row],[Aula]],Aulas,0),5)</f>
        <v>10</v>
      </c>
      <c r="N133" s="153">
        <f>base_de_datos[[#This Row],[Cap .90]]-base_de_datos[[#This Row],[Inscritos]]</f>
        <v>-2</v>
      </c>
      <c r="O133" s="150">
        <v>5723</v>
      </c>
      <c r="P133" s="154"/>
      <c r="Q133" s="154" t="s">
        <v>67</v>
      </c>
      <c r="R133" s="154"/>
      <c r="S133" s="154"/>
      <c r="T133" s="154"/>
      <c r="U133" s="154"/>
      <c r="V133" s="154"/>
      <c r="W133" s="154" t="s">
        <v>1652</v>
      </c>
      <c r="X133" s="155">
        <f>_xlfn.XLOOKUP(base_de_datos[[#This Row],[Materia]],Materias,Horas)/16</f>
        <v>3</v>
      </c>
      <c r="Y133" s="155">
        <f>ROUND(((base_de_datos[[#This Row],[Hora fin]]-base_de_datos[[#This Row],[Hora inicio]])*24)*(COUNTA(base_de_datos[[#This Row],[Lunes]:[Sábado]])),1)</f>
        <v>1.5</v>
      </c>
      <c r="Z13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3" s="155">
        <f ca="1">IF(base_de_datos[[#This Row],[No clase]]=OFFSET(base_de_datos[[#This Row],[No clase]],-1,0),0,1)</f>
        <v>1</v>
      </c>
      <c r="AB133" s="155">
        <f ca="1">IF(NOT(OR(base_de_datos[[#This Row],[Horas totales]]=base_de_datos[[#This Row],[HT Plan]],base_de_datos[[#This Row],[Horas totales]]="N/A")),1,0)</f>
        <v>0</v>
      </c>
      <c r="AC133" s="155" t="str">
        <f>_xlfn.XLOOKUP(base_de_datos[[#This Row],[Profesor]],Nombre,Grado)</f>
        <v>M</v>
      </c>
      <c r="AD133" s="156" t="str">
        <f>_xlfn.XLOOKUP(base_de_datos[[#This Row],[Profesor]],Nombre,Tipo)</f>
        <v>A</v>
      </c>
      <c r="AE133" s="155" t="str">
        <f>IF(IFERROR(VLOOKUP($C133,Planes_de_estudio[],MATCH($AE$2,Carreras,0)+2,0),"")&gt;0,IFERROR(VLOOKUP($C133,Planes_de_estudio[],MATCH($AE$2,Carreras,0)+2,0),""),"")</f>
        <v/>
      </c>
      <c r="AF133" s="155" t="str">
        <f>IF(IFERROR(VLOOKUP($C133,Planes_de_estudio[],MATCH($AF$2,Carreras,0)+2,0),"")&gt;0,IFERROR(VLOOKUP($C133,Planes_de_estudio[],MATCH($AF$2,Carreras,0)+2,0),""),"")</f>
        <v/>
      </c>
      <c r="AG133" s="155" t="str">
        <f>IF(IFERROR(VLOOKUP($C133,Planes_de_estudio[],MATCH($AG$2,Carreras,0)+2,0),"")&gt;0,IFERROR(VLOOKUP($C133,Planes_de_estudio[],MATCH($AG$2,Carreras,0)+2,0),""),"")</f>
        <v/>
      </c>
      <c r="AH133" s="155" t="str">
        <f>IF(IFERROR(VLOOKUP($C133,Planes_de_estudio[],MATCH($AH$2,Carreras,0)+2,0),"")&gt;0,IFERROR(VLOOKUP($C133,Planes_de_estudio[],MATCH($AH$2,Carreras,0)+2,0),""),"")</f>
        <v/>
      </c>
      <c r="AI133" s="155" t="str">
        <f>IF(IFERROR(VLOOKUP($C133,Planes_de_estudio[],MATCH($AI$2,Carreras,0)+2,0),"")&gt;0,IFERROR(VLOOKUP($C133,Planes_de_estudio[],MATCH($AI$2,Carreras,0)+2,0),""),"")</f>
        <v/>
      </c>
      <c r="AJ133" s="155">
        <f>IF(IFERROR(VLOOKUP($C133,Planes_de_estudio[],MATCH($AJ$2,Carreras,0)+2,0),"")&gt;0,IFERROR(VLOOKUP($C133,Planes_de_estudio[],MATCH($AJ$2,Carreras,0)+2,0),""),"")</f>
        <v>5</v>
      </c>
      <c r="AK133" s="155" t="str">
        <f>IF(IFERROR(VLOOKUP($C133,Planes_de_estudio[],MATCH($AK$2,Carreras,0)+2,0),"")&gt;0,IFERROR(VLOOKUP($C133,Planes_de_estudio[],MATCH($AK$2,Carreras,0)+2,0),""),"")</f>
        <v/>
      </c>
      <c r="AL13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33" s="155">
        <f>base_de_datos[[#This Row],[Pronóstico]]/25</f>
        <v>0.4</v>
      </c>
      <c r="AO133" s="155" t="str">
        <f>VLOOKUP($C133,Planes_de_estudio[],2)</f>
        <v>EMP</v>
      </c>
      <c r="AP133" s="157" t="str">
        <f ca="1">IF(AND(base_de_datos[[#This Row],[Industrial]]&lt;&gt;"",base_de_datos[[#This Row],[Misma o no]]=1),base_de_datos[[#This Row],[Índice]],"")</f>
        <v/>
      </c>
      <c r="AQ133" s="157" t="str">
        <f ca="1">IF(AND(base_de_datos[[#This Row],[Mecatrónica]]&lt;&gt;"",base_de_datos[[#This Row],[Misma o no]]=1),base_de_datos[[#This Row],[Índice]],"")</f>
        <v/>
      </c>
      <c r="AR133" s="157" t="str">
        <f ca="1">IF(AND(base_de_datos[[#This Row],[Innovación y Diseño]]&lt;&gt;"",base_de_datos[[#This Row],[Misma o no]]=1),base_de_datos[[#This Row],[Índice]],"")</f>
        <v/>
      </c>
      <c r="AS133" s="157" t="str">
        <f ca="1">IF(AND(base_de_datos[[#This Row],[Inteligencia Artificial]]&lt;&gt;"",base_de_datos[[#This Row],[Misma o no]]=1),base_de_datos[[#This Row],[Índice]],"")</f>
        <v/>
      </c>
      <c r="AT133" s="157" t="str">
        <f ca="1">IF(AND(base_de_datos[[#This Row],[Tecnologías Energéticas]]&lt;&gt;"",base_de_datos[[#This Row],[Misma o no]]=1),base_de_datos[[#This Row],[Índice]],"")</f>
        <v/>
      </c>
      <c r="AU133" s="157">
        <f ca="1">IF(AND(base_de_datos[[#This Row],[Civil y Administración]]&lt;&gt;"",base_de_datos[[#This Row],[Misma o no]]=1),base_de_datos[[#This Row],[Índice]],"")</f>
        <v>4</v>
      </c>
      <c r="AV133" s="157" t="str">
        <f ca="1">IF(AND(base_de_datos[[#This Row],[Bioelectrónica]]&lt;&gt;"",base_de_datos[[#This Row],[Misma o no]]=1),base_de_datos[[#This Row],[Índice]],"")</f>
        <v/>
      </c>
      <c r="AW133" s="158"/>
      <c r="AX133" s="231">
        <v>2</v>
      </c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</row>
    <row r="134" spans="1:221" s="160" customFormat="1" ht="15">
      <c r="A134" s="6"/>
      <c r="B134" s="148" t="s">
        <v>314</v>
      </c>
      <c r="C134" s="149" t="s">
        <v>315</v>
      </c>
      <c r="D134" s="150">
        <v>1</v>
      </c>
      <c r="E134" s="151">
        <v>0.29166666666666669</v>
      </c>
      <c r="F134" s="151">
        <v>0.35416666666666602</v>
      </c>
      <c r="G134" s="150"/>
      <c r="H134" s="150" t="s">
        <v>316</v>
      </c>
      <c r="I134" s="150">
        <f>INDEX(Aulas_capacidad,MATCH(base_de_datos[[#This Row],[Aula]],Aulas,0),2)</f>
        <v>20</v>
      </c>
      <c r="J134" s="152">
        <v>12</v>
      </c>
      <c r="K134" s="150">
        <f>INDEX(Aulas_capacidad,MATCH(base_de_datos[[#This Row],[Aula]],Aulas,0),4)</f>
        <v>8</v>
      </c>
      <c r="L134" s="153">
        <f>base_de_datos[[#This Row],[Cap 1.5]]-base_de_datos[[#This Row],[Inscritos]]</f>
        <v>-4</v>
      </c>
      <c r="M134" s="153">
        <f>INDEX(Aulas_capacidad,MATCH(base_de_datos[[#This Row],[Aula]],Aulas,0),5)</f>
        <v>10</v>
      </c>
      <c r="N134" s="153">
        <f>base_de_datos[[#This Row],[Cap .90]]-base_de_datos[[#This Row],[Inscritos]]</f>
        <v>-2</v>
      </c>
      <c r="O134" s="150">
        <v>5723</v>
      </c>
      <c r="P134" s="154"/>
      <c r="Q134" s="154"/>
      <c r="R134" s="154"/>
      <c r="S134" s="154"/>
      <c r="T134" s="154" t="s">
        <v>67</v>
      </c>
      <c r="U134" s="154"/>
      <c r="V134" s="154"/>
      <c r="W134" s="154" t="s">
        <v>1652</v>
      </c>
      <c r="X134" s="155">
        <f>_xlfn.XLOOKUP(base_de_datos[[#This Row],[Materia]],Materias,Horas)/16</f>
        <v>3</v>
      </c>
      <c r="Y134" s="155">
        <f>ROUND(((base_de_datos[[#This Row],[Hora fin]]-base_de_datos[[#This Row],[Hora inicio]])*24)*(COUNTA(base_de_datos[[#This Row],[Lunes]:[Sábado]])),1)</f>
        <v>1.5</v>
      </c>
      <c r="Z13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4" s="155">
        <f ca="1">IF(base_de_datos[[#This Row],[No clase]]=OFFSET(base_de_datos[[#This Row],[No clase]],-1,0),0,1)</f>
        <v>0</v>
      </c>
      <c r="AB134" s="155">
        <f ca="1">IF(NOT(OR(base_de_datos[[#This Row],[Horas totales]]=base_de_datos[[#This Row],[HT Plan]],base_de_datos[[#This Row],[Horas totales]]="N/A")),1,0)</f>
        <v>0</v>
      </c>
      <c r="AC134" s="155" t="str">
        <f>_xlfn.XLOOKUP(base_de_datos[[#This Row],[Profesor]],Nombre,Grado)</f>
        <v>M</v>
      </c>
      <c r="AD134" s="156" t="str">
        <f>_xlfn.XLOOKUP(base_de_datos[[#This Row],[Profesor]],Nombre,Tipo)</f>
        <v>A</v>
      </c>
      <c r="AE134" s="155" t="str">
        <f>IF(IFERROR(VLOOKUP($C134,Planes_de_estudio[],MATCH($AE$2,Carreras,0)+2,0),"")&gt;0,IFERROR(VLOOKUP($C134,Planes_de_estudio[],MATCH($AE$2,Carreras,0)+2,0),""),"")</f>
        <v/>
      </c>
      <c r="AF134" s="155" t="str">
        <f>IF(IFERROR(VLOOKUP($C134,Planes_de_estudio[],MATCH($AF$2,Carreras,0)+2,0),"")&gt;0,IFERROR(VLOOKUP($C134,Planes_de_estudio[],MATCH($AF$2,Carreras,0)+2,0),""),"")</f>
        <v/>
      </c>
      <c r="AG134" s="155" t="str">
        <f>IF(IFERROR(VLOOKUP($C134,Planes_de_estudio[],MATCH($AG$2,Carreras,0)+2,0),"")&gt;0,IFERROR(VLOOKUP($C134,Planes_de_estudio[],MATCH($AG$2,Carreras,0)+2,0),""),"")</f>
        <v/>
      </c>
      <c r="AH134" s="155" t="str">
        <f>IF(IFERROR(VLOOKUP($C134,Planes_de_estudio[],MATCH($AH$2,Carreras,0)+2,0),"")&gt;0,IFERROR(VLOOKUP($C134,Planes_de_estudio[],MATCH($AH$2,Carreras,0)+2,0),""),"")</f>
        <v/>
      </c>
      <c r="AI134" s="155" t="str">
        <f>IF(IFERROR(VLOOKUP($C134,Planes_de_estudio[],MATCH($AI$2,Carreras,0)+2,0),"")&gt;0,IFERROR(VLOOKUP($C134,Planes_de_estudio[],MATCH($AI$2,Carreras,0)+2,0),""),"")</f>
        <v/>
      </c>
      <c r="AJ134" s="155">
        <f>IF(IFERROR(VLOOKUP($C134,Planes_de_estudio[],MATCH($AJ$2,Carreras,0)+2,0),"")&gt;0,IFERROR(VLOOKUP($C134,Planes_de_estudio[],MATCH($AJ$2,Carreras,0)+2,0),""),"")</f>
        <v>5</v>
      </c>
      <c r="AK134" s="155" t="str">
        <f>IF(IFERROR(VLOOKUP($C134,Planes_de_estudio[],MATCH($AK$2,Carreras,0)+2,0),"")&gt;0,IFERROR(VLOOKUP($C134,Planes_de_estudio[],MATCH($AK$2,Carreras,0)+2,0),""),"")</f>
        <v/>
      </c>
      <c r="AL13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34" s="155">
        <f>base_de_datos[[#This Row],[Pronóstico]]/25</f>
        <v>0.4</v>
      </c>
      <c r="AO134" s="155" t="str">
        <f>VLOOKUP($C134,Planes_de_estudio[],2)</f>
        <v>EMP</v>
      </c>
      <c r="AP134" s="157" t="str">
        <f ca="1">IF(AND(base_de_datos[[#This Row],[Industrial]]&lt;&gt;"",base_de_datos[[#This Row],[Misma o no]]=1),base_de_datos[[#This Row],[Índice]],"")</f>
        <v/>
      </c>
      <c r="AQ134" s="157" t="str">
        <f ca="1">IF(AND(base_de_datos[[#This Row],[Mecatrónica]]&lt;&gt;"",base_de_datos[[#This Row],[Misma o no]]=1),base_de_datos[[#This Row],[Índice]],"")</f>
        <v/>
      </c>
      <c r="AR134" s="157" t="str">
        <f ca="1">IF(AND(base_de_datos[[#This Row],[Innovación y Diseño]]&lt;&gt;"",base_de_datos[[#This Row],[Misma o no]]=1),base_de_datos[[#This Row],[Índice]],"")</f>
        <v/>
      </c>
      <c r="AS134" s="157" t="str">
        <f ca="1">IF(AND(base_de_datos[[#This Row],[Inteligencia Artificial]]&lt;&gt;"",base_de_datos[[#This Row],[Misma o no]]=1),base_de_datos[[#This Row],[Índice]],"")</f>
        <v/>
      </c>
      <c r="AT134" s="157" t="str">
        <f ca="1">IF(AND(base_de_datos[[#This Row],[Tecnologías Energéticas]]&lt;&gt;"",base_de_datos[[#This Row],[Misma o no]]=1),base_de_datos[[#This Row],[Índice]],"")</f>
        <v/>
      </c>
      <c r="AU134" s="157" t="str">
        <f ca="1">IF(AND(base_de_datos[[#This Row],[Civil y Administración]]&lt;&gt;"",base_de_datos[[#This Row],[Misma o no]]=1),base_de_datos[[#This Row],[Índice]],"")</f>
        <v/>
      </c>
      <c r="AV134" s="157" t="str">
        <f ca="1">IF(AND(base_de_datos[[#This Row],[Bioelectrónica]]&lt;&gt;"",base_de_datos[[#This Row],[Misma o no]]=1),base_de_datos[[#This Row],[Índice]],"")</f>
        <v/>
      </c>
      <c r="AW134" s="158"/>
      <c r="AX134" s="231">
        <v>2</v>
      </c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</row>
    <row r="135" spans="1:221" s="160" customFormat="1" ht="15">
      <c r="A135" s="6"/>
      <c r="B135" s="148" t="s">
        <v>317</v>
      </c>
      <c r="C135" s="149" t="s">
        <v>318</v>
      </c>
      <c r="D135" s="150"/>
      <c r="E135" s="151">
        <v>0.70833333333333304</v>
      </c>
      <c r="F135" s="151">
        <v>0.81249999999999201</v>
      </c>
      <c r="G135" s="150"/>
      <c r="H135" s="150" t="s">
        <v>319</v>
      </c>
      <c r="I135" s="150">
        <f>INDEX(Aulas_capacidad,MATCH(base_de_datos[[#This Row],[Aula]],Aulas,0),2)</f>
        <v>20</v>
      </c>
      <c r="J135" s="152">
        <v>6</v>
      </c>
      <c r="K135" s="150">
        <f>INDEX(Aulas_capacidad,MATCH(base_de_datos[[#This Row],[Aula]],Aulas,0),4)</f>
        <v>10</v>
      </c>
      <c r="L135" s="153">
        <f>base_de_datos[[#This Row],[Cap 1.5]]-base_de_datos[[#This Row],[Inscritos]]</f>
        <v>4</v>
      </c>
      <c r="M135" s="153">
        <f>INDEX(Aulas_capacidad,MATCH(base_de_datos[[#This Row],[Aula]],Aulas,0),5)</f>
        <v>15</v>
      </c>
      <c r="N135" s="153">
        <f>base_de_datos[[#This Row],[Cap .90]]-base_de_datos[[#This Row],[Inscritos]]</f>
        <v>9</v>
      </c>
      <c r="O135" s="150" t="s">
        <v>320</v>
      </c>
      <c r="P135" s="154" t="s">
        <v>67</v>
      </c>
      <c r="Q135" s="154"/>
      <c r="R135" s="154"/>
      <c r="S135" s="154"/>
      <c r="T135" s="154"/>
      <c r="U135" s="154"/>
      <c r="V135" s="154"/>
      <c r="W135" s="154" t="s">
        <v>1655</v>
      </c>
      <c r="X135" s="155">
        <f>_xlfn.XLOOKUP(base_de_datos[[#This Row],[Materia]],Materias,Horas)/16</f>
        <v>5</v>
      </c>
      <c r="Y135" s="155">
        <f>ROUND(((base_de_datos[[#This Row],[Hora fin]]-base_de_datos[[#This Row],[Hora inicio]])*24)*(COUNTA(base_de_datos[[#This Row],[Lunes]:[Sábado]])),1)</f>
        <v>2.5</v>
      </c>
      <c r="Z135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35" s="155">
        <f ca="1">IF(base_de_datos[[#This Row],[No clase]]=OFFSET(base_de_datos[[#This Row],[No clase]],-1,0),0,1)</f>
        <v>1</v>
      </c>
      <c r="AB135" s="155">
        <f ca="1">IF(NOT(OR(base_de_datos[[#This Row],[Horas totales]]=base_de_datos[[#This Row],[HT Plan]],base_de_datos[[#This Row],[Horas totales]]="N/A")),1,0)</f>
        <v>0</v>
      </c>
      <c r="AC135" s="155" t="str">
        <f>_xlfn.XLOOKUP(base_de_datos[[#This Row],[Profesor]],Nombre,Grado)</f>
        <v>SNI</v>
      </c>
      <c r="AD135" s="156" t="str">
        <f>_xlfn.XLOOKUP(base_de_datos[[#This Row],[Profesor]],Nombre,Tipo)</f>
        <v>A</v>
      </c>
      <c r="AE135" s="155" t="str">
        <f>IF(IFERROR(VLOOKUP($C135,Planes_de_estudio[],MATCH($AE$2,Carreras,0)+2,0),"")&gt;0,IFERROR(VLOOKUP($C135,Planes_de_estudio[],MATCH($AE$2,Carreras,0)+2,0),""),"")</f>
        <v/>
      </c>
      <c r="AF135" s="155" t="str">
        <f>IF(IFERROR(VLOOKUP($C135,Planes_de_estudio[],MATCH($AF$2,Carreras,0)+2,0),"")&gt;0,IFERROR(VLOOKUP($C135,Planes_de_estudio[],MATCH($AF$2,Carreras,0)+2,0),""),"")</f>
        <v/>
      </c>
      <c r="AG135" s="155" t="str">
        <f>IF(IFERROR(VLOOKUP($C135,Planes_de_estudio[],MATCH($AG$2,Carreras,0)+2,0),"")&gt;0,IFERROR(VLOOKUP($C135,Planes_de_estudio[],MATCH($AG$2,Carreras,0)+2,0),""),"")</f>
        <v/>
      </c>
      <c r="AH135" s="155" t="str">
        <f>IF(IFERROR(VLOOKUP($C135,Planes_de_estudio[],MATCH($AH$2,Carreras,0)+2,0),"")&gt;0,IFERROR(VLOOKUP($C135,Planes_de_estudio[],MATCH($AH$2,Carreras,0)+2,0),""),"")</f>
        <v/>
      </c>
      <c r="AI135" s="155">
        <f>IF(IFERROR(VLOOKUP($C135,Planes_de_estudio[],MATCH($AI$2,Carreras,0)+2,0),"")&gt;0,IFERROR(VLOOKUP($C135,Planes_de_estudio[],MATCH($AI$2,Carreras,0)+2,0),""),"")</f>
        <v>5</v>
      </c>
      <c r="AJ135" s="155" t="str">
        <f>IF(IFERROR(VLOOKUP($C135,Planes_de_estudio[],MATCH($AJ$2,Carreras,0)+2,0),"")&gt;0,IFERROR(VLOOKUP($C135,Planes_de_estudio[],MATCH($AJ$2,Carreras,0)+2,0),""),"")</f>
        <v/>
      </c>
      <c r="AK135" s="155" t="str">
        <f>IF(IFERROR(VLOOKUP($C135,Planes_de_estudio[],MATCH($AK$2,Carreras,0)+2,0),"")&gt;0,IFERROR(VLOOKUP($C135,Planes_de_estudio[],MATCH($AK$2,Carreras,0)+2,0),""),"")</f>
        <v/>
      </c>
      <c r="AL13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35" s="155">
        <f>base_de_datos[[#This Row],[Pronóstico]]/25</f>
        <v>0.16</v>
      </c>
      <c r="AO135" s="155" t="str">
        <f>VLOOKUP($C135,Planes_de_estudio[],2)</f>
        <v>ETF</v>
      </c>
      <c r="AP135" s="157" t="str">
        <f ca="1">IF(AND(base_de_datos[[#This Row],[Industrial]]&lt;&gt;"",base_de_datos[[#This Row],[Misma o no]]=1),base_de_datos[[#This Row],[Índice]],"")</f>
        <v/>
      </c>
      <c r="AQ135" s="157" t="str">
        <f ca="1">IF(AND(base_de_datos[[#This Row],[Mecatrónica]]&lt;&gt;"",base_de_datos[[#This Row],[Misma o no]]=1),base_de_datos[[#This Row],[Índice]],"")</f>
        <v/>
      </c>
      <c r="AR135" s="157" t="str">
        <f ca="1">IF(AND(base_de_datos[[#This Row],[Innovación y Diseño]]&lt;&gt;"",base_de_datos[[#This Row],[Misma o no]]=1),base_de_datos[[#This Row],[Índice]],"")</f>
        <v/>
      </c>
      <c r="AS135" s="157" t="str">
        <f ca="1">IF(AND(base_de_datos[[#This Row],[Inteligencia Artificial]]&lt;&gt;"",base_de_datos[[#This Row],[Misma o no]]=1),base_de_datos[[#This Row],[Índice]],"")</f>
        <v/>
      </c>
      <c r="AT135" s="157">
        <f ca="1">IF(AND(base_de_datos[[#This Row],[Tecnologías Energéticas]]&lt;&gt;"",base_de_datos[[#This Row],[Misma o no]]=1),base_de_datos[[#This Row],[Índice]],"")</f>
        <v>6</v>
      </c>
      <c r="AU135" s="157" t="str">
        <f ca="1">IF(AND(base_de_datos[[#This Row],[Civil y Administración]]&lt;&gt;"",base_de_datos[[#This Row],[Misma o no]]=1),base_de_datos[[#This Row],[Índice]],"")</f>
        <v/>
      </c>
      <c r="AV135" s="157" t="str">
        <f ca="1">IF(AND(base_de_datos[[#This Row],[Bioelectrónica]]&lt;&gt;"",base_de_datos[[#This Row],[Misma o no]]=1),base_de_datos[[#This Row],[Índice]],"")</f>
        <v/>
      </c>
      <c r="AW135" s="158"/>
      <c r="AX135" s="231">
        <v>3</v>
      </c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W135" s="6"/>
      <c r="EX135" s="6"/>
      <c r="EY135" s="6"/>
      <c r="EZ135" s="6"/>
      <c r="FA135" s="6"/>
      <c r="FB135" s="6"/>
      <c r="FC135" s="6"/>
      <c r="FD135" s="6"/>
      <c r="FE135" s="6"/>
      <c r="FF135" s="6"/>
      <c r="FG135" s="6"/>
      <c r="FH135" s="6"/>
      <c r="FI135" s="6"/>
      <c r="FJ135" s="6"/>
      <c r="FK135" s="6"/>
      <c r="FL135" s="6"/>
      <c r="FM135" s="6"/>
      <c r="FN135" s="6"/>
      <c r="FO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C135" s="6"/>
      <c r="GD135" s="6"/>
      <c r="GE135" s="6"/>
      <c r="GF135" s="6"/>
      <c r="GG135" s="6"/>
      <c r="GH135" s="6"/>
      <c r="GI135" s="6"/>
      <c r="GJ135" s="6"/>
      <c r="GK135" s="6"/>
      <c r="GL135" s="6"/>
      <c r="GM135" s="6"/>
      <c r="GN135" s="6"/>
      <c r="GO135" s="6"/>
      <c r="GP135" s="6"/>
      <c r="GQ135" s="6"/>
      <c r="GR135" s="6"/>
      <c r="GS135" s="6"/>
      <c r="GT135" s="6"/>
      <c r="GU135" s="6"/>
      <c r="GV135" s="6"/>
      <c r="GW135" s="6"/>
      <c r="GX135" s="6"/>
      <c r="GY135" s="6"/>
      <c r="GZ135" s="6"/>
      <c r="HA135" s="6"/>
      <c r="HB135" s="6"/>
      <c r="HC135" s="6"/>
      <c r="HD135" s="6"/>
      <c r="HE135" s="6"/>
      <c r="HF135" s="6"/>
      <c r="HG135" s="6"/>
      <c r="HH135" s="6"/>
      <c r="HI135" s="6"/>
      <c r="HJ135" s="6"/>
      <c r="HK135" s="6"/>
      <c r="HL135" s="6"/>
      <c r="HM135" s="6"/>
    </row>
    <row r="136" spans="1:221" s="6" customFormat="1" ht="15">
      <c r="B136" s="148" t="s">
        <v>317</v>
      </c>
      <c r="C136" s="149" t="s">
        <v>318</v>
      </c>
      <c r="D136" s="150"/>
      <c r="E136" s="151">
        <v>0.70833333333333304</v>
      </c>
      <c r="F136" s="151">
        <v>0.81249999999999201</v>
      </c>
      <c r="G136" s="150"/>
      <c r="H136" s="150" t="s">
        <v>193</v>
      </c>
      <c r="I136" s="150">
        <f>INDEX(Aulas_capacidad,MATCH(base_de_datos[[#This Row],[Aula]],Aulas,0),2)</f>
        <v>20</v>
      </c>
      <c r="J136" s="152">
        <v>6</v>
      </c>
      <c r="K136" s="150">
        <f>INDEX(Aulas_capacidad,MATCH(base_de_datos[[#This Row],[Aula]],Aulas,0),4)</f>
        <v>8</v>
      </c>
      <c r="L136" s="153">
        <f>base_de_datos[[#This Row],[Cap 1.5]]-base_de_datos[[#This Row],[Inscritos]]</f>
        <v>2</v>
      </c>
      <c r="M136" s="153">
        <f>INDEX(Aulas_capacidad,MATCH(base_de_datos[[#This Row],[Aula]],Aulas,0),5)</f>
        <v>10</v>
      </c>
      <c r="N136" s="153">
        <f>base_de_datos[[#This Row],[Cap .90]]-base_de_datos[[#This Row],[Inscritos]]</f>
        <v>4</v>
      </c>
      <c r="O136" s="150" t="s">
        <v>320</v>
      </c>
      <c r="P136" s="154"/>
      <c r="Q136" s="154"/>
      <c r="R136" s="154" t="s">
        <v>67</v>
      </c>
      <c r="S136" s="154"/>
      <c r="T136" s="154"/>
      <c r="U136" s="154"/>
      <c r="V136" s="154"/>
      <c r="W136" s="154" t="s">
        <v>1655</v>
      </c>
      <c r="X136" s="155">
        <f>_xlfn.XLOOKUP(base_de_datos[[#This Row],[Materia]],Materias,Horas)/16</f>
        <v>5</v>
      </c>
      <c r="Y136" s="155">
        <f>ROUND(((base_de_datos[[#This Row],[Hora fin]]-base_de_datos[[#This Row],[Hora inicio]])*24)*(COUNTA(base_de_datos[[#This Row],[Lunes]:[Sábado]])),1)</f>
        <v>2.5</v>
      </c>
      <c r="Z13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6" s="155">
        <f ca="1">IF(base_de_datos[[#This Row],[No clase]]=OFFSET(base_de_datos[[#This Row],[No clase]],-1,0),0,1)</f>
        <v>0</v>
      </c>
      <c r="AB136" s="155">
        <f ca="1">IF(NOT(OR(base_de_datos[[#This Row],[Horas totales]]=base_de_datos[[#This Row],[HT Plan]],base_de_datos[[#This Row],[Horas totales]]="N/A")),1,0)</f>
        <v>0</v>
      </c>
      <c r="AC136" s="155" t="str">
        <f>_xlfn.XLOOKUP(base_de_datos[[#This Row],[Profesor]],Nombre,Grado)</f>
        <v>SNI</v>
      </c>
      <c r="AD136" s="156" t="str">
        <f>_xlfn.XLOOKUP(base_de_datos[[#This Row],[Profesor]],Nombre,Tipo)</f>
        <v>A</v>
      </c>
      <c r="AE136" s="155" t="str">
        <f>IF(IFERROR(VLOOKUP($C136,Planes_de_estudio[],MATCH($AE$2,Carreras,0)+2,0),"")&gt;0,IFERROR(VLOOKUP($C136,Planes_de_estudio[],MATCH($AE$2,Carreras,0)+2,0),""),"")</f>
        <v/>
      </c>
      <c r="AF136" s="155" t="str">
        <f>IF(IFERROR(VLOOKUP($C136,Planes_de_estudio[],MATCH($AF$2,Carreras,0)+2,0),"")&gt;0,IFERROR(VLOOKUP($C136,Planes_de_estudio[],MATCH($AF$2,Carreras,0)+2,0),""),"")</f>
        <v/>
      </c>
      <c r="AG136" s="155" t="str">
        <f>IF(IFERROR(VLOOKUP($C136,Planes_de_estudio[],MATCH($AG$2,Carreras,0)+2,0),"")&gt;0,IFERROR(VLOOKUP($C136,Planes_de_estudio[],MATCH($AG$2,Carreras,0)+2,0),""),"")</f>
        <v/>
      </c>
      <c r="AH136" s="155" t="str">
        <f>IF(IFERROR(VLOOKUP($C136,Planes_de_estudio[],MATCH($AH$2,Carreras,0)+2,0),"")&gt;0,IFERROR(VLOOKUP($C136,Planes_de_estudio[],MATCH($AH$2,Carreras,0)+2,0),""),"")</f>
        <v/>
      </c>
      <c r="AI136" s="155">
        <f>IF(IFERROR(VLOOKUP($C136,Planes_de_estudio[],MATCH($AI$2,Carreras,0)+2,0),"")&gt;0,IFERROR(VLOOKUP($C136,Planes_de_estudio[],MATCH($AI$2,Carreras,0)+2,0),""),"")</f>
        <v>5</v>
      </c>
      <c r="AJ136" s="155" t="str">
        <f>IF(IFERROR(VLOOKUP($C136,Planes_de_estudio[],MATCH($AJ$2,Carreras,0)+2,0),"")&gt;0,IFERROR(VLOOKUP($C136,Planes_de_estudio[],MATCH($AJ$2,Carreras,0)+2,0),""),"")</f>
        <v/>
      </c>
      <c r="AK136" s="155" t="str">
        <f>IF(IFERROR(VLOOKUP($C136,Planes_de_estudio[],MATCH($AK$2,Carreras,0)+2,0),"")&gt;0,IFERROR(VLOOKUP($C136,Planes_de_estudio[],MATCH($AK$2,Carreras,0)+2,0),""),"")</f>
        <v/>
      </c>
      <c r="AL13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136" s="155">
        <f>base_de_datos[[#This Row],[Pronóstico]]/25</f>
        <v>0.16</v>
      </c>
      <c r="AO136" s="155" t="str">
        <f>VLOOKUP($C136,Planes_de_estudio[],2)</f>
        <v>ETF</v>
      </c>
      <c r="AP136" s="157" t="str">
        <f ca="1">IF(AND(base_de_datos[[#This Row],[Industrial]]&lt;&gt;"",base_de_datos[[#This Row],[Misma o no]]=1),base_de_datos[[#This Row],[Índice]],"")</f>
        <v/>
      </c>
      <c r="AQ136" s="157" t="str">
        <f ca="1">IF(AND(base_de_datos[[#This Row],[Mecatrónica]]&lt;&gt;"",base_de_datos[[#This Row],[Misma o no]]=1),base_de_datos[[#This Row],[Índice]],"")</f>
        <v/>
      </c>
      <c r="AR136" s="157" t="str">
        <f ca="1">IF(AND(base_de_datos[[#This Row],[Innovación y Diseño]]&lt;&gt;"",base_de_datos[[#This Row],[Misma o no]]=1),base_de_datos[[#This Row],[Índice]],"")</f>
        <v/>
      </c>
      <c r="AS136" s="157" t="str">
        <f ca="1">IF(AND(base_de_datos[[#This Row],[Inteligencia Artificial]]&lt;&gt;"",base_de_datos[[#This Row],[Misma o no]]=1),base_de_datos[[#This Row],[Índice]],"")</f>
        <v/>
      </c>
      <c r="AT136" s="157" t="str">
        <f ca="1">IF(AND(base_de_datos[[#This Row],[Tecnologías Energéticas]]&lt;&gt;"",base_de_datos[[#This Row],[Misma o no]]=1),base_de_datos[[#This Row],[Índice]],"")</f>
        <v/>
      </c>
      <c r="AU136" s="157" t="str">
        <f ca="1">IF(AND(base_de_datos[[#This Row],[Civil y Administración]]&lt;&gt;"",base_de_datos[[#This Row],[Misma o no]]=1),base_de_datos[[#This Row],[Índice]],"")</f>
        <v/>
      </c>
      <c r="AV136" s="157" t="str">
        <f ca="1">IF(AND(base_de_datos[[#This Row],[Bioelectrónica]]&lt;&gt;"",base_de_datos[[#This Row],[Misma o no]]=1),base_de_datos[[#This Row],[Índice]],"")</f>
        <v/>
      </c>
      <c r="AW136" s="158"/>
      <c r="AX136" s="231" t="s">
        <v>1637</v>
      </c>
    </row>
    <row r="137" spans="1:221" s="6" customFormat="1" ht="15">
      <c r="B137" s="148" t="s">
        <v>321</v>
      </c>
      <c r="C137" s="149" t="s">
        <v>138</v>
      </c>
      <c r="D137" s="150">
        <v>1</v>
      </c>
      <c r="E137" s="151">
        <v>0.39583333333333398</v>
      </c>
      <c r="F137" s="151">
        <v>0.45833333333333098</v>
      </c>
      <c r="G137" s="150"/>
      <c r="H137" s="150" t="s">
        <v>140</v>
      </c>
      <c r="I137" s="150">
        <f>INDEX(Aulas_capacidad,MATCH(base_de_datos[[#This Row],[Aula]],Aulas,0),2)</f>
        <v>40</v>
      </c>
      <c r="J137" s="152"/>
      <c r="K137" s="150">
        <f>INDEX(Aulas_capacidad,MATCH(base_de_datos[[#This Row],[Aula]],Aulas,0),4)</f>
        <v>15</v>
      </c>
      <c r="L137" s="153">
        <f>base_de_datos[[#This Row],[Cap 1.5]]-base_de_datos[[#This Row],[Inscritos]]</f>
        <v>15</v>
      </c>
      <c r="M137" s="153">
        <f>INDEX(Aulas_capacidad,MATCH(base_de_datos[[#This Row],[Aula]],Aulas,0),5)</f>
        <v>25</v>
      </c>
      <c r="N137" s="153">
        <f>base_de_datos[[#This Row],[Cap .90]]-base_de_datos[[#This Row],[Inscritos]]</f>
        <v>25</v>
      </c>
      <c r="O137" s="150" t="s">
        <v>322</v>
      </c>
      <c r="P137" s="154"/>
      <c r="Q137" s="154"/>
      <c r="R137" s="154" t="s">
        <v>67</v>
      </c>
      <c r="S137" s="154"/>
      <c r="T137" s="154"/>
      <c r="U137" s="154"/>
      <c r="V137" s="154"/>
      <c r="W137" s="154" t="s">
        <v>1654</v>
      </c>
      <c r="X137" s="174">
        <f>_xlfn.XLOOKUP(base_de_datos[[#This Row],[Materia]],Materias,Horas)/16</f>
        <v>3</v>
      </c>
      <c r="Y137" s="174">
        <f>ROUND(((base_de_datos[[#This Row],[Hora fin]]-base_de_datos[[#This Row],[Hora inicio]])*24)*(COUNTA(base_de_datos[[#This Row],[Lunes]:[Sábado]])),1)</f>
        <v>1.5</v>
      </c>
      <c r="Z137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7" s="155">
        <f ca="1">IF(base_de_datos[[#This Row],[No clase]]=OFFSET(base_de_datos[[#This Row],[No clase]],-1,0),0,1)</f>
        <v>1</v>
      </c>
      <c r="AB137" s="155">
        <f ca="1">IF(NOT(OR(base_de_datos[[#This Row],[Horas totales]]=base_de_datos[[#This Row],[HT Plan]],base_de_datos[[#This Row],[Horas totales]]="N/A")),1,0)</f>
        <v>0</v>
      </c>
      <c r="AC137" s="155" t="str">
        <f>_xlfn.XLOOKUP(base_de_datos[[#This Row],[Profesor]],Nombre,Grado)</f>
        <v>L</v>
      </c>
      <c r="AD137" s="156" t="str">
        <f>_xlfn.XLOOKUP(base_de_datos[[#This Row],[Profesor]],Nombre,Tipo)</f>
        <v>H</v>
      </c>
      <c r="AE137" s="155">
        <f>IF(IFERROR(VLOOKUP($C137,Planes_de_estudio[],MATCH($AE$2,Carreras,0)+2,0),"")&gt;0,IFERROR(VLOOKUP($C137,Planes_de_estudio[],MATCH($AE$2,Carreras,0)+2,0),""),"")</f>
        <v>1</v>
      </c>
      <c r="AF137" s="155">
        <f>IF(IFERROR(VLOOKUP($C137,Planes_de_estudio[],MATCH($AF$2,Carreras,0)+2,0),"")&gt;0,IFERROR(VLOOKUP($C137,Planes_de_estudio[],MATCH($AF$2,Carreras,0)+2,0),""),"")</f>
        <v>1</v>
      </c>
      <c r="AG137" s="155">
        <f>IF(IFERROR(VLOOKUP($C137,Planes_de_estudio[],MATCH($AG$2,Carreras,0)+2,0),"")&gt;0,IFERROR(VLOOKUP($C137,Planes_de_estudio[],MATCH($AG$2,Carreras,0)+2,0),""),"")</f>
        <v>1</v>
      </c>
      <c r="AH137" s="155">
        <f>IF(IFERROR(VLOOKUP($C137,Planes_de_estudio[],MATCH($AH$2,Carreras,0)+2,0),"")&gt;0,IFERROR(VLOOKUP($C137,Planes_de_estudio[],MATCH($AH$2,Carreras,0)+2,0),""),"")</f>
        <v>1</v>
      </c>
      <c r="AI137" s="155">
        <f>IF(IFERROR(VLOOKUP($C137,Planes_de_estudio[],MATCH($AI$2,Carreras,0)+2,0),"")&gt;0,IFERROR(VLOOKUP($C137,Planes_de_estudio[],MATCH($AI$2,Carreras,0)+2,0),""),"")</f>
        <v>1</v>
      </c>
      <c r="AJ137" s="155">
        <f>IF(IFERROR(VLOOKUP($C137,Planes_de_estudio[],MATCH($AJ$2,Carreras,0)+2,0),"")&gt;0,IFERROR(VLOOKUP($C137,Planes_de_estudio[],MATCH($AJ$2,Carreras,0)+2,0),""),"")</f>
        <v>1</v>
      </c>
      <c r="AK137" s="155">
        <f>IF(IFERROR(VLOOKUP($C137,Planes_de_estudio[],MATCH($AK$2,Carreras,0)+2,0),"")&gt;0,IFERROR(VLOOKUP($C137,Planes_de_estudio[],MATCH($AK$2,Carreras,0)+2,0),""),"")</f>
        <v>1</v>
      </c>
      <c r="AL13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3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37" s="155">
        <f>base_de_datos[[#This Row],[Pronóstico]]/25</f>
        <v>4.3600000000000003</v>
      </c>
      <c r="AO137" s="155" t="str">
        <f>VLOOKUP($C137,Planes_de_estudio[],2)</f>
        <v>HUM</v>
      </c>
      <c r="AP137" s="157">
        <f ca="1">IF(AND(base_de_datos[[#This Row],[Industrial]]&lt;&gt;"",base_de_datos[[#This Row],[Misma o no]]=1),base_de_datos[[#This Row],[Índice]],"")</f>
        <v>1</v>
      </c>
      <c r="AQ137" s="157">
        <f ca="1">IF(AND(base_de_datos[[#This Row],[Mecatrónica]]&lt;&gt;"",base_de_datos[[#This Row],[Misma o no]]=1),base_de_datos[[#This Row],[Índice]],"")</f>
        <v>1</v>
      </c>
      <c r="AR137" s="157">
        <f ca="1">IF(AND(base_de_datos[[#This Row],[Innovación y Diseño]]&lt;&gt;"",base_de_datos[[#This Row],[Misma o no]]=1),base_de_datos[[#This Row],[Índice]],"")</f>
        <v>1</v>
      </c>
      <c r="AS137" s="157">
        <f ca="1">IF(AND(base_de_datos[[#This Row],[Inteligencia Artificial]]&lt;&gt;"",base_de_datos[[#This Row],[Misma o no]]=1),base_de_datos[[#This Row],[Índice]],"")</f>
        <v>1</v>
      </c>
      <c r="AT137" s="157">
        <f ca="1">IF(AND(base_de_datos[[#This Row],[Tecnologías Energéticas]]&lt;&gt;"",base_de_datos[[#This Row],[Misma o no]]=1),base_de_datos[[#This Row],[Índice]],"")</f>
        <v>1</v>
      </c>
      <c r="AU137" s="157">
        <f ca="1">IF(AND(base_de_datos[[#This Row],[Civil y Administración]]&lt;&gt;"",base_de_datos[[#This Row],[Misma o no]]=1),base_de_datos[[#This Row],[Índice]],"")</f>
        <v>1</v>
      </c>
      <c r="AV137" s="157">
        <f ca="1">IF(AND(base_de_datos[[#This Row],[Bioelectrónica]]&lt;&gt;"",base_de_datos[[#This Row],[Misma o no]]=1),base_de_datos[[#This Row],[Índice]],"")</f>
        <v>1</v>
      </c>
      <c r="AW137" s="158"/>
      <c r="AX137" s="231" t="s">
        <v>1637</v>
      </c>
    </row>
    <row r="138" spans="1:221" s="160" customFormat="1" ht="15">
      <c r="A138" s="6"/>
      <c r="B138" s="148" t="s">
        <v>321</v>
      </c>
      <c r="C138" s="149" t="s">
        <v>138</v>
      </c>
      <c r="D138" s="150">
        <v>1</v>
      </c>
      <c r="E138" s="151">
        <v>0.39583333333333398</v>
      </c>
      <c r="F138" s="151">
        <v>0.45833333333333098</v>
      </c>
      <c r="G138" s="150"/>
      <c r="H138" s="150" t="s">
        <v>323</v>
      </c>
      <c r="I138" s="150">
        <f>INDEX(Aulas_capacidad,MATCH(base_de_datos[[#This Row],[Aula]],Aulas,0),2)</f>
        <v>40</v>
      </c>
      <c r="J138" s="152"/>
      <c r="K138" s="150">
        <f>INDEX(Aulas_capacidad,MATCH(base_de_datos[[#This Row],[Aula]],Aulas,0),4)</f>
        <v>0</v>
      </c>
      <c r="L138" s="153">
        <f>base_de_datos[[#This Row],[Cap 1.5]]-base_de_datos[[#This Row],[Inscritos]]</f>
        <v>0</v>
      </c>
      <c r="M138" s="153">
        <f>INDEX(Aulas_capacidad,MATCH(base_de_datos[[#This Row],[Aula]],Aulas,0),5)</f>
        <v>0</v>
      </c>
      <c r="N138" s="153">
        <f>base_de_datos[[#This Row],[Cap .90]]-base_de_datos[[#This Row],[Inscritos]]</f>
        <v>0</v>
      </c>
      <c r="O138" s="150" t="s">
        <v>322</v>
      </c>
      <c r="P138" s="154"/>
      <c r="Q138" s="154"/>
      <c r="R138" s="154"/>
      <c r="S138" s="154"/>
      <c r="T138" s="154" t="s">
        <v>67</v>
      </c>
      <c r="U138" s="154"/>
      <c r="V138" s="154"/>
      <c r="W138" s="154" t="s">
        <v>1654</v>
      </c>
      <c r="X138" s="174">
        <f>_xlfn.XLOOKUP(base_de_datos[[#This Row],[Materia]],Materias,Horas)/16</f>
        <v>3</v>
      </c>
      <c r="Y138" s="174">
        <f>ROUND(((base_de_datos[[#This Row],[Hora fin]]-base_de_datos[[#This Row],[Hora inicio]])*24)*(COUNTA(base_de_datos[[#This Row],[Lunes]:[Sábado]])),1)</f>
        <v>1.5</v>
      </c>
      <c r="Z138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8" s="155">
        <f ca="1">IF(base_de_datos[[#This Row],[No clase]]=OFFSET(base_de_datos[[#This Row],[No clase]],-1,0),0,1)</f>
        <v>0</v>
      </c>
      <c r="AB138" s="155">
        <f ca="1">IF(NOT(OR(base_de_datos[[#This Row],[Horas totales]]=base_de_datos[[#This Row],[HT Plan]],base_de_datos[[#This Row],[Horas totales]]="N/A")),1,0)</f>
        <v>0</v>
      </c>
      <c r="AC138" s="155" t="str">
        <f>_xlfn.XLOOKUP(base_de_datos[[#This Row],[Profesor]],Nombre,Grado)</f>
        <v>L</v>
      </c>
      <c r="AD138" s="156" t="str">
        <f>_xlfn.XLOOKUP(base_de_datos[[#This Row],[Profesor]],Nombre,Tipo)</f>
        <v>H</v>
      </c>
      <c r="AE138" s="155">
        <f>IF(IFERROR(VLOOKUP($C138,Planes_de_estudio[],MATCH($AE$2,Carreras,0)+2,0),"")&gt;0,IFERROR(VLOOKUP($C138,Planes_de_estudio[],MATCH($AE$2,Carreras,0)+2,0),""),"")</f>
        <v>1</v>
      </c>
      <c r="AF138" s="155">
        <f>IF(IFERROR(VLOOKUP($C138,Planes_de_estudio[],MATCH($AF$2,Carreras,0)+2,0),"")&gt;0,IFERROR(VLOOKUP($C138,Planes_de_estudio[],MATCH($AF$2,Carreras,0)+2,0),""),"")</f>
        <v>1</v>
      </c>
      <c r="AG138" s="155">
        <f>IF(IFERROR(VLOOKUP($C138,Planes_de_estudio[],MATCH($AG$2,Carreras,0)+2,0),"")&gt;0,IFERROR(VLOOKUP($C138,Planes_de_estudio[],MATCH($AG$2,Carreras,0)+2,0),""),"")</f>
        <v>1</v>
      </c>
      <c r="AH138" s="155">
        <f>IF(IFERROR(VLOOKUP($C138,Planes_de_estudio[],MATCH($AH$2,Carreras,0)+2,0),"")&gt;0,IFERROR(VLOOKUP($C138,Planes_de_estudio[],MATCH($AH$2,Carreras,0)+2,0),""),"")</f>
        <v>1</v>
      </c>
      <c r="AI138" s="155">
        <f>IF(IFERROR(VLOOKUP($C138,Planes_de_estudio[],MATCH($AI$2,Carreras,0)+2,0),"")&gt;0,IFERROR(VLOOKUP($C138,Planes_de_estudio[],MATCH($AI$2,Carreras,0)+2,0),""),"")</f>
        <v>1</v>
      </c>
      <c r="AJ138" s="155">
        <f>IF(IFERROR(VLOOKUP($C138,Planes_de_estudio[],MATCH($AJ$2,Carreras,0)+2,0),"")&gt;0,IFERROR(VLOOKUP($C138,Planes_de_estudio[],MATCH($AJ$2,Carreras,0)+2,0),""),"")</f>
        <v>1</v>
      </c>
      <c r="AK138" s="155">
        <f>IF(IFERROR(VLOOKUP($C138,Planes_de_estudio[],MATCH($AK$2,Carreras,0)+2,0),"")&gt;0,IFERROR(VLOOKUP($C138,Planes_de_estudio[],MATCH($AK$2,Carreras,0)+2,0),""),"")</f>
        <v>1</v>
      </c>
      <c r="AL13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3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38" s="155">
        <f>base_de_datos[[#This Row],[Pronóstico]]/25</f>
        <v>4.3600000000000003</v>
      </c>
      <c r="AO138" s="155" t="str">
        <f>VLOOKUP($C138,Planes_de_estudio[],2)</f>
        <v>HUM</v>
      </c>
      <c r="AP138" s="157" t="str">
        <f ca="1">IF(AND(base_de_datos[[#This Row],[Industrial]]&lt;&gt;"",base_de_datos[[#This Row],[Misma o no]]=1),base_de_datos[[#This Row],[Índice]],"")</f>
        <v/>
      </c>
      <c r="AQ138" s="157" t="str">
        <f ca="1">IF(AND(base_de_datos[[#This Row],[Mecatrónica]]&lt;&gt;"",base_de_datos[[#This Row],[Misma o no]]=1),base_de_datos[[#This Row],[Índice]],"")</f>
        <v/>
      </c>
      <c r="AR138" s="157" t="str">
        <f ca="1">IF(AND(base_de_datos[[#This Row],[Innovación y Diseño]]&lt;&gt;"",base_de_datos[[#This Row],[Misma o no]]=1),base_de_datos[[#This Row],[Índice]],"")</f>
        <v/>
      </c>
      <c r="AS138" s="157" t="str">
        <f ca="1">IF(AND(base_de_datos[[#This Row],[Inteligencia Artificial]]&lt;&gt;"",base_de_datos[[#This Row],[Misma o no]]=1),base_de_datos[[#This Row],[Índice]],"")</f>
        <v/>
      </c>
      <c r="AT138" s="157" t="str">
        <f ca="1">IF(AND(base_de_datos[[#This Row],[Tecnologías Energéticas]]&lt;&gt;"",base_de_datos[[#This Row],[Misma o no]]=1),base_de_datos[[#This Row],[Índice]],"")</f>
        <v/>
      </c>
      <c r="AU138" s="157" t="str">
        <f ca="1">IF(AND(base_de_datos[[#This Row],[Civil y Administración]]&lt;&gt;"",base_de_datos[[#This Row],[Misma o no]]=1),base_de_datos[[#This Row],[Índice]],"")</f>
        <v/>
      </c>
      <c r="AV138" s="157" t="str">
        <f ca="1">IF(AND(base_de_datos[[#This Row],[Bioelectrónica]]&lt;&gt;"",base_de_datos[[#This Row],[Misma o no]]=1),base_de_datos[[#This Row],[Índice]],"")</f>
        <v/>
      </c>
      <c r="AW138" s="158"/>
      <c r="AX138" s="231">
        <v>3</v>
      </c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  <c r="GX138" s="6"/>
      <c r="GY138" s="6"/>
      <c r="GZ138" s="6"/>
      <c r="HA138" s="6"/>
      <c r="HB138" s="6"/>
      <c r="HC138" s="6"/>
      <c r="HD138" s="6"/>
      <c r="HE138" s="6"/>
      <c r="HF138" s="6"/>
      <c r="HG138" s="6"/>
      <c r="HH138" s="6"/>
      <c r="HI138" s="6"/>
      <c r="HJ138" s="6"/>
      <c r="HK138" s="6"/>
      <c r="HL138" s="6"/>
      <c r="HM138" s="6"/>
    </row>
    <row r="139" spans="1:221" s="160" customFormat="1" ht="15">
      <c r="A139" s="6"/>
      <c r="B139" s="148" t="s">
        <v>324</v>
      </c>
      <c r="C139" s="149" t="s">
        <v>133</v>
      </c>
      <c r="D139" s="150">
        <v>2</v>
      </c>
      <c r="E139" s="151">
        <v>0.70833333333333304</v>
      </c>
      <c r="F139" s="151">
        <v>0.77083333333332604</v>
      </c>
      <c r="G139" s="150"/>
      <c r="H139" s="150" t="s">
        <v>325</v>
      </c>
      <c r="I139" s="150">
        <f>INDEX(Aulas_capacidad,MATCH(base_de_datos[[#This Row],[Aula]],Aulas,0),2)</f>
        <v>30</v>
      </c>
      <c r="J139" s="152">
        <v>9</v>
      </c>
      <c r="K139" s="150">
        <f>INDEX(Aulas_capacidad,MATCH(base_de_datos[[#This Row],[Aula]],Aulas,0),4)</f>
        <v>12</v>
      </c>
      <c r="L139" s="153">
        <f>base_de_datos[[#This Row],[Cap 1.5]]-base_de_datos[[#This Row],[Inscritos]]</f>
        <v>3</v>
      </c>
      <c r="M139" s="153">
        <f>INDEX(Aulas_capacidad,MATCH(base_de_datos[[#This Row],[Aula]],Aulas,0),5)</f>
        <v>18</v>
      </c>
      <c r="N139" s="153">
        <f>base_de_datos[[#This Row],[Cap .90]]-base_de_datos[[#This Row],[Inscritos]]</f>
        <v>9</v>
      </c>
      <c r="O139" s="150" t="s">
        <v>326</v>
      </c>
      <c r="P139" s="154" t="s">
        <v>67</v>
      </c>
      <c r="Q139" s="154"/>
      <c r="R139" s="154"/>
      <c r="S139" s="154"/>
      <c r="T139" s="154"/>
      <c r="U139" s="154"/>
      <c r="V139" s="154"/>
      <c r="W139" s="154" t="s">
        <v>1651</v>
      </c>
      <c r="X139" s="155">
        <f>_xlfn.XLOOKUP(base_de_datos[[#This Row],[Materia]],Materias,Horas)/16</f>
        <v>3</v>
      </c>
      <c r="Y139" s="155">
        <f>ROUND(((base_de_datos[[#This Row],[Hora fin]]-base_de_datos[[#This Row],[Hora inicio]])*24)*(COUNTA(base_de_datos[[#This Row],[Lunes]:[Sábado]])),1)</f>
        <v>1.5</v>
      </c>
      <c r="Z13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9" s="155">
        <f ca="1">IF(base_de_datos[[#This Row],[No clase]]=OFFSET(base_de_datos[[#This Row],[No clase]],-1,0),0,1)</f>
        <v>1</v>
      </c>
      <c r="AB139" s="155">
        <f ca="1">IF(NOT(OR(base_de_datos[[#This Row],[Horas totales]]=base_de_datos[[#This Row],[HT Plan]],base_de_datos[[#This Row],[Horas totales]]="N/A")),1,0)</f>
        <v>0</v>
      </c>
      <c r="AC139" s="155" t="str">
        <f>_xlfn.XLOOKUP(base_de_datos[[#This Row],[Profesor]],Nombre,Grado)</f>
        <v>M</v>
      </c>
      <c r="AD139" s="156" t="str">
        <f>_xlfn.XLOOKUP(base_de_datos[[#This Row],[Profesor]],Nombre,Tipo)</f>
        <v>OA</v>
      </c>
      <c r="AE139" s="155">
        <f>IF(IFERROR(VLOOKUP($C139,Planes_de_estudio[],MATCH($AE$2,Carreras,0)+2,0),"")&gt;0,IFERROR(VLOOKUP($C139,Planes_de_estudio[],MATCH($AE$2,Carreras,0)+2,0),""),"")</f>
        <v>7</v>
      </c>
      <c r="AF139" s="155" t="str">
        <f>IF(IFERROR(VLOOKUP($C139,Planes_de_estudio[],MATCH($AF$2,Carreras,0)+2,0),"")&gt;0,IFERROR(VLOOKUP($C139,Planes_de_estudio[],MATCH($AF$2,Carreras,0)+2,0),""),"")</f>
        <v/>
      </c>
      <c r="AG139" s="155">
        <f>IF(IFERROR(VLOOKUP($C139,Planes_de_estudio[],MATCH($AG$2,Carreras,0)+2,0),"")&gt;0,IFERROR(VLOOKUP($C139,Planes_de_estudio[],MATCH($AG$2,Carreras,0)+2,0),""),"")</f>
        <v>7</v>
      </c>
      <c r="AH139" s="155">
        <f>IF(IFERROR(VLOOKUP($C139,Planes_de_estudio[],MATCH($AH$2,Carreras,0)+2,0),"")&gt;0,IFERROR(VLOOKUP($C139,Planes_de_estudio[],MATCH($AH$2,Carreras,0)+2,0),""),"")</f>
        <v>8</v>
      </c>
      <c r="AI139" s="155" t="str">
        <f>IF(IFERROR(VLOOKUP($C139,Planes_de_estudio[],MATCH($AI$2,Carreras,0)+2,0),"")&gt;0,IFERROR(VLOOKUP($C139,Planes_de_estudio[],MATCH($AI$2,Carreras,0)+2,0),""),"")</f>
        <v/>
      </c>
      <c r="AJ139" s="155" t="str">
        <f>IF(IFERROR(VLOOKUP($C139,Planes_de_estudio[],MATCH($AJ$2,Carreras,0)+2,0),"")&gt;0,IFERROR(VLOOKUP($C139,Planes_de_estudio[],MATCH($AJ$2,Carreras,0)+2,0),""),"")</f>
        <v/>
      </c>
      <c r="AK139" s="155" t="str">
        <f>IF(IFERROR(VLOOKUP($C139,Planes_de_estudio[],MATCH($AK$2,Carreras,0)+2,0),"")&gt;0,IFERROR(VLOOKUP($C139,Planes_de_estudio[],MATCH($AK$2,Carreras,0)+2,0),""),"")</f>
        <v/>
      </c>
      <c r="AL13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44</v>
      </c>
      <c r="AN139" s="155">
        <f>base_de_datos[[#This Row],[Pronóstico]]/25</f>
        <v>1.76</v>
      </c>
      <c r="AO139" s="155" t="str">
        <f>VLOOKUP($C139,Planes_de_estudio[],2)</f>
        <v>EMP</v>
      </c>
      <c r="AP139" s="157">
        <f ca="1">IF(AND(base_de_datos[[#This Row],[Industrial]]&lt;&gt;"",base_de_datos[[#This Row],[Misma o no]]=1),base_de_datos[[#This Row],[Índice]],"")</f>
        <v>4</v>
      </c>
      <c r="AQ139" s="157" t="str">
        <f ca="1">IF(AND(base_de_datos[[#This Row],[Mecatrónica]]&lt;&gt;"",base_de_datos[[#This Row],[Misma o no]]=1),base_de_datos[[#This Row],[Índice]],"")</f>
        <v/>
      </c>
      <c r="AR139" s="157">
        <f ca="1">IF(AND(base_de_datos[[#This Row],[Innovación y Diseño]]&lt;&gt;"",base_de_datos[[#This Row],[Misma o no]]=1),base_de_datos[[#This Row],[Índice]],"")</f>
        <v>4</v>
      </c>
      <c r="AS139" s="157">
        <f ca="1">IF(AND(base_de_datos[[#This Row],[Inteligencia Artificial]]&lt;&gt;"",base_de_datos[[#This Row],[Misma o no]]=1),base_de_datos[[#This Row],[Índice]],"")</f>
        <v>4</v>
      </c>
      <c r="AT139" s="157" t="str">
        <f ca="1">IF(AND(base_de_datos[[#This Row],[Tecnologías Energéticas]]&lt;&gt;"",base_de_datos[[#This Row],[Misma o no]]=1),base_de_datos[[#This Row],[Índice]],"")</f>
        <v/>
      </c>
      <c r="AU139" s="157" t="str">
        <f ca="1">IF(AND(base_de_datos[[#This Row],[Civil y Administración]]&lt;&gt;"",base_de_datos[[#This Row],[Misma o no]]=1),base_de_datos[[#This Row],[Índice]],"")</f>
        <v/>
      </c>
      <c r="AV139" s="157" t="str">
        <f ca="1">IF(AND(base_de_datos[[#This Row],[Bioelectrónica]]&lt;&gt;"",base_de_datos[[#This Row],[Misma o no]]=1),base_de_datos[[#This Row],[Índice]],"")</f>
        <v/>
      </c>
      <c r="AW139" s="158"/>
      <c r="AX139" s="231">
        <v>1</v>
      </c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  <c r="GM139" s="6"/>
      <c r="GN139" s="6"/>
      <c r="GO139" s="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  <c r="HL139" s="6"/>
      <c r="HM139" s="6"/>
    </row>
    <row r="140" spans="1:221" s="163" customFormat="1" ht="15">
      <c r="A140" s="6"/>
      <c r="B140" s="148" t="s">
        <v>324</v>
      </c>
      <c r="C140" s="149" t="s">
        <v>133</v>
      </c>
      <c r="D140" s="150">
        <v>2</v>
      </c>
      <c r="E140" s="151">
        <v>0.64583333333333304</v>
      </c>
      <c r="F140" s="151">
        <v>0.70833333333332704</v>
      </c>
      <c r="G140" s="150"/>
      <c r="H140" s="150" t="s">
        <v>325</v>
      </c>
      <c r="I140" s="150">
        <f>INDEX(Aulas_capacidad,MATCH(base_de_datos[[#This Row],[Aula]],Aulas,0),2)</f>
        <v>30</v>
      </c>
      <c r="J140" s="152">
        <v>9</v>
      </c>
      <c r="K140" s="150">
        <f>INDEX(Aulas_capacidad,MATCH(base_de_datos[[#This Row],[Aula]],Aulas,0),4)</f>
        <v>12</v>
      </c>
      <c r="L140" s="153">
        <f>base_de_datos[[#This Row],[Cap 1.5]]-base_de_datos[[#This Row],[Inscritos]]</f>
        <v>3</v>
      </c>
      <c r="M140" s="153">
        <f>INDEX(Aulas_capacidad,MATCH(base_de_datos[[#This Row],[Aula]],Aulas,0),5)</f>
        <v>18</v>
      </c>
      <c r="N140" s="153">
        <f>base_de_datos[[#This Row],[Cap .90]]-base_de_datos[[#This Row],[Inscritos]]</f>
        <v>9</v>
      </c>
      <c r="O140" s="150" t="s">
        <v>326</v>
      </c>
      <c r="P140" s="154"/>
      <c r="Q140" s="154" t="s">
        <v>67</v>
      </c>
      <c r="R140" s="154"/>
      <c r="S140" s="154"/>
      <c r="T140" s="154"/>
      <c r="U140" s="154"/>
      <c r="V140" s="154"/>
      <c r="W140" s="154" t="s">
        <v>1651</v>
      </c>
      <c r="X140" s="155">
        <f>_xlfn.XLOOKUP(base_de_datos[[#This Row],[Materia]],Materias,Horas)/16</f>
        <v>3</v>
      </c>
      <c r="Y140" s="155">
        <f>ROUND(((base_de_datos[[#This Row],[Hora fin]]-base_de_datos[[#This Row],[Hora inicio]])*24)*(COUNTA(base_de_datos[[#This Row],[Lunes]:[Sábado]])),1)</f>
        <v>1.5</v>
      </c>
      <c r="Z14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0" s="155">
        <f ca="1">IF(base_de_datos[[#This Row],[No clase]]=OFFSET(base_de_datos[[#This Row],[No clase]],-1,0),0,1)</f>
        <v>0</v>
      </c>
      <c r="AB140" s="155">
        <f ca="1">IF(NOT(OR(base_de_datos[[#This Row],[Horas totales]]=base_de_datos[[#This Row],[HT Plan]],base_de_datos[[#This Row],[Horas totales]]="N/A")),1,0)</f>
        <v>0</v>
      </c>
      <c r="AC140" s="155" t="str">
        <f>_xlfn.XLOOKUP(base_de_datos[[#This Row],[Profesor]],Nombre,Grado)</f>
        <v>M</v>
      </c>
      <c r="AD140" s="156" t="str">
        <f>_xlfn.XLOOKUP(base_de_datos[[#This Row],[Profesor]],Nombre,Tipo)</f>
        <v>OA</v>
      </c>
      <c r="AE140" s="155">
        <f>IF(IFERROR(VLOOKUP($C140,Planes_de_estudio[],MATCH($AE$2,Carreras,0)+2,0),"")&gt;0,IFERROR(VLOOKUP($C140,Planes_de_estudio[],MATCH($AE$2,Carreras,0)+2,0),""),"")</f>
        <v>7</v>
      </c>
      <c r="AF140" s="155" t="str">
        <f>IF(IFERROR(VLOOKUP($C140,Planes_de_estudio[],MATCH($AF$2,Carreras,0)+2,0),"")&gt;0,IFERROR(VLOOKUP($C140,Planes_de_estudio[],MATCH($AF$2,Carreras,0)+2,0),""),"")</f>
        <v/>
      </c>
      <c r="AG140" s="155">
        <f>IF(IFERROR(VLOOKUP($C140,Planes_de_estudio[],MATCH($AG$2,Carreras,0)+2,0),"")&gt;0,IFERROR(VLOOKUP($C140,Planes_de_estudio[],MATCH($AG$2,Carreras,0)+2,0),""),"")</f>
        <v>7</v>
      </c>
      <c r="AH140" s="155">
        <f>IF(IFERROR(VLOOKUP($C140,Planes_de_estudio[],MATCH($AH$2,Carreras,0)+2,0),"")&gt;0,IFERROR(VLOOKUP($C140,Planes_de_estudio[],MATCH($AH$2,Carreras,0)+2,0),""),"")</f>
        <v>8</v>
      </c>
      <c r="AI140" s="155" t="str">
        <f>IF(IFERROR(VLOOKUP($C140,Planes_de_estudio[],MATCH($AI$2,Carreras,0)+2,0),"")&gt;0,IFERROR(VLOOKUP($C140,Planes_de_estudio[],MATCH($AI$2,Carreras,0)+2,0),""),"")</f>
        <v/>
      </c>
      <c r="AJ140" s="155" t="str">
        <f>IF(IFERROR(VLOOKUP($C140,Planes_de_estudio[],MATCH($AJ$2,Carreras,0)+2,0),"")&gt;0,IFERROR(VLOOKUP($C140,Planes_de_estudio[],MATCH($AJ$2,Carreras,0)+2,0),""),"")</f>
        <v/>
      </c>
      <c r="AK140" s="155" t="str">
        <f>IF(IFERROR(VLOOKUP($C140,Planes_de_estudio[],MATCH($AK$2,Carreras,0)+2,0),"")&gt;0,IFERROR(VLOOKUP($C140,Planes_de_estudio[],MATCH($AK$2,Carreras,0)+2,0),""),"")</f>
        <v/>
      </c>
      <c r="AL14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44</v>
      </c>
      <c r="AN140" s="155">
        <f>base_de_datos[[#This Row],[Pronóstico]]/25</f>
        <v>1.76</v>
      </c>
      <c r="AO140" s="155" t="str">
        <f>VLOOKUP($C140,Planes_de_estudio[],2)</f>
        <v>EMP</v>
      </c>
      <c r="AP140" s="157" t="str">
        <f ca="1">IF(AND(base_de_datos[[#This Row],[Industrial]]&lt;&gt;"",base_de_datos[[#This Row],[Misma o no]]=1),base_de_datos[[#This Row],[Índice]],"")</f>
        <v/>
      </c>
      <c r="AQ140" s="157" t="str">
        <f ca="1">IF(AND(base_de_datos[[#This Row],[Mecatrónica]]&lt;&gt;"",base_de_datos[[#This Row],[Misma o no]]=1),base_de_datos[[#This Row],[Índice]],"")</f>
        <v/>
      </c>
      <c r="AR140" s="157" t="str">
        <f ca="1">IF(AND(base_de_datos[[#This Row],[Innovación y Diseño]]&lt;&gt;"",base_de_datos[[#This Row],[Misma o no]]=1),base_de_datos[[#This Row],[Índice]],"")</f>
        <v/>
      </c>
      <c r="AS140" s="157" t="str">
        <f ca="1">IF(AND(base_de_datos[[#This Row],[Inteligencia Artificial]]&lt;&gt;"",base_de_datos[[#This Row],[Misma o no]]=1),base_de_datos[[#This Row],[Índice]],"")</f>
        <v/>
      </c>
      <c r="AT140" s="157" t="str">
        <f ca="1">IF(AND(base_de_datos[[#This Row],[Tecnologías Energéticas]]&lt;&gt;"",base_de_datos[[#This Row],[Misma o no]]=1),base_de_datos[[#This Row],[Índice]],"")</f>
        <v/>
      </c>
      <c r="AU140" s="157" t="str">
        <f ca="1">IF(AND(base_de_datos[[#This Row],[Civil y Administración]]&lt;&gt;"",base_de_datos[[#This Row],[Misma o no]]=1),base_de_datos[[#This Row],[Índice]],"")</f>
        <v/>
      </c>
      <c r="AV140" s="157" t="str">
        <f ca="1">IF(AND(base_de_datos[[#This Row],[Bioelectrónica]]&lt;&gt;"",base_de_datos[[#This Row],[Misma o no]]=1),base_de_datos[[#This Row],[Índice]],"")</f>
        <v/>
      </c>
      <c r="AW140" s="158"/>
      <c r="AX140" s="231">
        <v>3</v>
      </c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  <c r="ER140" s="6"/>
      <c r="ES140" s="6"/>
      <c r="ET140" s="6"/>
      <c r="EU140" s="6"/>
      <c r="EV140" s="6"/>
      <c r="EW140" s="6"/>
      <c r="EX140" s="6"/>
      <c r="EY140" s="6"/>
      <c r="EZ140" s="6"/>
      <c r="FA140" s="6"/>
      <c r="FB140" s="6"/>
      <c r="FC140" s="6"/>
      <c r="FD140" s="6"/>
      <c r="FE140" s="6"/>
      <c r="FF140" s="6"/>
      <c r="FG140" s="6"/>
      <c r="FH140" s="6"/>
      <c r="FI140" s="6"/>
      <c r="FJ140" s="6"/>
      <c r="FK140" s="6"/>
      <c r="FL140" s="6"/>
      <c r="FM140" s="6"/>
      <c r="FN140" s="6"/>
      <c r="FO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B140" s="6"/>
      <c r="GC140" s="6"/>
      <c r="GD140" s="6"/>
      <c r="GE140" s="6"/>
      <c r="GF140" s="6"/>
      <c r="GG140" s="6"/>
      <c r="GH140" s="6"/>
      <c r="GI140" s="6"/>
      <c r="GJ140" s="6"/>
      <c r="GK140" s="6"/>
      <c r="GL140" s="6"/>
      <c r="GM140" s="6"/>
      <c r="GN140" s="6"/>
      <c r="GO140" s="6"/>
      <c r="GP140" s="6"/>
      <c r="GQ140" s="6"/>
      <c r="GR140" s="6"/>
      <c r="GS140" s="6"/>
      <c r="GT140" s="6"/>
      <c r="GU140" s="6"/>
      <c r="GV140" s="6"/>
      <c r="GW140" s="6"/>
      <c r="GX140" s="6"/>
      <c r="GY140" s="6"/>
      <c r="GZ140" s="6"/>
      <c r="HA140" s="6"/>
      <c r="HB140" s="6"/>
      <c r="HC140" s="6"/>
      <c r="HD140" s="6"/>
      <c r="HE140" s="6"/>
      <c r="HF140" s="6"/>
      <c r="HG140" s="6"/>
      <c r="HH140" s="6"/>
      <c r="HI140" s="6"/>
      <c r="HJ140" s="6"/>
      <c r="HK140" s="6"/>
      <c r="HL140" s="6"/>
      <c r="HM140" s="6"/>
    </row>
    <row r="141" spans="1:221" s="163" customFormat="1" ht="15">
      <c r="A141" s="6"/>
      <c r="B141" s="148" t="s">
        <v>327</v>
      </c>
      <c r="C141" s="149" t="s">
        <v>239</v>
      </c>
      <c r="D141" s="150">
        <v>1</v>
      </c>
      <c r="E141" s="151">
        <v>0.5</v>
      </c>
      <c r="F141" s="151">
        <v>0.58333333333332904</v>
      </c>
      <c r="G141" s="150"/>
      <c r="H141" s="150" t="s">
        <v>132</v>
      </c>
      <c r="I141" s="150">
        <f>INDEX(Aulas_capacidad,MATCH(base_de_datos[[#This Row],[Aula]],Aulas,0),2)</f>
        <v>30</v>
      </c>
      <c r="J141" s="212">
        <v>26</v>
      </c>
      <c r="K141" s="150">
        <f>INDEX(Aulas_capacidad,MATCH(base_de_datos[[#This Row],[Aula]],Aulas,0),4)</f>
        <v>12</v>
      </c>
      <c r="L141" s="153">
        <f>base_de_datos[[#This Row],[Cap 1.5]]-base_de_datos[[#This Row],[Inscritos]]</f>
        <v>-14</v>
      </c>
      <c r="M141" s="153">
        <f>INDEX(Aulas_capacidad,MATCH(base_de_datos[[#This Row],[Aula]],Aulas,0),5)</f>
        <v>18</v>
      </c>
      <c r="N141" s="153">
        <f>base_de_datos[[#This Row],[Cap .90]]-base_de_datos[[#This Row],[Inscritos]]</f>
        <v>-8</v>
      </c>
      <c r="O141" s="150" t="s">
        <v>328</v>
      </c>
      <c r="P141" s="154" t="s">
        <v>67</v>
      </c>
      <c r="Q141" s="154"/>
      <c r="R141" s="154"/>
      <c r="S141" s="154"/>
      <c r="T141" s="154"/>
      <c r="U141" s="154"/>
      <c r="V141" s="154"/>
      <c r="W141" s="154" t="s">
        <v>1653</v>
      </c>
      <c r="X141" s="155">
        <f>_xlfn.XLOOKUP(base_de_datos[[#This Row],[Materia]],Materias,Horas)/16</f>
        <v>4</v>
      </c>
      <c r="Y141" s="155">
        <f>ROUND(((base_de_datos[[#This Row],[Hora fin]]-base_de_datos[[#This Row],[Hora inicio]])*24)*(COUNTA(base_de_datos[[#This Row],[Lunes]:[Sábado]])),1)</f>
        <v>2</v>
      </c>
      <c r="Z14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1" s="155">
        <f ca="1">IF(base_de_datos[[#This Row],[No clase]]=OFFSET(base_de_datos[[#This Row],[No clase]],-1,0),0,1)</f>
        <v>1</v>
      </c>
      <c r="AB141" s="155">
        <f ca="1">IF(NOT(OR(base_de_datos[[#This Row],[Horas totales]]=base_de_datos[[#This Row],[HT Plan]],base_de_datos[[#This Row],[Horas totales]]="N/A")),1,0)</f>
        <v>0</v>
      </c>
      <c r="AC141" s="155" t="str">
        <f>_xlfn.XLOOKUP(base_de_datos[[#This Row],[Profesor]],Nombre,Grado)</f>
        <v>D</v>
      </c>
      <c r="AD141" s="156" t="str">
        <f>_xlfn.XLOOKUP(base_de_datos[[#This Row],[Profesor]],Nombre,Tipo)</f>
        <v>A</v>
      </c>
      <c r="AE141" s="155">
        <f>IF(IFERROR(VLOOKUP($C141,Planes_de_estudio[],MATCH($AE$2,Carreras,0)+2,0),"")&gt;0,IFERROR(VLOOKUP($C141,Planes_de_estudio[],MATCH($AE$2,Carreras,0)+2,0),""),"")</f>
        <v>1</v>
      </c>
      <c r="AF141" s="155">
        <f>IF(IFERROR(VLOOKUP($C141,Planes_de_estudio[],MATCH($AF$2,Carreras,0)+2,0),"")&gt;0,IFERROR(VLOOKUP($C141,Planes_de_estudio[],MATCH($AF$2,Carreras,0)+2,0),""),"")</f>
        <v>1</v>
      </c>
      <c r="AG141" s="155">
        <f>IF(IFERROR(VLOOKUP($C141,Planes_de_estudio[],MATCH($AG$2,Carreras,0)+2,0),"")&gt;0,IFERROR(VLOOKUP($C141,Planes_de_estudio[],MATCH($AG$2,Carreras,0)+2,0),""),"")</f>
        <v>1</v>
      </c>
      <c r="AH141" s="155">
        <f>IF(IFERROR(VLOOKUP($C141,Planes_de_estudio[],MATCH($AH$2,Carreras,0)+2,0),"")&gt;0,IFERROR(VLOOKUP($C141,Planes_de_estudio[],MATCH($AH$2,Carreras,0)+2,0),""),"")</f>
        <v>1</v>
      </c>
      <c r="AI141" s="155">
        <f>IF(IFERROR(VLOOKUP($C141,Planes_de_estudio[],MATCH($AI$2,Carreras,0)+2,0),"")&gt;0,IFERROR(VLOOKUP($C141,Planes_de_estudio[],MATCH($AI$2,Carreras,0)+2,0),""),"")</f>
        <v>2</v>
      </c>
      <c r="AJ141" s="155">
        <f>IF(IFERROR(VLOOKUP($C141,Planes_de_estudio[],MATCH($AJ$2,Carreras,0)+2,0),"")&gt;0,IFERROR(VLOOKUP($C141,Planes_de_estudio[],MATCH($AJ$2,Carreras,0)+2,0),""),"")</f>
        <v>1</v>
      </c>
      <c r="AK141" s="155">
        <f>IF(IFERROR(VLOOKUP($C141,Planes_de_estudio[],MATCH($AK$2,Carreras,0)+2,0),"")&gt;0,IFERROR(VLOOKUP($C141,Planes_de_estudio[],MATCH($AK$2,Carreras,0)+2,0),""),"")</f>
        <v>1</v>
      </c>
      <c r="AL14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41" s="155">
        <f>base_de_datos[[#This Row],[Pronóstico]]/25</f>
        <v>4.16</v>
      </c>
      <c r="AO141" s="155" t="str">
        <f>VLOOKUP($C141,Planes_de_estudio[],2)</f>
        <v>MEC</v>
      </c>
      <c r="AP141" s="157">
        <f ca="1">IF(AND(base_de_datos[[#This Row],[Industrial]]&lt;&gt;"",base_de_datos[[#This Row],[Misma o no]]=1),base_de_datos[[#This Row],[Índice]],"")</f>
        <v>6</v>
      </c>
      <c r="AQ141" s="157">
        <f ca="1">IF(AND(base_de_datos[[#This Row],[Mecatrónica]]&lt;&gt;"",base_de_datos[[#This Row],[Misma o no]]=1),base_de_datos[[#This Row],[Índice]],"")</f>
        <v>6</v>
      </c>
      <c r="AR141" s="157">
        <f ca="1">IF(AND(base_de_datos[[#This Row],[Innovación y Diseño]]&lt;&gt;"",base_de_datos[[#This Row],[Misma o no]]=1),base_de_datos[[#This Row],[Índice]],"")</f>
        <v>6</v>
      </c>
      <c r="AS141" s="157">
        <f ca="1">IF(AND(base_de_datos[[#This Row],[Inteligencia Artificial]]&lt;&gt;"",base_de_datos[[#This Row],[Misma o no]]=1),base_de_datos[[#This Row],[Índice]],"")</f>
        <v>6</v>
      </c>
      <c r="AT141" s="157">
        <f ca="1">IF(AND(base_de_datos[[#This Row],[Tecnologías Energéticas]]&lt;&gt;"",base_de_datos[[#This Row],[Misma o no]]=1),base_de_datos[[#This Row],[Índice]],"")</f>
        <v>6</v>
      </c>
      <c r="AU141" s="157">
        <f ca="1">IF(AND(base_de_datos[[#This Row],[Civil y Administración]]&lt;&gt;"",base_de_datos[[#This Row],[Misma o no]]=1),base_de_datos[[#This Row],[Índice]],"")</f>
        <v>6</v>
      </c>
      <c r="AV141" s="157">
        <f ca="1">IF(AND(base_de_datos[[#This Row],[Bioelectrónica]]&lt;&gt;"",base_de_datos[[#This Row],[Misma o no]]=1),base_de_datos[[#This Row],[Índice]],"")</f>
        <v>6</v>
      </c>
      <c r="AW141" s="158"/>
      <c r="AX141" s="231">
        <v>1</v>
      </c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  <c r="ER141" s="6"/>
      <c r="ES141" s="6"/>
      <c r="ET141" s="6"/>
      <c r="EU141" s="6"/>
      <c r="EV141" s="6"/>
      <c r="EW141" s="6"/>
      <c r="EX141" s="6"/>
      <c r="EY141" s="6"/>
      <c r="EZ141" s="6"/>
      <c r="FA141" s="6"/>
      <c r="FB141" s="6"/>
      <c r="FC141" s="6"/>
      <c r="FD141" s="6"/>
      <c r="FE141" s="6"/>
      <c r="FF141" s="6"/>
      <c r="FG141" s="6"/>
      <c r="FH141" s="6"/>
      <c r="FI141" s="6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B141" s="6"/>
      <c r="GC141" s="6"/>
      <c r="GD141" s="6"/>
      <c r="GE141" s="6"/>
      <c r="GF141" s="6"/>
      <c r="GG141" s="6"/>
      <c r="GH141" s="6"/>
      <c r="GI141" s="6"/>
      <c r="GJ141" s="6"/>
      <c r="GK141" s="6"/>
      <c r="GL141" s="6"/>
      <c r="GM141" s="6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  <c r="HE141" s="6"/>
      <c r="HF141" s="6"/>
      <c r="HG141" s="6"/>
      <c r="HH141" s="6"/>
      <c r="HI141" s="6"/>
      <c r="HJ141" s="6"/>
      <c r="HK141" s="6"/>
      <c r="HL141" s="6"/>
      <c r="HM141" s="6"/>
    </row>
    <row r="142" spans="1:221" s="160" customFormat="1" ht="15">
      <c r="A142" s="6"/>
      <c r="B142" s="148" t="s">
        <v>327</v>
      </c>
      <c r="C142" s="149" t="s">
        <v>239</v>
      </c>
      <c r="D142" s="150">
        <v>1</v>
      </c>
      <c r="E142" s="151">
        <v>0.5</v>
      </c>
      <c r="F142" s="151">
        <v>0.58333333333332904</v>
      </c>
      <c r="G142" s="150"/>
      <c r="H142" s="150" t="s">
        <v>181</v>
      </c>
      <c r="I142" s="150">
        <f>INDEX(Aulas_capacidad,MATCH(base_de_datos[[#This Row],[Aula]],Aulas,0),2)</f>
        <v>32</v>
      </c>
      <c r="J142" s="212">
        <v>26</v>
      </c>
      <c r="K142" s="150">
        <f>INDEX(Aulas_capacidad,MATCH(base_de_datos[[#This Row],[Aula]],Aulas,0),4)</f>
        <v>0</v>
      </c>
      <c r="L142" s="153">
        <f>base_de_datos[[#This Row],[Cap 1.5]]-base_de_datos[[#This Row],[Inscritos]]</f>
        <v>-26</v>
      </c>
      <c r="M142" s="153">
        <f>INDEX(Aulas_capacidad,MATCH(base_de_datos[[#This Row],[Aula]],Aulas,0),5)</f>
        <v>0</v>
      </c>
      <c r="N142" s="153">
        <f>base_de_datos[[#This Row],[Cap .90]]-base_de_datos[[#This Row],[Inscritos]]</f>
        <v>-26</v>
      </c>
      <c r="O142" s="150" t="s">
        <v>328</v>
      </c>
      <c r="P142" s="154"/>
      <c r="Q142" s="154"/>
      <c r="R142" s="154" t="s">
        <v>67</v>
      </c>
      <c r="S142" s="154"/>
      <c r="T142" s="154"/>
      <c r="U142" s="154"/>
      <c r="V142" s="154"/>
      <c r="W142" s="154" t="s">
        <v>1653</v>
      </c>
      <c r="X142" s="155">
        <f>_xlfn.XLOOKUP(base_de_datos[[#This Row],[Materia]],Materias,Horas)/16</f>
        <v>4</v>
      </c>
      <c r="Y142" s="155">
        <f>ROUND(((base_de_datos[[#This Row],[Hora fin]]-base_de_datos[[#This Row],[Hora inicio]])*24)*(COUNTA(base_de_datos[[#This Row],[Lunes]:[Sábado]])),1)</f>
        <v>2</v>
      </c>
      <c r="Z14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2" s="155">
        <f ca="1">IF(base_de_datos[[#This Row],[No clase]]=OFFSET(base_de_datos[[#This Row],[No clase]],-1,0),0,1)</f>
        <v>0</v>
      </c>
      <c r="AB142" s="155">
        <f ca="1">IF(NOT(OR(base_de_datos[[#This Row],[Horas totales]]=base_de_datos[[#This Row],[HT Plan]],base_de_datos[[#This Row],[Horas totales]]="N/A")),1,0)</f>
        <v>0</v>
      </c>
      <c r="AC142" s="155" t="str">
        <f>_xlfn.XLOOKUP(base_de_datos[[#This Row],[Profesor]],Nombre,Grado)</f>
        <v>D</v>
      </c>
      <c r="AD142" s="156" t="str">
        <f>_xlfn.XLOOKUP(base_de_datos[[#This Row],[Profesor]],Nombre,Tipo)</f>
        <v>A</v>
      </c>
      <c r="AE142" s="155">
        <f>IF(IFERROR(VLOOKUP($C142,Planes_de_estudio[],MATCH($AE$2,Carreras,0)+2,0),"")&gt;0,IFERROR(VLOOKUP($C142,Planes_de_estudio[],MATCH($AE$2,Carreras,0)+2,0),""),"")</f>
        <v>1</v>
      </c>
      <c r="AF142" s="155">
        <f>IF(IFERROR(VLOOKUP($C142,Planes_de_estudio[],MATCH($AF$2,Carreras,0)+2,0),"")&gt;0,IFERROR(VLOOKUP($C142,Planes_de_estudio[],MATCH($AF$2,Carreras,0)+2,0),""),"")</f>
        <v>1</v>
      </c>
      <c r="AG142" s="155">
        <f>IF(IFERROR(VLOOKUP($C142,Planes_de_estudio[],MATCH($AG$2,Carreras,0)+2,0),"")&gt;0,IFERROR(VLOOKUP($C142,Planes_de_estudio[],MATCH($AG$2,Carreras,0)+2,0),""),"")</f>
        <v>1</v>
      </c>
      <c r="AH142" s="155">
        <f>IF(IFERROR(VLOOKUP($C142,Planes_de_estudio[],MATCH($AH$2,Carreras,0)+2,0),"")&gt;0,IFERROR(VLOOKUP($C142,Planes_de_estudio[],MATCH($AH$2,Carreras,0)+2,0),""),"")</f>
        <v>1</v>
      </c>
      <c r="AI142" s="155">
        <f>IF(IFERROR(VLOOKUP($C142,Planes_de_estudio[],MATCH($AI$2,Carreras,0)+2,0),"")&gt;0,IFERROR(VLOOKUP($C142,Planes_de_estudio[],MATCH($AI$2,Carreras,0)+2,0),""),"")</f>
        <v>2</v>
      </c>
      <c r="AJ142" s="155">
        <f>IF(IFERROR(VLOOKUP($C142,Planes_de_estudio[],MATCH($AJ$2,Carreras,0)+2,0),"")&gt;0,IFERROR(VLOOKUP($C142,Planes_de_estudio[],MATCH($AJ$2,Carreras,0)+2,0),""),"")</f>
        <v>1</v>
      </c>
      <c r="AK142" s="155">
        <f>IF(IFERROR(VLOOKUP($C142,Planes_de_estudio[],MATCH($AK$2,Carreras,0)+2,0),"")&gt;0,IFERROR(VLOOKUP($C142,Planes_de_estudio[],MATCH($AK$2,Carreras,0)+2,0),""),"")</f>
        <v>1</v>
      </c>
      <c r="AL14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42" s="155">
        <f>base_de_datos[[#This Row],[Pronóstico]]/25</f>
        <v>4.16</v>
      </c>
      <c r="AO142" s="155" t="str">
        <f>VLOOKUP($C142,Planes_de_estudio[],2)</f>
        <v>MEC</v>
      </c>
      <c r="AP142" s="157" t="str">
        <f ca="1">IF(AND(base_de_datos[[#This Row],[Industrial]]&lt;&gt;"",base_de_datos[[#This Row],[Misma o no]]=1),base_de_datos[[#This Row],[Índice]],"")</f>
        <v/>
      </c>
      <c r="AQ142" s="157" t="str">
        <f ca="1">IF(AND(base_de_datos[[#This Row],[Mecatrónica]]&lt;&gt;"",base_de_datos[[#This Row],[Misma o no]]=1),base_de_datos[[#This Row],[Índice]],"")</f>
        <v/>
      </c>
      <c r="AR142" s="157" t="str">
        <f ca="1">IF(AND(base_de_datos[[#This Row],[Innovación y Diseño]]&lt;&gt;"",base_de_datos[[#This Row],[Misma o no]]=1),base_de_datos[[#This Row],[Índice]],"")</f>
        <v/>
      </c>
      <c r="AS142" s="157" t="str">
        <f ca="1">IF(AND(base_de_datos[[#This Row],[Inteligencia Artificial]]&lt;&gt;"",base_de_datos[[#This Row],[Misma o no]]=1),base_de_datos[[#This Row],[Índice]],"")</f>
        <v/>
      </c>
      <c r="AT142" s="157" t="str">
        <f ca="1">IF(AND(base_de_datos[[#This Row],[Tecnologías Energéticas]]&lt;&gt;"",base_de_datos[[#This Row],[Misma o no]]=1),base_de_datos[[#This Row],[Índice]],"")</f>
        <v/>
      </c>
      <c r="AU142" s="157" t="str">
        <f ca="1">IF(AND(base_de_datos[[#This Row],[Civil y Administración]]&lt;&gt;"",base_de_datos[[#This Row],[Misma o no]]=1),base_de_datos[[#This Row],[Índice]],"")</f>
        <v/>
      </c>
      <c r="AV142" s="157" t="str">
        <f ca="1">IF(AND(base_de_datos[[#This Row],[Bioelectrónica]]&lt;&gt;"",base_de_datos[[#This Row],[Misma o no]]=1),base_de_datos[[#This Row],[Índice]],"")</f>
        <v/>
      </c>
      <c r="AW142" s="158"/>
      <c r="AX142" s="231">
        <v>3</v>
      </c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6"/>
      <c r="FH142" s="6"/>
      <c r="FI142" s="6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  <c r="GX142" s="6"/>
      <c r="GY142" s="6"/>
      <c r="GZ142" s="6"/>
      <c r="HA142" s="6"/>
      <c r="HB142" s="6"/>
      <c r="HC142" s="6"/>
      <c r="HD142" s="6"/>
      <c r="HE142" s="6"/>
      <c r="HF142" s="6"/>
      <c r="HG142" s="6"/>
      <c r="HH142" s="6"/>
      <c r="HI142" s="6"/>
      <c r="HJ142" s="6"/>
      <c r="HK142" s="6"/>
      <c r="HL142" s="6"/>
      <c r="HM142" s="6"/>
    </row>
    <row r="143" spans="1:221" s="6" customFormat="1" ht="15">
      <c r="B143" s="148" t="s">
        <v>327</v>
      </c>
      <c r="C143" s="149" t="s">
        <v>329</v>
      </c>
      <c r="D143" s="150"/>
      <c r="E143" s="151">
        <v>0.375</v>
      </c>
      <c r="F143" s="151">
        <v>0.45833333333333098</v>
      </c>
      <c r="G143" s="150"/>
      <c r="H143" s="215" t="s">
        <v>66</v>
      </c>
      <c r="I143" s="150">
        <f>INDEX(Aulas_capacidad,MATCH(base_de_datos[[#This Row],[Aula]],Aulas,0),2)</f>
        <v>0</v>
      </c>
      <c r="J143" s="152">
        <v>10</v>
      </c>
      <c r="K143" s="150">
        <f>INDEX(Aulas_capacidad,MATCH(base_de_datos[[#This Row],[Aula]],Aulas,0),4)</f>
        <v>0</v>
      </c>
      <c r="L143" s="153">
        <f>base_de_datos[[#This Row],[Cap 1.5]]-base_de_datos[[#This Row],[Inscritos]]</f>
        <v>-10</v>
      </c>
      <c r="M143" s="153">
        <f>INDEX(Aulas_capacidad,MATCH(base_de_datos[[#This Row],[Aula]],Aulas,0),5)</f>
        <v>0</v>
      </c>
      <c r="N143" s="153">
        <f>base_de_datos[[#This Row],[Cap .90]]-base_de_datos[[#This Row],[Inscritos]]</f>
        <v>-10</v>
      </c>
      <c r="O143" s="150">
        <v>1728</v>
      </c>
      <c r="P143" s="154"/>
      <c r="Q143" s="154"/>
      <c r="R143" s="154"/>
      <c r="S143" s="154" t="s">
        <v>67</v>
      </c>
      <c r="T143" s="154"/>
      <c r="U143" s="154"/>
      <c r="V143" s="154"/>
      <c r="W143" s="154" t="s">
        <v>1650</v>
      </c>
      <c r="X143" s="155">
        <f>_xlfn.XLOOKUP(base_de_datos[[#This Row],[Materia]],Materias,Horas)/16</f>
        <v>2</v>
      </c>
      <c r="Y143" s="155">
        <f>ROUND(((base_de_datos[[#This Row],[Hora fin]]-base_de_datos[[#This Row],[Hora inicio]])*24)*(COUNTA(base_de_datos[[#This Row],[Lunes]:[Sábado]])),1)</f>
        <v>2</v>
      </c>
      <c r="Z143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3" s="155">
        <f ca="1">IF(base_de_datos[[#This Row],[No clase]]=OFFSET(base_de_datos[[#This Row],[No clase]],-1,0),0,1)</f>
        <v>1</v>
      </c>
      <c r="AB143" s="155">
        <f ca="1">IF(NOT(OR(base_de_datos[[#This Row],[Horas totales]]=base_de_datos[[#This Row],[HT Plan]],base_de_datos[[#This Row],[Horas totales]]="N/A")),1,0)</f>
        <v>0</v>
      </c>
      <c r="AC143" s="155" t="str">
        <f>_xlfn.XLOOKUP(base_de_datos[[#This Row],[Profesor]],Nombre,Grado)</f>
        <v>D</v>
      </c>
      <c r="AD143" s="156" t="str">
        <f>_xlfn.XLOOKUP(base_de_datos[[#This Row],[Profesor]],Nombre,Tipo)</f>
        <v>A</v>
      </c>
      <c r="AE143" s="155" t="str">
        <f>IF(IFERROR(VLOOKUP($C143,Planes_de_estudio[],MATCH($AE$2,Carreras,0)+2,0),"")&gt;0,IFERROR(VLOOKUP($C143,Planes_de_estudio[],MATCH($AE$2,Carreras,0)+2,0),""),"")</f>
        <v/>
      </c>
      <c r="AF143" s="155" t="str">
        <f>IF(IFERROR(VLOOKUP($C143,Planes_de_estudio[],MATCH($AF$2,Carreras,0)+2,0),"")&gt;0,IFERROR(VLOOKUP($C143,Planes_de_estudio[],MATCH($AF$2,Carreras,0)+2,0),""),"")</f>
        <v/>
      </c>
      <c r="AG143" s="155" t="str">
        <f>IF(IFERROR(VLOOKUP($C143,Planes_de_estudio[],MATCH($AG$2,Carreras,0)+2,0),"")&gt;0,IFERROR(VLOOKUP($C143,Planes_de_estudio[],MATCH($AG$2,Carreras,0)+2,0),""),"")</f>
        <v/>
      </c>
      <c r="AH143" s="155" t="str">
        <f>IF(IFERROR(VLOOKUP($C143,Planes_de_estudio[],MATCH($AH$2,Carreras,0)+2,0),"")&gt;0,IFERROR(VLOOKUP($C143,Planes_de_estudio[],MATCH($AH$2,Carreras,0)+2,0),""),"")</f>
        <v/>
      </c>
      <c r="AI143" s="155" t="str">
        <f>IF(IFERROR(VLOOKUP($C143,Planes_de_estudio[],MATCH($AI$2,Carreras,0)+2,0),"")&gt;0,IFERROR(VLOOKUP($C143,Planes_de_estudio[],MATCH($AI$2,Carreras,0)+2,0),""),"")</f>
        <v/>
      </c>
      <c r="AJ143" s="155">
        <f>IF(IFERROR(VLOOKUP($C143,Planes_de_estudio[],MATCH($AJ$2,Carreras,0)+2,0),"")&gt;0,IFERROR(VLOOKUP($C143,Planes_de_estudio[],MATCH($AJ$2,Carreras,0)+2,0),""),"")</f>
        <v>5</v>
      </c>
      <c r="AK143" s="155" t="str">
        <f>IF(IFERROR(VLOOKUP($C143,Planes_de_estudio[],MATCH($AK$2,Carreras,0)+2,0),"")&gt;0,IFERROR(VLOOKUP($C143,Planes_de_estudio[],MATCH($AK$2,Carreras,0)+2,0),""),"")</f>
        <v/>
      </c>
      <c r="AL14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43" s="155">
        <f>base_de_datos[[#This Row],[Pronóstico]]/25</f>
        <v>0.4</v>
      </c>
      <c r="AO143" s="155" t="str">
        <f>VLOOKUP($C143,Planes_de_estudio[],2)</f>
        <v>ETF</v>
      </c>
      <c r="AP143" s="157" t="str">
        <f ca="1">IF(AND(base_de_datos[[#This Row],[Industrial]]&lt;&gt;"",base_de_datos[[#This Row],[Misma o no]]=1),base_de_datos[[#This Row],[Índice]],"")</f>
        <v/>
      </c>
      <c r="AQ143" s="157" t="str">
        <f ca="1">IF(AND(base_de_datos[[#This Row],[Mecatrónica]]&lt;&gt;"",base_de_datos[[#This Row],[Misma o no]]=1),base_de_datos[[#This Row],[Índice]],"")</f>
        <v/>
      </c>
      <c r="AR143" s="157" t="str">
        <f ca="1">IF(AND(base_de_datos[[#This Row],[Innovación y Diseño]]&lt;&gt;"",base_de_datos[[#This Row],[Misma o no]]=1),base_de_datos[[#This Row],[Índice]],"")</f>
        <v/>
      </c>
      <c r="AS143" s="157" t="str">
        <f ca="1">IF(AND(base_de_datos[[#This Row],[Inteligencia Artificial]]&lt;&gt;"",base_de_datos[[#This Row],[Misma o no]]=1),base_de_datos[[#This Row],[Índice]],"")</f>
        <v/>
      </c>
      <c r="AT143" s="157" t="str">
        <f ca="1">IF(AND(base_de_datos[[#This Row],[Tecnologías Energéticas]]&lt;&gt;"",base_de_datos[[#This Row],[Misma o no]]=1),base_de_datos[[#This Row],[Índice]],"")</f>
        <v/>
      </c>
      <c r="AU143" s="157">
        <f ca="1">IF(AND(base_de_datos[[#This Row],[Civil y Administración]]&lt;&gt;"",base_de_datos[[#This Row],[Misma o no]]=1),base_de_datos[[#This Row],[Índice]],"")</f>
        <v>6</v>
      </c>
      <c r="AV143" s="157" t="str">
        <f ca="1">IF(AND(base_de_datos[[#This Row],[Bioelectrónica]]&lt;&gt;"",base_de_datos[[#This Row],[Misma o no]]=1),base_de_datos[[#This Row],[Índice]],"")</f>
        <v/>
      </c>
      <c r="AW143" s="161" t="s">
        <v>330</v>
      </c>
      <c r="AX143" s="231">
        <v>1</v>
      </c>
    </row>
    <row r="144" spans="1:221" s="6" customFormat="1" ht="15">
      <c r="B144" s="148" t="s">
        <v>327</v>
      </c>
      <c r="C144" s="149" t="s">
        <v>319</v>
      </c>
      <c r="D144" s="150">
        <v>2</v>
      </c>
      <c r="E144" s="151">
        <v>0.5</v>
      </c>
      <c r="F144" s="151">
        <v>0.58333333333332904</v>
      </c>
      <c r="G144" s="150"/>
      <c r="H144" s="150" t="s">
        <v>181</v>
      </c>
      <c r="I144" s="150">
        <f>INDEX(Aulas_capacidad,MATCH(base_de_datos[[#This Row],[Aula]],Aulas,0),2)</f>
        <v>32</v>
      </c>
      <c r="J144" s="212">
        <v>26</v>
      </c>
      <c r="K144" s="150">
        <f>INDEX(Aulas_capacidad,MATCH(base_de_datos[[#This Row],[Aula]],Aulas,0),4)</f>
        <v>0</v>
      </c>
      <c r="L144" s="153">
        <f>base_de_datos[[#This Row],[Cap 1.5]]-base_de_datos[[#This Row],[Inscritos]]</f>
        <v>-26</v>
      </c>
      <c r="M144" s="153">
        <f>INDEX(Aulas_capacidad,MATCH(base_de_datos[[#This Row],[Aula]],Aulas,0),5)</f>
        <v>0</v>
      </c>
      <c r="N144" s="153">
        <f>base_de_datos[[#This Row],[Cap .90]]-base_de_datos[[#This Row],[Inscritos]]</f>
        <v>-26</v>
      </c>
      <c r="O144" s="150" t="s">
        <v>331</v>
      </c>
      <c r="P144" s="154"/>
      <c r="Q144" s="154" t="s">
        <v>67</v>
      </c>
      <c r="R144" s="154"/>
      <c r="S144" s="154" t="s">
        <v>67</v>
      </c>
      <c r="T144" s="154"/>
      <c r="U144" s="154"/>
      <c r="V144" s="154"/>
      <c r="W144" s="154" t="s">
        <v>1656</v>
      </c>
      <c r="X144" s="155">
        <f>_xlfn.XLOOKUP(base_de_datos[[#This Row],[Materia]],Materias,Horas)/16</f>
        <v>4</v>
      </c>
      <c r="Y144" s="155">
        <f>ROUND(((base_de_datos[[#This Row],[Hora fin]]-base_de_datos[[#This Row],[Hora inicio]])*24)*(COUNTA(base_de_datos[[#This Row],[Lunes]:[Sábado]])),1)</f>
        <v>4</v>
      </c>
      <c r="Z14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4" s="155">
        <f ca="1">IF(base_de_datos[[#This Row],[No clase]]=OFFSET(base_de_datos[[#This Row],[No clase]],-1,0),0,1)</f>
        <v>1</v>
      </c>
      <c r="AB144" s="155">
        <f ca="1">IF(NOT(OR(base_de_datos[[#This Row],[Horas totales]]=base_de_datos[[#This Row],[HT Plan]],base_de_datos[[#This Row],[Horas totales]]="N/A")),1,0)</f>
        <v>0</v>
      </c>
      <c r="AC144" s="155" t="str">
        <f>_xlfn.XLOOKUP(base_de_datos[[#This Row],[Profesor]],Nombre,Grado)</f>
        <v>D</v>
      </c>
      <c r="AD144" s="156" t="str">
        <f>_xlfn.XLOOKUP(base_de_datos[[#This Row],[Profesor]],Nombre,Tipo)</f>
        <v>A</v>
      </c>
      <c r="AE144" s="155">
        <f>IF(IFERROR(VLOOKUP($C144,Planes_de_estudio[],MATCH($AE$2,Carreras,0)+2,0),"")&gt;0,IFERROR(VLOOKUP($C144,Planes_de_estudio[],MATCH($AE$2,Carreras,0)+2,0),""),"")</f>
        <v>1</v>
      </c>
      <c r="AF144" s="155">
        <f>IF(IFERROR(VLOOKUP($C144,Planes_de_estudio[],MATCH($AF$2,Carreras,0)+2,0),"")&gt;0,IFERROR(VLOOKUP($C144,Planes_de_estudio[],MATCH($AF$2,Carreras,0)+2,0),""),"")</f>
        <v>1</v>
      </c>
      <c r="AG144" s="155">
        <f>IF(IFERROR(VLOOKUP($C144,Planes_de_estudio[],MATCH($AG$2,Carreras,0)+2,0),"")&gt;0,IFERROR(VLOOKUP($C144,Planes_de_estudio[],MATCH($AG$2,Carreras,0)+2,0),""),"")</f>
        <v>2</v>
      </c>
      <c r="AH144" s="155">
        <f>IF(IFERROR(VLOOKUP($C144,Planes_de_estudio[],MATCH($AH$2,Carreras,0)+2,0),"")&gt;0,IFERROR(VLOOKUP($C144,Planes_de_estudio[],MATCH($AH$2,Carreras,0)+2,0),""),"")</f>
        <v>1</v>
      </c>
      <c r="AI144" s="155">
        <f>IF(IFERROR(VLOOKUP($C144,Planes_de_estudio[],MATCH($AI$2,Carreras,0)+2,0),"")&gt;0,IFERROR(VLOOKUP($C144,Planes_de_estudio[],MATCH($AI$2,Carreras,0)+2,0),""),"")</f>
        <v>1</v>
      </c>
      <c r="AJ144" s="155" t="str">
        <f>IF(IFERROR(VLOOKUP($C144,Planes_de_estudio[],MATCH($AJ$2,Carreras,0)+2,0),"")&gt;0,IFERROR(VLOOKUP($C144,Planes_de_estudio[],MATCH($AJ$2,Carreras,0)+2,0),""),"")</f>
        <v/>
      </c>
      <c r="AK144" s="155">
        <f>IF(IFERROR(VLOOKUP($C144,Planes_de_estudio[],MATCH($AK$2,Carreras,0)+2,0),"")&gt;0,IFERROR(VLOOKUP($C144,Planes_de_estudio[],MATCH($AK$2,Carreras,0)+2,0),""),"")</f>
        <v>1</v>
      </c>
      <c r="AL14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80</v>
      </c>
      <c r="AN144" s="155">
        <f>base_de_datos[[#This Row],[Pronóstico]]/25</f>
        <v>3.2</v>
      </c>
      <c r="AO144" s="155" t="str">
        <f>VLOOKUP($C144,Planes_de_estudio[],2)</f>
        <v>ETF</v>
      </c>
      <c r="AP144" s="157">
        <f ca="1">IF(AND(base_de_datos[[#This Row],[Industrial]]&lt;&gt;"",base_de_datos[[#This Row],[Misma o no]]=1),base_de_datos[[#This Row],[Índice]],"")</f>
        <v>6</v>
      </c>
      <c r="AQ144" s="157">
        <f ca="1">IF(AND(base_de_datos[[#This Row],[Mecatrónica]]&lt;&gt;"",base_de_datos[[#This Row],[Misma o no]]=1),base_de_datos[[#This Row],[Índice]],"")</f>
        <v>6</v>
      </c>
      <c r="AR144" s="157">
        <f ca="1">IF(AND(base_de_datos[[#This Row],[Innovación y Diseño]]&lt;&gt;"",base_de_datos[[#This Row],[Misma o no]]=1),base_de_datos[[#This Row],[Índice]],"")</f>
        <v>6</v>
      </c>
      <c r="AS144" s="157">
        <f ca="1">IF(AND(base_de_datos[[#This Row],[Inteligencia Artificial]]&lt;&gt;"",base_de_datos[[#This Row],[Misma o no]]=1),base_de_datos[[#This Row],[Índice]],"")</f>
        <v>6</v>
      </c>
      <c r="AT144" s="157">
        <f ca="1">IF(AND(base_de_datos[[#This Row],[Tecnologías Energéticas]]&lt;&gt;"",base_de_datos[[#This Row],[Misma o no]]=1),base_de_datos[[#This Row],[Índice]],"")</f>
        <v>6</v>
      </c>
      <c r="AU144" s="157" t="str">
        <f ca="1">IF(AND(base_de_datos[[#This Row],[Civil y Administración]]&lt;&gt;"",base_de_datos[[#This Row],[Misma o no]]=1),base_de_datos[[#This Row],[Índice]],"")</f>
        <v/>
      </c>
      <c r="AV144" s="157">
        <f ca="1">IF(AND(base_de_datos[[#This Row],[Bioelectrónica]]&lt;&gt;"",base_de_datos[[#This Row],[Misma o no]]=1),base_de_datos[[#This Row],[Índice]],"")</f>
        <v>6</v>
      </c>
      <c r="AW144" s="158"/>
      <c r="AX144" s="231" t="s">
        <v>1638</v>
      </c>
    </row>
    <row r="145" spans="1:221" s="6" customFormat="1" ht="15">
      <c r="B145" s="148" t="s">
        <v>332</v>
      </c>
      <c r="C145" s="149" t="s">
        <v>333</v>
      </c>
      <c r="D145" s="150">
        <v>1</v>
      </c>
      <c r="E145" s="151">
        <v>0.77083333333333304</v>
      </c>
      <c r="F145" s="151">
        <v>0.89583333333332305</v>
      </c>
      <c r="G145" s="150"/>
      <c r="H145" s="150" t="s">
        <v>237</v>
      </c>
      <c r="I145" s="150">
        <f>INDEX(Aulas_capacidad,MATCH(base_de_datos[[#This Row],[Aula]],Aulas,0),2)</f>
        <v>30</v>
      </c>
      <c r="J145" s="152">
        <v>20</v>
      </c>
      <c r="K145" s="150">
        <f>INDEX(Aulas_capacidad,MATCH(base_de_datos[[#This Row],[Aula]],Aulas,0),4)</f>
        <v>0</v>
      </c>
      <c r="L145" s="153">
        <f>base_de_datos[[#This Row],[Cap 1.5]]-base_de_datos[[#This Row],[Inscritos]]</f>
        <v>-20</v>
      </c>
      <c r="M145" s="153">
        <f>INDEX(Aulas_capacidad,MATCH(base_de_datos[[#This Row],[Aula]],Aulas,0),5)</f>
        <v>0</v>
      </c>
      <c r="N145" s="153">
        <f>base_de_datos[[#This Row],[Cap .90]]-base_de_datos[[#This Row],[Inscritos]]</f>
        <v>-20</v>
      </c>
      <c r="O145" s="150">
        <v>1566</v>
      </c>
      <c r="P145" s="154"/>
      <c r="Q145" s="154"/>
      <c r="R145" s="154" t="s">
        <v>67</v>
      </c>
      <c r="S145" s="154"/>
      <c r="T145" s="154"/>
      <c r="U145" s="154"/>
      <c r="V145" s="154"/>
      <c r="W145" s="154" t="s">
        <v>1654</v>
      </c>
      <c r="X145" s="155">
        <f>_xlfn.XLOOKUP(base_de_datos[[#This Row],[Materia]],Materias,Horas)/16</f>
        <v>3</v>
      </c>
      <c r="Y145" s="155">
        <f>ROUND(((base_de_datos[[#This Row],[Hora fin]]-base_de_datos[[#This Row],[Hora inicio]])*24)*(COUNTA(base_de_datos[[#This Row],[Lunes]:[Sábado]])),1)</f>
        <v>3</v>
      </c>
      <c r="Z14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5" s="155">
        <f ca="1">IF(base_de_datos[[#This Row],[No clase]]=OFFSET(base_de_datos[[#This Row],[No clase]],-1,0),0,1)</f>
        <v>1</v>
      </c>
      <c r="AB145" s="155">
        <f ca="1">IF(NOT(OR(base_de_datos[[#This Row],[Horas totales]]=base_de_datos[[#This Row],[HT Plan]],base_de_datos[[#This Row],[Horas totales]]="N/A")),1,0)</f>
        <v>0</v>
      </c>
      <c r="AC145" s="155" t="str">
        <f>_xlfn.XLOOKUP(base_de_datos[[#This Row],[Profesor]],Nombre,Grado)</f>
        <v>E</v>
      </c>
      <c r="AD145" s="156" t="str">
        <f>_xlfn.XLOOKUP(base_de_datos[[#This Row],[Profesor]],Nombre,Tipo)</f>
        <v>OA</v>
      </c>
      <c r="AE145" s="155">
        <f>IF(IFERROR(VLOOKUP($C145,Planes_de_estudio[],MATCH($AE$2,Carreras,0)+2,0),"")&gt;0,IFERROR(VLOOKUP($C145,Planes_de_estudio[],MATCH($AE$2,Carreras,0)+2,0),""),"")</f>
        <v>7</v>
      </c>
      <c r="AF145" s="155" t="str">
        <f>IF(IFERROR(VLOOKUP($C145,Planes_de_estudio[],MATCH($AF$2,Carreras,0)+2,0),"")&gt;0,IFERROR(VLOOKUP($C145,Planes_de_estudio[],MATCH($AF$2,Carreras,0)+2,0),""),"")</f>
        <v/>
      </c>
      <c r="AG145" s="155" t="str">
        <f>IF(IFERROR(VLOOKUP($C145,Planes_de_estudio[],MATCH($AG$2,Carreras,0)+2,0),"")&gt;0,IFERROR(VLOOKUP($C145,Planes_de_estudio[],MATCH($AG$2,Carreras,0)+2,0),""),"")</f>
        <v/>
      </c>
      <c r="AH145" s="155" t="str">
        <f>IF(IFERROR(VLOOKUP($C145,Planes_de_estudio[],MATCH($AH$2,Carreras,0)+2,0),"")&gt;0,IFERROR(VLOOKUP($C145,Planes_de_estudio[],MATCH($AH$2,Carreras,0)+2,0),""),"")</f>
        <v/>
      </c>
      <c r="AI145" s="155" t="str">
        <f>IF(IFERROR(VLOOKUP($C145,Planes_de_estudio[],MATCH($AI$2,Carreras,0)+2,0),"")&gt;0,IFERROR(VLOOKUP($C145,Planes_de_estudio[],MATCH($AI$2,Carreras,0)+2,0),""),"")</f>
        <v/>
      </c>
      <c r="AJ145" s="155" t="str">
        <f>IF(IFERROR(VLOOKUP($C145,Planes_de_estudio[],MATCH($AJ$2,Carreras,0)+2,0),"")&gt;0,IFERROR(VLOOKUP($C145,Planes_de_estudio[],MATCH($AJ$2,Carreras,0)+2,0),""),"")</f>
        <v/>
      </c>
      <c r="AK145" s="155" t="str">
        <f>IF(IFERROR(VLOOKUP($C145,Planes_de_estudio[],MATCH($AK$2,Carreras,0)+2,0),"")&gt;0,IFERROR(VLOOKUP($C145,Planes_de_estudio[],MATCH($AK$2,Carreras,0)+2,0),""),"")</f>
        <v/>
      </c>
      <c r="AL14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45" s="155">
        <f>base_de_datos[[#This Row],[Pronóstico]]/25</f>
        <v>0.96</v>
      </c>
      <c r="AO145" s="155" t="str">
        <f>VLOOKUP($C145,Planes_de_estudio[],2)</f>
        <v>DOP</v>
      </c>
      <c r="AP145" s="157">
        <f ca="1">IF(AND(base_de_datos[[#This Row],[Industrial]]&lt;&gt;"",base_de_datos[[#This Row],[Misma o no]]=1),base_de_datos[[#This Row],[Índice]],"")</f>
        <v>2</v>
      </c>
      <c r="AQ145" s="157" t="str">
        <f ca="1">IF(AND(base_de_datos[[#This Row],[Mecatrónica]]&lt;&gt;"",base_de_datos[[#This Row],[Misma o no]]=1),base_de_datos[[#This Row],[Índice]],"")</f>
        <v/>
      </c>
      <c r="AR145" s="157" t="str">
        <f ca="1">IF(AND(base_de_datos[[#This Row],[Innovación y Diseño]]&lt;&gt;"",base_de_datos[[#This Row],[Misma o no]]=1),base_de_datos[[#This Row],[Índice]],"")</f>
        <v/>
      </c>
      <c r="AS145" s="157" t="str">
        <f ca="1">IF(AND(base_de_datos[[#This Row],[Inteligencia Artificial]]&lt;&gt;"",base_de_datos[[#This Row],[Misma o no]]=1),base_de_datos[[#This Row],[Índice]],"")</f>
        <v/>
      </c>
      <c r="AT145" s="157" t="str">
        <f ca="1">IF(AND(base_de_datos[[#This Row],[Tecnologías Energéticas]]&lt;&gt;"",base_de_datos[[#This Row],[Misma o no]]=1),base_de_datos[[#This Row],[Índice]],"")</f>
        <v/>
      </c>
      <c r="AU145" s="157" t="str">
        <f ca="1">IF(AND(base_de_datos[[#This Row],[Civil y Administración]]&lt;&gt;"",base_de_datos[[#This Row],[Misma o no]]=1),base_de_datos[[#This Row],[Índice]],"")</f>
        <v/>
      </c>
      <c r="AV145" s="157" t="str">
        <f ca="1">IF(AND(base_de_datos[[#This Row],[Bioelectrónica]]&lt;&gt;"",base_de_datos[[#This Row],[Misma o no]]=1),base_de_datos[[#This Row],[Índice]],"")</f>
        <v/>
      </c>
      <c r="AW145" s="158"/>
      <c r="AX145" s="231" t="s">
        <v>1638</v>
      </c>
    </row>
    <row r="146" spans="1:221" s="6" customFormat="1" ht="15">
      <c r="B146" s="148" t="s">
        <v>334</v>
      </c>
      <c r="C146" s="149" t="s">
        <v>118</v>
      </c>
      <c r="D146" s="150">
        <v>1</v>
      </c>
      <c r="E146" s="151">
        <v>0.375</v>
      </c>
      <c r="F146" s="151">
        <v>0.45833333333333098</v>
      </c>
      <c r="G146" s="218" t="s">
        <v>65</v>
      </c>
      <c r="H146" s="150" t="s">
        <v>225</v>
      </c>
      <c r="I146" s="150">
        <f>INDEX(Aulas_capacidad,MATCH(base_de_datos[[#This Row],[Aula]],Aulas,0),2)</f>
        <v>36</v>
      </c>
      <c r="J146" s="152">
        <v>16</v>
      </c>
      <c r="K146" s="150">
        <f>INDEX(Aulas_capacidad,MATCH(base_de_datos[[#This Row],[Aula]],Aulas,0),4)</f>
        <v>18</v>
      </c>
      <c r="L146" s="153">
        <f>base_de_datos[[#This Row],[Cap 1.5]]-base_de_datos[[#This Row],[Inscritos]]</f>
        <v>2</v>
      </c>
      <c r="M146" s="153">
        <f>INDEX(Aulas_capacidad,MATCH(base_de_datos[[#This Row],[Aula]],Aulas,0),5)</f>
        <v>18</v>
      </c>
      <c r="N146" s="153">
        <f>base_de_datos[[#This Row],[Cap .90]]-base_de_datos[[#This Row],[Inscritos]]</f>
        <v>2</v>
      </c>
      <c r="O146" s="150" t="s">
        <v>335</v>
      </c>
      <c r="P146" s="154"/>
      <c r="Q146" s="154" t="s">
        <v>67</v>
      </c>
      <c r="R146" s="154"/>
      <c r="S146" s="154" t="s">
        <v>67</v>
      </c>
      <c r="T146" s="154"/>
      <c r="U146" s="154"/>
      <c r="V146" s="154"/>
      <c r="W146" s="154" t="s">
        <v>1659</v>
      </c>
      <c r="X146" s="155">
        <f>_xlfn.XLOOKUP(base_de_datos[[#This Row],[Materia]],Materias,Horas)/16</f>
        <v>4</v>
      </c>
      <c r="Y146" s="155">
        <f>ROUND(((base_de_datos[[#This Row],[Hora fin]]-base_de_datos[[#This Row],[Hora inicio]])*24)*(COUNTA(base_de_datos[[#This Row],[Lunes]:[Sábado]])),1)</f>
        <v>4</v>
      </c>
      <c r="Z14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6" s="155">
        <f ca="1">IF(base_de_datos[[#This Row],[No clase]]=OFFSET(base_de_datos[[#This Row],[No clase]],-1,0),0,1)</f>
        <v>1</v>
      </c>
      <c r="AB146" s="155">
        <f ca="1">IF(NOT(OR(base_de_datos[[#This Row],[Horas totales]]=base_de_datos[[#This Row],[HT Plan]],base_de_datos[[#This Row],[Horas totales]]="N/A")),1,0)</f>
        <v>0</v>
      </c>
      <c r="AC146" s="155" t="str">
        <f>_xlfn.XLOOKUP(base_de_datos[[#This Row],[Profesor]],Nombre,Grado)</f>
        <v>M</v>
      </c>
      <c r="AD146" s="156" t="str">
        <f>_xlfn.XLOOKUP(base_de_datos[[#This Row],[Profesor]],Nombre,Tipo)</f>
        <v>TC</v>
      </c>
      <c r="AE146" s="155" t="str">
        <f>IF(IFERROR(VLOOKUP($C146,Planes_de_estudio[],MATCH($AE$2,Carreras,0)+2,0),"")&gt;0,IFERROR(VLOOKUP($C146,Planes_de_estudio[],MATCH($AE$2,Carreras,0)+2,0),""),"")</f>
        <v/>
      </c>
      <c r="AF146" s="155">
        <f>IF(IFERROR(VLOOKUP($C146,Planes_de_estudio[],MATCH($AF$2,Carreras,0)+2,0),"")&gt;0,IFERROR(VLOOKUP($C146,Planes_de_estudio[],MATCH($AF$2,Carreras,0)+2,0),""),"")</f>
        <v>3</v>
      </c>
      <c r="AG146" s="155" t="str">
        <f>IF(IFERROR(VLOOKUP($C146,Planes_de_estudio[],MATCH($AG$2,Carreras,0)+2,0),"")&gt;0,IFERROR(VLOOKUP($C146,Planes_de_estudio[],MATCH($AG$2,Carreras,0)+2,0),""),"")</f>
        <v/>
      </c>
      <c r="AH146" s="155" t="str">
        <f>IF(IFERROR(VLOOKUP($C146,Planes_de_estudio[],MATCH($AH$2,Carreras,0)+2,0),"")&gt;0,IFERROR(VLOOKUP($C146,Planes_de_estudio[],MATCH($AH$2,Carreras,0)+2,0),""),"")</f>
        <v/>
      </c>
      <c r="AI146" s="155" t="str">
        <f>IF(IFERROR(VLOOKUP($C146,Planes_de_estudio[],MATCH($AI$2,Carreras,0)+2,0),"")&gt;0,IFERROR(VLOOKUP($C146,Planes_de_estudio[],MATCH($AI$2,Carreras,0)+2,0),""),"")</f>
        <v/>
      </c>
      <c r="AJ146" s="155">
        <f>IF(IFERROR(VLOOKUP($C146,Planes_de_estudio[],MATCH($AJ$2,Carreras,0)+2,0),"")&gt;0,IFERROR(VLOOKUP($C146,Planes_de_estudio[],MATCH($AJ$2,Carreras,0)+2,0),""),"")</f>
        <v>3</v>
      </c>
      <c r="AK146" s="155" t="str">
        <f>IF(IFERROR(VLOOKUP($C146,Planes_de_estudio[],MATCH($AK$2,Carreras,0)+2,0),"")&gt;0,IFERROR(VLOOKUP($C146,Planes_de_estudio[],MATCH($AK$2,Carreras,0)+2,0),""),"")</f>
        <v/>
      </c>
      <c r="AL14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38</v>
      </c>
      <c r="AN146" s="155">
        <f>base_de_datos[[#This Row],[Pronóstico]]/25</f>
        <v>1.52</v>
      </c>
      <c r="AO146" s="155" t="str">
        <f>VLOOKUP($C146,Planes_de_estudio[],2)</f>
        <v>MEC</v>
      </c>
      <c r="AP146" s="157" t="str">
        <f ca="1">IF(AND(base_de_datos[[#This Row],[Industrial]]&lt;&gt;"",base_de_datos[[#This Row],[Misma o no]]=1),base_de_datos[[#This Row],[Índice]],"")</f>
        <v/>
      </c>
      <c r="AQ146" s="157">
        <f ca="1">IF(AND(base_de_datos[[#This Row],[Mecatrónica]]&lt;&gt;"",base_de_datos[[#This Row],[Misma o no]]=1),base_de_datos[[#This Row],[Índice]],"")</f>
        <v>4</v>
      </c>
      <c r="AR146" s="157" t="str">
        <f ca="1">IF(AND(base_de_datos[[#This Row],[Innovación y Diseño]]&lt;&gt;"",base_de_datos[[#This Row],[Misma o no]]=1),base_de_datos[[#This Row],[Índice]],"")</f>
        <v/>
      </c>
      <c r="AS146" s="157" t="str">
        <f ca="1">IF(AND(base_de_datos[[#This Row],[Inteligencia Artificial]]&lt;&gt;"",base_de_datos[[#This Row],[Misma o no]]=1),base_de_datos[[#This Row],[Índice]],"")</f>
        <v/>
      </c>
      <c r="AT146" s="157" t="str">
        <f ca="1">IF(AND(base_de_datos[[#This Row],[Tecnologías Energéticas]]&lt;&gt;"",base_de_datos[[#This Row],[Misma o no]]=1),base_de_datos[[#This Row],[Índice]],"")</f>
        <v/>
      </c>
      <c r="AU146" s="157">
        <f ca="1">IF(AND(base_de_datos[[#This Row],[Civil y Administración]]&lt;&gt;"",base_de_datos[[#This Row],[Misma o no]]=1),base_de_datos[[#This Row],[Índice]],"")</f>
        <v>4</v>
      </c>
      <c r="AV146" s="157" t="str">
        <f ca="1">IF(AND(base_de_datos[[#This Row],[Bioelectrónica]]&lt;&gt;"",base_de_datos[[#This Row],[Misma o no]]=1),base_de_datos[[#This Row],[Índice]],"")</f>
        <v/>
      </c>
      <c r="AW146" s="158"/>
      <c r="AX146" s="231">
        <v>3</v>
      </c>
    </row>
    <row r="147" spans="1:221" s="6" customFormat="1" ht="13.5" customHeight="1">
      <c r="B147" s="148" t="s">
        <v>334</v>
      </c>
      <c r="C147" s="149" t="s">
        <v>336</v>
      </c>
      <c r="D147" s="150">
        <v>1</v>
      </c>
      <c r="E147" s="151">
        <v>0.5</v>
      </c>
      <c r="F147" s="151">
        <v>0.58333333333332904</v>
      </c>
      <c r="G147" s="218" t="s">
        <v>65</v>
      </c>
      <c r="H147" s="215" t="s">
        <v>225</v>
      </c>
      <c r="I147" s="150">
        <f>INDEX(Aulas_capacidad,MATCH(base_de_datos[[#This Row],[Aula]],Aulas,0),2)</f>
        <v>36</v>
      </c>
      <c r="J147" s="152">
        <v>18</v>
      </c>
      <c r="K147" s="150">
        <f>INDEX(Aulas_capacidad,MATCH(base_de_datos[[#This Row],[Aula]],Aulas,0),4)</f>
        <v>18</v>
      </c>
      <c r="L147" s="153">
        <f>base_de_datos[[#This Row],[Cap 1.5]]-base_de_datos[[#This Row],[Inscritos]]</f>
        <v>0</v>
      </c>
      <c r="M147" s="153">
        <f>INDEX(Aulas_capacidad,MATCH(base_de_datos[[#This Row],[Aula]],Aulas,0),5)</f>
        <v>18</v>
      </c>
      <c r="N147" s="153">
        <f>base_de_datos[[#This Row],[Cap .90]]-base_de_datos[[#This Row],[Inscritos]]</f>
        <v>0</v>
      </c>
      <c r="O147" s="150" t="s">
        <v>337</v>
      </c>
      <c r="P147" s="154" t="s">
        <v>67</v>
      </c>
      <c r="Q147" s="154"/>
      <c r="R147" s="154" t="s">
        <v>67</v>
      </c>
      <c r="S147" s="154"/>
      <c r="T147" s="154"/>
      <c r="U147" s="154"/>
      <c r="V147" s="154"/>
      <c r="W147" s="154" t="s">
        <v>1653</v>
      </c>
      <c r="X147" s="155">
        <f>_xlfn.XLOOKUP(base_de_datos[[#This Row],[Materia]],Materias,Horas)/16</f>
        <v>4</v>
      </c>
      <c r="Y147" s="155">
        <f>ROUND(((base_de_datos[[#This Row],[Hora fin]]-base_de_datos[[#This Row],[Hora inicio]])*24)*(COUNTA(base_de_datos[[#This Row],[Lunes]:[Sábado]])),1)</f>
        <v>4</v>
      </c>
      <c r="Z14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7" s="155">
        <f ca="1">IF(base_de_datos[[#This Row],[No clase]]=OFFSET(base_de_datos[[#This Row],[No clase]],-1,0),0,1)</f>
        <v>1</v>
      </c>
      <c r="AB147" s="155">
        <f ca="1">IF(NOT(OR(base_de_datos[[#This Row],[Horas totales]]=base_de_datos[[#This Row],[HT Plan]],base_de_datos[[#This Row],[Horas totales]]="N/A")),1,0)</f>
        <v>0</v>
      </c>
      <c r="AC147" s="155" t="str">
        <f>_xlfn.XLOOKUP(base_de_datos[[#This Row],[Profesor]],Nombre,Grado)</f>
        <v>M</v>
      </c>
      <c r="AD147" s="156" t="str">
        <f>_xlfn.XLOOKUP(base_de_datos[[#This Row],[Profesor]],Nombre,Tipo)</f>
        <v>TC</v>
      </c>
      <c r="AE147" s="155">
        <f>IF(IFERROR(VLOOKUP($C147,Planes_de_estudio[],MATCH($AE$2,Carreras,0)+2,0),"")&gt;0,IFERROR(VLOOKUP($C147,Planes_de_estudio[],MATCH($AE$2,Carreras,0)+2,0),""),"")</f>
        <v>3</v>
      </c>
      <c r="AF147" s="155">
        <f>IF(IFERROR(VLOOKUP($C147,Planes_de_estudio[],MATCH($AF$2,Carreras,0)+2,0),"")&gt;0,IFERROR(VLOOKUP($C147,Planes_de_estudio[],MATCH($AF$2,Carreras,0)+2,0),""),"")</f>
        <v>4</v>
      </c>
      <c r="AG147" s="155" t="str">
        <f>IF(IFERROR(VLOOKUP($C147,Planes_de_estudio[],MATCH($AG$2,Carreras,0)+2,0),"")&gt;0,IFERROR(VLOOKUP($C147,Planes_de_estudio[],MATCH($AG$2,Carreras,0)+2,0),""),"")</f>
        <v/>
      </c>
      <c r="AH147" s="155" t="str">
        <f>IF(IFERROR(VLOOKUP($C147,Planes_de_estudio[],MATCH($AH$2,Carreras,0)+2,0),"")&gt;0,IFERROR(VLOOKUP($C147,Planes_de_estudio[],MATCH($AH$2,Carreras,0)+2,0),""),"")</f>
        <v/>
      </c>
      <c r="AI147" s="155">
        <f>IF(IFERROR(VLOOKUP($C147,Planes_de_estudio[],MATCH($AI$2,Carreras,0)+2,0),"")&gt;0,IFERROR(VLOOKUP($C147,Planes_de_estudio[],MATCH($AI$2,Carreras,0)+2,0),""),"")</f>
        <v>3</v>
      </c>
      <c r="AJ147" s="155" t="str">
        <f>IF(IFERROR(VLOOKUP($C147,Planes_de_estudio[],MATCH($AJ$2,Carreras,0)+2,0),"")&gt;0,IFERROR(VLOOKUP($C147,Planes_de_estudio[],MATCH($AJ$2,Carreras,0)+2,0),""),"")</f>
        <v/>
      </c>
      <c r="AK147" s="155">
        <f>IF(IFERROR(VLOOKUP($C147,Planes_de_estudio[],MATCH($AK$2,Carreras,0)+2,0),"")&gt;0,IFERROR(VLOOKUP($C147,Planes_de_estudio[],MATCH($AK$2,Carreras,0)+2,0),""),"")</f>
        <v>4</v>
      </c>
      <c r="AL14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26</v>
      </c>
      <c r="AN147" s="155">
        <f>base_de_datos[[#This Row],[Pronóstico]]/25</f>
        <v>1.04</v>
      </c>
      <c r="AO147" s="155" t="str">
        <f>VLOOKUP($C147,Planes_de_estudio[],2)</f>
        <v>ETF</v>
      </c>
      <c r="AP147" s="157">
        <f ca="1">IF(AND(base_de_datos[[#This Row],[Industrial]]&lt;&gt;"",base_de_datos[[#This Row],[Misma o no]]=1),base_de_datos[[#This Row],[Índice]],"")</f>
        <v>4</v>
      </c>
      <c r="AQ147" s="157">
        <f ca="1">IF(AND(base_de_datos[[#This Row],[Mecatrónica]]&lt;&gt;"",base_de_datos[[#This Row],[Misma o no]]=1),base_de_datos[[#This Row],[Índice]],"")</f>
        <v>4</v>
      </c>
      <c r="AR147" s="157" t="str">
        <f ca="1">IF(AND(base_de_datos[[#This Row],[Innovación y Diseño]]&lt;&gt;"",base_de_datos[[#This Row],[Misma o no]]=1),base_de_datos[[#This Row],[Índice]],"")</f>
        <v/>
      </c>
      <c r="AS147" s="157" t="str">
        <f ca="1">IF(AND(base_de_datos[[#This Row],[Inteligencia Artificial]]&lt;&gt;"",base_de_datos[[#This Row],[Misma o no]]=1),base_de_datos[[#This Row],[Índice]],"")</f>
        <v/>
      </c>
      <c r="AT147" s="157">
        <f ca="1">IF(AND(base_de_datos[[#This Row],[Tecnologías Energéticas]]&lt;&gt;"",base_de_datos[[#This Row],[Misma o no]]=1),base_de_datos[[#This Row],[Índice]],"")</f>
        <v>4</v>
      </c>
      <c r="AU147" s="157" t="str">
        <f ca="1">IF(AND(base_de_datos[[#This Row],[Civil y Administración]]&lt;&gt;"",base_de_datos[[#This Row],[Misma o no]]=1),base_de_datos[[#This Row],[Índice]],"")</f>
        <v/>
      </c>
      <c r="AV147" s="157">
        <f ca="1">IF(AND(base_de_datos[[#This Row],[Bioelectrónica]]&lt;&gt;"",base_de_datos[[#This Row],[Misma o no]]=1),base_de_datos[[#This Row],[Índice]],"")</f>
        <v>4</v>
      </c>
      <c r="AW147" s="220" t="s">
        <v>338</v>
      </c>
      <c r="AX147" s="231">
        <v>2</v>
      </c>
    </row>
    <row r="148" spans="1:221" s="163" customFormat="1" ht="15">
      <c r="A148" s="6"/>
      <c r="B148" s="148" t="s">
        <v>339</v>
      </c>
      <c r="C148" s="149" t="s">
        <v>191</v>
      </c>
      <c r="D148" s="150">
        <v>2</v>
      </c>
      <c r="E148" s="151">
        <v>0.375</v>
      </c>
      <c r="F148" s="151">
        <v>0.45833333333333098</v>
      </c>
      <c r="G148" s="150"/>
      <c r="H148" s="150" t="s">
        <v>340</v>
      </c>
      <c r="I148" s="150" t="e">
        <f>INDEX(Aulas_capacidad,MATCH(base_de_datos[[#This Row],[Aula]],Aulas,0),2)</f>
        <v>#N/A</v>
      </c>
      <c r="J148" s="152">
        <v>20</v>
      </c>
      <c r="K148" s="150" t="e">
        <f>INDEX(Aulas_capacidad,MATCH(base_de_datos[[#This Row],[Aula]],Aulas,0),4)</f>
        <v>#N/A</v>
      </c>
      <c r="L148" s="153" t="e">
        <f>base_de_datos[[#This Row],[Cap 1.5]]-base_de_datos[[#This Row],[Inscritos]]</f>
        <v>#N/A</v>
      </c>
      <c r="M148" s="153" t="e">
        <f>INDEX(Aulas_capacidad,MATCH(base_de_datos[[#This Row],[Aula]],Aulas,0),5)</f>
        <v>#N/A</v>
      </c>
      <c r="N148" s="153" t="e">
        <f>base_de_datos[[#This Row],[Cap .90]]-base_de_datos[[#This Row],[Inscritos]]</f>
        <v>#N/A</v>
      </c>
      <c r="O148" s="150" t="s">
        <v>341</v>
      </c>
      <c r="P148" s="154"/>
      <c r="Q148" s="154" t="s">
        <v>67</v>
      </c>
      <c r="R148" s="154"/>
      <c r="S148" s="154"/>
      <c r="T148" s="154"/>
      <c r="U148" s="154"/>
      <c r="V148" s="154"/>
      <c r="W148" s="154" t="s">
        <v>1650</v>
      </c>
      <c r="X148" s="155">
        <f>_xlfn.XLOOKUP(base_de_datos[[#This Row],[Materia]],Materias,Horas)/16</f>
        <v>4</v>
      </c>
      <c r="Y148" s="155">
        <f>ROUND(((base_de_datos[[#This Row],[Hora fin]]-base_de_datos[[#This Row],[Hora inicio]])*24)*(COUNTA(base_de_datos[[#This Row],[Lunes]:[Sábado]])),1)</f>
        <v>2</v>
      </c>
      <c r="Z14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8" s="155">
        <f ca="1">IF(base_de_datos[[#This Row],[No clase]]=OFFSET(base_de_datos[[#This Row],[No clase]],-1,0),0,1)</f>
        <v>1</v>
      </c>
      <c r="AB148" s="155">
        <f ca="1">IF(NOT(OR(base_de_datos[[#This Row],[Horas totales]]=base_de_datos[[#This Row],[HT Plan]],base_de_datos[[#This Row],[Horas totales]]="N/A")),1,0)</f>
        <v>0</v>
      </c>
      <c r="AC148" s="155" t="str">
        <f>_xlfn.XLOOKUP(base_de_datos[[#This Row],[Profesor]],Nombre,Grado)</f>
        <v>L</v>
      </c>
      <c r="AD148" s="156" t="str">
        <f>_xlfn.XLOOKUP(base_de_datos[[#This Row],[Profesor]],Nombre,Tipo)</f>
        <v>A</v>
      </c>
      <c r="AE148" s="155">
        <f>IF(IFERROR(VLOOKUP($C148,Planes_de_estudio[],MATCH($AE$2,Carreras,0)+2,0),"")&gt;0,IFERROR(VLOOKUP($C148,Planes_de_estudio[],MATCH($AE$2,Carreras,0)+2,0),""),"")</f>
        <v>1</v>
      </c>
      <c r="AF148" s="155">
        <f>IF(IFERROR(VLOOKUP($C148,Planes_de_estudio[],MATCH($AF$2,Carreras,0)+2,0),"")&gt;0,IFERROR(VLOOKUP($C148,Planes_de_estudio[],MATCH($AF$2,Carreras,0)+2,0),""),"")</f>
        <v>1</v>
      </c>
      <c r="AG148" s="155">
        <f>IF(IFERROR(VLOOKUP($C148,Planes_de_estudio[],MATCH($AG$2,Carreras,0)+2,0),"")&gt;0,IFERROR(VLOOKUP($C148,Planes_de_estudio[],MATCH($AG$2,Carreras,0)+2,0),""),"")</f>
        <v>3</v>
      </c>
      <c r="AH148" s="155">
        <f>IF(IFERROR(VLOOKUP($C148,Planes_de_estudio[],MATCH($AH$2,Carreras,0)+2,0),"")&gt;0,IFERROR(VLOOKUP($C148,Planes_de_estudio[],MATCH($AH$2,Carreras,0)+2,0),""),"")</f>
        <v>1</v>
      </c>
      <c r="AI148" s="155">
        <f>IF(IFERROR(VLOOKUP($C148,Planes_de_estudio[],MATCH($AI$2,Carreras,0)+2,0),"")&gt;0,IFERROR(VLOOKUP($C148,Planes_de_estudio[],MATCH($AI$2,Carreras,0)+2,0),""),"")</f>
        <v>1</v>
      </c>
      <c r="AJ148" s="155">
        <f>IF(IFERROR(VLOOKUP($C148,Planes_de_estudio[],MATCH($AJ$2,Carreras,0)+2,0),"")&gt;0,IFERROR(VLOOKUP($C148,Planes_de_estudio[],MATCH($AJ$2,Carreras,0)+2,0),""),"")</f>
        <v>1</v>
      </c>
      <c r="AK148" s="155">
        <f>IF(IFERROR(VLOOKUP($C148,Planes_de_estudio[],MATCH($AK$2,Carreras,0)+2,0),"")&gt;0,IFERROR(VLOOKUP($C148,Planes_de_estudio[],MATCH($AK$2,Carreras,0)+2,0),""),"")</f>
        <v>1</v>
      </c>
      <c r="AL14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148" s="155">
        <f>base_de_datos[[#This Row],[Pronóstico]]/25</f>
        <v>4.4400000000000004</v>
      </c>
      <c r="AO148" s="155" t="str">
        <f>VLOOKUP($C148,Planes_de_estudio[],2)</f>
        <v>MAT</v>
      </c>
      <c r="AP148" s="157">
        <f ca="1">IF(AND(base_de_datos[[#This Row],[Industrial]]&lt;&gt;"",base_de_datos[[#This Row],[Misma o no]]=1),base_de_datos[[#This Row],[Índice]],"")</f>
        <v>1</v>
      </c>
      <c r="AQ148" s="157">
        <f ca="1">IF(AND(base_de_datos[[#This Row],[Mecatrónica]]&lt;&gt;"",base_de_datos[[#This Row],[Misma o no]]=1),base_de_datos[[#This Row],[Índice]],"")</f>
        <v>1</v>
      </c>
      <c r="AR148" s="157">
        <f ca="1">IF(AND(base_de_datos[[#This Row],[Innovación y Diseño]]&lt;&gt;"",base_de_datos[[#This Row],[Misma o no]]=1),base_de_datos[[#This Row],[Índice]],"")</f>
        <v>1</v>
      </c>
      <c r="AS148" s="157">
        <f ca="1">IF(AND(base_de_datos[[#This Row],[Inteligencia Artificial]]&lt;&gt;"",base_de_datos[[#This Row],[Misma o no]]=1),base_de_datos[[#This Row],[Índice]],"")</f>
        <v>1</v>
      </c>
      <c r="AT148" s="157">
        <f ca="1">IF(AND(base_de_datos[[#This Row],[Tecnologías Energéticas]]&lt;&gt;"",base_de_datos[[#This Row],[Misma o no]]=1),base_de_datos[[#This Row],[Índice]],"")</f>
        <v>1</v>
      </c>
      <c r="AU148" s="157">
        <f ca="1">IF(AND(base_de_datos[[#This Row],[Civil y Administración]]&lt;&gt;"",base_de_datos[[#This Row],[Misma o no]]=1),base_de_datos[[#This Row],[Índice]],"")</f>
        <v>1</v>
      </c>
      <c r="AV148" s="157">
        <f ca="1">IF(AND(base_de_datos[[#This Row],[Bioelectrónica]]&lt;&gt;"",base_de_datos[[#This Row],[Misma o no]]=1),base_de_datos[[#This Row],[Índice]],"")</f>
        <v>1</v>
      </c>
      <c r="AW148" s="158"/>
      <c r="AX148" s="231" t="s">
        <v>1639</v>
      </c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  <c r="GM148" s="6"/>
      <c r="GN148" s="6"/>
      <c r="GO148" s="6"/>
      <c r="GP148" s="6"/>
      <c r="GQ148" s="6"/>
      <c r="GR148" s="6"/>
      <c r="GS148" s="6"/>
      <c r="GT148" s="6"/>
      <c r="GU148" s="6"/>
      <c r="GV148" s="6"/>
      <c r="GW148" s="6"/>
      <c r="GX148" s="6"/>
      <c r="GY148" s="6"/>
      <c r="GZ148" s="6"/>
      <c r="HA148" s="6"/>
      <c r="HB148" s="6"/>
      <c r="HC148" s="6"/>
      <c r="HD148" s="6"/>
      <c r="HE148" s="6"/>
      <c r="HF148" s="6"/>
      <c r="HG148" s="6"/>
      <c r="HH148" s="6"/>
      <c r="HI148" s="6"/>
      <c r="HJ148" s="6"/>
      <c r="HK148" s="6"/>
      <c r="HL148" s="6"/>
      <c r="HM148" s="6"/>
    </row>
    <row r="149" spans="1:221" s="160" customFormat="1" ht="15">
      <c r="A149" s="6"/>
      <c r="B149" s="148" t="s">
        <v>339</v>
      </c>
      <c r="C149" s="149" t="s">
        <v>191</v>
      </c>
      <c r="D149" s="150">
        <v>2</v>
      </c>
      <c r="E149" s="151">
        <v>0.375</v>
      </c>
      <c r="F149" s="151">
        <v>0.45833333333333098</v>
      </c>
      <c r="G149" s="150"/>
      <c r="H149" s="150" t="s">
        <v>198</v>
      </c>
      <c r="I149" s="150" t="e">
        <f>INDEX(Aulas_capacidad,MATCH(base_de_datos[[#This Row],[Aula]],Aulas,0),2)</f>
        <v>#N/A</v>
      </c>
      <c r="J149" s="152">
        <v>20</v>
      </c>
      <c r="K149" s="150" t="e">
        <f>INDEX(Aulas_capacidad,MATCH(base_de_datos[[#This Row],[Aula]],Aulas,0),4)</f>
        <v>#N/A</v>
      </c>
      <c r="L149" s="153" t="e">
        <f>base_de_datos[[#This Row],[Cap 1.5]]-base_de_datos[[#This Row],[Inscritos]]</f>
        <v>#N/A</v>
      </c>
      <c r="M149" s="153" t="e">
        <f>INDEX(Aulas_capacidad,MATCH(base_de_datos[[#This Row],[Aula]],Aulas,0),5)</f>
        <v>#N/A</v>
      </c>
      <c r="N149" s="153" t="e">
        <f>base_de_datos[[#This Row],[Cap .90]]-base_de_datos[[#This Row],[Inscritos]]</f>
        <v>#N/A</v>
      </c>
      <c r="O149" s="150" t="s">
        <v>341</v>
      </c>
      <c r="P149" s="154"/>
      <c r="Q149" s="154"/>
      <c r="R149" s="154"/>
      <c r="S149" s="154" t="s">
        <v>67</v>
      </c>
      <c r="T149" s="154"/>
      <c r="U149" s="154"/>
      <c r="V149" s="154"/>
      <c r="W149" s="154" t="s">
        <v>1650</v>
      </c>
      <c r="X149" s="155">
        <f>_xlfn.XLOOKUP(base_de_datos[[#This Row],[Materia]],Materias,Horas)/16</f>
        <v>4</v>
      </c>
      <c r="Y149" s="155">
        <f>ROUND(((base_de_datos[[#This Row],[Hora fin]]-base_de_datos[[#This Row],[Hora inicio]])*24)*(COUNTA(base_de_datos[[#This Row],[Lunes]:[Sábado]])),1)</f>
        <v>2</v>
      </c>
      <c r="Z14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9" s="155">
        <f ca="1">IF(base_de_datos[[#This Row],[No clase]]=OFFSET(base_de_datos[[#This Row],[No clase]],-1,0),0,1)</f>
        <v>0</v>
      </c>
      <c r="AB149" s="155">
        <f ca="1">IF(NOT(OR(base_de_datos[[#This Row],[Horas totales]]=base_de_datos[[#This Row],[HT Plan]],base_de_datos[[#This Row],[Horas totales]]="N/A")),1,0)</f>
        <v>0</v>
      </c>
      <c r="AC149" s="155" t="str">
        <f>_xlfn.XLOOKUP(base_de_datos[[#This Row],[Profesor]],Nombre,Grado)</f>
        <v>L</v>
      </c>
      <c r="AD149" s="156" t="str">
        <f>_xlfn.XLOOKUP(base_de_datos[[#This Row],[Profesor]],Nombre,Tipo)</f>
        <v>A</v>
      </c>
      <c r="AE149" s="155">
        <f>IF(IFERROR(VLOOKUP($C149,Planes_de_estudio[],MATCH($AE$2,Carreras,0)+2,0),"")&gt;0,IFERROR(VLOOKUP($C149,Planes_de_estudio[],MATCH($AE$2,Carreras,0)+2,0),""),"")</f>
        <v>1</v>
      </c>
      <c r="AF149" s="155">
        <f>IF(IFERROR(VLOOKUP($C149,Planes_de_estudio[],MATCH($AF$2,Carreras,0)+2,0),"")&gt;0,IFERROR(VLOOKUP($C149,Planes_de_estudio[],MATCH($AF$2,Carreras,0)+2,0),""),"")</f>
        <v>1</v>
      </c>
      <c r="AG149" s="155">
        <f>IF(IFERROR(VLOOKUP($C149,Planes_de_estudio[],MATCH($AG$2,Carreras,0)+2,0),"")&gt;0,IFERROR(VLOOKUP($C149,Planes_de_estudio[],MATCH($AG$2,Carreras,0)+2,0),""),"")</f>
        <v>3</v>
      </c>
      <c r="AH149" s="155">
        <f>IF(IFERROR(VLOOKUP($C149,Planes_de_estudio[],MATCH($AH$2,Carreras,0)+2,0),"")&gt;0,IFERROR(VLOOKUP($C149,Planes_de_estudio[],MATCH($AH$2,Carreras,0)+2,0),""),"")</f>
        <v>1</v>
      </c>
      <c r="AI149" s="155">
        <f>IF(IFERROR(VLOOKUP($C149,Planes_de_estudio[],MATCH($AI$2,Carreras,0)+2,0),"")&gt;0,IFERROR(VLOOKUP($C149,Planes_de_estudio[],MATCH($AI$2,Carreras,0)+2,0),""),"")</f>
        <v>1</v>
      </c>
      <c r="AJ149" s="155">
        <f>IF(IFERROR(VLOOKUP($C149,Planes_de_estudio[],MATCH($AJ$2,Carreras,0)+2,0),"")&gt;0,IFERROR(VLOOKUP($C149,Planes_de_estudio[],MATCH($AJ$2,Carreras,0)+2,0),""),"")</f>
        <v>1</v>
      </c>
      <c r="AK149" s="155">
        <f>IF(IFERROR(VLOOKUP($C149,Planes_de_estudio[],MATCH($AK$2,Carreras,0)+2,0),"")&gt;0,IFERROR(VLOOKUP($C149,Planes_de_estudio[],MATCH($AK$2,Carreras,0)+2,0),""),"")</f>
        <v>1</v>
      </c>
      <c r="AL14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149" s="155">
        <f>base_de_datos[[#This Row],[Pronóstico]]/25</f>
        <v>4.4400000000000004</v>
      </c>
      <c r="AO149" s="155" t="str">
        <f>VLOOKUP($C149,Planes_de_estudio[],2)</f>
        <v>MAT</v>
      </c>
      <c r="AP149" s="157" t="str">
        <f ca="1">IF(AND(base_de_datos[[#This Row],[Industrial]]&lt;&gt;"",base_de_datos[[#This Row],[Misma o no]]=1),base_de_datos[[#This Row],[Índice]],"")</f>
        <v/>
      </c>
      <c r="AQ149" s="157" t="str">
        <f ca="1">IF(AND(base_de_datos[[#This Row],[Mecatrónica]]&lt;&gt;"",base_de_datos[[#This Row],[Misma o no]]=1),base_de_datos[[#This Row],[Índice]],"")</f>
        <v/>
      </c>
      <c r="AR149" s="157" t="str">
        <f ca="1">IF(AND(base_de_datos[[#This Row],[Innovación y Diseño]]&lt;&gt;"",base_de_datos[[#This Row],[Misma o no]]=1),base_de_datos[[#This Row],[Índice]],"")</f>
        <v/>
      </c>
      <c r="AS149" s="157" t="str">
        <f ca="1">IF(AND(base_de_datos[[#This Row],[Inteligencia Artificial]]&lt;&gt;"",base_de_datos[[#This Row],[Misma o no]]=1),base_de_datos[[#This Row],[Índice]],"")</f>
        <v/>
      </c>
      <c r="AT149" s="157" t="str">
        <f ca="1">IF(AND(base_de_datos[[#This Row],[Tecnologías Energéticas]]&lt;&gt;"",base_de_datos[[#This Row],[Misma o no]]=1),base_de_datos[[#This Row],[Índice]],"")</f>
        <v/>
      </c>
      <c r="AU149" s="157" t="str">
        <f ca="1">IF(AND(base_de_datos[[#This Row],[Civil y Administración]]&lt;&gt;"",base_de_datos[[#This Row],[Misma o no]]=1),base_de_datos[[#This Row],[Índice]],"")</f>
        <v/>
      </c>
      <c r="AV149" s="157" t="str">
        <f ca="1">IF(AND(base_de_datos[[#This Row],[Bioelectrónica]]&lt;&gt;"",base_de_datos[[#This Row],[Misma o no]]=1),base_de_datos[[#This Row],[Índice]],"")</f>
        <v/>
      </c>
      <c r="AW149" s="158"/>
      <c r="AX149" s="231">
        <v>3</v>
      </c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EZ149" s="6"/>
      <c r="FA149" s="6"/>
      <c r="FB149" s="6"/>
      <c r="FC149" s="6"/>
      <c r="FD149" s="6"/>
      <c r="FE149" s="6"/>
      <c r="FF149" s="6"/>
      <c r="FG149" s="6"/>
      <c r="FH149" s="6"/>
      <c r="FI149" s="6"/>
      <c r="FJ149" s="6"/>
      <c r="FK149" s="6"/>
      <c r="FL149" s="6"/>
      <c r="FM149" s="6"/>
      <c r="FN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  <c r="GM149" s="6"/>
      <c r="GN149" s="6"/>
      <c r="GO149" s="6"/>
      <c r="GP149" s="6"/>
      <c r="GQ149" s="6"/>
      <c r="GR149" s="6"/>
      <c r="GS149" s="6"/>
      <c r="GT149" s="6"/>
      <c r="GU149" s="6"/>
      <c r="GV149" s="6"/>
      <c r="GW149" s="6"/>
      <c r="GX149" s="6"/>
      <c r="GY149" s="6"/>
      <c r="GZ149" s="6"/>
      <c r="HA149" s="6"/>
      <c r="HB149" s="6"/>
      <c r="HC149" s="6"/>
      <c r="HD149" s="6"/>
      <c r="HE149" s="6"/>
      <c r="HF149" s="6"/>
      <c r="HG149" s="6"/>
      <c r="HH149" s="6"/>
      <c r="HI149" s="6"/>
      <c r="HJ149" s="6"/>
      <c r="HK149" s="6"/>
      <c r="HL149" s="6"/>
      <c r="HM149" s="6"/>
    </row>
    <row r="150" spans="1:221" s="160" customFormat="1" ht="15">
      <c r="A150" s="6"/>
      <c r="B150" s="148" t="s">
        <v>339</v>
      </c>
      <c r="C150" s="149" t="s">
        <v>342</v>
      </c>
      <c r="D150" s="150">
        <v>3</v>
      </c>
      <c r="E150" s="151">
        <v>0.29166666666666669</v>
      </c>
      <c r="F150" s="151">
        <v>0.374999999999999</v>
      </c>
      <c r="G150" s="150"/>
      <c r="H150" s="150" t="s">
        <v>140</v>
      </c>
      <c r="I150" s="150">
        <f>INDEX(Aulas_capacidad,MATCH(base_de_datos[[#This Row],[Aula]],Aulas,0),2)</f>
        <v>40</v>
      </c>
      <c r="J150" s="212">
        <v>25</v>
      </c>
      <c r="K150" s="150">
        <f>INDEX(Aulas_capacidad,MATCH(base_de_datos[[#This Row],[Aula]],Aulas,0),4)</f>
        <v>15</v>
      </c>
      <c r="L150" s="153">
        <f>base_de_datos[[#This Row],[Cap 1.5]]-base_de_datos[[#This Row],[Inscritos]]</f>
        <v>-10</v>
      </c>
      <c r="M150" s="153">
        <f>INDEX(Aulas_capacidad,MATCH(base_de_datos[[#This Row],[Aula]],Aulas,0),5)</f>
        <v>25</v>
      </c>
      <c r="N150" s="153">
        <f>base_de_datos[[#This Row],[Cap .90]]-base_de_datos[[#This Row],[Inscritos]]</f>
        <v>0</v>
      </c>
      <c r="O150" s="150" t="s">
        <v>343</v>
      </c>
      <c r="P150" s="154"/>
      <c r="Q150" s="154" t="s">
        <v>67</v>
      </c>
      <c r="R150" s="154"/>
      <c r="S150" s="154"/>
      <c r="T150" s="154" t="s">
        <v>67</v>
      </c>
      <c r="U150" s="154"/>
      <c r="V150" s="154"/>
      <c r="W150" s="154" t="s">
        <v>1651</v>
      </c>
      <c r="X150" s="155">
        <f>_xlfn.XLOOKUP(base_de_datos[[#This Row],[Materia]],Materias,Horas)/16</f>
        <v>4</v>
      </c>
      <c r="Y150" s="155">
        <f>ROUND(((base_de_datos[[#This Row],[Hora fin]]-base_de_datos[[#This Row],[Hora inicio]])*24)*(COUNTA(base_de_datos[[#This Row],[Lunes]:[Sábado]])),1)</f>
        <v>4</v>
      </c>
      <c r="Z15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0" s="155">
        <f ca="1">IF(base_de_datos[[#This Row],[No clase]]=OFFSET(base_de_datos[[#This Row],[No clase]],-1,0),0,1)</f>
        <v>1</v>
      </c>
      <c r="AB150" s="155">
        <f ca="1">IF(NOT(OR(base_de_datos[[#This Row],[Horas totales]]=base_de_datos[[#This Row],[HT Plan]],base_de_datos[[#This Row],[Horas totales]]="N/A")),1,0)</f>
        <v>0</v>
      </c>
      <c r="AC150" s="155" t="str">
        <f>_xlfn.XLOOKUP(base_de_datos[[#This Row],[Profesor]],Nombre,Grado)</f>
        <v>L</v>
      </c>
      <c r="AD150" s="156" t="str">
        <f>_xlfn.XLOOKUP(base_de_datos[[#This Row],[Profesor]],Nombre,Tipo)</f>
        <v>A</v>
      </c>
      <c r="AE150" s="155">
        <f>IF(IFERROR(VLOOKUP($C150,Planes_de_estudio[],MATCH($AE$2,Carreras,0)+2,0),"")&gt;0,IFERROR(VLOOKUP($C150,Planes_de_estudio[],MATCH($AE$2,Carreras,0)+2,0),""),"")</f>
        <v>3</v>
      </c>
      <c r="AF150" s="155">
        <f>IF(IFERROR(VLOOKUP($C150,Planes_de_estudio[],MATCH($AF$2,Carreras,0)+2,0),"")&gt;0,IFERROR(VLOOKUP($C150,Planes_de_estudio[],MATCH($AF$2,Carreras,0)+2,0),""),"")</f>
        <v>3</v>
      </c>
      <c r="AG150" s="155">
        <f>IF(IFERROR(VLOOKUP($C150,Planes_de_estudio[],MATCH($AG$2,Carreras,0)+2,0),"")&gt;0,IFERROR(VLOOKUP($C150,Planes_de_estudio[],MATCH($AG$2,Carreras,0)+2,0),""),"")</f>
        <v>5</v>
      </c>
      <c r="AH150" s="155">
        <f>IF(IFERROR(VLOOKUP($C150,Planes_de_estudio[],MATCH($AH$2,Carreras,0)+2,0),"")&gt;0,IFERROR(VLOOKUP($C150,Planes_de_estudio[],MATCH($AH$2,Carreras,0)+2,0),""),"")</f>
        <v>3</v>
      </c>
      <c r="AI150" s="155">
        <f>IF(IFERROR(VLOOKUP($C150,Planes_de_estudio[],MATCH($AI$2,Carreras,0)+2,0),"")&gt;0,IFERROR(VLOOKUP($C150,Planes_de_estudio[],MATCH($AI$2,Carreras,0)+2,0),""),"")</f>
        <v>3</v>
      </c>
      <c r="AJ150" s="155">
        <f>IF(IFERROR(VLOOKUP($C150,Planes_de_estudio[],MATCH($AJ$2,Carreras,0)+2,0),"")&gt;0,IFERROR(VLOOKUP($C150,Planes_de_estudio[],MATCH($AJ$2,Carreras,0)+2,0),""),"")</f>
        <v>3</v>
      </c>
      <c r="AK150" s="155">
        <f>IF(IFERROR(VLOOKUP($C150,Planes_de_estudio[],MATCH($AK$2,Carreras,0)+2,0),"")&gt;0,IFERROR(VLOOKUP($C150,Planes_de_estudio[],MATCH($AK$2,Carreras,0)+2,0),""),"")</f>
        <v>3</v>
      </c>
      <c r="AL15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50" s="155">
        <f>base_de_datos[[#This Row],[Pronóstico]]/25</f>
        <v>4.32</v>
      </c>
      <c r="AO150" s="155" t="str">
        <f>VLOOKUP($C150,Planes_de_estudio[],2)</f>
        <v>MAT</v>
      </c>
      <c r="AP150" s="157">
        <f ca="1">IF(AND(base_de_datos[[#This Row],[Industrial]]&lt;&gt;"",base_de_datos[[#This Row],[Misma o no]]=1),base_de_datos[[#This Row],[Índice]],"")</f>
        <v>1</v>
      </c>
      <c r="AQ150" s="157">
        <f ca="1">IF(AND(base_de_datos[[#This Row],[Mecatrónica]]&lt;&gt;"",base_de_datos[[#This Row],[Misma o no]]=1),base_de_datos[[#This Row],[Índice]],"")</f>
        <v>1</v>
      </c>
      <c r="AR150" s="157">
        <f ca="1">IF(AND(base_de_datos[[#This Row],[Innovación y Diseño]]&lt;&gt;"",base_de_datos[[#This Row],[Misma o no]]=1),base_de_datos[[#This Row],[Índice]],"")</f>
        <v>1</v>
      </c>
      <c r="AS150" s="157">
        <f ca="1">IF(AND(base_de_datos[[#This Row],[Inteligencia Artificial]]&lt;&gt;"",base_de_datos[[#This Row],[Misma o no]]=1),base_de_datos[[#This Row],[Índice]],"")</f>
        <v>1</v>
      </c>
      <c r="AT150" s="157">
        <f ca="1">IF(AND(base_de_datos[[#This Row],[Tecnologías Energéticas]]&lt;&gt;"",base_de_datos[[#This Row],[Misma o no]]=1),base_de_datos[[#This Row],[Índice]],"")</f>
        <v>1</v>
      </c>
      <c r="AU150" s="157">
        <f ca="1">IF(AND(base_de_datos[[#This Row],[Civil y Administración]]&lt;&gt;"",base_de_datos[[#This Row],[Misma o no]]=1),base_de_datos[[#This Row],[Índice]],"")</f>
        <v>1</v>
      </c>
      <c r="AV150" s="157">
        <f ca="1">IF(AND(base_de_datos[[#This Row],[Bioelectrónica]]&lt;&gt;"",base_de_datos[[#This Row],[Misma o no]]=1),base_de_datos[[#This Row],[Índice]],"")</f>
        <v>1</v>
      </c>
      <c r="AW150" s="158"/>
      <c r="AX150" s="231">
        <v>2</v>
      </c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6"/>
      <c r="FH150" s="6"/>
      <c r="FI150" s="6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  <c r="GX150" s="6"/>
      <c r="GY150" s="6"/>
      <c r="GZ150" s="6"/>
      <c r="HA150" s="6"/>
      <c r="HB150" s="6"/>
      <c r="HC150" s="6"/>
      <c r="HD150" s="6"/>
      <c r="HE150" s="6"/>
      <c r="HF150" s="6"/>
      <c r="HG150" s="6"/>
      <c r="HH150" s="6"/>
      <c r="HI150" s="6"/>
      <c r="HJ150" s="6"/>
      <c r="HK150" s="6"/>
      <c r="HL150" s="6"/>
      <c r="HM150" s="6"/>
    </row>
    <row r="151" spans="1:221" s="160" customFormat="1" ht="15">
      <c r="A151" s="6"/>
      <c r="B151" s="148" t="s">
        <v>339</v>
      </c>
      <c r="C151" s="149" t="s">
        <v>342</v>
      </c>
      <c r="D151" s="150">
        <v>3</v>
      </c>
      <c r="E151" s="151">
        <v>0.29166666666666669</v>
      </c>
      <c r="F151" s="151">
        <v>0.374999999999999</v>
      </c>
      <c r="G151" s="150"/>
      <c r="H151" s="150" t="s">
        <v>344</v>
      </c>
      <c r="I151" s="150">
        <f>INDEX(Aulas_capacidad,MATCH(base_de_datos[[#This Row],[Aula]],Aulas,0),2)</f>
        <v>30</v>
      </c>
      <c r="J151" s="212">
        <v>25</v>
      </c>
      <c r="K151" s="150">
        <f>INDEX(Aulas_capacidad,MATCH(base_de_datos[[#This Row],[Aula]],Aulas,0),4)</f>
        <v>0</v>
      </c>
      <c r="L151" s="153">
        <f>base_de_datos[[#This Row],[Cap 1.5]]-base_de_datos[[#This Row],[Inscritos]]</f>
        <v>-25</v>
      </c>
      <c r="M151" s="153">
        <f>INDEX(Aulas_capacidad,MATCH(base_de_datos[[#This Row],[Aula]],Aulas,0),5)</f>
        <v>0</v>
      </c>
      <c r="N151" s="153">
        <f>base_de_datos[[#This Row],[Cap .90]]-base_de_datos[[#This Row],[Inscritos]]</f>
        <v>-25</v>
      </c>
      <c r="O151" s="150" t="s">
        <v>343</v>
      </c>
      <c r="P151" s="154"/>
      <c r="Q151" s="154"/>
      <c r="R151" s="154"/>
      <c r="S151" s="154"/>
      <c r="T151" s="154"/>
      <c r="U151" s="154"/>
      <c r="V151" s="154"/>
      <c r="W151" s="154" t="s">
        <v>1651</v>
      </c>
      <c r="X151" s="155">
        <f>_xlfn.XLOOKUP(base_de_datos[[#This Row],[Materia]],Materias,Horas)/16</f>
        <v>4</v>
      </c>
      <c r="Y151" s="155">
        <f>ROUND(((base_de_datos[[#This Row],[Hora fin]]-base_de_datos[[#This Row],[Hora inicio]])*24)*(COUNTA(base_de_datos[[#This Row],[Lunes]:[Sábado]])),1)</f>
        <v>0</v>
      </c>
      <c r="Z15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1" s="155">
        <f ca="1">IF(base_de_datos[[#This Row],[No clase]]=OFFSET(base_de_datos[[#This Row],[No clase]],-1,0),0,1)</f>
        <v>0</v>
      </c>
      <c r="AB151" s="155">
        <f ca="1">IF(NOT(OR(base_de_datos[[#This Row],[Horas totales]]=base_de_datos[[#This Row],[HT Plan]],base_de_datos[[#This Row],[Horas totales]]="N/A")),1,0)</f>
        <v>0</v>
      </c>
      <c r="AC151" s="155" t="str">
        <f>_xlfn.XLOOKUP(base_de_datos[[#This Row],[Profesor]],Nombre,Grado)</f>
        <v>L</v>
      </c>
      <c r="AD151" s="156" t="str">
        <f>_xlfn.XLOOKUP(base_de_datos[[#This Row],[Profesor]],Nombre,Tipo)</f>
        <v>A</v>
      </c>
      <c r="AE151" s="155">
        <f>IF(IFERROR(VLOOKUP($C151,Planes_de_estudio[],MATCH($AE$2,Carreras,0)+2,0),"")&gt;0,IFERROR(VLOOKUP($C151,Planes_de_estudio[],MATCH($AE$2,Carreras,0)+2,0),""),"")</f>
        <v>3</v>
      </c>
      <c r="AF151" s="155">
        <f>IF(IFERROR(VLOOKUP($C151,Planes_de_estudio[],MATCH($AF$2,Carreras,0)+2,0),"")&gt;0,IFERROR(VLOOKUP($C151,Planes_de_estudio[],MATCH($AF$2,Carreras,0)+2,0),""),"")</f>
        <v>3</v>
      </c>
      <c r="AG151" s="155">
        <f>IF(IFERROR(VLOOKUP($C151,Planes_de_estudio[],MATCH($AG$2,Carreras,0)+2,0),"")&gt;0,IFERROR(VLOOKUP($C151,Planes_de_estudio[],MATCH($AG$2,Carreras,0)+2,0),""),"")</f>
        <v>5</v>
      </c>
      <c r="AH151" s="155">
        <f>IF(IFERROR(VLOOKUP($C151,Planes_de_estudio[],MATCH($AH$2,Carreras,0)+2,0),"")&gt;0,IFERROR(VLOOKUP($C151,Planes_de_estudio[],MATCH($AH$2,Carreras,0)+2,0),""),"")</f>
        <v>3</v>
      </c>
      <c r="AI151" s="155">
        <f>IF(IFERROR(VLOOKUP($C151,Planes_de_estudio[],MATCH($AI$2,Carreras,0)+2,0),"")&gt;0,IFERROR(VLOOKUP($C151,Planes_de_estudio[],MATCH($AI$2,Carreras,0)+2,0),""),"")</f>
        <v>3</v>
      </c>
      <c r="AJ151" s="155">
        <f>IF(IFERROR(VLOOKUP($C151,Planes_de_estudio[],MATCH($AJ$2,Carreras,0)+2,0),"")&gt;0,IFERROR(VLOOKUP($C151,Planes_de_estudio[],MATCH($AJ$2,Carreras,0)+2,0),""),"")</f>
        <v>3</v>
      </c>
      <c r="AK151" s="155">
        <f>IF(IFERROR(VLOOKUP($C151,Planes_de_estudio[],MATCH($AK$2,Carreras,0)+2,0),"")&gt;0,IFERROR(VLOOKUP($C151,Planes_de_estudio[],MATCH($AK$2,Carreras,0)+2,0),""),"")</f>
        <v>3</v>
      </c>
      <c r="AL15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51" s="155">
        <f>base_de_datos[[#This Row],[Pronóstico]]/25</f>
        <v>4.32</v>
      </c>
      <c r="AO151" s="155" t="str">
        <f>VLOOKUP($C151,Planes_de_estudio[],2)</f>
        <v>MAT</v>
      </c>
      <c r="AP151" s="157" t="str">
        <f ca="1">IF(AND(base_de_datos[[#This Row],[Industrial]]&lt;&gt;"",base_de_datos[[#This Row],[Misma o no]]=1),base_de_datos[[#This Row],[Índice]],"")</f>
        <v/>
      </c>
      <c r="AQ151" s="157" t="str">
        <f ca="1">IF(AND(base_de_datos[[#This Row],[Mecatrónica]]&lt;&gt;"",base_de_datos[[#This Row],[Misma o no]]=1),base_de_datos[[#This Row],[Índice]],"")</f>
        <v/>
      </c>
      <c r="AR151" s="157" t="str">
        <f ca="1">IF(AND(base_de_datos[[#This Row],[Innovación y Diseño]]&lt;&gt;"",base_de_datos[[#This Row],[Misma o no]]=1),base_de_datos[[#This Row],[Índice]],"")</f>
        <v/>
      </c>
      <c r="AS151" s="157" t="str">
        <f ca="1">IF(AND(base_de_datos[[#This Row],[Inteligencia Artificial]]&lt;&gt;"",base_de_datos[[#This Row],[Misma o no]]=1),base_de_datos[[#This Row],[Índice]],"")</f>
        <v/>
      </c>
      <c r="AT151" s="157" t="str">
        <f ca="1">IF(AND(base_de_datos[[#This Row],[Tecnologías Energéticas]]&lt;&gt;"",base_de_datos[[#This Row],[Misma o no]]=1),base_de_datos[[#This Row],[Índice]],"")</f>
        <v/>
      </c>
      <c r="AU151" s="157" t="str">
        <f ca="1">IF(AND(base_de_datos[[#This Row],[Civil y Administración]]&lt;&gt;"",base_de_datos[[#This Row],[Misma o no]]=1),base_de_datos[[#This Row],[Índice]],"")</f>
        <v/>
      </c>
      <c r="AV151" s="157" t="str">
        <f ca="1">IF(AND(base_de_datos[[#This Row],[Bioelectrónica]]&lt;&gt;"",base_de_datos[[#This Row],[Misma o no]]=1),base_de_datos[[#This Row],[Índice]],"")</f>
        <v/>
      </c>
      <c r="AW151" s="158"/>
      <c r="AX151" s="231">
        <v>2</v>
      </c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6"/>
      <c r="FH151" s="6"/>
      <c r="FI151" s="6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  <c r="GX151" s="6"/>
      <c r="GY151" s="6"/>
      <c r="GZ151" s="6"/>
      <c r="HA151" s="6"/>
      <c r="HB151" s="6"/>
      <c r="HC151" s="6"/>
      <c r="HD151" s="6"/>
      <c r="HE151" s="6"/>
      <c r="HF151" s="6"/>
      <c r="HG151" s="6"/>
      <c r="HH151" s="6"/>
      <c r="HI151" s="6"/>
      <c r="HJ151" s="6"/>
      <c r="HK151" s="6"/>
      <c r="HL151" s="6"/>
      <c r="HM151" s="6"/>
    </row>
    <row r="152" spans="1:221" s="160" customFormat="1" ht="15">
      <c r="A152" s="6"/>
      <c r="B152" s="148" t="s">
        <v>345</v>
      </c>
      <c r="C152" s="149" t="s">
        <v>107</v>
      </c>
      <c r="D152" s="150">
        <v>2</v>
      </c>
      <c r="E152" s="151">
        <v>0.3125</v>
      </c>
      <c r="F152" s="151">
        <v>0.374999999999999</v>
      </c>
      <c r="G152" s="150"/>
      <c r="H152" s="150" t="s">
        <v>182</v>
      </c>
      <c r="I152" s="150">
        <f>INDEX(Aulas_capacidad,MATCH(base_de_datos[[#This Row],[Aula]],Aulas,0),2)</f>
        <v>30</v>
      </c>
      <c r="J152" s="152">
        <v>20</v>
      </c>
      <c r="K152" s="150">
        <f>INDEX(Aulas_capacidad,MATCH(base_de_datos[[#This Row],[Aula]],Aulas,0),4)</f>
        <v>12</v>
      </c>
      <c r="L152" s="153">
        <f>base_de_datos[[#This Row],[Cap 1.5]]-base_de_datos[[#This Row],[Inscritos]]</f>
        <v>-8</v>
      </c>
      <c r="M152" s="153">
        <f>INDEX(Aulas_capacidad,MATCH(base_de_datos[[#This Row],[Aula]],Aulas,0),5)</f>
        <v>18</v>
      </c>
      <c r="N152" s="153">
        <f>base_de_datos[[#This Row],[Cap .90]]-base_de_datos[[#This Row],[Inscritos]]</f>
        <v>-2</v>
      </c>
      <c r="O152" s="150" t="s">
        <v>346</v>
      </c>
      <c r="P152" s="154" t="s">
        <v>67</v>
      </c>
      <c r="Q152" s="154"/>
      <c r="R152" s="154"/>
      <c r="S152" s="154"/>
      <c r="T152" s="154"/>
      <c r="U152" s="154"/>
      <c r="V152" s="154"/>
      <c r="W152" s="154" t="s">
        <v>1655</v>
      </c>
      <c r="X152" s="155">
        <f>_xlfn.XLOOKUP(base_de_datos[[#This Row],[Materia]],Materias,Horas)/16</f>
        <v>3</v>
      </c>
      <c r="Y152" s="155">
        <f>ROUND(((base_de_datos[[#This Row],[Hora fin]]-base_de_datos[[#This Row],[Hora inicio]])*24)*(COUNTA(base_de_datos[[#This Row],[Lunes]:[Sábado]])),1)</f>
        <v>1.5</v>
      </c>
      <c r="Z15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2" s="155">
        <f ca="1">IF(base_de_datos[[#This Row],[No clase]]=OFFSET(base_de_datos[[#This Row],[No clase]],-1,0),0,1)</f>
        <v>1</v>
      </c>
      <c r="AB152" s="155">
        <f ca="1">IF(NOT(OR(base_de_datos[[#This Row],[Horas totales]]=base_de_datos[[#This Row],[HT Plan]],base_de_datos[[#This Row],[Horas totales]]="N/A")),1,0)</f>
        <v>0</v>
      </c>
      <c r="AC152" s="155" t="str">
        <f>_xlfn.XLOOKUP(base_de_datos[[#This Row],[Profesor]],Nombre,Grado)</f>
        <v>E</v>
      </c>
      <c r="AD152" s="156" t="str">
        <f>_xlfn.XLOOKUP(base_de_datos[[#This Row],[Profesor]],Nombre,Tipo)</f>
        <v>A</v>
      </c>
      <c r="AE152" s="155" t="str">
        <f>IF(IFERROR(VLOOKUP($C152,Planes_de_estudio[],MATCH($AE$2,Carreras,0)+2,0),"")&gt;0,IFERROR(VLOOKUP($C152,Planes_de_estudio[],MATCH($AE$2,Carreras,0)+2,0),""),"")</f>
        <v/>
      </c>
      <c r="AF152" s="155">
        <f>IF(IFERROR(VLOOKUP($C152,Planes_de_estudio[],MATCH($AF$2,Carreras,0)+2,0),"")&gt;0,IFERROR(VLOOKUP($C152,Planes_de_estudio[],MATCH($AF$2,Carreras,0)+2,0),""),"")</f>
        <v>3</v>
      </c>
      <c r="AG152" s="155" t="str">
        <f>IF(IFERROR(VLOOKUP($C152,Planes_de_estudio[],MATCH($AG$2,Carreras,0)+2,0),"")&gt;0,IFERROR(VLOOKUP($C152,Planes_de_estudio[],MATCH($AG$2,Carreras,0)+2,0),""),"")</f>
        <v/>
      </c>
      <c r="AH152" s="155">
        <f>IF(IFERROR(VLOOKUP($C152,Planes_de_estudio[],MATCH($AH$2,Carreras,0)+2,0),"")&gt;0,IFERROR(VLOOKUP($C152,Planes_de_estudio[],MATCH($AH$2,Carreras,0)+2,0),""),"")</f>
        <v>3</v>
      </c>
      <c r="AI152" s="155">
        <f>IF(IFERROR(VLOOKUP($C152,Planes_de_estudio[],MATCH($AI$2,Carreras,0)+2,0),"")&gt;0,IFERROR(VLOOKUP($C152,Planes_de_estudio[],MATCH($AI$2,Carreras,0)+2,0),""),"")</f>
        <v>4</v>
      </c>
      <c r="AJ152" s="155" t="str">
        <f>IF(IFERROR(VLOOKUP($C152,Planes_de_estudio[],MATCH($AJ$2,Carreras,0)+2,0),"")&gt;0,IFERROR(VLOOKUP($C152,Planes_de_estudio[],MATCH($AJ$2,Carreras,0)+2,0),""),"")</f>
        <v/>
      </c>
      <c r="AK152" s="155">
        <f>IF(IFERROR(VLOOKUP($C152,Planes_de_estudio[],MATCH($AK$2,Carreras,0)+2,0),"")&gt;0,IFERROR(VLOOKUP($C152,Planes_de_estudio[],MATCH($AK$2,Carreras,0)+2,0),""),"")</f>
        <v>3</v>
      </c>
      <c r="AL15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55</v>
      </c>
      <c r="AN152" s="155">
        <f>base_de_datos[[#This Row],[Pronóstico]]/25</f>
        <v>2.2000000000000002</v>
      </c>
      <c r="AO152" s="155" t="str">
        <f>VLOOKUP($C152,Planes_de_estudio[],2)</f>
        <v>EEC</v>
      </c>
      <c r="AP152" s="157" t="str">
        <f ca="1">IF(AND(base_de_datos[[#This Row],[Industrial]]&lt;&gt;"",base_de_datos[[#This Row],[Misma o no]]=1),base_de_datos[[#This Row],[Índice]],"")</f>
        <v/>
      </c>
      <c r="AQ152" s="157">
        <f ca="1">IF(AND(base_de_datos[[#This Row],[Mecatrónica]]&lt;&gt;"",base_de_datos[[#This Row],[Misma o no]]=1),base_de_datos[[#This Row],[Índice]],"")</f>
        <v>2</v>
      </c>
      <c r="AR152" s="157" t="str">
        <f ca="1">IF(AND(base_de_datos[[#This Row],[Innovación y Diseño]]&lt;&gt;"",base_de_datos[[#This Row],[Misma o no]]=1),base_de_datos[[#This Row],[Índice]],"")</f>
        <v/>
      </c>
      <c r="AS152" s="157">
        <f ca="1">IF(AND(base_de_datos[[#This Row],[Inteligencia Artificial]]&lt;&gt;"",base_de_datos[[#This Row],[Misma o no]]=1),base_de_datos[[#This Row],[Índice]],"")</f>
        <v>2</v>
      </c>
      <c r="AT152" s="157">
        <f ca="1">IF(AND(base_de_datos[[#This Row],[Tecnologías Energéticas]]&lt;&gt;"",base_de_datos[[#This Row],[Misma o no]]=1),base_de_datos[[#This Row],[Índice]],"")</f>
        <v>2</v>
      </c>
      <c r="AU152" s="157" t="str">
        <f ca="1">IF(AND(base_de_datos[[#This Row],[Civil y Administración]]&lt;&gt;"",base_de_datos[[#This Row],[Misma o no]]=1),base_de_datos[[#This Row],[Índice]],"")</f>
        <v/>
      </c>
      <c r="AV152" s="157">
        <f ca="1">IF(AND(base_de_datos[[#This Row],[Bioelectrónica]]&lt;&gt;"",base_de_datos[[#This Row],[Misma o no]]=1),base_de_datos[[#This Row],[Índice]],"")</f>
        <v>2</v>
      </c>
      <c r="AW152" s="158"/>
      <c r="AX152" s="231">
        <v>3</v>
      </c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  <c r="GX152" s="6"/>
      <c r="GY152" s="6"/>
      <c r="GZ152" s="6"/>
      <c r="HA152" s="6"/>
      <c r="HB152" s="6"/>
      <c r="HC152" s="6"/>
      <c r="HD152" s="6"/>
      <c r="HE152" s="6"/>
      <c r="HF152" s="6"/>
      <c r="HG152" s="6"/>
      <c r="HH152" s="6"/>
      <c r="HI152" s="6"/>
      <c r="HJ152" s="6"/>
      <c r="HK152" s="6"/>
      <c r="HL152" s="6"/>
      <c r="HM152" s="6"/>
    </row>
    <row r="153" spans="1:221" s="160" customFormat="1" ht="15">
      <c r="A153" s="6"/>
      <c r="B153" s="148" t="s">
        <v>345</v>
      </c>
      <c r="C153" s="149" t="s">
        <v>107</v>
      </c>
      <c r="D153" s="150">
        <v>2</v>
      </c>
      <c r="E153" s="151">
        <v>0.3125</v>
      </c>
      <c r="F153" s="151">
        <v>0.374999999999999</v>
      </c>
      <c r="G153" s="150"/>
      <c r="H153" s="150" t="s">
        <v>108</v>
      </c>
      <c r="I153" s="150">
        <f>INDEX(Aulas_capacidad,MATCH(base_de_datos[[#This Row],[Aula]],Aulas,0),2)</f>
        <v>30</v>
      </c>
      <c r="J153" s="152">
        <v>20</v>
      </c>
      <c r="K153" s="150">
        <f>INDEX(Aulas_capacidad,MATCH(base_de_datos[[#This Row],[Aula]],Aulas,0),4)</f>
        <v>12</v>
      </c>
      <c r="L153" s="153">
        <f>base_de_datos[[#This Row],[Cap 1.5]]-base_de_datos[[#This Row],[Inscritos]]</f>
        <v>-8</v>
      </c>
      <c r="M153" s="153">
        <f>INDEX(Aulas_capacidad,MATCH(base_de_datos[[#This Row],[Aula]],Aulas,0),5)</f>
        <v>18</v>
      </c>
      <c r="N153" s="153">
        <f>base_de_datos[[#This Row],[Cap .90]]-base_de_datos[[#This Row],[Inscritos]]</f>
        <v>-2</v>
      </c>
      <c r="O153" s="150" t="s">
        <v>346</v>
      </c>
      <c r="P153" s="154"/>
      <c r="Q153" s="154"/>
      <c r="R153" s="154"/>
      <c r="S153" s="154" t="s">
        <v>67</v>
      </c>
      <c r="T153" s="154"/>
      <c r="U153" s="154"/>
      <c r="V153" s="154"/>
      <c r="W153" s="154" t="s">
        <v>1655</v>
      </c>
      <c r="X153" s="155">
        <f>_xlfn.XLOOKUP(base_de_datos[[#This Row],[Materia]],Materias,Horas)/16</f>
        <v>3</v>
      </c>
      <c r="Y153" s="155">
        <f>ROUND(((base_de_datos[[#This Row],[Hora fin]]-base_de_datos[[#This Row],[Hora inicio]])*24)*(COUNTA(base_de_datos[[#This Row],[Lunes]:[Sábado]])),1)</f>
        <v>1.5</v>
      </c>
      <c r="Z15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3" s="155">
        <f ca="1">IF(base_de_datos[[#This Row],[No clase]]=OFFSET(base_de_datos[[#This Row],[No clase]],-1,0),0,1)</f>
        <v>0</v>
      </c>
      <c r="AB153" s="155">
        <f ca="1">IF(NOT(OR(base_de_datos[[#This Row],[Horas totales]]=base_de_datos[[#This Row],[HT Plan]],base_de_datos[[#This Row],[Horas totales]]="N/A")),1,0)</f>
        <v>0</v>
      </c>
      <c r="AC153" s="155" t="str">
        <f>_xlfn.XLOOKUP(base_de_datos[[#This Row],[Profesor]],Nombre,Grado)</f>
        <v>E</v>
      </c>
      <c r="AD153" s="156" t="str">
        <f>_xlfn.XLOOKUP(base_de_datos[[#This Row],[Profesor]],Nombre,Tipo)</f>
        <v>A</v>
      </c>
      <c r="AE153" s="155" t="str">
        <f>IF(IFERROR(VLOOKUP($C153,Planes_de_estudio[],MATCH($AE$2,Carreras,0)+2,0),"")&gt;0,IFERROR(VLOOKUP($C153,Planes_de_estudio[],MATCH($AE$2,Carreras,0)+2,0),""),"")</f>
        <v/>
      </c>
      <c r="AF153" s="155">
        <f>IF(IFERROR(VLOOKUP($C153,Planes_de_estudio[],MATCH($AF$2,Carreras,0)+2,0),"")&gt;0,IFERROR(VLOOKUP($C153,Planes_de_estudio[],MATCH($AF$2,Carreras,0)+2,0),""),"")</f>
        <v>3</v>
      </c>
      <c r="AG153" s="155" t="str">
        <f>IF(IFERROR(VLOOKUP($C153,Planes_de_estudio[],MATCH($AG$2,Carreras,0)+2,0),"")&gt;0,IFERROR(VLOOKUP($C153,Planes_de_estudio[],MATCH($AG$2,Carreras,0)+2,0),""),"")</f>
        <v/>
      </c>
      <c r="AH153" s="155">
        <f>IF(IFERROR(VLOOKUP($C153,Planes_de_estudio[],MATCH($AH$2,Carreras,0)+2,0),"")&gt;0,IFERROR(VLOOKUP($C153,Planes_de_estudio[],MATCH($AH$2,Carreras,0)+2,0),""),"")</f>
        <v>3</v>
      </c>
      <c r="AI153" s="155">
        <f>IF(IFERROR(VLOOKUP($C153,Planes_de_estudio[],MATCH($AI$2,Carreras,0)+2,0),"")&gt;0,IFERROR(VLOOKUP($C153,Planes_de_estudio[],MATCH($AI$2,Carreras,0)+2,0),""),"")</f>
        <v>4</v>
      </c>
      <c r="AJ153" s="155" t="str">
        <f>IF(IFERROR(VLOOKUP($C153,Planes_de_estudio[],MATCH($AJ$2,Carreras,0)+2,0),"")&gt;0,IFERROR(VLOOKUP($C153,Planes_de_estudio[],MATCH($AJ$2,Carreras,0)+2,0),""),"")</f>
        <v/>
      </c>
      <c r="AK153" s="155">
        <f>IF(IFERROR(VLOOKUP($C153,Planes_de_estudio[],MATCH($AK$2,Carreras,0)+2,0),"")&gt;0,IFERROR(VLOOKUP($C153,Planes_de_estudio[],MATCH($AK$2,Carreras,0)+2,0),""),"")</f>
        <v>3</v>
      </c>
      <c r="AL15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55</v>
      </c>
      <c r="AN153" s="155">
        <f>base_de_datos[[#This Row],[Pronóstico]]/25</f>
        <v>2.2000000000000002</v>
      </c>
      <c r="AO153" s="155" t="str">
        <f>VLOOKUP($C153,Planes_de_estudio[],2)</f>
        <v>EEC</v>
      </c>
      <c r="AP153" s="157" t="str">
        <f ca="1">IF(AND(base_de_datos[[#This Row],[Industrial]]&lt;&gt;"",base_de_datos[[#This Row],[Misma o no]]=1),base_de_datos[[#This Row],[Índice]],"")</f>
        <v/>
      </c>
      <c r="AQ153" s="157" t="str">
        <f ca="1">IF(AND(base_de_datos[[#This Row],[Mecatrónica]]&lt;&gt;"",base_de_datos[[#This Row],[Misma o no]]=1),base_de_datos[[#This Row],[Índice]],"")</f>
        <v/>
      </c>
      <c r="AR153" s="157" t="str">
        <f ca="1">IF(AND(base_de_datos[[#This Row],[Innovación y Diseño]]&lt;&gt;"",base_de_datos[[#This Row],[Misma o no]]=1),base_de_datos[[#This Row],[Índice]],"")</f>
        <v/>
      </c>
      <c r="AS153" s="157" t="str">
        <f ca="1">IF(AND(base_de_datos[[#This Row],[Inteligencia Artificial]]&lt;&gt;"",base_de_datos[[#This Row],[Misma o no]]=1),base_de_datos[[#This Row],[Índice]],"")</f>
        <v/>
      </c>
      <c r="AT153" s="157" t="str">
        <f ca="1">IF(AND(base_de_datos[[#This Row],[Tecnologías Energéticas]]&lt;&gt;"",base_de_datos[[#This Row],[Misma o no]]=1),base_de_datos[[#This Row],[Índice]],"")</f>
        <v/>
      </c>
      <c r="AU153" s="157" t="str">
        <f ca="1">IF(AND(base_de_datos[[#This Row],[Civil y Administración]]&lt;&gt;"",base_de_datos[[#This Row],[Misma o no]]=1),base_de_datos[[#This Row],[Índice]],"")</f>
        <v/>
      </c>
      <c r="AV153" s="157" t="str">
        <f ca="1">IF(AND(base_de_datos[[#This Row],[Bioelectrónica]]&lt;&gt;"",base_de_datos[[#This Row],[Misma o no]]=1),base_de_datos[[#This Row],[Índice]],"")</f>
        <v/>
      </c>
      <c r="AW153" s="158"/>
      <c r="AX153" s="231">
        <v>1</v>
      </c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EZ153" s="6"/>
      <c r="FA153" s="6"/>
      <c r="FB153" s="6"/>
      <c r="FC153" s="6"/>
      <c r="FD153" s="6"/>
      <c r="FE153" s="6"/>
      <c r="FF153" s="6"/>
      <c r="FG153" s="6"/>
      <c r="FH153" s="6"/>
      <c r="FI153" s="6"/>
      <c r="FJ153" s="6"/>
      <c r="FK153" s="6"/>
      <c r="FL153" s="6"/>
      <c r="FM153" s="6"/>
      <c r="FN153" s="6"/>
      <c r="FO153" s="6"/>
      <c r="FP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  <c r="GM153" s="6"/>
      <c r="GN153" s="6"/>
      <c r="GO153" s="6"/>
      <c r="GP153" s="6"/>
      <c r="GQ153" s="6"/>
      <c r="GR153" s="6"/>
      <c r="GS153" s="6"/>
      <c r="GT153" s="6"/>
      <c r="GU153" s="6"/>
      <c r="GV153" s="6"/>
      <c r="GW153" s="6"/>
      <c r="GX153" s="6"/>
      <c r="GY153" s="6"/>
      <c r="GZ153" s="6"/>
      <c r="HA153" s="6"/>
      <c r="HB153" s="6"/>
      <c r="HC153" s="6"/>
      <c r="HD153" s="6"/>
      <c r="HE153" s="6"/>
      <c r="HF153" s="6"/>
      <c r="HG153" s="6"/>
      <c r="HH153" s="6"/>
      <c r="HI153" s="6"/>
      <c r="HJ153" s="6"/>
      <c r="HK153" s="6"/>
      <c r="HL153" s="6"/>
      <c r="HM153" s="6"/>
    </row>
    <row r="154" spans="1:221" s="160" customFormat="1" ht="15">
      <c r="A154" s="6"/>
      <c r="B154" s="148" t="s">
        <v>345</v>
      </c>
      <c r="C154" s="149" t="s">
        <v>347</v>
      </c>
      <c r="D154" s="150">
        <v>1</v>
      </c>
      <c r="E154" s="151">
        <v>0.79166666666666696</v>
      </c>
      <c r="F154" s="151">
        <v>0.85416666666665797</v>
      </c>
      <c r="G154" s="150"/>
      <c r="H154" s="150" t="s">
        <v>154</v>
      </c>
      <c r="I154" s="150">
        <f>INDEX(Aulas_capacidad,MATCH(base_de_datos[[#This Row],[Aula]],Aulas,0),2)</f>
        <v>40</v>
      </c>
      <c r="J154" s="152">
        <v>15</v>
      </c>
      <c r="K154" s="150">
        <f>INDEX(Aulas_capacidad,MATCH(base_de_datos[[#This Row],[Aula]],Aulas,0),4)</f>
        <v>10</v>
      </c>
      <c r="L154" s="153">
        <f>base_de_datos[[#This Row],[Cap 1.5]]-base_de_datos[[#This Row],[Inscritos]]</f>
        <v>-5</v>
      </c>
      <c r="M154" s="153">
        <f>INDEX(Aulas_capacidad,MATCH(base_de_datos[[#This Row],[Aula]],Aulas,0),5)</f>
        <v>15</v>
      </c>
      <c r="N154" s="153">
        <f>base_de_datos[[#This Row],[Cap .90]]-base_de_datos[[#This Row],[Inscritos]]</f>
        <v>0</v>
      </c>
      <c r="O154" s="150" t="s">
        <v>348</v>
      </c>
      <c r="P154" s="154"/>
      <c r="Q154" s="154"/>
      <c r="R154" s="154"/>
      <c r="S154" s="154" t="s">
        <v>67</v>
      </c>
      <c r="T154" s="154"/>
      <c r="U154" s="154"/>
      <c r="V154" s="154" t="s">
        <v>67</v>
      </c>
      <c r="W154" s="154" t="s">
        <v>1653</v>
      </c>
      <c r="X154" s="155">
        <f>_xlfn.XLOOKUP(base_de_datos[[#This Row],[Materia]],Materias,Horas)/16</f>
        <v>3</v>
      </c>
      <c r="Y154" s="155">
        <f>ROUND(((base_de_datos[[#This Row],[Hora fin]]-base_de_datos[[#This Row],[Hora inicio]])*24)*(COUNTA(base_de_datos[[#This Row],[Lunes]:[Sábado]])),1)</f>
        <v>1.5</v>
      </c>
      <c r="Z15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4" s="155">
        <f ca="1">IF(base_de_datos[[#This Row],[No clase]]=OFFSET(base_de_datos[[#This Row],[No clase]],-1,0),0,1)</f>
        <v>1</v>
      </c>
      <c r="AB154" s="155">
        <f ca="1">IF(NOT(OR(base_de_datos[[#This Row],[Horas totales]]=base_de_datos[[#This Row],[HT Plan]],base_de_datos[[#This Row],[Horas totales]]="N/A")),1,0)</f>
        <v>0</v>
      </c>
      <c r="AC154" s="155" t="str">
        <f>_xlfn.XLOOKUP(base_de_datos[[#This Row],[Profesor]],Nombre,Grado)</f>
        <v>E</v>
      </c>
      <c r="AD154" s="156" t="str">
        <f>_xlfn.XLOOKUP(base_de_datos[[#This Row],[Profesor]],Nombre,Tipo)</f>
        <v>A</v>
      </c>
      <c r="AE154" s="155" t="str">
        <f>IF(IFERROR(VLOOKUP($C154,Planes_de_estudio[],MATCH($AE$2,Carreras,0)+2,0),"")&gt;0,IFERROR(VLOOKUP($C154,Planes_de_estudio[],MATCH($AE$2,Carreras,0)+2,0),""),"")</f>
        <v/>
      </c>
      <c r="AF154" s="155">
        <f>IF(IFERROR(VLOOKUP($C154,Planes_de_estudio[],MATCH($AF$2,Carreras,0)+2,0),"")&gt;0,IFERROR(VLOOKUP($C154,Planes_de_estudio[],MATCH($AF$2,Carreras,0)+2,0),""),"")</f>
        <v>7</v>
      </c>
      <c r="AG154" s="155" t="str">
        <f>IF(IFERROR(VLOOKUP($C154,Planes_de_estudio[],MATCH($AG$2,Carreras,0)+2,0),"")&gt;0,IFERROR(VLOOKUP($C154,Planes_de_estudio[],MATCH($AG$2,Carreras,0)+2,0),""),"")</f>
        <v/>
      </c>
      <c r="AH154" s="155" t="str">
        <f>IF(IFERROR(VLOOKUP($C154,Planes_de_estudio[],MATCH($AH$2,Carreras,0)+2,0),"")&gt;0,IFERROR(VLOOKUP($C154,Planes_de_estudio[],MATCH($AH$2,Carreras,0)+2,0),""),"")</f>
        <v/>
      </c>
      <c r="AI154" s="155" t="str">
        <f>IF(IFERROR(VLOOKUP($C154,Planes_de_estudio[],MATCH($AI$2,Carreras,0)+2,0),"")&gt;0,IFERROR(VLOOKUP($C154,Planes_de_estudio[],MATCH($AI$2,Carreras,0)+2,0),""),"")</f>
        <v/>
      </c>
      <c r="AJ154" s="155" t="str">
        <f>IF(IFERROR(VLOOKUP($C154,Planes_de_estudio[],MATCH($AJ$2,Carreras,0)+2,0),"")&gt;0,IFERROR(VLOOKUP($C154,Planes_de_estudio[],MATCH($AJ$2,Carreras,0)+2,0),""),"")</f>
        <v/>
      </c>
      <c r="AK154" s="155" t="str">
        <f>IF(IFERROR(VLOOKUP($C154,Planes_de_estudio[],MATCH($AK$2,Carreras,0)+2,0),"")&gt;0,IFERROR(VLOOKUP($C154,Planes_de_estudio[],MATCH($AK$2,Carreras,0)+2,0),""),"")</f>
        <v/>
      </c>
      <c r="AL15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18</v>
      </c>
      <c r="AN154" s="155">
        <f>base_de_datos[[#This Row],[Pronóstico]]/25</f>
        <v>0.72</v>
      </c>
      <c r="AO154" s="155" t="str">
        <f>VLOOKUP($C154,Planes_de_estudio[],2)</f>
        <v>MEC</v>
      </c>
      <c r="AP154" s="157" t="str">
        <f ca="1">IF(AND(base_de_datos[[#This Row],[Industrial]]&lt;&gt;"",base_de_datos[[#This Row],[Misma o no]]=1),base_de_datos[[#This Row],[Índice]],"")</f>
        <v/>
      </c>
      <c r="AQ154" s="157">
        <f ca="1">IF(AND(base_de_datos[[#This Row],[Mecatrónica]]&lt;&gt;"",base_de_datos[[#This Row],[Misma o no]]=1),base_de_datos[[#This Row],[Índice]],"")</f>
        <v>2</v>
      </c>
      <c r="AR154" s="157" t="str">
        <f ca="1">IF(AND(base_de_datos[[#This Row],[Innovación y Diseño]]&lt;&gt;"",base_de_datos[[#This Row],[Misma o no]]=1),base_de_datos[[#This Row],[Índice]],"")</f>
        <v/>
      </c>
      <c r="AS154" s="157" t="str">
        <f ca="1">IF(AND(base_de_datos[[#This Row],[Inteligencia Artificial]]&lt;&gt;"",base_de_datos[[#This Row],[Misma o no]]=1),base_de_datos[[#This Row],[Índice]],"")</f>
        <v/>
      </c>
      <c r="AT154" s="157" t="str">
        <f ca="1">IF(AND(base_de_datos[[#This Row],[Tecnologías Energéticas]]&lt;&gt;"",base_de_datos[[#This Row],[Misma o no]]=1),base_de_datos[[#This Row],[Índice]],"")</f>
        <v/>
      </c>
      <c r="AU154" s="157" t="str">
        <f ca="1">IF(AND(base_de_datos[[#This Row],[Civil y Administración]]&lt;&gt;"",base_de_datos[[#This Row],[Misma o no]]=1),base_de_datos[[#This Row],[Índice]],"")</f>
        <v/>
      </c>
      <c r="AV154" s="157" t="str">
        <f ca="1">IF(AND(base_de_datos[[#This Row],[Bioelectrónica]]&lt;&gt;"",base_de_datos[[#This Row],[Misma o no]]=1),base_de_datos[[#This Row],[Índice]],"")</f>
        <v/>
      </c>
      <c r="AW154" s="158"/>
      <c r="AX154" s="231">
        <v>2</v>
      </c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6"/>
      <c r="FH154" s="6"/>
      <c r="FI154" s="6"/>
      <c r="FJ154" s="6"/>
      <c r="FK154" s="6"/>
      <c r="FL154" s="6"/>
      <c r="FM154" s="6"/>
      <c r="FN154" s="6"/>
      <c r="FO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  <c r="GX154" s="6"/>
      <c r="GY154" s="6"/>
      <c r="GZ154" s="6"/>
      <c r="HA154" s="6"/>
      <c r="HB154" s="6"/>
      <c r="HC154" s="6"/>
      <c r="HD154" s="6"/>
      <c r="HE154" s="6"/>
      <c r="HF154" s="6"/>
      <c r="HG154" s="6"/>
      <c r="HH154" s="6"/>
      <c r="HI154" s="6"/>
      <c r="HJ154" s="6"/>
      <c r="HK154" s="6"/>
      <c r="HL154" s="6"/>
      <c r="HM154" s="6"/>
    </row>
    <row r="155" spans="1:221" s="160" customFormat="1" ht="15">
      <c r="A155" s="6"/>
      <c r="B155" s="148" t="s">
        <v>345</v>
      </c>
      <c r="C155" s="149" t="s">
        <v>347</v>
      </c>
      <c r="D155" s="150">
        <v>1</v>
      </c>
      <c r="E155" s="151">
        <v>0.79166666666666696</v>
      </c>
      <c r="F155" s="151">
        <v>0.85416666666665797</v>
      </c>
      <c r="G155" s="150"/>
      <c r="H155" s="150" t="s">
        <v>225</v>
      </c>
      <c r="I155" s="150">
        <f>INDEX(Aulas_capacidad,MATCH(base_de_datos[[#This Row],[Aula]],Aulas,0),2)</f>
        <v>36</v>
      </c>
      <c r="J155" s="152">
        <v>15</v>
      </c>
      <c r="K155" s="150">
        <f>INDEX(Aulas_capacidad,MATCH(base_de_datos[[#This Row],[Aula]],Aulas,0),4)</f>
        <v>18</v>
      </c>
      <c r="L155" s="153">
        <f>base_de_datos[[#This Row],[Cap 1.5]]-base_de_datos[[#This Row],[Inscritos]]</f>
        <v>3</v>
      </c>
      <c r="M155" s="153">
        <f>INDEX(Aulas_capacidad,MATCH(base_de_datos[[#This Row],[Aula]],Aulas,0),5)</f>
        <v>18</v>
      </c>
      <c r="N155" s="153">
        <f>base_de_datos[[#This Row],[Cap .90]]-base_de_datos[[#This Row],[Inscritos]]</f>
        <v>3</v>
      </c>
      <c r="O155" s="150" t="s">
        <v>348</v>
      </c>
      <c r="P155" s="154" t="s">
        <v>67</v>
      </c>
      <c r="Q155" s="154"/>
      <c r="R155" s="154"/>
      <c r="S155" s="154"/>
      <c r="T155" s="154"/>
      <c r="U155" s="154"/>
      <c r="V155" s="154" t="s">
        <v>67</v>
      </c>
      <c r="W155" s="154" t="s">
        <v>1653</v>
      </c>
      <c r="X155" s="155">
        <f>_xlfn.XLOOKUP(base_de_datos[[#This Row],[Materia]],Materias,Horas)/16</f>
        <v>3</v>
      </c>
      <c r="Y155" s="155">
        <f>ROUND(((base_de_datos[[#This Row],[Hora fin]]-base_de_datos[[#This Row],[Hora inicio]])*24)*(COUNTA(base_de_datos[[#This Row],[Lunes]:[Sábado]])),1)</f>
        <v>1.5</v>
      </c>
      <c r="Z15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5" s="155">
        <f ca="1">IF(base_de_datos[[#This Row],[No clase]]=OFFSET(base_de_datos[[#This Row],[No clase]],-1,0),0,1)</f>
        <v>0</v>
      </c>
      <c r="AB155" s="155">
        <f ca="1">IF(NOT(OR(base_de_datos[[#This Row],[Horas totales]]=base_de_datos[[#This Row],[HT Plan]],base_de_datos[[#This Row],[Horas totales]]="N/A")),1,0)</f>
        <v>0</v>
      </c>
      <c r="AC155" s="155" t="str">
        <f>_xlfn.XLOOKUP(base_de_datos[[#This Row],[Profesor]],Nombre,Grado)</f>
        <v>E</v>
      </c>
      <c r="AD155" s="156" t="str">
        <f>_xlfn.XLOOKUP(base_de_datos[[#This Row],[Profesor]],Nombre,Tipo)</f>
        <v>A</v>
      </c>
      <c r="AE155" s="155" t="str">
        <f>IF(IFERROR(VLOOKUP($C155,Planes_de_estudio[],MATCH($AE$2,Carreras,0)+2,0),"")&gt;0,IFERROR(VLOOKUP($C155,Planes_de_estudio[],MATCH($AE$2,Carreras,0)+2,0),""),"")</f>
        <v/>
      </c>
      <c r="AF155" s="155">
        <f>IF(IFERROR(VLOOKUP($C155,Planes_de_estudio[],MATCH($AF$2,Carreras,0)+2,0),"")&gt;0,IFERROR(VLOOKUP($C155,Planes_de_estudio[],MATCH($AF$2,Carreras,0)+2,0),""),"")</f>
        <v>7</v>
      </c>
      <c r="AG155" s="155" t="str">
        <f>IF(IFERROR(VLOOKUP($C155,Planes_de_estudio[],MATCH($AG$2,Carreras,0)+2,0),"")&gt;0,IFERROR(VLOOKUP($C155,Planes_de_estudio[],MATCH($AG$2,Carreras,0)+2,0),""),"")</f>
        <v/>
      </c>
      <c r="AH155" s="155" t="str">
        <f>IF(IFERROR(VLOOKUP($C155,Planes_de_estudio[],MATCH($AH$2,Carreras,0)+2,0),"")&gt;0,IFERROR(VLOOKUP($C155,Planes_de_estudio[],MATCH($AH$2,Carreras,0)+2,0),""),"")</f>
        <v/>
      </c>
      <c r="AI155" s="155" t="str">
        <f>IF(IFERROR(VLOOKUP($C155,Planes_de_estudio[],MATCH($AI$2,Carreras,0)+2,0),"")&gt;0,IFERROR(VLOOKUP($C155,Planes_de_estudio[],MATCH($AI$2,Carreras,0)+2,0),""),"")</f>
        <v/>
      </c>
      <c r="AJ155" s="155" t="str">
        <f>IF(IFERROR(VLOOKUP($C155,Planes_de_estudio[],MATCH($AJ$2,Carreras,0)+2,0),"")&gt;0,IFERROR(VLOOKUP($C155,Planes_de_estudio[],MATCH($AJ$2,Carreras,0)+2,0),""),"")</f>
        <v/>
      </c>
      <c r="AK155" s="155" t="str">
        <f>IF(IFERROR(VLOOKUP($C155,Planes_de_estudio[],MATCH($AK$2,Carreras,0)+2,0),"")&gt;0,IFERROR(VLOOKUP($C155,Planes_de_estudio[],MATCH($AK$2,Carreras,0)+2,0),""),"")</f>
        <v/>
      </c>
      <c r="AL15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18</v>
      </c>
      <c r="AN155" s="155">
        <f>base_de_datos[[#This Row],[Pronóstico]]/25</f>
        <v>0.72</v>
      </c>
      <c r="AO155" s="155" t="str">
        <f>VLOOKUP($C155,Planes_de_estudio[],2)</f>
        <v>MEC</v>
      </c>
      <c r="AP155" s="157" t="str">
        <f ca="1">IF(AND(base_de_datos[[#This Row],[Industrial]]&lt;&gt;"",base_de_datos[[#This Row],[Misma o no]]=1),base_de_datos[[#This Row],[Índice]],"")</f>
        <v/>
      </c>
      <c r="AQ155" s="157" t="str">
        <f ca="1">IF(AND(base_de_datos[[#This Row],[Mecatrónica]]&lt;&gt;"",base_de_datos[[#This Row],[Misma o no]]=1),base_de_datos[[#This Row],[Índice]],"")</f>
        <v/>
      </c>
      <c r="AR155" s="157" t="str">
        <f ca="1">IF(AND(base_de_datos[[#This Row],[Innovación y Diseño]]&lt;&gt;"",base_de_datos[[#This Row],[Misma o no]]=1),base_de_datos[[#This Row],[Índice]],"")</f>
        <v/>
      </c>
      <c r="AS155" s="157" t="str">
        <f ca="1">IF(AND(base_de_datos[[#This Row],[Inteligencia Artificial]]&lt;&gt;"",base_de_datos[[#This Row],[Misma o no]]=1),base_de_datos[[#This Row],[Índice]],"")</f>
        <v/>
      </c>
      <c r="AT155" s="157" t="str">
        <f ca="1">IF(AND(base_de_datos[[#This Row],[Tecnologías Energéticas]]&lt;&gt;"",base_de_datos[[#This Row],[Misma o no]]=1),base_de_datos[[#This Row],[Índice]],"")</f>
        <v/>
      </c>
      <c r="AU155" s="157" t="str">
        <f ca="1">IF(AND(base_de_datos[[#This Row],[Civil y Administración]]&lt;&gt;"",base_de_datos[[#This Row],[Misma o no]]=1),base_de_datos[[#This Row],[Índice]],"")</f>
        <v/>
      </c>
      <c r="AV155" s="157" t="str">
        <f ca="1">IF(AND(base_de_datos[[#This Row],[Bioelectrónica]]&lt;&gt;"",base_de_datos[[#This Row],[Misma o no]]=1),base_de_datos[[#This Row],[Índice]],"")</f>
        <v/>
      </c>
      <c r="AW155" s="158"/>
      <c r="AX155" s="231">
        <v>1</v>
      </c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</row>
    <row r="156" spans="1:221" s="160" customFormat="1" ht="15">
      <c r="A156" s="6"/>
      <c r="B156" s="148" t="s">
        <v>349</v>
      </c>
      <c r="C156" s="149" t="s">
        <v>269</v>
      </c>
      <c r="D156" s="150">
        <v>1</v>
      </c>
      <c r="E156" s="151">
        <v>0.375</v>
      </c>
      <c r="F156" s="151">
        <v>0.45833333333333098</v>
      </c>
      <c r="G156" s="150"/>
      <c r="H156" s="150" t="s">
        <v>287</v>
      </c>
      <c r="I156" s="150">
        <f>INDEX(Aulas_capacidad,MATCH(base_de_datos[[#This Row],[Aula]],Aulas,0),2)</f>
        <v>60</v>
      </c>
      <c r="J156" s="152"/>
      <c r="K156" s="150">
        <f>INDEX(Aulas_capacidad,MATCH(base_de_datos[[#This Row],[Aula]],Aulas,0),4)</f>
        <v>18</v>
      </c>
      <c r="L156" s="153">
        <f>base_de_datos[[#This Row],[Cap 1.5]]-base_de_datos[[#This Row],[Inscritos]]</f>
        <v>18</v>
      </c>
      <c r="M156" s="153">
        <f>INDEX(Aulas_capacidad,MATCH(base_de_datos[[#This Row],[Aula]],Aulas,0),5)</f>
        <v>26</v>
      </c>
      <c r="N156" s="153">
        <f>base_de_datos[[#This Row],[Cap .90]]-base_de_datos[[#This Row],[Inscritos]]</f>
        <v>26</v>
      </c>
      <c r="O156" s="150">
        <v>8779</v>
      </c>
      <c r="P156" s="154"/>
      <c r="Q156" s="154" t="s">
        <v>67</v>
      </c>
      <c r="R156" s="154"/>
      <c r="S156" s="154"/>
      <c r="T156" s="154"/>
      <c r="U156" s="154"/>
      <c r="V156" s="154"/>
      <c r="W156" s="154" t="s">
        <v>1659</v>
      </c>
      <c r="X156" s="155">
        <f>_xlfn.XLOOKUP(base_de_datos[[#This Row],[Materia]],Materias,Horas)/16</f>
        <v>2</v>
      </c>
      <c r="Y156" s="155">
        <f>ROUND(((base_de_datos[[#This Row],[Hora fin]]-base_de_datos[[#This Row],[Hora inicio]])*24)*(COUNTA(base_de_datos[[#This Row],[Lunes]:[Sábado]])),1)</f>
        <v>2</v>
      </c>
      <c r="Z156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56" s="155">
        <f ca="1">IF(base_de_datos[[#This Row],[No clase]]=OFFSET(base_de_datos[[#This Row],[No clase]],-1,0),0,1)</f>
        <v>1</v>
      </c>
      <c r="AB156" s="155">
        <f ca="1">IF(NOT(OR(base_de_datos[[#This Row],[Horas totales]]=base_de_datos[[#This Row],[HT Plan]],base_de_datos[[#This Row],[Horas totales]]="N/A")),1,0)</f>
        <v>0</v>
      </c>
      <c r="AC156" s="155" t="str">
        <f>_xlfn.XLOOKUP(base_de_datos[[#This Row],[Profesor]],Nombre,Grado)</f>
        <v>D</v>
      </c>
      <c r="AD156" s="156" t="str">
        <f>_xlfn.XLOOKUP(base_de_datos[[#This Row],[Profesor]],Nombre,Tipo)</f>
        <v>H</v>
      </c>
      <c r="AE156" s="155">
        <f>IF(IFERROR(VLOOKUP($C156,Planes_de_estudio[],MATCH($AE$2,Carreras,0)+2,0),"")&gt;0,IFERROR(VLOOKUP($C156,Planes_de_estudio[],MATCH($AE$2,Carreras,0)+2,0),""),"")</f>
        <v>5</v>
      </c>
      <c r="AF156" s="155">
        <f>IF(IFERROR(VLOOKUP($C156,Planes_de_estudio[],MATCH($AF$2,Carreras,0)+2,0),"")&gt;0,IFERROR(VLOOKUP($C156,Planes_de_estudio[],MATCH($AF$2,Carreras,0)+2,0),""),"")</f>
        <v>5</v>
      </c>
      <c r="AG156" s="155">
        <f>IF(IFERROR(VLOOKUP($C156,Planes_de_estudio[],MATCH($AG$2,Carreras,0)+2,0),"")&gt;0,IFERROR(VLOOKUP($C156,Planes_de_estudio[],MATCH($AG$2,Carreras,0)+2,0),""),"")</f>
        <v>5</v>
      </c>
      <c r="AH156" s="155">
        <f>IF(IFERROR(VLOOKUP($C156,Planes_de_estudio[],MATCH($AH$2,Carreras,0)+2,0),"")&gt;0,IFERROR(VLOOKUP($C156,Planes_de_estudio[],MATCH($AH$2,Carreras,0)+2,0),""),"")</f>
        <v>5</v>
      </c>
      <c r="AI156" s="155">
        <f>IF(IFERROR(VLOOKUP($C156,Planes_de_estudio[],MATCH($AI$2,Carreras,0)+2,0),"")&gt;0,IFERROR(VLOOKUP($C156,Planes_de_estudio[],MATCH($AI$2,Carreras,0)+2,0),""),"")</f>
        <v>5</v>
      </c>
      <c r="AJ156" s="155">
        <f>IF(IFERROR(VLOOKUP($C156,Planes_de_estudio[],MATCH($AJ$2,Carreras,0)+2,0),"")&gt;0,IFERROR(VLOOKUP($C156,Planes_de_estudio[],MATCH($AJ$2,Carreras,0)+2,0),""),"")</f>
        <v>5</v>
      </c>
      <c r="AK156" s="155">
        <f>IF(IFERROR(VLOOKUP($C156,Planes_de_estudio[],MATCH($AK$2,Carreras,0)+2,0),"")&gt;0,IFERROR(VLOOKUP($C156,Planes_de_estudio[],MATCH($AK$2,Carreras,0)+2,0),""),"")</f>
        <v>5</v>
      </c>
      <c r="AL15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56" s="155">
        <f>base_de_datos[[#This Row],[Pronóstico]]/25</f>
        <v>3.8</v>
      </c>
      <c r="AO156" s="155" t="str">
        <f>VLOOKUP($C156,Planes_de_estudio[],2)</f>
        <v>HUM</v>
      </c>
      <c r="AP156" s="157">
        <f ca="1">IF(AND(base_de_datos[[#This Row],[Industrial]]&lt;&gt;"",base_de_datos[[#This Row],[Misma o no]]=1),base_de_datos[[#This Row],[Índice]],"")</f>
        <v>6</v>
      </c>
      <c r="AQ156" s="157">
        <f ca="1">IF(AND(base_de_datos[[#This Row],[Mecatrónica]]&lt;&gt;"",base_de_datos[[#This Row],[Misma o no]]=1),base_de_datos[[#This Row],[Índice]],"")</f>
        <v>6</v>
      </c>
      <c r="AR156" s="157">
        <f ca="1">IF(AND(base_de_datos[[#This Row],[Innovación y Diseño]]&lt;&gt;"",base_de_datos[[#This Row],[Misma o no]]=1),base_de_datos[[#This Row],[Índice]],"")</f>
        <v>6</v>
      </c>
      <c r="AS156" s="157">
        <f ca="1">IF(AND(base_de_datos[[#This Row],[Inteligencia Artificial]]&lt;&gt;"",base_de_datos[[#This Row],[Misma o no]]=1),base_de_datos[[#This Row],[Índice]],"")</f>
        <v>6</v>
      </c>
      <c r="AT156" s="157">
        <f ca="1">IF(AND(base_de_datos[[#This Row],[Tecnologías Energéticas]]&lt;&gt;"",base_de_datos[[#This Row],[Misma o no]]=1),base_de_datos[[#This Row],[Índice]],"")</f>
        <v>6</v>
      </c>
      <c r="AU156" s="157">
        <f ca="1">IF(AND(base_de_datos[[#This Row],[Civil y Administración]]&lt;&gt;"",base_de_datos[[#This Row],[Misma o no]]=1),base_de_datos[[#This Row],[Índice]],"")</f>
        <v>6</v>
      </c>
      <c r="AV156" s="157">
        <f ca="1">IF(AND(base_de_datos[[#This Row],[Bioelectrónica]]&lt;&gt;"",base_de_datos[[#This Row],[Misma o no]]=1),base_de_datos[[#This Row],[Índice]],"")</f>
        <v>6</v>
      </c>
      <c r="AW156" s="158"/>
      <c r="AX156" s="231">
        <v>1</v>
      </c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6"/>
      <c r="FH156" s="6"/>
      <c r="FI156" s="6"/>
      <c r="FJ156" s="6"/>
      <c r="FK156" s="6"/>
      <c r="FL156" s="6"/>
      <c r="FM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  <c r="GX156" s="6"/>
      <c r="GY156" s="6"/>
      <c r="GZ156" s="6"/>
      <c r="HA156" s="6"/>
      <c r="HB156" s="6"/>
      <c r="HC156" s="6"/>
      <c r="HD156" s="6"/>
      <c r="HE156" s="6"/>
      <c r="HF156" s="6"/>
      <c r="HG156" s="6"/>
      <c r="HH156" s="6"/>
      <c r="HI156" s="6"/>
      <c r="HJ156" s="6"/>
      <c r="HK156" s="6"/>
      <c r="HL156" s="6"/>
      <c r="HM156" s="6"/>
    </row>
    <row r="157" spans="1:221" s="160" customFormat="1" ht="15">
      <c r="A157" s="6"/>
      <c r="B157" s="148" t="s">
        <v>350</v>
      </c>
      <c r="C157" s="149" t="s">
        <v>351</v>
      </c>
      <c r="D157" s="150">
        <v>1</v>
      </c>
      <c r="E157" s="151">
        <v>0.79166666666666696</v>
      </c>
      <c r="F157" s="151">
        <v>0.91666666666665697</v>
      </c>
      <c r="G157" s="150"/>
      <c r="H157" s="150" t="s">
        <v>70</v>
      </c>
      <c r="I157" s="150">
        <f>INDEX(Aulas_capacidad,MATCH(base_de_datos[[#This Row],[Aula]],Aulas,0),2)</f>
        <v>20</v>
      </c>
      <c r="J157" s="152">
        <v>8</v>
      </c>
      <c r="K157" s="150">
        <f>INDEX(Aulas_capacidad,MATCH(base_de_datos[[#This Row],[Aula]],Aulas,0),4)</f>
        <v>8</v>
      </c>
      <c r="L157" s="153">
        <f>base_de_datos[[#This Row],[Cap 1.5]]-base_de_datos[[#This Row],[Inscritos]]</f>
        <v>0</v>
      </c>
      <c r="M157" s="153">
        <f>INDEX(Aulas_capacidad,MATCH(base_de_datos[[#This Row],[Aula]],Aulas,0),5)</f>
        <v>10</v>
      </c>
      <c r="N157" s="153">
        <f>base_de_datos[[#This Row],[Cap .90]]-base_de_datos[[#This Row],[Inscritos]]</f>
        <v>2</v>
      </c>
      <c r="O157" s="150">
        <v>5583</v>
      </c>
      <c r="P157" s="154" t="s">
        <v>67</v>
      </c>
      <c r="Q157" s="154"/>
      <c r="R157" s="154"/>
      <c r="S157" s="154"/>
      <c r="T157" s="154"/>
      <c r="U157" s="154"/>
      <c r="V157" s="154"/>
      <c r="W157" s="154" t="s">
        <v>1653</v>
      </c>
      <c r="X157" s="174">
        <f>_xlfn.XLOOKUP(base_de_datos[[#This Row],[Materia]],Materias,Horas)/16</f>
        <v>3</v>
      </c>
      <c r="Y157" s="174">
        <f>ROUND(((base_de_datos[[#This Row],[Hora fin]]-base_de_datos[[#This Row],[Hora inicio]])*24)*(COUNTA(base_de_datos[[#This Row],[Lunes]:[Sábado]])),1)</f>
        <v>3</v>
      </c>
      <c r="Z157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7" s="155">
        <f ca="1">IF(base_de_datos[[#This Row],[No clase]]=OFFSET(base_de_datos[[#This Row],[No clase]],-1,0),0,1)</f>
        <v>1</v>
      </c>
      <c r="AB157" s="155">
        <f ca="1">IF(NOT(OR(base_de_datos[[#This Row],[Horas totales]]=base_de_datos[[#This Row],[HT Plan]],base_de_datos[[#This Row],[Horas totales]]="N/A")),1,0)</f>
        <v>0</v>
      </c>
      <c r="AC157" s="155">
        <f>_xlfn.XLOOKUP(base_de_datos[[#This Row],[Profesor]],Nombre,Grado)</f>
        <v>0</v>
      </c>
      <c r="AD157" s="156" t="str">
        <f>_xlfn.XLOOKUP(base_de_datos[[#This Row],[Profesor]],Nombre,Tipo)</f>
        <v>A</v>
      </c>
      <c r="AE157" s="155" t="str">
        <f>IF(IFERROR(VLOOKUP($C157,Planes_de_estudio[],MATCH($AE$2,Carreras,0)+2,0),"")&gt;0,IFERROR(VLOOKUP($C157,Planes_de_estudio[],MATCH($AE$2,Carreras,0)+2,0),""),"")</f>
        <v/>
      </c>
      <c r="AF157" s="155" t="str">
        <f>IF(IFERROR(VLOOKUP($C157,Planes_de_estudio[],MATCH($AF$2,Carreras,0)+2,0),"")&gt;0,IFERROR(VLOOKUP($C157,Planes_de_estudio[],MATCH($AF$2,Carreras,0)+2,0),""),"")</f>
        <v/>
      </c>
      <c r="AG157" s="155" t="str">
        <f>IF(IFERROR(VLOOKUP($C157,Planes_de_estudio[],MATCH($AG$2,Carreras,0)+2,0),"")&gt;0,IFERROR(VLOOKUP($C157,Planes_de_estudio[],MATCH($AG$2,Carreras,0)+2,0),""),"")</f>
        <v/>
      </c>
      <c r="AH157" s="155" t="str">
        <f>IF(IFERROR(VLOOKUP($C157,Planes_de_estudio[],MATCH($AH$2,Carreras,0)+2,0),"")&gt;0,IFERROR(VLOOKUP($C157,Planes_de_estudio[],MATCH($AH$2,Carreras,0)+2,0),""),"")</f>
        <v/>
      </c>
      <c r="AI157" s="155" t="str">
        <f>IF(IFERROR(VLOOKUP($C157,Planes_de_estudio[],MATCH($AI$2,Carreras,0)+2,0),"")&gt;0,IFERROR(VLOOKUP($C157,Planes_de_estudio[],MATCH($AI$2,Carreras,0)+2,0),""),"")</f>
        <v/>
      </c>
      <c r="AJ157" s="155">
        <f>IF(IFERROR(VLOOKUP($C157,Planes_de_estudio[],MATCH($AJ$2,Carreras,0)+2,0),"")&gt;0,IFERROR(VLOOKUP($C157,Planes_de_estudio[],MATCH($AJ$2,Carreras,0)+2,0),""),"")</f>
        <v>9</v>
      </c>
      <c r="AK157" s="155" t="str">
        <f>IF(IFERROR(VLOOKUP($C157,Planes_de_estudio[],MATCH($AK$2,Carreras,0)+2,0),"")&gt;0,IFERROR(VLOOKUP($C157,Planes_de_estudio[],MATCH($AK$2,Carreras,0)+2,0),""),"")</f>
        <v/>
      </c>
      <c r="AL15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57" s="155">
        <f>base_de_datos[[#This Row],[Pronóstico]]/25</f>
        <v>0.56000000000000005</v>
      </c>
      <c r="AO157" s="155" t="str">
        <f>VLOOKUP($C157,Planes_de_estudio[],2)</f>
        <v>AIC</v>
      </c>
      <c r="AP157" s="157" t="str">
        <f ca="1">IF(AND(base_de_datos[[#This Row],[Industrial]]&lt;&gt;"",base_de_datos[[#This Row],[Misma o no]]=1),base_de_datos[[#This Row],[Índice]],"")</f>
        <v/>
      </c>
      <c r="AQ157" s="157" t="str">
        <f ca="1">IF(AND(base_de_datos[[#This Row],[Mecatrónica]]&lt;&gt;"",base_de_datos[[#This Row],[Misma o no]]=1),base_de_datos[[#This Row],[Índice]],"")</f>
        <v/>
      </c>
      <c r="AR157" s="157" t="str">
        <f ca="1">IF(AND(base_de_datos[[#This Row],[Innovación y Diseño]]&lt;&gt;"",base_de_datos[[#This Row],[Misma o no]]=1),base_de_datos[[#This Row],[Índice]],"")</f>
        <v/>
      </c>
      <c r="AS157" s="157" t="str">
        <f ca="1">IF(AND(base_de_datos[[#This Row],[Inteligencia Artificial]]&lt;&gt;"",base_de_datos[[#This Row],[Misma o no]]=1),base_de_datos[[#This Row],[Índice]],"")</f>
        <v/>
      </c>
      <c r="AT157" s="157" t="str">
        <f ca="1">IF(AND(base_de_datos[[#This Row],[Tecnologías Energéticas]]&lt;&gt;"",base_de_datos[[#This Row],[Misma o no]]=1),base_de_datos[[#This Row],[Índice]],"")</f>
        <v/>
      </c>
      <c r="AU157" s="157">
        <f ca="1">IF(AND(base_de_datos[[#This Row],[Civil y Administración]]&lt;&gt;"",base_de_datos[[#This Row],[Misma o no]]=1),base_de_datos[[#This Row],[Índice]],"")</f>
        <v>6</v>
      </c>
      <c r="AV157" s="157" t="str">
        <f ca="1">IF(AND(base_de_datos[[#This Row],[Bioelectrónica]]&lt;&gt;"",base_de_datos[[#This Row],[Misma o no]]=1),base_de_datos[[#This Row],[Índice]],"")</f>
        <v/>
      </c>
      <c r="AW157" s="158"/>
      <c r="AX157" s="231">
        <v>3</v>
      </c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  <c r="ER157" s="6"/>
      <c r="ES157" s="6"/>
      <c r="ET157" s="6"/>
      <c r="EU157" s="6"/>
      <c r="EV157" s="6"/>
      <c r="EW157" s="6"/>
      <c r="EX157" s="6"/>
      <c r="EY157" s="6"/>
      <c r="EZ157" s="6"/>
      <c r="FA157" s="6"/>
      <c r="FB157" s="6"/>
      <c r="FC157" s="6"/>
      <c r="FD157" s="6"/>
      <c r="FE157" s="6"/>
      <c r="FF157" s="6"/>
      <c r="FG157" s="6"/>
      <c r="FH157" s="6"/>
      <c r="FI157" s="6"/>
      <c r="FJ157" s="6"/>
      <c r="FK157" s="6"/>
      <c r="FL157" s="6"/>
      <c r="FM157" s="6"/>
      <c r="FN157" s="6"/>
      <c r="FO157" s="6"/>
      <c r="FP157" s="6"/>
      <c r="FQ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  <c r="GM157" s="6"/>
      <c r="GN157" s="6"/>
      <c r="GO157" s="6"/>
      <c r="GP157" s="6"/>
      <c r="GQ157" s="6"/>
      <c r="GR157" s="6"/>
      <c r="GS157" s="6"/>
      <c r="GT157" s="6"/>
      <c r="GU157" s="6"/>
      <c r="GV157" s="6"/>
      <c r="GW157" s="6"/>
      <c r="GX157" s="6"/>
      <c r="GY157" s="6"/>
      <c r="GZ157" s="6"/>
      <c r="HA157" s="6"/>
      <c r="HB157" s="6"/>
      <c r="HC157" s="6"/>
      <c r="HD157" s="6"/>
      <c r="HE157" s="6"/>
      <c r="HF157" s="6"/>
      <c r="HG157" s="6"/>
      <c r="HH157" s="6"/>
      <c r="HI157" s="6"/>
      <c r="HJ157" s="6"/>
      <c r="HK157" s="6"/>
      <c r="HL157" s="6"/>
      <c r="HM157" s="6"/>
    </row>
    <row r="158" spans="1:221" s="160" customFormat="1" ht="15">
      <c r="A158" s="6"/>
      <c r="B158" s="148" t="s">
        <v>352</v>
      </c>
      <c r="C158" s="149" t="s">
        <v>353</v>
      </c>
      <c r="D158" s="150">
        <v>1</v>
      </c>
      <c r="E158" s="151">
        <v>0.79166666666666696</v>
      </c>
      <c r="F158" s="151">
        <v>0.91666666666665697</v>
      </c>
      <c r="G158" s="150"/>
      <c r="H158" s="150" t="s">
        <v>127</v>
      </c>
      <c r="I158" s="150">
        <f>INDEX(Aulas_capacidad,MATCH(base_de_datos[[#This Row],[Aula]],Aulas,0),2)</f>
        <v>30</v>
      </c>
      <c r="J158" s="152">
        <v>22</v>
      </c>
      <c r="K158" s="150">
        <f>INDEX(Aulas_capacidad,MATCH(base_de_datos[[#This Row],[Aula]],Aulas,0),4)</f>
        <v>12</v>
      </c>
      <c r="L158" s="153">
        <f>base_de_datos[[#This Row],[Cap 1.5]]-base_de_datos[[#This Row],[Inscritos]]</f>
        <v>-10</v>
      </c>
      <c r="M158" s="153">
        <f>INDEX(Aulas_capacidad,MATCH(base_de_datos[[#This Row],[Aula]],Aulas,0),5)</f>
        <v>18</v>
      </c>
      <c r="N158" s="153">
        <f>base_de_datos[[#This Row],[Cap .90]]-base_de_datos[[#This Row],[Inscritos]]</f>
        <v>-4</v>
      </c>
      <c r="O158" s="150">
        <v>1559</v>
      </c>
      <c r="P158" s="154"/>
      <c r="Q158" s="154"/>
      <c r="R158" s="154"/>
      <c r="S158" s="154" t="s">
        <v>67</v>
      </c>
      <c r="T158" s="154"/>
      <c r="U158" s="154"/>
      <c r="V158" s="154"/>
      <c r="W158" s="154" t="s">
        <v>1656</v>
      </c>
      <c r="X158" s="155">
        <f>_xlfn.XLOOKUP(base_de_datos[[#This Row],[Materia]],Materias,Horas)/16</f>
        <v>3</v>
      </c>
      <c r="Y158" s="155">
        <f>ROUND(((base_de_datos[[#This Row],[Hora fin]]-base_de_datos[[#This Row],[Hora inicio]])*24)*(COUNTA(base_de_datos[[#This Row],[Lunes]:[Sábado]])),1)</f>
        <v>3</v>
      </c>
      <c r="Z15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8" s="155">
        <f ca="1">IF(base_de_datos[[#This Row],[No clase]]=OFFSET(base_de_datos[[#This Row],[No clase]],-1,0),0,1)</f>
        <v>1</v>
      </c>
      <c r="AB158" s="155">
        <f ca="1">IF(NOT(OR(base_de_datos[[#This Row],[Horas totales]]=base_de_datos[[#This Row],[HT Plan]],base_de_datos[[#This Row],[Horas totales]]="N/A")),1,0)</f>
        <v>0</v>
      </c>
      <c r="AC158" s="155" t="str">
        <f>_xlfn.XLOOKUP(base_de_datos[[#This Row],[Profesor]],Nombre,Grado)</f>
        <v>M</v>
      </c>
      <c r="AD158" s="156" t="str">
        <f>_xlfn.XLOOKUP(base_de_datos[[#This Row],[Profesor]],Nombre,Tipo)</f>
        <v>A</v>
      </c>
      <c r="AE158" s="155" t="str">
        <f>IF(IFERROR(VLOOKUP($C158,Planes_de_estudio[],MATCH($AE$2,Carreras,0)+2,0),"")&gt;0,IFERROR(VLOOKUP($C158,Planes_de_estudio[],MATCH($AE$2,Carreras,0)+2,0),""),"")</f>
        <v/>
      </c>
      <c r="AF158" s="155" t="str">
        <f>IF(IFERROR(VLOOKUP($C158,Planes_de_estudio[],MATCH($AF$2,Carreras,0)+2,0),"")&gt;0,IFERROR(VLOOKUP($C158,Planes_de_estudio[],MATCH($AF$2,Carreras,0)+2,0),""),"")</f>
        <v/>
      </c>
      <c r="AG158" s="155" t="str">
        <f>IF(IFERROR(VLOOKUP($C158,Planes_de_estudio[],MATCH($AG$2,Carreras,0)+2,0),"")&gt;0,IFERROR(VLOOKUP($C158,Planes_de_estudio[],MATCH($AG$2,Carreras,0)+2,0),""),"")</f>
        <v/>
      </c>
      <c r="AH158" s="155">
        <f>IF(IFERROR(VLOOKUP($C158,Planes_de_estudio[],MATCH($AH$2,Carreras,0)+2,0),"")&gt;0,IFERROR(VLOOKUP($C158,Planes_de_estudio[],MATCH($AH$2,Carreras,0)+2,0),""),"")</f>
        <v>7</v>
      </c>
      <c r="AI158" s="155" t="str">
        <f>IF(IFERROR(VLOOKUP($C158,Planes_de_estudio[],MATCH($AI$2,Carreras,0)+2,0),"")&gt;0,IFERROR(VLOOKUP($C158,Planes_de_estudio[],MATCH($AI$2,Carreras,0)+2,0),""),"")</f>
        <v/>
      </c>
      <c r="AJ158" s="155" t="str">
        <f>IF(IFERROR(VLOOKUP($C158,Planes_de_estudio[],MATCH($AJ$2,Carreras,0)+2,0),"")&gt;0,IFERROR(VLOOKUP($C158,Planes_de_estudio[],MATCH($AJ$2,Carreras,0)+2,0),""),"")</f>
        <v/>
      </c>
      <c r="AK158" s="155">
        <f>IF(IFERROR(VLOOKUP($C158,Planes_de_estudio[],MATCH($AK$2,Carreras,0)+2,0),"")&gt;0,IFERROR(VLOOKUP($C158,Planes_de_estudio[],MATCH($AK$2,Carreras,0)+2,0),""),"")</f>
        <v>7</v>
      </c>
      <c r="AL15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8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58" s="155">
        <f>base_de_datos[[#This Row],[Pronóstico]]/25</f>
        <v>0.72</v>
      </c>
      <c r="AO158" s="155" t="str">
        <f>VLOOKUP($C158,Planes_de_estudio[],2)</f>
        <v>COM</v>
      </c>
      <c r="AP158" s="157" t="str">
        <f ca="1">IF(AND(base_de_datos[[#This Row],[Industrial]]&lt;&gt;"",base_de_datos[[#This Row],[Misma o no]]=1),base_de_datos[[#This Row],[Índice]],"")</f>
        <v/>
      </c>
      <c r="AQ158" s="157" t="str">
        <f ca="1">IF(AND(base_de_datos[[#This Row],[Mecatrónica]]&lt;&gt;"",base_de_datos[[#This Row],[Misma o no]]=1),base_de_datos[[#This Row],[Índice]],"")</f>
        <v/>
      </c>
      <c r="AR158" s="157" t="str">
        <f ca="1">IF(AND(base_de_datos[[#This Row],[Innovación y Diseño]]&lt;&gt;"",base_de_datos[[#This Row],[Misma o no]]=1),base_de_datos[[#This Row],[Índice]],"")</f>
        <v/>
      </c>
      <c r="AS158" s="157">
        <f ca="1">IF(AND(base_de_datos[[#This Row],[Inteligencia Artificial]]&lt;&gt;"",base_de_datos[[#This Row],[Misma o no]]=1),base_de_datos[[#This Row],[Índice]],"")</f>
        <v>4</v>
      </c>
      <c r="AT158" s="157" t="str">
        <f ca="1">IF(AND(base_de_datos[[#This Row],[Tecnologías Energéticas]]&lt;&gt;"",base_de_datos[[#This Row],[Misma o no]]=1),base_de_datos[[#This Row],[Índice]],"")</f>
        <v/>
      </c>
      <c r="AU158" s="157" t="str">
        <f ca="1">IF(AND(base_de_datos[[#This Row],[Civil y Administración]]&lt;&gt;"",base_de_datos[[#This Row],[Misma o no]]=1),base_de_datos[[#This Row],[Índice]],"")</f>
        <v/>
      </c>
      <c r="AV158" s="157">
        <f ca="1">IF(AND(base_de_datos[[#This Row],[Bioelectrónica]]&lt;&gt;"",base_de_datos[[#This Row],[Misma o no]]=1),base_de_datos[[#This Row],[Índice]],"")</f>
        <v>4</v>
      </c>
      <c r="AW158" s="158"/>
      <c r="AX158" s="231">
        <v>3</v>
      </c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EZ158" s="6"/>
      <c r="FA158" s="6"/>
      <c r="FB158" s="6"/>
      <c r="FC158" s="6"/>
      <c r="FD158" s="6"/>
      <c r="FE158" s="6"/>
      <c r="FF158" s="6"/>
      <c r="FG158" s="6"/>
      <c r="FH158" s="6"/>
      <c r="FI158" s="6"/>
      <c r="FJ158" s="6"/>
      <c r="FK158" s="6"/>
      <c r="FL158" s="6"/>
      <c r="FM158" s="6"/>
      <c r="FN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  <c r="GX158" s="6"/>
      <c r="GY158" s="6"/>
      <c r="GZ158" s="6"/>
      <c r="HA158" s="6"/>
      <c r="HB158" s="6"/>
      <c r="HC158" s="6"/>
      <c r="HD158" s="6"/>
      <c r="HE158" s="6"/>
      <c r="HF158" s="6"/>
      <c r="HG158" s="6"/>
      <c r="HH158" s="6"/>
      <c r="HI158" s="6"/>
      <c r="HJ158" s="6"/>
      <c r="HK158" s="6"/>
      <c r="HL158" s="6"/>
      <c r="HM158" s="6"/>
    </row>
    <row r="159" spans="1:221" s="160" customFormat="1" ht="15">
      <c r="A159" s="6"/>
      <c r="B159" s="148" t="s">
        <v>354</v>
      </c>
      <c r="C159" s="149" t="s">
        <v>355</v>
      </c>
      <c r="D159" s="150">
        <v>1</v>
      </c>
      <c r="E159" s="151">
        <v>0.70833333333333304</v>
      </c>
      <c r="F159" s="151">
        <v>0.83333333333332504</v>
      </c>
      <c r="G159" s="150"/>
      <c r="H159" s="150" t="s">
        <v>292</v>
      </c>
      <c r="I159" s="150">
        <f>INDEX(Aulas_capacidad,MATCH(base_de_datos[[#This Row],[Aula]],Aulas,0),2)</f>
        <v>0</v>
      </c>
      <c r="J159" s="152"/>
      <c r="K159" s="150">
        <f>INDEX(Aulas_capacidad,MATCH(base_de_datos[[#This Row],[Aula]],Aulas,0),4)</f>
        <v>0</v>
      </c>
      <c r="L159" s="153">
        <f>base_de_datos[[#This Row],[Cap 1.5]]-base_de_datos[[#This Row],[Inscritos]]</f>
        <v>0</v>
      </c>
      <c r="M159" s="153">
        <f>INDEX(Aulas_capacidad,MATCH(base_de_datos[[#This Row],[Aula]],Aulas,0),5)</f>
        <v>0</v>
      </c>
      <c r="N159" s="153">
        <f>base_de_datos[[#This Row],[Cap .90]]-base_de_datos[[#This Row],[Inscritos]]</f>
        <v>0</v>
      </c>
      <c r="O159" s="150" t="s">
        <v>356</v>
      </c>
      <c r="P159" s="154"/>
      <c r="Q159" s="154"/>
      <c r="R159" s="154"/>
      <c r="S159" s="154" t="s">
        <v>67</v>
      </c>
      <c r="T159" s="154"/>
      <c r="U159" s="154"/>
      <c r="V159" s="154"/>
      <c r="W159" s="154" t="s">
        <v>1650</v>
      </c>
      <c r="X159" s="155">
        <f>_xlfn.XLOOKUP(base_de_datos[[#This Row],[Materia]],Materias,Horas)/16</f>
        <v>3</v>
      </c>
      <c r="Y159" s="155">
        <f>ROUND(((base_de_datos[[#This Row],[Hora fin]]-base_de_datos[[#This Row],[Hora inicio]])*24)*(COUNTA(base_de_datos[[#This Row],[Lunes]:[Sábado]])),1)</f>
        <v>3</v>
      </c>
      <c r="Z15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9" s="155">
        <f ca="1">IF(base_de_datos[[#This Row],[No clase]]=OFFSET(base_de_datos[[#This Row],[No clase]],-1,0),0,1)</f>
        <v>1</v>
      </c>
      <c r="AB159" s="155">
        <f ca="1">IF(NOT(OR(base_de_datos[[#This Row],[Horas totales]]=base_de_datos[[#This Row],[HT Plan]],base_de_datos[[#This Row],[Horas totales]]="N/A")),1,0)</f>
        <v>0</v>
      </c>
      <c r="AC159" s="155" t="str">
        <f>_xlfn.XLOOKUP(base_de_datos[[#This Row],[Profesor]],Nombre,Grado)</f>
        <v>D</v>
      </c>
      <c r="AD159" s="156" t="str">
        <f>_xlfn.XLOOKUP(base_de_datos[[#This Row],[Profesor]],Nombre,Tipo)</f>
        <v>H</v>
      </c>
      <c r="AE159" s="155">
        <f>IF(IFERROR(VLOOKUP($C159,Planes_de_estudio[],MATCH($AE$2,Carreras,0)+2,0),"")&gt;0,IFERROR(VLOOKUP($C159,Planes_de_estudio[],MATCH($AE$2,Carreras,0)+2,0),""),"")</f>
        <v>6</v>
      </c>
      <c r="AF159" s="155">
        <f>IF(IFERROR(VLOOKUP($C159,Planes_de_estudio[],MATCH($AF$2,Carreras,0)+2,0),"")&gt;0,IFERROR(VLOOKUP($C159,Planes_de_estudio[],MATCH($AF$2,Carreras,0)+2,0),""),"")</f>
        <v>6</v>
      </c>
      <c r="AG159" s="155">
        <f>IF(IFERROR(VLOOKUP($C159,Planes_de_estudio[],MATCH($AG$2,Carreras,0)+2,0),"")&gt;0,IFERROR(VLOOKUP($C159,Planes_de_estudio[],MATCH($AG$2,Carreras,0)+2,0),""),"")</f>
        <v>6</v>
      </c>
      <c r="AH159" s="155">
        <f>IF(IFERROR(VLOOKUP($C159,Planes_de_estudio[],MATCH($AH$2,Carreras,0)+2,0),"")&gt;0,IFERROR(VLOOKUP($C159,Planes_de_estudio[],MATCH($AH$2,Carreras,0)+2,0),""),"")</f>
        <v>6</v>
      </c>
      <c r="AI159" s="155">
        <f>IF(IFERROR(VLOOKUP($C159,Planes_de_estudio[],MATCH($AI$2,Carreras,0)+2,0),"")&gt;0,IFERROR(VLOOKUP($C159,Planes_de_estudio[],MATCH($AI$2,Carreras,0)+2,0),""),"")</f>
        <v>6</v>
      </c>
      <c r="AJ159" s="155">
        <f>IF(IFERROR(VLOOKUP($C159,Planes_de_estudio[],MATCH($AJ$2,Carreras,0)+2,0),"")&gt;0,IFERROR(VLOOKUP($C159,Planes_de_estudio[],MATCH($AJ$2,Carreras,0)+2,0),""),"")</f>
        <v>6</v>
      </c>
      <c r="AK159" s="155">
        <f>IF(IFERROR(VLOOKUP($C159,Planes_de_estudio[],MATCH($AK$2,Carreras,0)+2,0),"")&gt;0,IFERROR(VLOOKUP($C159,Planes_de_estudio[],MATCH($AK$2,Carreras,0)+2,0),""),"")</f>
        <v>6</v>
      </c>
      <c r="AL15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</v>
      </c>
      <c r="AN159" s="155">
        <f>base_de_datos[[#This Row],[Pronóstico]]/25</f>
        <v>0.36</v>
      </c>
      <c r="AO159" s="155" t="str">
        <f>VLOOKUP($C159,Planes_de_estudio[],2)</f>
        <v>HUM</v>
      </c>
      <c r="AP159" s="157">
        <f ca="1">IF(AND(base_de_datos[[#This Row],[Industrial]]&lt;&gt;"",base_de_datos[[#This Row],[Misma o no]]=1),base_de_datos[[#This Row],[Índice]],"")</f>
        <v>6</v>
      </c>
      <c r="AQ159" s="157">
        <f ca="1">IF(AND(base_de_datos[[#This Row],[Mecatrónica]]&lt;&gt;"",base_de_datos[[#This Row],[Misma o no]]=1),base_de_datos[[#This Row],[Índice]],"")</f>
        <v>6</v>
      </c>
      <c r="AR159" s="157">
        <f ca="1">IF(AND(base_de_datos[[#This Row],[Innovación y Diseño]]&lt;&gt;"",base_de_datos[[#This Row],[Misma o no]]=1),base_de_datos[[#This Row],[Índice]],"")</f>
        <v>6</v>
      </c>
      <c r="AS159" s="157">
        <f ca="1">IF(AND(base_de_datos[[#This Row],[Inteligencia Artificial]]&lt;&gt;"",base_de_datos[[#This Row],[Misma o no]]=1),base_de_datos[[#This Row],[Índice]],"")</f>
        <v>6</v>
      </c>
      <c r="AT159" s="157">
        <f ca="1">IF(AND(base_de_datos[[#This Row],[Tecnologías Energéticas]]&lt;&gt;"",base_de_datos[[#This Row],[Misma o no]]=1),base_de_datos[[#This Row],[Índice]],"")</f>
        <v>6</v>
      </c>
      <c r="AU159" s="157">
        <f ca="1">IF(AND(base_de_datos[[#This Row],[Civil y Administración]]&lt;&gt;"",base_de_datos[[#This Row],[Misma o no]]=1),base_de_datos[[#This Row],[Índice]],"")</f>
        <v>6</v>
      </c>
      <c r="AV159" s="157">
        <f ca="1">IF(AND(base_de_datos[[#This Row],[Bioelectrónica]]&lt;&gt;"",base_de_datos[[#This Row],[Misma o no]]=1),base_de_datos[[#This Row],[Índice]],"")</f>
        <v>6</v>
      </c>
      <c r="AW159" s="158"/>
      <c r="AX159" s="231">
        <v>1</v>
      </c>
      <c r="AY159" s="85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  <c r="HL159" s="6"/>
      <c r="HM159" s="6"/>
    </row>
    <row r="160" spans="1:221" s="160" customFormat="1" ht="15">
      <c r="A160" s="6"/>
      <c r="B160" s="148" t="s">
        <v>357</v>
      </c>
      <c r="C160" s="149" t="s">
        <v>239</v>
      </c>
      <c r="D160" s="150">
        <v>3</v>
      </c>
      <c r="E160" s="151">
        <v>0.5</v>
      </c>
      <c r="F160" s="151">
        <v>0.58333333333332904</v>
      </c>
      <c r="G160" s="150"/>
      <c r="H160" s="150" t="s">
        <v>325</v>
      </c>
      <c r="I160" s="150">
        <f>INDEX(Aulas_capacidad,MATCH(base_de_datos[[#This Row],[Aula]],Aulas,0),2)</f>
        <v>30</v>
      </c>
      <c r="J160" s="212">
        <v>26</v>
      </c>
      <c r="K160" s="150">
        <f>INDEX(Aulas_capacidad,MATCH(base_de_datos[[#This Row],[Aula]],Aulas,0),4)</f>
        <v>12</v>
      </c>
      <c r="L160" s="153">
        <f>base_de_datos[[#This Row],[Cap 1.5]]-base_de_datos[[#This Row],[Inscritos]]</f>
        <v>-14</v>
      </c>
      <c r="M160" s="153">
        <f>INDEX(Aulas_capacidad,MATCH(base_de_datos[[#This Row],[Aula]],Aulas,0),5)</f>
        <v>18</v>
      </c>
      <c r="N160" s="153">
        <f>base_de_datos[[#This Row],[Cap .90]]-base_de_datos[[#This Row],[Inscritos]]</f>
        <v>-8</v>
      </c>
      <c r="O160" s="150" t="s">
        <v>358</v>
      </c>
      <c r="P160" s="154" t="s">
        <v>67</v>
      </c>
      <c r="Q160" s="154"/>
      <c r="R160" s="154"/>
      <c r="S160" s="154"/>
      <c r="T160" s="154"/>
      <c r="U160" s="154"/>
      <c r="V160" s="154"/>
      <c r="W160" s="154" t="s">
        <v>1653</v>
      </c>
      <c r="X160" s="155">
        <f>_xlfn.XLOOKUP(base_de_datos[[#This Row],[Materia]],Materias,Horas)/16</f>
        <v>4</v>
      </c>
      <c r="Y160" s="155">
        <f>ROUND(((base_de_datos[[#This Row],[Hora fin]]-base_de_datos[[#This Row],[Hora inicio]])*24)*(COUNTA(base_de_datos[[#This Row],[Lunes]:[Sábado]])),1)</f>
        <v>2</v>
      </c>
      <c r="Z16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0" s="155">
        <f ca="1">IF(base_de_datos[[#This Row],[No clase]]=OFFSET(base_de_datos[[#This Row],[No clase]],-1,0),0,1)</f>
        <v>1</v>
      </c>
      <c r="AB160" s="155">
        <f ca="1">IF(NOT(OR(base_de_datos[[#This Row],[Horas totales]]=base_de_datos[[#This Row],[HT Plan]],base_de_datos[[#This Row],[Horas totales]]="N/A")),1,0)</f>
        <v>0</v>
      </c>
      <c r="AC160" s="155" t="str">
        <f>_xlfn.XLOOKUP(base_de_datos[[#This Row],[Profesor]],Nombre,Grado)</f>
        <v>SNI</v>
      </c>
      <c r="AD160" s="156" t="str">
        <f>_xlfn.XLOOKUP(base_de_datos[[#This Row],[Profesor]],Nombre,Tipo)</f>
        <v>A</v>
      </c>
      <c r="AE160" s="155">
        <f>IF(IFERROR(VLOOKUP($C160,Planes_de_estudio[],MATCH($AE$2,Carreras,0)+2,0),"")&gt;0,IFERROR(VLOOKUP($C160,Planes_de_estudio[],MATCH($AE$2,Carreras,0)+2,0),""),"")</f>
        <v>1</v>
      </c>
      <c r="AF160" s="155">
        <f>IF(IFERROR(VLOOKUP($C160,Planes_de_estudio[],MATCH($AF$2,Carreras,0)+2,0),"")&gt;0,IFERROR(VLOOKUP($C160,Planes_de_estudio[],MATCH($AF$2,Carreras,0)+2,0),""),"")</f>
        <v>1</v>
      </c>
      <c r="AG160" s="155">
        <f>IF(IFERROR(VLOOKUP($C160,Planes_de_estudio[],MATCH($AG$2,Carreras,0)+2,0),"")&gt;0,IFERROR(VLOOKUP($C160,Planes_de_estudio[],MATCH($AG$2,Carreras,0)+2,0),""),"")</f>
        <v>1</v>
      </c>
      <c r="AH160" s="155">
        <f>IF(IFERROR(VLOOKUP($C160,Planes_de_estudio[],MATCH($AH$2,Carreras,0)+2,0),"")&gt;0,IFERROR(VLOOKUP($C160,Planes_de_estudio[],MATCH($AH$2,Carreras,0)+2,0),""),"")</f>
        <v>1</v>
      </c>
      <c r="AI160" s="155">
        <f>IF(IFERROR(VLOOKUP($C160,Planes_de_estudio[],MATCH($AI$2,Carreras,0)+2,0),"")&gt;0,IFERROR(VLOOKUP($C160,Planes_de_estudio[],MATCH($AI$2,Carreras,0)+2,0),""),"")</f>
        <v>2</v>
      </c>
      <c r="AJ160" s="155">
        <f>IF(IFERROR(VLOOKUP($C160,Planes_de_estudio[],MATCH($AJ$2,Carreras,0)+2,0),"")&gt;0,IFERROR(VLOOKUP($C160,Planes_de_estudio[],MATCH($AJ$2,Carreras,0)+2,0),""),"")</f>
        <v>1</v>
      </c>
      <c r="AK160" s="155">
        <f>IF(IFERROR(VLOOKUP($C160,Planes_de_estudio[],MATCH($AK$2,Carreras,0)+2,0),"")&gt;0,IFERROR(VLOOKUP($C160,Planes_de_estudio[],MATCH($AK$2,Carreras,0)+2,0),""),"")</f>
        <v>1</v>
      </c>
      <c r="AL16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0" s="155">
        <f>base_de_datos[[#This Row],[Pronóstico]]/25</f>
        <v>4.16</v>
      </c>
      <c r="AO160" s="155" t="str">
        <f>VLOOKUP($C160,Planes_de_estudio[],2)</f>
        <v>MEC</v>
      </c>
      <c r="AP160" s="157">
        <f ca="1">IF(AND(base_de_datos[[#This Row],[Industrial]]&lt;&gt;"",base_de_datos[[#This Row],[Misma o no]]=1),base_de_datos[[#This Row],[Índice]],"")</f>
        <v>6</v>
      </c>
      <c r="AQ160" s="157">
        <f ca="1">IF(AND(base_de_datos[[#This Row],[Mecatrónica]]&lt;&gt;"",base_de_datos[[#This Row],[Misma o no]]=1),base_de_datos[[#This Row],[Índice]],"")</f>
        <v>6</v>
      </c>
      <c r="AR160" s="157">
        <f ca="1">IF(AND(base_de_datos[[#This Row],[Innovación y Diseño]]&lt;&gt;"",base_de_datos[[#This Row],[Misma o no]]=1),base_de_datos[[#This Row],[Índice]],"")</f>
        <v>6</v>
      </c>
      <c r="AS160" s="157">
        <f ca="1">IF(AND(base_de_datos[[#This Row],[Inteligencia Artificial]]&lt;&gt;"",base_de_datos[[#This Row],[Misma o no]]=1),base_de_datos[[#This Row],[Índice]],"")</f>
        <v>6</v>
      </c>
      <c r="AT160" s="157">
        <f ca="1">IF(AND(base_de_datos[[#This Row],[Tecnologías Energéticas]]&lt;&gt;"",base_de_datos[[#This Row],[Misma o no]]=1),base_de_datos[[#This Row],[Índice]],"")</f>
        <v>6</v>
      </c>
      <c r="AU160" s="157">
        <f ca="1">IF(AND(base_de_datos[[#This Row],[Civil y Administración]]&lt;&gt;"",base_de_datos[[#This Row],[Misma o no]]=1),base_de_datos[[#This Row],[Índice]],"")</f>
        <v>6</v>
      </c>
      <c r="AV160" s="157">
        <f ca="1">IF(AND(base_de_datos[[#This Row],[Bioelectrónica]]&lt;&gt;"",base_de_datos[[#This Row],[Misma o no]]=1),base_de_datos[[#This Row],[Índice]],"")</f>
        <v>6</v>
      </c>
      <c r="AW160" s="158"/>
      <c r="AX160" s="231">
        <v>1</v>
      </c>
      <c r="AY160" s="85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  <c r="HL160" s="6"/>
      <c r="HM160" s="6"/>
    </row>
    <row r="161" spans="1:221" s="160" customFormat="1" ht="15">
      <c r="A161" s="6"/>
      <c r="B161" s="148" t="s">
        <v>357</v>
      </c>
      <c r="C161" s="149" t="s">
        <v>239</v>
      </c>
      <c r="D161" s="150">
        <v>3</v>
      </c>
      <c r="E161" s="151">
        <v>0.5</v>
      </c>
      <c r="F161" s="151">
        <v>0.58333333333332904</v>
      </c>
      <c r="G161" s="150"/>
      <c r="H161" s="150" t="s">
        <v>80</v>
      </c>
      <c r="I161" s="150">
        <f>INDEX(Aulas_capacidad,MATCH(base_de_datos[[#This Row],[Aula]],Aulas,0),2)</f>
        <v>30</v>
      </c>
      <c r="J161" s="212">
        <v>26</v>
      </c>
      <c r="K161" s="150">
        <f>INDEX(Aulas_capacidad,MATCH(base_de_datos[[#This Row],[Aula]],Aulas,0),4)</f>
        <v>0</v>
      </c>
      <c r="L161" s="153">
        <f>base_de_datos[[#This Row],[Cap 1.5]]-base_de_datos[[#This Row],[Inscritos]]</f>
        <v>-26</v>
      </c>
      <c r="M161" s="153">
        <f>INDEX(Aulas_capacidad,MATCH(base_de_datos[[#This Row],[Aula]],Aulas,0),5)</f>
        <v>0</v>
      </c>
      <c r="N161" s="153">
        <f>base_de_datos[[#This Row],[Cap .90]]-base_de_datos[[#This Row],[Inscritos]]</f>
        <v>-26</v>
      </c>
      <c r="O161" s="150" t="s">
        <v>358</v>
      </c>
      <c r="P161" s="154"/>
      <c r="Q161" s="154"/>
      <c r="R161" s="154" t="s">
        <v>67</v>
      </c>
      <c r="S161" s="154"/>
      <c r="T161" s="154"/>
      <c r="U161" s="154"/>
      <c r="V161" s="154"/>
      <c r="W161" s="154" t="s">
        <v>1653</v>
      </c>
      <c r="X161" s="155">
        <f>_xlfn.XLOOKUP(base_de_datos[[#This Row],[Materia]],Materias,Horas)/16</f>
        <v>4</v>
      </c>
      <c r="Y161" s="155">
        <f>ROUND(((base_de_datos[[#This Row],[Hora fin]]-base_de_datos[[#This Row],[Hora inicio]])*24)*(COUNTA(base_de_datos[[#This Row],[Lunes]:[Sábado]])),1)</f>
        <v>2</v>
      </c>
      <c r="Z16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1" s="155">
        <f ca="1">IF(base_de_datos[[#This Row],[No clase]]=OFFSET(base_de_datos[[#This Row],[No clase]],-1,0),0,1)</f>
        <v>0</v>
      </c>
      <c r="AB161" s="155">
        <f ca="1">IF(NOT(OR(base_de_datos[[#This Row],[Horas totales]]=base_de_datos[[#This Row],[HT Plan]],base_de_datos[[#This Row],[Horas totales]]="N/A")),1,0)</f>
        <v>0</v>
      </c>
      <c r="AC161" s="155" t="str">
        <f>_xlfn.XLOOKUP(base_de_datos[[#This Row],[Profesor]],Nombre,Grado)</f>
        <v>SNI</v>
      </c>
      <c r="AD161" s="156" t="str">
        <f>_xlfn.XLOOKUP(base_de_datos[[#This Row],[Profesor]],Nombre,Tipo)</f>
        <v>A</v>
      </c>
      <c r="AE161" s="155">
        <f>IF(IFERROR(VLOOKUP($C161,Planes_de_estudio[],MATCH($AE$2,Carreras,0)+2,0),"")&gt;0,IFERROR(VLOOKUP($C161,Planes_de_estudio[],MATCH($AE$2,Carreras,0)+2,0),""),"")</f>
        <v>1</v>
      </c>
      <c r="AF161" s="155">
        <f>IF(IFERROR(VLOOKUP($C161,Planes_de_estudio[],MATCH($AF$2,Carreras,0)+2,0),"")&gt;0,IFERROR(VLOOKUP($C161,Planes_de_estudio[],MATCH($AF$2,Carreras,0)+2,0),""),"")</f>
        <v>1</v>
      </c>
      <c r="AG161" s="155">
        <f>IF(IFERROR(VLOOKUP($C161,Planes_de_estudio[],MATCH($AG$2,Carreras,0)+2,0),"")&gt;0,IFERROR(VLOOKUP($C161,Planes_de_estudio[],MATCH($AG$2,Carreras,0)+2,0),""),"")</f>
        <v>1</v>
      </c>
      <c r="AH161" s="155">
        <f>IF(IFERROR(VLOOKUP($C161,Planes_de_estudio[],MATCH($AH$2,Carreras,0)+2,0),"")&gt;0,IFERROR(VLOOKUP($C161,Planes_de_estudio[],MATCH($AH$2,Carreras,0)+2,0),""),"")</f>
        <v>1</v>
      </c>
      <c r="AI161" s="155">
        <f>IF(IFERROR(VLOOKUP($C161,Planes_de_estudio[],MATCH($AI$2,Carreras,0)+2,0),"")&gt;0,IFERROR(VLOOKUP($C161,Planes_de_estudio[],MATCH($AI$2,Carreras,0)+2,0),""),"")</f>
        <v>2</v>
      </c>
      <c r="AJ161" s="155">
        <f>IF(IFERROR(VLOOKUP($C161,Planes_de_estudio[],MATCH($AJ$2,Carreras,0)+2,0),"")&gt;0,IFERROR(VLOOKUP($C161,Planes_de_estudio[],MATCH($AJ$2,Carreras,0)+2,0),""),"")</f>
        <v>1</v>
      </c>
      <c r="AK161" s="155">
        <f>IF(IFERROR(VLOOKUP($C161,Planes_de_estudio[],MATCH($AK$2,Carreras,0)+2,0),"")&gt;0,IFERROR(VLOOKUP($C161,Planes_de_estudio[],MATCH($AK$2,Carreras,0)+2,0),""),"")</f>
        <v>1</v>
      </c>
      <c r="AL16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1" s="155">
        <f>base_de_datos[[#This Row],[Pronóstico]]/25</f>
        <v>4.16</v>
      </c>
      <c r="AO161" s="155" t="str">
        <f>VLOOKUP($C161,Planes_de_estudio[],2)</f>
        <v>MEC</v>
      </c>
      <c r="AP161" s="157" t="str">
        <f ca="1">IF(AND(base_de_datos[[#This Row],[Industrial]]&lt;&gt;"",base_de_datos[[#This Row],[Misma o no]]=1),base_de_datos[[#This Row],[Índice]],"")</f>
        <v/>
      </c>
      <c r="AQ161" s="157" t="str">
        <f ca="1">IF(AND(base_de_datos[[#This Row],[Mecatrónica]]&lt;&gt;"",base_de_datos[[#This Row],[Misma o no]]=1),base_de_datos[[#This Row],[Índice]],"")</f>
        <v/>
      </c>
      <c r="AR161" s="157" t="str">
        <f ca="1">IF(AND(base_de_datos[[#This Row],[Innovación y Diseño]]&lt;&gt;"",base_de_datos[[#This Row],[Misma o no]]=1),base_de_datos[[#This Row],[Índice]],"")</f>
        <v/>
      </c>
      <c r="AS161" s="157" t="str">
        <f ca="1">IF(AND(base_de_datos[[#This Row],[Inteligencia Artificial]]&lt;&gt;"",base_de_datos[[#This Row],[Misma o no]]=1),base_de_datos[[#This Row],[Índice]],"")</f>
        <v/>
      </c>
      <c r="AT161" s="157" t="str">
        <f ca="1">IF(AND(base_de_datos[[#This Row],[Tecnologías Energéticas]]&lt;&gt;"",base_de_datos[[#This Row],[Misma o no]]=1),base_de_datos[[#This Row],[Índice]],"")</f>
        <v/>
      </c>
      <c r="AU161" s="157" t="str">
        <f ca="1">IF(AND(base_de_datos[[#This Row],[Civil y Administración]]&lt;&gt;"",base_de_datos[[#This Row],[Misma o no]]=1),base_de_datos[[#This Row],[Índice]],"")</f>
        <v/>
      </c>
      <c r="AV161" s="157" t="str">
        <f ca="1">IF(AND(base_de_datos[[#This Row],[Bioelectrónica]]&lt;&gt;"",base_de_datos[[#This Row],[Misma o no]]=1),base_de_datos[[#This Row],[Índice]],"")</f>
        <v/>
      </c>
      <c r="AW161" s="158"/>
      <c r="AX161" s="231">
        <v>1</v>
      </c>
      <c r="AY161" s="85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  <c r="HL161" s="6"/>
      <c r="HM161" s="6"/>
    </row>
    <row r="162" spans="1:221" s="160" customFormat="1" ht="15">
      <c r="A162" s="6"/>
      <c r="B162" s="148" t="s">
        <v>359</v>
      </c>
      <c r="C162" s="149" t="s">
        <v>360</v>
      </c>
      <c r="D162" s="150"/>
      <c r="E162" s="151">
        <v>0.375</v>
      </c>
      <c r="F162" s="151">
        <v>0.45833333333333098</v>
      </c>
      <c r="G162" s="150"/>
      <c r="H162" s="182" t="s">
        <v>95</v>
      </c>
      <c r="I162" s="150">
        <f>INDEX(Aulas_capacidad,MATCH(base_de_datos[[#This Row],[Aula]],Aulas,0),2)</f>
        <v>30</v>
      </c>
      <c r="J162" s="152">
        <v>25</v>
      </c>
      <c r="K162" s="150">
        <f>INDEX(Aulas_capacidad,MATCH(base_de_datos[[#This Row],[Aula]],Aulas,0),4)</f>
        <v>10</v>
      </c>
      <c r="L162" s="153">
        <f>base_de_datos[[#This Row],[Cap 1.5]]-base_de_datos[[#This Row],[Inscritos]]</f>
        <v>-15</v>
      </c>
      <c r="M162" s="153">
        <f>INDEX(Aulas_capacidad,MATCH(base_de_datos[[#This Row],[Aula]],Aulas,0),5)</f>
        <v>15</v>
      </c>
      <c r="N162" s="153">
        <f>base_de_datos[[#This Row],[Cap .90]]-base_de_datos[[#This Row],[Inscritos]]</f>
        <v>-10</v>
      </c>
      <c r="O162" s="150">
        <v>1561</v>
      </c>
      <c r="P162" s="154"/>
      <c r="Q162" s="154" t="s">
        <v>67</v>
      </c>
      <c r="R162" s="154"/>
      <c r="S162" s="154"/>
      <c r="T162" s="154"/>
      <c r="U162" s="154"/>
      <c r="V162" s="154"/>
      <c r="W162" s="154" t="s">
        <v>1659</v>
      </c>
      <c r="X162" s="155">
        <f>_xlfn.XLOOKUP(base_de_datos[[#This Row],[Materia]],Materias,Horas)/16</f>
        <v>4</v>
      </c>
      <c r="Y162" s="155">
        <f>ROUND(((base_de_datos[[#This Row],[Hora fin]]-base_de_datos[[#This Row],[Hora inicio]])*24)*(COUNTA(base_de_datos[[#This Row],[Lunes]:[Sábado]])),1)</f>
        <v>2</v>
      </c>
      <c r="Z16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2" s="155">
        <f ca="1">IF(base_de_datos[[#This Row],[No clase]]=OFFSET(base_de_datos[[#This Row],[No clase]],-1,0),0,1)</f>
        <v>1</v>
      </c>
      <c r="AB162" s="155">
        <f ca="1">IF(NOT(OR(base_de_datos[[#This Row],[Horas totales]]=base_de_datos[[#This Row],[HT Plan]],base_de_datos[[#This Row],[Horas totales]]="N/A")),1,0)</f>
        <v>0</v>
      </c>
      <c r="AC162" s="155" t="str">
        <f>_xlfn.XLOOKUP(base_de_datos[[#This Row],[Profesor]],Nombre,Grado)</f>
        <v>E</v>
      </c>
      <c r="AD162" s="156" t="str">
        <f>_xlfn.XLOOKUP(base_de_datos[[#This Row],[Profesor]],Nombre,Tipo)</f>
        <v>OA</v>
      </c>
      <c r="AE162" s="155" t="str">
        <f>IF(IFERROR(VLOOKUP($C162,Planes_de_estudio[],MATCH($AE$2,Carreras,0)+2,0),"")&gt;0,IFERROR(VLOOKUP($C162,Planes_de_estudio[],MATCH($AE$2,Carreras,0)+2,0),""),"")</f>
        <v/>
      </c>
      <c r="AF162" s="155" t="str">
        <f>IF(IFERROR(VLOOKUP($C162,Planes_de_estudio[],MATCH($AF$2,Carreras,0)+2,0),"")&gt;0,IFERROR(VLOOKUP($C162,Planes_de_estudio[],MATCH($AF$2,Carreras,0)+2,0),""),"")</f>
        <v/>
      </c>
      <c r="AG162" s="155" t="str">
        <f>IF(IFERROR(VLOOKUP($C162,Planes_de_estudio[],MATCH($AG$2,Carreras,0)+2,0),"")&gt;0,IFERROR(VLOOKUP($C162,Planes_de_estudio[],MATCH($AG$2,Carreras,0)+2,0),""),"")</f>
        <v/>
      </c>
      <c r="AH162" s="155">
        <f>IF(IFERROR(VLOOKUP($C162,Planes_de_estudio[],MATCH($AH$2,Carreras,0)+2,0),"")&gt;0,IFERROR(VLOOKUP($C162,Planes_de_estudio[],MATCH($AH$2,Carreras,0)+2,0),""),"")</f>
        <v>3</v>
      </c>
      <c r="AI162" s="155" t="str">
        <f>IF(IFERROR(VLOOKUP($C162,Planes_de_estudio[],MATCH($AI$2,Carreras,0)+2,0),"")&gt;0,IFERROR(VLOOKUP($C162,Planes_de_estudio[],MATCH($AI$2,Carreras,0)+2,0),""),"")</f>
        <v/>
      </c>
      <c r="AJ162" s="155" t="str">
        <f>IF(IFERROR(VLOOKUP($C162,Planes_de_estudio[],MATCH($AJ$2,Carreras,0)+2,0),"")&gt;0,IFERROR(VLOOKUP($C162,Planes_de_estudio[],MATCH($AJ$2,Carreras,0)+2,0),""),"")</f>
        <v/>
      </c>
      <c r="AK162" s="155" t="str">
        <f>IF(IFERROR(VLOOKUP($C162,Planes_de_estudio[],MATCH($AK$2,Carreras,0)+2,0),"")&gt;0,IFERROR(VLOOKUP($C162,Planes_de_estudio[],MATCH($AK$2,Carreras,0)+2,0),""),"")</f>
        <v/>
      </c>
      <c r="AL16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6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162" s="155">
        <f>base_de_datos[[#This Row],[Pronóstico]]/25</f>
        <v>0.96</v>
      </c>
      <c r="AO162" s="155" t="str">
        <f>VLOOKUP($C162,Planes_de_estudio[],2)</f>
        <v>COM</v>
      </c>
      <c r="AP162" s="157" t="str">
        <f ca="1">IF(AND(base_de_datos[[#This Row],[Industrial]]&lt;&gt;"",base_de_datos[[#This Row],[Misma o no]]=1),base_de_datos[[#This Row],[Índice]],"")</f>
        <v/>
      </c>
      <c r="AQ162" s="157" t="str">
        <f ca="1">IF(AND(base_de_datos[[#This Row],[Mecatrónica]]&lt;&gt;"",base_de_datos[[#This Row],[Misma o no]]=1),base_de_datos[[#This Row],[Índice]],"")</f>
        <v/>
      </c>
      <c r="AR162" s="157" t="str">
        <f ca="1">IF(AND(base_de_datos[[#This Row],[Innovación y Diseño]]&lt;&gt;"",base_de_datos[[#This Row],[Misma o no]]=1),base_de_datos[[#This Row],[Índice]],"")</f>
        <v/>
      </c>
      <c r="AS162" s="157">
        <f ca="1">IF(AND(base_de_datos[[#This Row],[Inteligencia Artificial]]&lt;&gt;"",base_de_datos[[#This Row],[Misma o no]]=1),base_de_datos[[#This Row],[Índice]],"")</f>
        <v>2</v>
      </c>
      <c r="AT162" s="157" t="str">
        <f ca="1">IF(AND(base_de_datos[[#This Row],[Tecnologías Energéticas]]&lt;&gt;"",base_de_datos[[#This Row],[Misma o no]]=1),base_de_datos[[#This Row],[Índice]],"")</f>
        <v/>
      </c>
      <c r="AU162" s="157" t="str">
        <f ca="1">IF(AND(base_de_datos[[#This Row],[Civil y Administración]]&lt;&gt;"",base_de_datos[[#This Row],[Misma o no]]=1),base_de_datos[[#This Row],[Índice]],"")</f>
        <v/>
      </c>
      <c r="AV162" s="157" t="str">
        <f ca="1">IF(AND(base_de_datos[[#This Row],[Bioelectrónica]]&lt;&gt;"",base_de_datos[[#This Row],[Misma o no]]=1),base_de_datos[[#This Row],[Índice]],"")</f>
        <v/>
      </c>
      <c r="AW162" s="158"/>
      <c r="AX162" s="231">
        <v>1</v>
      </c>
      <c r="AY162" s="85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  <c r="HL162" s="6"/>
      <c r="HM162" s="6"/>
    </row>
    <row r="163" spans="1:221" s="160" customFormat="1" ht="15">
      <c r="A163" s="6"/>
      <c r="B163" s="148" t="s">
        <v>359</v>
      </c>
      <c r="C163" s="149" t="s">
        <v>360</v>
      </c>
      <c r="D163" s="150"/>
      <c r="E163" s="151">
        <v>0.375</v>
      </c>
      <c r="F163" s="151">
        <v>0.45833333333333098</v>
      </c>
      <c r="G163" s="150"/>
      <c r="H163" s="182" t="s">
        <v>95</v>
      </c>
      <c r="I163" s="150">
        <f>INDEX(Aulas_capacidad,MATCH(base_de_datos[[#This Row],[Aula]],Aulas,0),2)</f>
        <v>30</v>
      </c>
      <c r="J163" s="152">
        <v>25</v>
      </c>
      <c r="K163" s="150">
        <f>INDEX(Aulas_capacidad,MATCH(base_de_datos[[#This Row],[Aula]],Aulas,0),4)</f>
        <v>10</v>
      </c>
      <c r="L163" s="153">
        <f>base_de_datos[[#This Row],[Cap 1.5]]-base_de_datos[[#This Row],[Inscritos]]</f>
        <v>-15</v>
      </c>
      <c r="M163" s="153">
        <f>INDEX(Aulas_capacidad,MATCH(base_de_datos[[#This Row],[Aula]],Aulas,0),5)</f>
        <v>15</v>
      </c>
      <c r="N163" s="153">
        <f>base_de_datos[[#This Row],[Cap .90]]-base_de_datos[[#This Row],[Inscritos]]</f>
        <v>-10</v>
      </c>
      <c r="O163" s="150">
        <v>1561</v>
      </c>
      <c r="P163" s="154"/>
      <c r="Q163" s="154"/>
      <c r="R163" s="154"/>
      <c r="S163" s="154" t="s">
        <v>67</v>
      </c>
      <c r="T163" s="154"/>
      <c r="U163" s="154"/>
      <c r="V163" s="154"/>
      <c r="W163" s="154" t="s">
        <v>1659</v>
      </c>
      <c r="X163" s="174">
        <f>_xlfn.XLOOKUP(base_de_datos[[#This Row],[Materia]],Materias,Horas)/16</f>
        <v>4</v>
      </c>
      <c r="Y163" s="174">
        <f>ROUND(((base_de_datos[[#This Row],[Hora fin]]-base_de_datos[[#This Row],[Hora inicio]])*24)*(COUNTA(base_de_datos[[#This Row],[Lunes]:[Sábado]])),1)</f>
        <v>2</v>
      </c>
      <c r="Z163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3" s="155">
        <f ca="1">IF(base_de_datos[[#This Row],[No clase]]=OFFSET(base_de_datos[[#This Row],[No clase]],-1,0),0,1)</f>
        <v>0</v>
      </c>
      <c r="AB163" s="155">
        <f ca="1">IF(NOT(OR(base_de_datos[[#This Row],[Horas totales]]=base_de_datos[[#This Row],[HT Plan]],base_de_datos[[#This Row],[Horas totales]]="N/A")),1,0)</f>
        <v>0</v>
      </c>
      <c r="AC163" s="155" t="str">
        <f>_xlfn.XLOOKUP(base_de_datos[[#This Row],[Profesor]],Nombre,Grado)</f>
        <v>E</v>
      </c>
      <c r="AD163" s="156" t="str">
        <f>_xlfn.XLOOKUP(base_de_datos[[#This Row],[Profesor]],Nombre,Tipo)</f>
        <v>OA</v>
      </c>
      <c r="AE163" s="155" t="str">
        <f>IF(IFERROR(VLOOKUP($C163,Planes_de_estudio[],MATCH($AE$2,Carreras,0)+2,0),"")&gt;0,IFERROR(VLOOKUP($C163,Planes_de_estudio[],MATCH($AE$2,Carreras,0)+2,0),""),"")</f>
        <v/>
      </c>
      <c r="AF163" s="155" t="str">
        <f>IF(IFERROR(VLOOKUP($C163,Planes_de_estudio[],MATCH($AF$2,Carreras,0)+2,0),"")&gt;0,IFERROR(VLOOKUP($C163,Planes_de_estudio[],MATCH($AF$2,Carreras,0)+2,0),""),"")</f>
        <v/>
      </c>
      <c r="AG163" s="155" t="str">
        <f>IF(IFERROR(VLOOKUP($C163,Planes_de_estudio[],MATCH($AG$2,Carreras,0)+2,0),"")&gt;0,IFERROR(VLOOKUP($C163,Planes_de_estudio[],MATCH($AG$2,Carreras,0)+2,0),""),"")</f>
        <v/>
      </c>
      <c r="AH163" s="155">
        <f>IF(IFERROR(VLOOKUP($C163,Planes_de_estudio[],MATCH($AH$2,Carreras,0)+2,0),"")&gt;0,IFERROR(VLOOKUP($C163,Planes_de_estudio[],MATCH($AH$2,Carreras,0)+2,0),""),"")</f>
        <v>3</v>
      </c>
      <c r="AI163" s="155" t="str">
        <f>IF(IFERROR(VLOOKUP($C163,Planes_de_estudio[],MATCH($AI$2,Carreras,0)+2,0),"")&gt;0,IFERROR(VLOOKUP($C163,Planes_de_estudio[],MATCH($AI$2,Carreras,0)+2,0),""),"")</f>
        <v/>
      </c>
      <c r="AJ163" s="155" t="str">
        <f>IF(IFERROR(VLOOKUP($C163,Planes_de_estudio[],MATCH($AJ$2,Carreras,0)+2,0),"")&gt;0,IFERROR(VLOOKUP($C163,Planes_de_estudio[],MATCH($AJ$2,Carreras,0)+2,0),""),"")</f>
        <v/>
      </c>
      <c r="AK163" s="155" t="str">
        <f>IF(IFERROR(VLOOKUP($C163,Planes_de_estudio[],MATCH($AK$2,Carreras,0)+2,0),"")&gt;0,IFERROR(VLOOKUP($C163,Planes_de_estudio[],MATCH($AK$2,Carreras,0)+2,0),""),"")</f>
        <v/>
      </c>
      <c r="AL16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6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63" s="155">
        <f>base_de_datos[[#This Row],[Pronóstico]]/25</f>
        <v>0.96</v>
      </c>
      <c r="AO163" s="155" t="str">
        <f>VLOOKUP($C163,Planes_de_estudio[],2)</f>
        <v>COM</v>
      </c>
      <c r="AP163" s="157" t="str">
        <f ca="1">IF(AND(base_de_datos[[#This Row],[Industrial]]&lt;&gt;"",base_de_datos[[#This Row],[Misma o no]]=1),base_de_datos[[#This Row],[Índice]],"")</f>
        <v/>
      </c>
      <c r="AQ163" s="157" t="str">
        <f ca="1">IF(AND(base_de_datos[[#This Row],[Mecatrónica]]&lt;&gt;"",base_de_datos[[#This Row],[Misma o no]]=1),base_de_datos[[#This Row],[Índice]],"")</f>
        <v/>
      </c>
      <c r="AR163" s="157" t="str">
        <f ca="1">IF(AND(base_de_datos[[#This Row],[Innovación y Diseño]]&lt;&gt;"",base_de_datos[[#This Row],[Misma o no]]=1),base_de_datos[[#This Row],[Índice]],"")</f>
        <v/>
      </c>
      <c r="AS163" s="157" t="str">
        <f ca="1">IF(AND(base_de_datos[[#This Row],[Inteligencia Artificial]]&lt;&gt;"",base_de_datos[[#This Row],[Misma o no]]=1),base_de_datos[[#This Row],[Índice]],"")</f>
        <v/>
      </c>
      <c r="AT163" s="157" t="str">
        <f ca="1">IF(AND(base_de_datos[[#This Row],[Tecnologías Energéticas]]&lt;&gt;"",base_de_datos[[#This Row],[Misma o no]]=1),base_de_datos[[#This Row],[Índice]],"")</f>
        <v/>
      </c>
      <c r="AU163" s="157" t="str">
        <f ca="1">IF(AND(base_de_datos[[#This Row],[Civil y Administración]]&lt;&gt;"",base_de_datos[[#This Row],[Misma o no]]=1),base_de_datos[[#This Row],[Índice]],"")</f>
        <v/>
      </c>
      <c r="AV163" s="157" t="str">
        <f ca="1">IF(AND(base_de_datos[[#This Row],[Bioelectrónica]]&lt;&gt;"",base_de_datos[[#This Row],[Misma o no]]=1),base_de_datos[[#This Row],[Índice]],"")</f>
        <v/>
      </c>
      <c r="AW163" s="158"/>
      <c r="AX163" s="231">
        <v>1</v>
      </c>
      <c r="AY163" s="85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  <c r="ER163" s="6"/>
      <c r="ES163" s="6"/>
      <c r="ET163" s="6"/>
      <c r="EU163" s="6"/>
      <c r="EV163" s="6"/>
      <c r="EW163" s="6"/>
      <c r="EX163" s="6"/>
      <c r="EY163" s="6"/>
      <c r="EZ163" s="6"/>
      <c r="FA163" s="6"/>
      <c r="FB163" s="6"/>
      <c r="FC163" s="6"/>
      <c r="FD163" s="6"/>
      <c r="FE163" s="6"/>
      <c r="FF163" s="6"/>
      <c r="FG163" s="6"/>
      <c r="FH163" s="6"/>
      <c r="FI163" s="6"/>
      <c r="FJ163" s="6"/>
      <c r="FK163" s="6"/>
      <c r="FL163" s="6"/>
      <c r="FM163" s="6"/>
      <c r="FN163" s="6"/>
      <c r="FO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6"/>
      <c r="GJ163" s="6"/>
      <c r="GK163" s="6"/>
      <c r="GL163" s="6"/>
      <c r="GM163" s="6"/>
      <c r="GN163" s="6"/>
      <c r="GO163" s="6"/>
      <c r="GP163" s="6"/>
      <c r="GQ163" s="6"/>
      <c r="GR163" s="6"/>
      <c r="GS163" s="6"/>
      <c r="GT163" s="6"/>
      <c r="GU163" s="6"/>
      <c r="GV163" s="6"/>
      <c r="GW163" s="6"/>
      <c r="GX163" s="6"/>
      <c r="GY163" s="6"/>
      <c r="GZ163" s="6"/>
      <c r="HA163" s="6"/>
      <c r="HB163" s="6"/>
      <c r="HC163" s="6"/>
      <c r="HD163" s="6"/>
      <c r="HE163" s="6"/>
      <c r="HF163" s="6"/>
      <c r="HG163" s="6"/>
      <c r="HH163" s="6"/>
      <c r="HI163" s="6"/>
      <c r="HJ163" s="6"/>
      <c r="HK163" s="6"/>
      <c r="HL163" s="6"/>
      <c r="HM163" s="6"/>
    </row>
    <row r="164" spans="1:221" s="161" customFormat="1" ht="15">
      <c r="A164" s="85"/>
      <c r="B164" s="148" t="s">
        <v>361</v>
      </c>
      <c r="C164" s="149" t="s">
        <v>250</v>
      </c>
      <c r="D164" s="150">
        <v>1</v>
      </c>
      <c r="E164" s="151">
        <v>0.8125</v>
      </c>
      <c r="F164" s="151">
        <v>0.89583333333332305</v>
      </c>
      <c r="G164" s="150"/>
      <c r="H164" s="150" t="s">
        <v>108</v>
      </c>
      <c r="I164" s="150">
        <f>INDEX(Aulas_capacidad,MATCH(base_de_datos[[#This Row],[Aula]],Aulas,0),2)</f>
        <v>30</v>
      </c>
      <c r="J164" s="152">
        <v>16</v>
      </c>
      <c r="K164" s="150">
        <f>INDEX(Aulas_capacidad,MATCH(base_de_datos[[#This Row],[Aula]],Aulas,0),4)</f>
        <v>12</v>
      </c>
      <c r="L164" s="153">
        <f>base_de_datos[[#This Row],[Cap 1.5]]-base_de_datos[[#This Row],[Inscritos]]</f>
        <v>-4</v>
      </c>
      <c r="M164" s="153">
        <f>INDEX(Aulas_capacidad,MATCH(base_de_datos[[#This Row],[Aula]],Aulas,0),5)</f>
        <v>18</v>
      </c>
      <c r="N164" s="153">
        <f>base_de_datos[[#This Row],[Cap .90]]-base_de_datos[[#This Row],[Inscritos]]</f>
        <v>2</v>
      </c>
      <c r="O164" s="150" t="s">
        <v>362</v>
      </c>
      <c r="P164" s="154"/>
      <c r="Q164" s="154"/>
      <c r="R164" s="154" t="s">
        <v>67</v>
      </c>
      <c r="S164" s="154"/>
      <c r="T164" s="154"/>
      <c r="U164" s="154"/>
      <c r="V164" s="154"/>
      <c r="W164" s="154" t="s">
        <v>1657</v>
      </c>
      <c r="X164" s="155">
        <f>_xlfn.XLOOKUP(base_de_datos[[#This Row],[Materia]],Materias,Horas)/16</f>
        <v>4</v>
      </c>
      <c r="Y164" s="155">
        <f>ROUND(((base_de_datos[[#This Row],[Hora fin]]-base_de_datos[[#This Row],[Hora inicio]])*24)*(COUNTA(base_de_datos[[#This Row],[Lunes]:[Sábado]])),1)</f>
        <v>2</v>
      </c>
      <c r="Z16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4" s="155">
        <f ca="1">IF(base_de_datos[[#This Row],[No clase]]=OFFSET(base_de_datos[[#This Row],[No clase]],-1,0),0,1)</f>
        <v>1</v>
      </c>
      <c r="AB164" s="155">
        <f ca="1">IF(NOT(OR(base_de_datos[[#This Row],[Horas totales]]=base_de_datos[[#This Row],[HT Plan]],base_de_datos[[#This Row],[Horas totales]]="N/A")),1,0)</f>
        <v>0</v>
      </c>
      <c r="AC164" s="155" t="str">
        <f>_xlfn.XLOOKUP(base_de_datos[[#This Row],[Profesor]],Nombre,Grado)</f>
        <v>D</v>
      </c>
      <c r="AD164" s="156" t="str">
        <f>_xlfn.XLOOKUP(base_de_datos[[#This Row],[Profesor]],Nombre,Tipo)</f>
        <v>A</v>
      </c>
      <c r="AE164" s="155">
        <f>IF(IFERROR(VLOOKUP($C164,Planes_de_estudio[],MATCH($AE$2,Carreras,0)+2,0),"")&gt;0,IFERROR(VLOOKUP($C164,Planes_de_estudio[],MATCH($AE$2,Carreras,0)+2,0),""),"")</f>
        <v>4</v>
      </c>
      <c r="AF164" s="155">
        <f>IF(IFERROR(VLOOKUP($C164,Planes_de_estudio[],MATCH($AF$2,Carreras,0)+2,0),"")&gt;0,IFERROR(VLOOKUP($C164,Planes_de_estudio[],MATCH($AF$2,Carreras,0)+2,0),""),"")</f>
        <v>4</v>
      </c>
      <c r="AG164" s="155">
        <f>IF(IFERROR(VLOOKUP($C164,Planes_de_estudio[],MATCH($AG$2,Carreras,0)+2,0),"")&gt;0,IFERROR(VLOOKUP($C164,Planes_de_estudio[],MATCH($AG$2,Carreras,0)+2,0),""),"")</f>
        <v>5</v>
      </c>
      <c r="AH164" s="155" t="str">
        <f>IF(IFERROR(VLOOKUP($C164,Planes_de_estudio[],MATCH($AH$2,Carreras,0)+2,0),"")&gt;0,IFERROR(VLOOKUP($C164,Planes_de_estudio[],MATCH($AH$2,Carreras,0)+2,0),""),"")</f>
        <v/>
      </c>
      <c r="AI164" s="155">
        <f>IF(IFERROR(VLOOKUP($C164,Planes_de_estudio[],MATCH($AI$2,Carreras,0)+2,0),"")&gt;0,IFERROR(VLOOKUP($C164,Planes_de_estudio[],MATCH($AI$2,Carreras,0)+2,0),""),"")</f>
        <v>3</v>
      </c>
      <c r="AJ164" s="155" t="str">
        <f>IF(IFERROR(VLOOKUP($C164,Planes_de_estudio[],MATCH($AJ$2,Carreras,0)+2,0),"")&gt;0,IFERROR(VLOOKUP($C164,Planes_de_estudio[],MATCH($AJ$2,Carreras,0)+2,0),""),"")</f>
        <v/>
      </c>
      <c r="AK164" s="155">
        <f>IF(IFERROR(VLOOKUP($C164,Planes_de_estudio[],MATCH($AK$2,Carreras,0)+2,0),"")&gt;0,IFERROR(VLOOKUP($C164,Planes_de_estudio[],MATCH($AK$2,Carreras,0)+2,0),""),"")</f>
        <v>4</v>
      </c>
      <c r="AL16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64" s="155">
        <f>base_de_datos[[#This Row],[Pronóstico]]/25</f>
        <v>0.88</v>
      </c>
      <c r="AO164" s="155" t="str">
        <f>VLOOKUP($C164,Planes_de_estudio[],2)</f>
        <v>EEC</v>
      </c>
      <c r="AP164" s="157">
        <f ca="1">IF(AND(base_de_datos[[#This Row],[Industrial]]&lt;&gt;"",base_de_datos[[#This Row],[Misma o no]]=1),base_de_datos[[#This Row],[Índice]],"")</f>
        <v>6</v>
      </c>
      <c r="AQ164" s="157">
        <f ca="1">IF(AND(base_de_datos[[#This Row],[Mecatrónica]]&lt;&gt;"",base_de_datos[[#This Row],[Misma o no]]=1),base_de_datos[[#This Row],[Índice]],"")</f>
        <v>6</v>
      </c>
      <c r="AR164" s="157">
        <f ca="1">IF(AND(base_de_datos[[#This Row],[Innovación y Diseño]]&lt;&gt;"",base_de_datos[[#This Row],[Misma o no]]=1),base_de_datos[[#This Row],[Índice]],"")</f>
        <v>6</v>
      </c>
      <c r="AS164" s="157" t="str">
        <f ca="1">IF(AND(base_de_datos[[#This Row],[Inteligencia Artificial]]&lt;&gt;"",base_de_datos[[#This Row],[Misma o no]]=1),base_de_datos[[#This Row],[Índice]],"")</f>
        <v/>
      </c>
      <c r="AT164" s="157">
        <f ca="1">IF(AND(base_de_datos[[#This Row],[Tecnologías Energéticas]]&lt;&gt;"",base_de_datos[[#This Row],[Misma o no]]=1),base_de_datos[[#This Row],[Índice]],"")</f>
        <v>6</v>
      </c>
      <c r="AU164" s="157" t="str">
        <f ca="1">IF(AND(base_de_datos[[#This Row],[Civil y Administración]]&lt;&gt;"",base_de_datos[[#This Row],[Misma o no]]=1),base_de_datos[[#This Row],[Índice]],"")</f>
        <v/>
      </c>
      <c r="AV164" s="157">
        <f ca="1">IF(AND(base_de_datos[[#This Row],[Bioelectrónica]]&lt;&gt;"",base_de_datos[[#This Row],[Misma o no]]=1),base_de_datos[[#This Row],[Índice]],"")</f>
        <v>6</v>
      </c>
      <c r="AW164" s="158"/>
      <c r="AX164" s="231" t="s">
        <v>1640</v>
      </c>
      <c r="AY164" s="85"/>
      <c r="AZ164" s="85"/>
      <c r="BA164" s="85"/>
      <c r="BB164" s="85"/>
      <c r="BC164" s="85"/>
      <c r="BD164" s="85"/>
      <c r="BE164" s="85"/>
      <c r="BF164" s="85"/>
      <c r="BG164" s="85"/>
      <c r="BH164" s="85"/>
      <c r="BI164" s="85"/>
      <c r="BJ164" s="85"/>
      <c r="BK164" s="85"/>
      <c r="BL164" s="85"/>
      <c r="BM164" s="85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  <c r="DF164" s="85"/>
      <c r="DG164" s="85"/>
      <c r="DH164" s="85"/>
      <c r="DI164" s="85"/>
      <c r="DJ164" s="85"/>
      <c r="DK164" s="85"/>
      <c r="DL164" s="85"/>
      <c r="DM164" s="85"/>
      <c r="DN164" s="85"/>
      <c r="DO164" s="85"/>
      <c r="DP164" s="85"/>
      <c r="DQ164" s="85"/>
      <c r="DR164" s="85"/>
      <c r="DS164" s="85"/>
      <c r="DT164" s="85"/>
      <c r="DU164" s="85"/>
      <c r="DV164" s="85"/>
      <c r="DW164" s="85"/>
      <c r="DX164" s="85"/>
      <c r="DY164" s="85"/>
      <c r="DZ164" s="85"/>
      <c r="EA164" s="85"/>
      <c r="EB164" s="85"/>
      <c r="EC164" s="85"/>
      <c r="ED164" s="85"/>
      <c r="EE164" s="85"/>
      <c r="EF164" s="85"/>
      <c r="EG164" s="85"/>
      <c r="EH164" s="85"/>
      <c r="EI164" s="85"/>
      <c r="EJ164" s="85"/>
      <c r="EK164" s="85"/>
      <c r="EL164" s="85"/>
      <c r="EM164" s="85"/>
      <c r="EN164" s="85"/>
      <c r="EO164" s="85"/>
      <c r="EP164" s="85"/>
      <c r="EQ164" s="85"/>
      <c r="ER164" s="85"/>
      <c r="ES164" s="85"/>
      <c r="ET164" s="85"/>
      <c r="EU164" s="85"/>
      <c r="EV164" s="85"/>
      <c r="EW164" s="85"/>
      <c r="EX164" s="85"/>
      <c r="EY164" s="85"/>
      <c r="EZ164" s="85"/>
      <c r="FA164" s="85"/>
      <c r="FB164" s="85"/>
      <c r="FC164" s="85"/>
      <c r="FD164" s="85"/>
      <c r="FE164" s="85"/>
      <c r="FF164" s="85"/>
      <c r="FG164" s="85"/>
      <c r="FH164" s="85"/>
      <c r="FI164" s="85"/>
      <c r="FJ164" s="85"/>
      <c r="FK164" s="85"/>
      <c r="FL164" s="85"/>
      <c r="FM164" s="85"/>
      <c r="FN164" s="85"/>
      <c r="FO164" s="85"/>
      <c r="FP164" s="85"/>
      <c r="FQ164" s="85"/>
      <c r="FR164" s="85"/>
      <c r="FS164" s="85"/>
      <c r="FT164" s="85"/>
      <c r="FU164" s="85"/>
      <c r="FV164" s="85"/>
      <c r="FW164" s="85"/>
      <c r="FX164" s="85"/>
      <c r="FY164" s="85"/>
      <c r="FZ164" s="85"/>
      <c r="GA164" s="85"/>
      <c r="GB164" s="85"/>
      <c r="GC164" s="85"/>
      <c r="GD164" s="85"/>
      <c r="GE164" s="85"/>
      <c r="GF164" s="85"/>
      <c r="GG164" s="85"/>
      <c r="GH164" s="85"/>
      <c r="GI164" s="85"/>
      <c r="GJ164" s="85"/>
      <c r="GK164" s="85"/>
      <c r="GL164" s="85"/>
      <c r="GM164" s="85"/>
      <c r="GN164" s="85"/>
      <c r="GO164" s="85"/>
      <c r="GP164" s="85"/>
      <c r="GQ164" s="85"/>
      <c r="GR164" s="85"/>
      <c r="GS164" s="85"/>
      <c r="GT164" s="85"/>
      <c r="GU164" s="85"/>
      <c r="GV164" s="85"/>
      <c r="GW164" s="85"/>
      <c r="GX164" s="85"/>
      <c r="GY164" s="85"/>
      <c r="GZ164" s="85"/>
      <c r="HA164" s="85"/>
      <c r="HB164" s="85"/>
      <c r="HC164" s="85"/>
      <c r="HD164" s="85"/>
      <c r="HE164" s="85"/>
      <c r="HF164" s="85"/>
      <c r="HG164" s="85"/>
      <c r="HH164" s="85"/>
      <c r="HI164" s="85"/>
      <c r="HJ164" s="85"/>
      <c r="HK164" s="85"/>
      <c r="HL164" s="85"/>
      <c r="HM164" s="85"/>
    </row>
    <row r="165" spans="1:221" s="161" customFormat="1" ht="15">
      <c r="A165" s="85"/>
      <c r="B165" s="148" t="s">
        <v>361</v>
      </c>
      <c r="C165" s="149" t="s">
        <v>250</v>
      </c>
      <c r="D165" s="150">
        <v>1</v>
      </c>
      <c r="E165" s="151">
        <v>0.83333333333333304</v>
      </c>
      <c r="F165" s="151">
        <v>0.91666666666665697</v>
      </c>
      <c r="G165" s="150"/>
      <c r="H165" s="150" t="s">
        <v>1</v>
      </c>
      <c r="I165" s="150">
        <f>INDEX(Aulas_capacidad,MATCH(base_de_datos[[#This Row],[Aula]],Aulas,0),2)</f>
        <v>30</v>
      </c>
      <c r="J165" s="152">
        <v>16</v>
      </c>
      <c r="K165" s="150">
        <f>INDEX(Aulas_capacidad,MATCH(base_de_datos[[#This Row],[Aula]],Aulas,0),4)</f>
        <v>0</v>
      </c>
      <c r="L165" s="153">
        <f>base_de_datos[[#This Row],[Cap 1.5]]-base_de_datos[[#This Row],[Inscritos]]</f>
        <v>-16</v>
      </c>
      <c r="M165" s="153">
        <f>INDEX(Aulas_capacidad,MATCH(base_de_datos[[#This Row],[Aula]],Aulas,0),5)</f>
        <v>0</v>
      </c>
      <c r="N165" s="153">
        <f>base_de_datos[[#This Row],[Cap .90]]-base_de_datos[[#This Row],[Inscritos]]</f>
        <v>-16</v>
      </c>
      <c r="O165" s="150" t="s">
        <v>362</v>
      </c>
      <c r="P165" s="154"/>
      <c r="Q165" s="154"/>
      <c r="R165" s="154"/>
      <c r="S165" s="154"/>
      <c r="T165" s="154" t="s">
        <v>67</v>
      </c>
      <c r="U165" s="154"/>
      <c r="V165" s="154"/>
      <c r="W165" s="154" t="s">
        <v>1657</v>
      </c>
      <c r="X165" s="155">
        <f>_xlfn.XLOOKUP(base_de_datos[[#This Row],[Materia]],Materias,Horas)/16</f>
        <v>4</v>
      </c>
      <c r="Y165" s="155">
        <f>ROUND(((base_de_datos[[#This Row],[Hora fin]]-base_de_datos[[#This Row],[Hora inicio]])*24)*(COUNTA(base_de_datos[[#This Row],[Lunes]:[Sábado]])),1)</f>
        <v>2</v>
      </c>
      <c r="Z16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5" s="155">
        <f ca="1">IF(base_de_datos[[#This Row],[No clase]]=OFFSET(base_de_datos[[#This Row],[No clase]],-1,0),0,1)</f>
        <v>0</v>
      </c>
      <c r="AB165" s="155">
        <f ca="1">IF(NOT(OR(base_de_datos[[#This Row],[Horas totales]]=base_de_datos[[#This Row],[HT Plan]],base_de_datos[[#This Row],[Horas totales]]="N/A")),1,0)</f>
        <v>0</v>
      </c>
      <c r="AC165" s="155" t="str">
        <f>_xlfn.XLOOKUP(base_de_datos[[#This Row],[Profesor]],Nombre,Grado)</f>
        <v>D</v>
      </c>
      <c r="AD165" s="156" t="str">
        <f>_xlfn.XLOOKUP(base_de_datos[[#This Row],[Profesor]],Nombre,Tipo)</f>
        <v>A</v>
      </c>
      <c r="AE165" s="155">
        <f>IF(IFERROR(VLOOKUP($C165,Planes_de_estudio[],MATCH($AE$2,Carreras,0)+2,0),"")&gt;0,IFERROR(VLOOKUP($C165,Planes_de_estudio[],MATCH($AE$2,Carreras,0)+2,0),""),"")</f>
        <v>4</v>
      </c>
      <c r="AF165" s="155">
        <f>IF(IFERROR(VLOOKUP($C165,Planes_de_estudio[],MATCH($AF$2,Carreras,0)+2,0),"")&gt;0,IFERROR(VLOOKUP($C165,Planes_de_estudio[],MATCH($AF$2,Carreras,0)+2,0),""),"")</f>
        <v>4</v>
      </c>
      <c r="AG165" s="155">
        <f>IF(IFERROR(VLOOKUP($C165,Planes_de_estudio[],MATCH($AG$2,Carreras,0)+2,0),"")&gt;0,IFERROR(VLOOKUP($C165,Planes_de_estudio[],MATCH($AG$2,Carreras,0)+2,0),""),"")</f>
        <v>5</v>
      </c>
      <c r="AH165" s="155" t="str">
        <f>IF(IFERROR(VLOOKUP($C165,Planes_de_estudio[],MATCH($AH$2,Carreras,0)+2,0),"")&gt;0,IFERROR(VLOOKUP($C165,Planes_de_estudio[],MATCH($AH$2,Carreras,0)+2,0),""),"")</f>
        <v/>
      </c>
      <c r="AI165" s="155">
        <f>IF(IFERROR(VLOOKUP($C165,Planes_de_estudio[],MATCH($AI$2,Carreras,0)+2,0),"")&gt;0,IFERROR(VLOOKUP($C165,Planes_de_estudio[],MATCH($AI$2,Carreras,0)+2,0),""),"")</f>
        <v>3</v>
      </c>
      <c r="AJ165" s="155" t="str">
        <f>IF(IFERROR(VLOOKUP($C165,Planes_de_estudio[],MATCH($AJ$2,Carreras,0)+2,0),"")&gt;0,IFERROR(VLOOKUP($C165,Planes_de_estudio[],MATCH($AJ$2,Carreras,0)+2,0),""),"")</f>
        <v/>
      </c>
      <c r="AK165" s="155">
        <f>IF(IFERROR(VLOOKUP($C165,Planes_de_estudio[],MATCH($AK$2,Carreras,0)+2,0),"")&gt;0,IFERROR(VLOOKUP($C165,Planes_de_estudio[],MATCH($AK$2,Carreras,0)+2,0),""),"")</f>
        <v>4</v>
      </c>
      <c r="AL16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65" s="155">
        <f>base_de_datos[[#This Row],[Pronóstico]]/25</f>
        <v>0.88</v>
      </c>
      <c r="AO165" s="155" t="str">
        <f>VLOOKUP($C165,Planes_de_estudio[],2)</f>
        <v>EEC</v>
      </c>
      <c r="AP165" s="157" t="str">
        <f ca="1">IF(AND(base_de_datos[[#This Row],[Industrial]]&lt;&gt;"",base_de_datos[[#This Row],[Misma o no]]=1),base_de_datos[[#This Row],[Índice]],"")</f>
        <v/>
      </c>
      <c r="AQ165" s="157" t="str">
        <f ca="1">IF(AND(base_de_datos[[#This Row],[Mecatrónica]]&lt;&gt;"",base_de_datos[[#This Row],[Misma o no]]=1),base_de_datos[[#This Row],[Índice]],"")</f>
        <v/>
      </c>
      <c r="AR165" s="157" t="str">
        <f ca="1">IF(AND(base_de_datos[[#This Row],[Innovación y Diseño]]&lt;&gt;"",base_de_datos[[#This Row],[Misma o no]]=1),base_de_datos[[#This Row],[Índice]],"")</f>
        <v/>
      </c>
      <c r="AS165" s="157" t="str">
        <f ca="1">IF(AND(base_de_datos[[#This Row],[Inteligencia Artificial]]&lt;&gt;"",base_de_datos[[#This Row],[Misma o no]]=1),base_de_datos[[#This Row],[Índice]],"")</f>
        <v/>
      </c>
      <c r="AT165" s="157" t="str">
        <f ca="1">IF(AND(base_de_datos[[#This Row],[Tecnologías Energéticas]]&lt;&gt;"",base_de_datos[[#This Row],[Misma o no]]=1),base_de_datos[[#This Row],[Índice]],"")</f>
        <v/>
      </c>
      <c r="AU165" s="157" t="str">
        <f ca="1">IF(AND(base_de_datos[[#This Row],[Civil y Administración]]&lt;&gt;"",base_de_datos[[#This Row],[Misma o no]]=1),base_de_datos[[#This Row],[Índice]],"")</f>
        <v/>
      </c>
      <c r="AV165" s="157" t="str">
        <f ca="1">IF(AND(base_de_datos[[#This Row],[Bioelectrónica]]&lt;&gt;"",base_de_datos[[#This Row],[Misma o no]]=1),base_de_datos[[#This Row],[Índice]],"")</f>
        <v/>
      </c>
      <c r="AW165" s="158"/>
      <c r="AX165" s="231" t="s">
        <v>1640</v>
      </c>
      <c r="AY165" s="85"/>
      <c r="AZ165" s="85"/>
      <c r="BA165" s="85"/>
      <c r="BB165" s="85"/>
      <c r="BC165" s="85"/>
      <c r="BD165" s="85"/>
      <c r="BE165" s="85"/>
      <c r="BF165" s="85"/>
      <c r="BG165" s="85"/>
      <c r="BH165" s="85"/>
      <c r="BI165" s="85"/>
      <c r="BJ165" s="85"/>
      <c r="BK165" s="85"/>
      <c r="BL165" s="85"/>
      <c r="BM165" s="85"/>
      <c r="BN165" s="85"/>
      <c r="BO165" s="85"/>
      <c r="BP165" s="85"/>
      <c r="BQ165" s="85"/>
      <c r="BR165" s="85"/>
      <c r="BS165" s="85"/>
      <c r="BT165" s="85"/>
      <c r="BU165" s="85"/>
      <c r="BV165" s="85"/>
      <c r="BW165" s="85"/>
      <c r="BX165" s="85"/>
      <c r="BY165" s="85"/>
      <c r="BZ165" s="85"/>
      <c r="CA165" s="85"/>
      <c r="CB165" s="85"/>
      <c r="CC165" s="85"/>
      <c r="CD165" s="85"/>
      <c r="CE165" s="85"/>
      <c r="CF165" s="85"/>
      <c r="CG165" s="85"/>
      <c r="CH165" s="85"/>
      <c r="CI165" s="85"/>
      <c r="CJ165" s="85"/>
      <c r="CK165" s="85"/>
      <c r="CL165" s="85"/>
      <c r="CM165" s="85"/>
      <c r="CN165" s="85"/>
      <c r="CO165" s="85"/>
      <c r="CP165" s="85"/>
      <c r="CQ165" s="85"/>
      <c r="CR165" s="85"/>
      <c r="CS165" s="85"/>
      <c r="CT165" s="85"/>
      <c r="CU165" s="85"/>
      <c r="CV165" s="85"/>
      <c r="CW165" s="85"/>
      <c r="CX165" s="85"/>
      <c r="CY165" s="85"/>
      <c r="CZ165" s="85"/>
      <c r="DA165" s="85"/>
      <c r="DB165" s="85"/>
      <c r="DC165" s="85"/>
      <c r="DD165" s="85"/>
      <c r="DE165" s="85"/>
      <c r="DF165" s="85"/>
      <c r="DG165" s="85"/>
      <c r="DH165" s="85"/>
      <c r="DI165" s="85"/>
      <c r="DJ165" s="85"/>
      <c r="DK165" s="85"/>
      <c r="DL165" s="85"/>
      <c r="DM165" s="85"/>
      <c r="DN165" s="85"/>
      <c r="DO165" s="85"/>
      <c r="DP165" s="85"/>
      <c r="DQ165" s="85"/>
      <c r="DR165" s="85"/>
      <c r="DS165" s="85"/>
      <c r="DT165" s="85"/>
      <c r="DU165" s="85"/>
      <c r="DV165" s="85"/>
      <c r="DW165" s="85"/>
      <c r="DX165" s="85"/>
      <c r="DY165" s="85"/>
      <c r="DZ165" s="85"/>
      <c r="EA165" s="85"/>
      <c r="EB165" s="85"/>
      <c r="EC165" s="85"/>
      <c r="ED165" s="85"/>
      <c r="EE165" s="85"/>
      <c r="EF165" s="85"/>
      <c r="EG165" s="85"/>
      <c r="EH165" s="85"/>
      <c r="EI165" s="85"/>
      <c r="EJ165" s="85"/>
      <c r="EK165" s="85"/>
      <c r="EL165" s="85"/>
      <c r="EM165" s="85"/>
      <c r="EN165" s="85"/>
      <c r="EO165" s="85"/>
      <c r="EP165" s="85"/>
      <c r="EQ165" s="85"/>
      <c r="ER165" s="85"/>
      <c r="ES165" s="85"/>
      <c r="ET165" s="85"/>
      <c r="EU165" s="85"/>
      <c r="EV165" s="85"/>
      <c r="EW165" s="85"/>
      <c r="EX165" s="85"/>
      <c r="EY165" s="85"/>
      <c r="EZ165" s="85"/>
      <c r="FA165" s="85"/>
      <c r="FB165" s="85"/>
      <c r="FC165" s="85"/>
      <c r="FD165" s="85"/>
      <c r="FE165" s="85"/>
      <c r="FF165" s="85"/>
      <c r="FG165" s="85"/>
      <c r="FH165" s="85"/>
      <c r="FI165" s="85"/>
      <c r="FJ165" s="85"/>
      <c r="FK165" s="85"/>
      <c r="FL165" s="85"/>
      <c r="FM165" s="85"/>
      <c r="FN165" s="85"/>
      <c r="FO165" s="85"/>
      <c r="FP165" s="85"/>
      <c r="FQ165" s="85"/>
      <c r="FR165" s="85"/>
      <c r="FS165" s="85"/>
      <c r="FT165" s="85"/>
      <c r="FU165" s="85"/>
      <c r="FV165" s="85"/>
      <c r="FW165" s="85"/>
      <c r="FX165" s="85"/>
      <c r="FY165" s="85"/>
      <c r="FZ165" s="85"/>
      <c r="GA165" s="85"/>
      <c r="GB165" s="85"/>
      <c r="GC165" s="85"/>
      <c r="GD165" s="85"/>
      <c r="GE165" s="85"/>
      <c r="GF165" s="85"/>
      <c r="GG165" s="85"/>
      <c r="GH165" s="85"/>
      <c r="GI165" s="85"/>
      <c r="GJ165" s="85"/>
      <c r="GK165" s="85"/>
      <c r="GL165" s="85"/>
      <c r="GM165" s="85"/>
      <c r="GN165" s="85"/>
      <c r="GO165" s="85"/>
      <c r="GP165" s="85"/>
      <c r="GQ165" s="85"/>
      <c r="GR165" s="85"/>
      <c r="GS165" s="85"/>
      <c r="GT165" s="85"/>
      <c r="GU165" s="85"/>
      <c r="GV165" s="85"/>
      <c r="GW165" s="85"/>
      <c r="GX165" s="85"/>
      <c r="GY165" s="85"/>
      <c r="GZ165" s="85"/>
      <c r="HA165" s="85"/>
      <c r="HB165" s="85"/>
      <c r="HC165" s="85"/>
      <c r="HD165" s="85"/>
      <c r="HE165" s="85"/>
      <c r="HF165" s="85"/>
      <c r="HG165" s="85"/>
      <c r="HH165" s="85"/>
      <c r="HI165" s="85"/>
      <c r="HJ165" s="85"/>
      <c r="HK165" s="85"/>
      <c r="HL165" s="85"/>
      <c r="HM165" s="85"/>
    </row>
    <row r="166" spans="1:221" s="161" customFormat="1" ht="15">
      <c r="A166" s="85"/>
      <c r="B166" s="148" t="s">
        <v>361</v>
      </c>
      <c r="C166" s="149" t="s">
        <v>239</v>
      </c>
      <c r="D166" s="150">
        <v>2</v>
      </c>
      <c r="E166" s="151">
        <v>0.5</v>
      </c>
      <c r="F166" s="151">
        <v>0.58333333333332904</v>
      </c>
      <c r="G166" s="150"/>
      <c r="H166" s="150" t="s">
        <v>181</v>
      </c>
      <c r="I166" s="150">
        <f>INDEX(Aulas_capacidad,MATCH(base_de_datos[[#This Row],[Aula]],Aulas,0),2)</f>
        <v>32</v>
      </c>
      <c r="J166" s="212">
        <v>26</v>
      </c>
      <c r="K166" s="150">
        <f>INDEX(Aulas_capacidad,MATCH(base_de_datos[[#This Row],[Aula]],Aulas,0),4)</f>
        <v>0</v>
      </c>
      <c r="L166" s="153">
        <f>base_de_datos[[#This Row],[Cap 1.5]]-base_de_datos[[#This Row],[Inscritos]]</f>
        <v>-26</v>
      </c>
      <c r="M166" s="153">
        <f>INDEX(Aulas_capacidad,MATCH(base_de_datos[[#This Row],[Aula]],Aulas,0),5)</f>
        <v>0</v>
      </c>
      <c r="N166" s="153">
        <f>base_de_datos[[#This Row],[Cap .90]]-base_de_datos[[#This Row],[Inscritos]]</f>
        <v>-26</v>
      </c>
      <c r="O166" s="150" t="s">
        <v>363</v>
      </c>
      <c r="P166" s="154" t="s">
        <v>67</v>
      </c>
      <c r="Q166" s="154"/>
      <c r="R166" s="154"/>
      <c r="S166" s="154"/>
      <c r="T166" s="154"/>
      <c r="U166" s="154"/>
      <c r="V166" s="154"/>
      <c r="W166" s="154" t="s">
        <v>1653</v>
      </c>
      <c r="X166" s="155">
        <f>_xlfn.XLOOKUP(base_de_datos[[#This Row],[Materia]],Materias,Horas)/16</f>
        <v>4</v>
      </c>
      <c r="Y166" s="155">
        <f>ROUND(((base_de_datos[[#This Row],[Hora fin]]-base_de_datos[[#This Row],[Hora inicio]])*24)*(COUNTA(base_de_datos[[#This Row],[Lunes]:[Sábado]])),1)</f>
        <v>2</v>
      </c>
      <c r="Z16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6" s="155">
        <f ca="1">IF(base_de_datos[[#This Row],[No clase]]=OFFSET(base_de_datos[[#This Row],[No clase]],-1,0),0,1)</f>
        <v>1</v>
      </c>
      <c r="AB166" s="155">
        <f ca="1">IF(NOT(OR(base_de_datos[[#This Row],[Horas totales]]=base_de_datos[[#This Row],[HT Plan]],base_de_datos[[#This Row],[Horas totales]]="N/A")),1,0)</f>
        <v>0</v>
      </c>
      <c r="AC166" s="155" t="str">
        <f>_xlfn.XLOOKUP(base_de_datos[[#This Row],[Profesor]],Nombre,Grado)</f>
        <v>D</v>
      </c>
      <c r="AD166" s="156" t="str">
        <f>_xlfn.XLOOKUP(base_de_datos[[#This Row],[Profesor]],Nombre,Tipo)</f>
        <v>A</v>
      </c>
      <c r="AE166" s="155">
        <f>IF(IFERROR(VLOOKUP($C166,Planes_de_estudio[],MATCH($AE$2,Carreras,0)+2,0),"")&gt;0,IFERROR(VLOOKUP($C166,Planes_de_estudio[],MATCH($AE$2,Carreras,0)+2,0),""),"")</f>
        <v>1</v>
      </c>
      <c r="AF166" s="155">
        <f>IF(IFERROR(VLOOKUP($C166,Planes_de_estudio[],MATCH($AF$2,Carreras,0)+2,0),"")&gt;0,IFERROR(VLOOKUP($C166,Planes_de_estudio[],MATCH($AF$2,Carreras,0)+2,0),""),"")</f>
        <v>1</v>
      </c>
      <c r="AG166" s="155">
        <f>IF(IFERROR(VLOOKUP($C166,Planes_de_estudio[],MATCH($AG$2,Carreras,0)+2,0),"")&gt;0,IFERROR(VLOOKUP($C166,Planes_de_estudio[],MATCH($AG$2,Carreras,0)+2,0),""),"")</f>
        <v>1</v>
      </c>
      <c r="AH166" s="155">
        <f>IF(IFERROR(VLOOKUP($C166,Planes_de_estudio[],MATCH($AH$2,Carreras,0)+2,0),"")&gt;0,IFERROR(VLOOKUP($C166,Planes_de_estudio[],MATCH($AH$2,Carreras,0)+2,0),""),"")</f>
        <v>1</v>
      </c>
      <c r="AI166" s="155">
        <f>IF(IFERROR(VLOOKUP($C166,Planes_de_estudio[],MATCH($AI$2,Carreras,0)+2,0),"")&gt;0,IFERROR(VLOOKUP($C166,Planes_de_estudio[],MATCH($AI$2,Carreras,0)+2,0),""),"")</f>
        <v>2</v>
      </c>
      <c r="AJ166" s="155">
        <f>IF(IFERROR(VLOOKUP($C166,Planes_de_estudio[],MATCH($AJ$2,Carreras,0)+2,0),"")&gt;0,IFERROR(VLOOKUP($C166,Planes_de_estudio[],MATCH($AJ$2,Carreras,0)+2,0),""),"")</f>
        <v>1</v>
      </c>
      <c r="AK166" s="155">
        <f>IF(IFERROR(VLOOKUP($C166,Planes_de_estudio[],MATCH($AK$2,Carreras,0)+2,0),"")&gt;0,IFERROR(VLOOKUP($C166,Planes_de_estudio[],MATCH($AK$2,Carreras,0)+2,0),""),"")</f>
        <v>1</v>
      </c>
      <c r="AL16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6" s="155">
        <f>base_de_datos[[#This Row],[Pronóstico]]/25</f>
        <v>4.16</v>
      </c>
      <c r="AO166" s="155" t="str">
        <f>VLOOKUP($C166,Planes_de_estudio[],2)</f>
        <v>MEC</v>
      </c>
      <c r="AP166" s="157">
        <f ca="1">IF(AND(base_de_datos[[#This Row],[Industrial]]&lt;&gt;"",base_de_datos[[#This Row],[Misma o no]]=1),base_de_datos[[#This Row],[Índice]],"")</f>
        <v>6</v>
      </c>
      <c r="AQ166" s="157">
        <f ca="1">IF(AND(base_de_datos[[#This Row],[Mecatrónica]]&lt;&gt;"",base_de_datos[[#This Row],[Misma o no]]=1),base_de_datos[[#This Row],[Índice]],"")</f>
        <v>6</v>
      </c>
      <c r="AR166" s="157">
        <f ca="1">IF(AND(base_de_datos[[#This Row],[Innovación y Diseño]]&lt;&gt;"",base_de_datos[[#This Row],[Misma o no]]=1),base_de_datos[[#This Row],[Índice]],"")</f>
        <v>6</v>
      </c>
      <c r="AS166" s="157">
        <f ca="1">IF(AND(base_de_datos[[#This Row],[Inteligencia Artificial]]&lt;&gt;"",base_de_datos[[#This Row],[Misma o no]]=1),base_de_datos[[#This Row],[Índice]],"")</f>
        <v>6</v>
      </c>
      <c r="AT166" s="157">
        <f ca="1">IF(AND(base_de_datos[[#This Row],[Tecnologías Energéticas]]&lt;&gt;"",base_de_datos[[#This Row],[Misma o no]]=1),base_de_datos[[#This Row],[Índice]],"")</f>
        <v>6</v>
      </c>
      <c r="AU166" s="157">
        <f ca="1">IF(AND(base_de_datos[[#This Row],[Civil y Administración]]&lt;&gt;"",base_de_datos[[#This Row],[Misma o no]]=1),base_de_datos[[#This Row],[Índice]],"")</f>
        <v>6</v>
      </c>
      <c r="AV166" s="157">
        <f ca="1">IF(AND(base_de_datos[[#This Row],[Bioelectrónica]]&lt;&gt;"",base_de_datos[[#This Row],[Misma o no]]=1),base_de_datos[[#This Row],[Índice]],"")</f>
        <v>6</v>
      </c>
      <c r="AW166" s="158"/>
      <c r="AX166" s="231" t="s">
        <v>1640</v>
      </c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  <c r="DO166" s="85"/>
      <c r="DP166" s="85"/>
      <c r="DQ166" s="85"/>
      <c r="DR166" s="85"/>
      <c r="DS166" s="85"/>
      <c r="DT166" s="85"/>
      <c r="DU166" s="85"/>
      <c r="DV166" s="85"/>
      <c r="DW166" s="85"/>
      <c r="DX166" s="85"/>
      <c r="DY166" s="85"/>
      <c r="DZ166" s="85"/>
      <c r="EA166" s="85"/>
      <c r="EB166" s="85"/>
      <c r="EC166" s="85"/>
      <c r="ED166" s="85"/>
      <c r="EE166" s="85"/>
      <c r="EF166" s="85"/>
      <c r="EG166" s="85"/>
      <c r="EH166" s="85"/>
      <c r="EI166" s="85"/>
      <c r="EJ166" s="85"/>
      <c r="EK166" s="85"/>
      <c r="EL166" s="85"/>
      <c r="EM166" s="85"/>
      <c r="EN166" s="85"/>
      <c r="EO166" s="85"/>
      <c r="EP166" s="85"/>
      <c r="EQ166" s="85"/>
      <c r="ER166" s="85"/>
      <c r="ES166" s="85"/>
      <c r="ET166" s="85"/>
      <c r="EU166" s="85"/>
      <c r="EV166" s="85"/>
      <c r="EW166" s="85"/>
      <c r="EX166" s="85"/>
      <c r="EY166" s="85"/>
      <c r="EZ166" s="85"/>
      <c r="FA166" s="85"/>
      <c r="FB166" s="85"/>
      <c r="FC166" s="85"/>
      <c r="FD166" s="85"/>
      <c r="FE166" s="85"/>
      <c r="FF166" s="85"/>
      <c r="FG166" s="85"/>
      <c r="FH166" s="85"/>
      <c r="FI166" s="85"/>
      <c r="FJ166" s="85"/>
      <c r="FK166" s="85"/>
      <c r="FL166" s="85"/>
      <c r="FM166" s="85"/>
      <c r="FN166" s="85"/>
      <c r="FO166" s="85"/>
      <c r="FP166" s="85"/>
      <c r="FQ166" s="85"/>
      <c r="FR166" s="85"/>
      <c r="FS166" s="85"/>
      <c r="FT166" s="85"/>
      <c r="FU166" s="85"/>
      <c r="FV166" s="85"/>
      <c r="FW166" s="85"/>
      <c r="FX166" s="85"/>
      <c r="FY166" s="85"/>
      <c r="FZ166" s="85"/>
      <c r="GA166" s="85"/>
      <c r="GB166" s="85"/>
      <c r="GC166" s="85"/>
      <c r="GD166" s="85"/>
      <c r="GE166" s="85"/>
      <c r="GF166" s="85"/>
      <c r="GG166" s="85"/>
      <c r="GH166" s="85"/>
      <c r="GI166" s="85"/>
      <c r="GJ166" s="85"/>
      <c r="GK166" s="85"/>
      <c r="GL166" s="85"/>
      <c r="GM166" s="85"/>
      <c r="GN166" s="85"/>
      <c r="GO166" s="85"/>
      <c r="GP166" s="85"/>
      <c r="GQ166" s="85"/>
      <c r="GR166" s="85"/>
      <c r="GS166" s="85"/>
      <c r="GT166" s="85"/>
      <c r="GU166" s="85"/>
      <c r="GV166" s="85"/>
      <c r="GW166" s="85"/>
      <c r="GX166" s="85"/>
      <c r="GY166" s="85"/>
      <c r="GZ166" s="85"/>
      <c r="HA166" s="85"/>
      <c r="HB166" s="85"/>
      <c r="HC166" s="85"/>
      <c r="HD166" s="85"/>
      <c r="HE166" s="85"/>
      <c r="HF166" s="85"/>
      <c r="HG166" s="85"/>
      <c r="HH166" s="85"/>
      <c r="HI166" s="85"/>
      <c r="HJ166" s="85"/>
      <c r="HK166" s="85"/>
      <c r="HL166" s="85"/>
      <c r="HM166" s="85"/>
    </row>
    <row r="167" spans="1:221" s="164" customFormat="1" ht="15">
      <c r="A167" s="85"/>
      <c r="B167" s="148" t="s">
        <v>361</v>
      </c>
      <c r="C167" s="149" t="s">
        <v>239</v>
      </c>
      <c r="D167" s="150">
        <v>2</v>
      </c>
      <c r="E167" s="151">
        <v>0.5</v>
      </c>
      <c r="F167" s="151">
        <v>0.58333333333332904</v>
      </c>
      <c r="G167" s="150"/>
      <c r="H167" s="150" t="s">
        <v>325</v>
      </c>
      <c r="I167" s="150">
        <f>INDEX(Aulas_capacidad,MATCH(base_de_datos[[#This Row],[Aula]],Aulas,0),2)</f>
        <v>30</v>
      </c>
      <c r="J167" s="212">
        <v>26</v>
      </c>
      <c r="K167" s="150">
        <f>INDEX(Aulas_capacidad,MATCH(base_de_datos[[#This Row],[Aula]],Aulas,0),4)</f>
        <v>12</v>
      </c>
      <c r="L167" s="153">
        <f>base_de_datos[[#This Row],[Cap 1.5]]-base_de_datos[[#This Row],[Inscritos]]</f>
        <v>-14</v>
      </c>
      <c r="M167" s="153">
        <f>INDEX(Aulas_capacidad,MATCH(base_de_datos[[#This Row],[Aula]],Aulas,0),5)</f>
        <v>18</v>
      </c>
      <c r="N167" s="153">
        <f>base_de_datos[[#This Row],[Cap .90]]-base_de_datos[[#This Row],[Inscritos]]</f>
        <v>-8</v>
      </c>
      <c r="O167" s="150" t="s">
        <v>363</v>
      </c>
      <c r="P167" s="154"/>
      <c r="Q167" s="154"/>
      <c r="R167" s="154" t="s">
        <v>67</v>
      </c>
      <c r="S167" s="154"/>
      <c r="T167" s="154"/>
      <c r="U167" s="154"/>
      <c r="V167" s="154"/>
      <c r="W167" s="154" t="s">
        <v>1653</v>
      </c>
      <c r="X167" s="155">
        <f>_xlfn.XLOOKUP(base_de_datos[[#This Row],[Materia]],Materias,Horas)/16</f>
        <v>4</v>
      </c>
      <c r="Y167" s="155">
        <f>ROUND(((base_de_datos[[#This Row],[Hora fin]]-base_de_datos[[#This Row],[Hora inicio]])*24)*(COUNTA(base_de_datos[[#This Row],[Lunes]:[Sábado]])),1)</f>
        <v>2</v>
      </c>
      <c r="Z16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7" s="155">
        <f ca="1">IF(base_de_datos[[#This Row],[No clase]]=OFFSET(base_de_datos[[#This Row],[No clase]],-1,0),0,1)</f>
        <v>0</v>
      </c>
      <c r="AB167" s="155">
        <f ca="1">IF(NOT(OR(base_de_datos[[#This Row],[Horas totales]]=base_de_datos[[#This Row],[HT Plan]],base_de_datos[[#This Row],[Horas totales]]="N/A")),1,0)</f>
        <v>0</v>
      </c>
      <c r="AC167" s="155" t="str">
        <f>_xlfn.XLOOKUP(base_de_datos[[#This Row],[Profesor]],Nombre,Grado)</f>
        <v>D</v>
      </c>
      <c r="AD167" s="156" t="str">
        <f>_xlfn.XLOOKUP(base_de_datos[[#This Row],[Profesor]],Nombre,Tipo)</f>
        <v>A</v>
      </c>
      <c r="AE167" s="155">
        <f>IF(IFERROR(VLOOKUP($C167,Planes_de_estudio[],MATCH($AE$2,Carreras,0)+2,0),"")&gt;0,IFERROR(VLOOKUP($C167,Planes_de_estudio[],MATCH($AE$2,Carreras,0)+2,0),""),"")</f>
        <v>1</v>
      </c>
      <c r="AF167" s="155">
        <f>IF(IFERROR(VLOOKUP($C167,Planes_de_estudio[],MATCH($AF$2,Carreras,0)+2,0),"")&gt;0,IFERROR(VLOOKUP($C167,Planes_de_estudio[],MATCH($AF$2,Carreras,0)+2,0),""),"")</f>
        <v>1</v>
      </c>
      <c r="AG167" s="155">
        <f>IF(IFERROR(VLOOKUP($C167,Planes_de_estudio[],MATCH($AG$2,Carreras,0)+2,0),"")&gt;0,IFERROR(VLOOKUP($C167,Planes_de_estudio[],MATCH($AG$2,Carreras,0)+2,0),""),"")</f>
        <v>1</v>
      </c>
      <c r="AH167" s="155">
        <f>IF(IFERROR(VLOOKUP($C167,Planes_de_estudio[],MATCH($AH$2,Carreras,0)+2,0),"")&gt;0,IFERROR(VLOOKUP($C167,Planes_de_estudio[],MATCH($AH$2,Carreras,0)+2,0),""),"")</f>
        <v>1</v>
      </c>
      <c r="AI167" s="155">
        <f>IF(IFERROR(VLOOKUP($C167,Planes_de_estudio[],MATCH($AI$2,Carreras,0)+2,0),"")&gt;0,IFERROR(VLOOKUP($C167,Planes_de_estudio[],MATCH($AI$2,Carreras,0)+2,0),""),"")</f>
        <v>2</v>
      </c>
      <c r="AJ167" s="155">
        <f>IF(IFERROR(VLOOKUP($C167,Planes_de_estudio[],MATCH($AJ$2,Carreras,0)+2,0),"")&gt;0,IFERROR(VLOOKUP($C167,Planes_de_estudio[],MATCH($AJ$2,Carreras,0)+2,0),""),"")</f>
        <v>1</v>
      </c>
      <c r="AK167" s="155">
        <f>IF(IFERROR(VLOOKUP($C167,Planes_de_estudio[],MATCH($AK$2,Carreras,0)+2,0),"")&gt;0,IFERROR(VLOOKUP($C167,Planes_de_estudio[],MATCH($AK$2,Carreras,0)+2,0),""),"")</f>
        <v>1</v>
      </c>
      <c r="AL16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7" s="155">
        <f>base_de_datos[[#This Row],[Pronóstico]]/25</f>
        <v>4.16</v>
      </c>
      <c r="AO167" s="155" t="str">
        <f>VLOOKUP($C167,Planes_de_estudio[],2)</f>
        <v>MEC</v>
      </c>
      <c r="AP167" s="157" t="str">
        <f ca="1">IF(AND(base_de_datos[[#This Row],[Industrial]]&lt;&gt;"",base_de_datos[[#This Row],[Misma o no]]=1),base_de_datos[[#This Row],[Índice]],"")</f>
        <v/>
      </c>
      <c r="AQ167" s="157" t="str">
        <f ca="1">IF(AND(base_de_datos[[#This Row],[Mecatrónica]]&lt;&gt;"",base_de_datos[[#This Row],[Misma o no]]=1),base_de_datos[[#This Row],[Índice]],"")</f>
        <v/>
      </c>
      <c r="AR167" s="157" t="str">
        <f ca="1">IF(AND(base_de_datos[[#This Row],[Innovación y Diseño]]&lt;&gt;"",base_de_datos[[#This Row],[Misma o no]]=1),base_de_datos[[#This Row],[Índice]],"")</f>
        <v/>
      </c>
      <c r="AS167" s="157" t="str">
        <f ca="1">IF(AND(base_de_datos[[#This Row],[Inteligencia Artificial]]&lt;&gt;"",base_de_datos[[#This Row],[Misma o no]]=1),base_de_datos[[#This Row],[Índice]],"")</f>
        <v/>
      </c>
      <c r="AT167" s="157" t="str">
        <f ca="1">IF(AND(base_de_datos[[#This Row],[Tecnologías Energéticas]]&lt;&gt;"",base_de_datos[[#This Row],[Misma o no]]=1),base_de_datos[[#This Row],[Índice]],"")</f>
        <v/>
      </c>
      <c r="AU167" s="157" t="str">
        <f ca="1">IF(AND(base_de_datos[[#This Row],[Civil y Administración]]&lt;&gt;"",base_de_datos[[#This Row],[Misma o no]]=1),base_de_datos[[#This Row],[Índice]],"")</f>
        <v/>
      </c>
      <c r="AV167" s="157" t="str">
        <f ca="1">IF(AND(base_de_datos[[#This Row],[Bioelectrónica]]&lt;&gt;"",base_de_datos[[#This Row],[Misma o no]]=1),base_de_datos[[#This Row],[Índice]],"")</f>
        <v/>
      </c>
      <c r="AW167" s="158"/>
      <c r="AX167" s="231" t="s">
        <v>1640</v>
      </c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  <c r="DO167" s="85"/>
      <c r="DP167" s="85"/>
      <c r="DQ167" s="85"/>
      <c r="DR167" s="85"/>
      <c r="DS167" s="85"/>
      <c r="DT167" s="85"/>
      <c r="DU167" s="85"/>
      <c r="DV167" s="85"/>
      <c r="DW167" s="85"/>
      <c r="DX167" s="85"/>
      <c r="DY167" s="85"/>
      <c r="DZ167" s="85"/>
      <c r="EA167" s="85"/>
      <c r="EB167" s="85"/>
      <c r="EC167" s="85"/>
      <c r="ED167" s="85"/>
      <c r="EE167" s="85"/>
      <c r="EF167" s="85"/>
      <c r="EG167" s="85"/>
      <c r="EH167" s="85"/>
      <c r="EI167" s="85"/>
      <c r="EJ167" s="85"/>
      <c r="EK167" s="85"/>
      <c r="EL167" s="85"/>
      <c r="EM167" s="85"/>
      <c r="EN167" s="85"/>
      <c r="EO167" s="85"/>
      <c r="EP167" s="85"/>
      <c r="EQ167" s="85"/>
      <c r="ER167" s="85"/>
      <c r="ES167" s="85"/>
      <c r="ET167" s="85"/>
      <c r="EU167" s="85"/>
      <c r="EV167" s="85"/>
      <c r="EW167" s="85"/>
      <c r="EX167" s="85"/>
      <c r="EY167" s="85"/>
      <c r="EZ167" s="85"/>
      <c r="FA167" s="85"/>
      <c r="FB167" s="85"/>
      <c r="FC167" s="85"/>
      <c r="FD167" s="85"/>
      <c r="FE167" s="85"/>
      <c r="FF167" s="85"/>
      <c r="FG167" s="85"/>
      <c r="FH167" s="85"/>
      <c r="FI167" s="85"/>
      <c r="FJ167" s="85"/>
      <c r="FK167" s="85"/>
      <c r="FL167" s="85"/>
      <c r="FM167" s="85"/>
      <c r="FN167" s="85"/>
      <c r="FO167" s="85"/>
      <c r="FP167" s="85"/>
      <c r="FQ167" s="85"/>
      <c r="FR167" s="85"/>
      <c r="FS167" s="85"/>
      <c r="FT167" s="85"/>
      <c r="FU167" s="85"/>
      <c r="FV167" s="85"/>
      <c r="FW167" s="85"/>
      <c r="FX167" s="85"/>
      <c r="FY167" s="85"/>
      <c r="FZ167" s="85"/>
      <c r="GA167" s="85"/>
      <c r="GB167" s="85"/>
      <c r="GC167" s="85"/>
      <c r="GD167" s="85"/>
      <c r="GE167" s="85"/>
      <c r="GF167" s="85"/>
      <c r="GG167" s="85"/>
      <c r="GH167" s="85"/>
      <c r="GI167" s="85"/>
      <c r="GJ167" s="85"/>
      <c r="GK167" s="85"/>
      <c r="GL167" s="85"/>
      <c r="GM167" s="85"/>
      <c r="GN167" s="85"/>
      <c r="GO167" s="85"/>
      <c r="GP167" s="85"/>
      <c r="GQ167" s="85"/>
      <c r="GR167" s="85"/>
      <c r="GS167" s="85"/>
      <c r="GT167" s="85"/>
      <c r="GU167" s="85"/>
      <c r="GV167" s="85"/>
      <c r="GW167" s="85"/>
      <c r="GX167" s="85"/>
      <c r="GY167" s="85"/>
      <c r="GZ167" s="85"/>
      <c r="HA167" s="85"/>
      <c r="HB167" s="85"/>
      <c r="HC167" s="85"/>
      <c r="HD167" s="85"/>
      <c r="HE167" s="85"/>
      <c r="HF167" s="85"/>
      <c r="HG167" s="85"/>
      <c r="HH167" s="85"/>
      <c r="HI167" s="85"/>
      <c r="HJ167" s="85"/>
      <c r="HK167" s="85"/>
      <c r="HL167" s="85"/>
      <c r="HM167" s="85"/>
    </row>
    <row r="168" spans="1:221" s="161" customFormat="1" ht="15">
      <c r="A168" s="85"/>
      <c r="B168" s="148" t="s">
        <v>361</v>
      </c>
      <c r="C168" s="149" t="s">
        <v>319</v>
      </c>
      <c r="D168" s="150">
        <v>3</v>
      </c>
      <c r="E168" s="151">
        <v>0.5</v>
      </c>
      <c r="F168" s="151">
        <v>0.58333333333332904</v>
      </c>
      <c r="G168" s="150"/>
      <c r="H168" s="150" t="s">
        <v>325</v>
      </c>
      <c r="I168" s="150">
        <f>INDEX(Aulas_capacidad,MATCH(base_de_datos[[#This Row],[Aula]],Aulas,0),2)</f>
        <v>30</v>
      </c>
      <c r="J168" s="152">
        <v>24</v>
      </c>
      <c r="K168" s="150">
        <f>INDEX(Aulas_capacidad,MATCH(base_de_datos[[#This Row],[Aula]],Aulas,0),4)</f>
        <v>12</v>
      </c>
      <c r="L168" s="153">
        <f>base_de_datos[[#This Row],[Cap 1.5]]-base_de_datos[[#This Row],[Inscritos]]</f>
        <v>-12</v>
      </c>
      <c r="M168" s="153">
        <f>INDEX(Aulas_capacidad,MATCH(base_de_datos[[#This Row],[Aula]],Aulas,0),5)</f>
        <v>18</v>
      </c>
      <c r="N168" s="153">
        <f>base_de_datos[[#This Row],[Cap .90]]-base_de_datos[[#This Row],[Inscritos]]</f>
        <v>-6</v>
      </c>
      <c r="O168" s="150" t="s">
        <v>364</v>
      </c>
      <c r="P168" s="154"/>
      <c r="Q168" s="154" t="s">
        <v>67</v>
      </c>
      <c r="R168" s="154"/>
      <c r="S168" s="154" t="s">
        <v>67</v>
      </c>
      <c r="T168" s="154"/>
      <c r="U168" s="154"/>
      <c r="V168" s="154"/>
      <c r="W168" s="154" t="s">
        <v>1656</v>
      </c>
      <c r="X168" s="155">
        <f>_xlfn.XLOOKUP(base_de_datos[[#This Row],[Materia]],Materias,Horas)/16</f>
        <v>4</v>
      </c>
      <c r="Y168" s="155">
        <f>ROUND(((base_de_datos[[#This Row],[Hora fin]]-base_de_datos[[#This Row],[Hora inicio]])*24)*(COUNTA(base_de_datos[[#This Row],[Lunes]:[Sábado]])),1)</f>
        <v>4</v>
      </c>
      <c r="Z16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8" s="155">
        <f ca="1">IF(base_de_datos[[#This Row],[No clase]]=OFFSET(base_de_datos[[#This Row],[No clase]],-1,0),0,1)</f>
        <v>1</v>
      </c>
      <c r="AB168" s="155">
        <f ca="1">IF(NOT(OR(base_de_datos[[#This Row],[Horas totales]]=base_de_datos[[#This Row],[HT Plan]],base_de_datos[[#This Row],[Horas totales]]="N/A")),1,0)</f>
        <v>0</v>
      </c>
      <c r="AC168" s="155" t="str">
        <f>_xlfn.XLOOKUP(base_de_datos[[#This Row],[Profesor]],Nombre,Grado)</f>
        <v>D</v>
      </c>
      <c r="AD168" s="156" t="str">
        <f>_xlfn.XLOOKUP(base_de_datos[[#This Row],[Profesor]],Nombre,Tipo)</f>
        <v>A</v>
      </c>
      <c r="AE168" s="155">
        <f>IF(IFERROR(VLOOKUP($C168,Planes_de_estudio[],MATCH($AE$2,Carreras,0)+2,0),"")&gt;0,IFERROR(VLOOKUP($C168,Planes_de_estudio[],MATCH($AE$2,Carreras,0)+2,0),""),"")</f>
        <v>1</v>
      </c>
      <c r="AF168" s="155">
        <f>IF(IFERROR(VLOOKUP($C168,Planes_de_estudio[],MATCH($AF$2,Carreras,0)+2,0),"")&gt;0,IFERROR(VLOOKUP($C168,Planes_de_estudio[],MATCH($AF$2,Carreras,0)+2,0),""),"")</f>
        <v>1</v>
      </c>
      <c r="AG168" s="155">
        <f>IF(IFERROR(VLOOKUP($C168,Planes_de_estudio[],MATCH($AG$2,Carreras,0)+2,0),"")&gt;0,IFERROR(VLOOKUP($C168,Planes_de_estudio[],MATCH($AG$2,Carreras,0)+2,0),""),"")</f>
        <v>2</v>
      </c>
      <c r="AH168" s="155">
        <f>IF(IFERROR(VLOOKUP($C168,Planes_de_estudio[],MATCH($AH$2,Carreras,0)+2,0),"")&gt;0,IFERROR(VLOOKUP($C168,Planes_de_estudio[],MATCH($AH$2,Carreras,0)+2,0),""),"")</f>
        <v>1</v>
      </c>
      <c r="AI168" s="155">
        <f>IF(IFERROR(VLOOKUP($C168,Planes_de_estudio[],MATCH($AI$2,Carreras,0)+2,0),"")&gt;0,IFERROR(VLOOKUP($C168,Planes_de_estudio[],MATCH($AI$2,Carreras,0)+2,0),""),"")</f>
        <v>1</v>
      </c>
      <c r="AJ168" s="155" t="str">
        <f>IF(IFERROR(VLOOKUP($C168,Planes_de_estudio[],MATCH($AJ$2,Carreras,0)+2,0),"")&gt;0,IFERROR(VLOOKUP($C168,Planes_de_estudio[],MATCH($AJ$2,Carreras,0)+2,0),""),"")</f>
        <v/>
      </c>
      <c r="AK168" s="155">
        <f>IF(IFERROR(VLOOKUP($C168,Planes_de_estudio[],MATCH($AK$2,Carreras,0)+2,0),"")&gt;0,IFERROR(VLOOKUP($C168,Planes_de_estudio[],MATCH($AK$2,Carreras,0)+2,0),""),"")</f>
        <v>1</v>
      </c>
      <c r="AL16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80</v>
      </c>
      <c r="AN168" s="155">
        <f>base_de_datos[[#This Row],[Pronóstico]]/25</f>
        <v>3.2</v>
      </c>
      <c r="AO168" s="155" t="str">
        <f>VLOOKUP($C168,Planes_de_estudio[],2)</f>
        <v>ETF</v>
      </c>
      <c r="AP168" s="157">
        <f ca="1">IF(AND(base_de_datos[[#This Row],[Industrial]]&lt;&gt;"",base_de_datos[[#This Row],[Misma o no]]=1),base_de_datos[[#This Row],[Índice]],"")</f>
        <v>6</v>
      </c>
      <c r="AQ168" s="157">
        <f ca="1">IF(AND(base_de_datos[[#This Row],[Mecatrónica]]&lt;&gt;"",base_de_datos[[#This Row],[Misma o no]]=1),base_de_datos[[#This Row],[Índice]],"")</f>
        <v>6</v>
      </c>
      <c r="AR168" s="157">
        <f ca="1">IF(AND(base_de_datos[[#This Row],[Innovación y Diseño]]&lt;&gt;"",base_de_datos[[#This Row],[Misma o no]]=1),base_de_datos[[#This Row],[Índice]],"")</f>
        <v>6</v>
      </c>
      <c r="AS168" s="157">
        <f ca="1">IF(AND(base_de_datos[[#This Row],[Inteligencia Artificial]]&lt;&gt;"",base_de_datos[[#This Row],[Misma o no]]=1),base_de_datos[[#This Row],[Índice]],"")</f>
        <v>6</v>
      </c>
      <c r="AT168" s="157">
        <f ca="1">IF(AND(base_de_datos[[#This Row],[Tecnologías Energéticas]]&lt;&gt;"",base_de_datos[[#This Row],[Misma o no]]=1),base_de_datos[[#This Row],[Índice]],"")</f>
        <v>6</v>
      </c>
      <c r="AU168" s="157" t="str">
        <f ca="1">IF(AND(base_de_datos[[#This Row],[Civil y Administración]]&lt;&gt;"",base_de_datos[[#This Row],[Misma o no]]=1),base_de_datos[[#This Row],[Índice]],"")</f>
        <v/>
      </c>
      <c r="AV168" s="157">
        <f ca="1">IF(AND(base_de_datos[[#This Row],[Bioelectrónica]]&lt;&gt;"",base_de_datos[[#This Row],[Misma o no]]=1),base_de_datos[[#This Row],[Índice]],"")</f>
        <v>6</v>
      </c>
      <c r="AW168" s="158"/>
      <c r="AX168" s="231">
        <v>2</v>
      </c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85"/>
      <c r="EF168" s="85"/>
      <c r="EG168" s="85"/>
      <c r="EH168" s="85"/>
      <c r="EI168" s="85"/>
      <c r="EJ168" s="85"/>
      <c r="EK168" s="85"/>
      <c r="EL168" s="85"/>
      <c r="EM168" s="85"/>
      <c r="EN168" s="85"/>
      <c r="EO168" s="85"/>
      <c r="EP168" s="85"/>
      <c r="EQ168" s="85"/>
      <c r="ER168" s="85"/>
      <c r="ES168" s="85"/>
      <c r="ET168" s="85"/>
      <c r="EU168" s="85"/>
      <c r="EV168" s="85"/>
      <c r="EW168" s="85"/>
      <c r="EX168" s="85"/>
      <c r="EY168" s="85"/>
      <c r="EZ168" s="85"/>
      <c r="FA168" s="85"/>
      <c r="FB168" s="85"/>
      <c r="FC168" s="85"/>
      <c r="FD168" s="85"/>
      <c r="FE168" s="85"/>
      <c r="FF168" s="85"/>
      <c r="FG168" s="85"/>
      <c r="FH168" s="85"/>
      <c r="FI168" s="85"/>
      <c r="FJ168" s="85"/>
      <c r="FK168" s="85"/>
      <c r="FL168" s="85"/>
      <c r="FM168" s="85"/>
      <c r="FN168" s="85"/>
      <c r="FO168" s="85"/>
      <c r="FP168" s="85"/>
      <c r="FQ168" s="85"/>
      <c r="FR168" s="85"/>
      <c r="FS168" s="85"/>
      <c r="FT168" s="85"/>
      <c r="FU168" s="85"/>
      <c r="FV168" s="85"/>
      <c r="FW168" s="85"/>
      <c r="FX168" s="85"/>
      <c r="FY168" s="85"/>
      <c r="FZ168" s="85"/>
      <c r="GA168" s="85"/>
      <c r="GB168" s="85"/>
      <c r="GC168" s="85"/>
      <c r="GD168" s="85"/>
      <c r="GE168" s="85"/>
      <c r="GF168" s="85"/>
      <c r="GG168" s="85"/>
      <c r="GH168" s="85"/>
      <c r="GI168" s="85"/>
      <c r="GJ168" s="85"/>
      <c r="GK168" s="85"/>
      <c r="GL168" s="85"/>
      <c r="GM168" s="85"/>
      <c r="GN168" s="85"/>
      <c r="GO168" s="85"/>
      <c r="GP168" s="85"/>
      <c r="GQ168" s="85"/>
      <c r="GR168" s="85"/>
      <c r="GS168" s="85"/>
      <c r="GT168" s="85"/>
      <c r="GU168" s="85"/>
      <c r="GV168" s="85"/>
      <c r="GW168" s="85"/>
      <c r="GX168" s="85"/>
      <c r="GY168" s="85"/>
      <c r="GZ168" s="85"/>
      <c r="HA168" s="85"/>
      <c r="HB168" s="85"/>
      <c r="HC168" s="85"/>
      <c r="HD168" s="85"/>
      <c r="HE168" s="85"/>
      <c r="HF168" s="85"/>
      <c r="HG168" s="85"/>
      <c r="HH168" s="85"/>
      <c r="HI168" s="85"/>
      <c r="HJ168" s="85"/>
      <c r="HK168" s="85"/>
      <c r="HL168" s="85"/>
      <c r="HM168" s="85"/>
    </row>
    <row r="169" spans="1:221" ht="15">
      <c r="B169" s="148" t="s">
        <v>365</v>
      </c>
      <c r="C169" s="149" t="s">
        <v>342</v>
      </c>
      <c r="D169" s="150">
        <v>1</v>
      </c>
      <c r="E169" s="151">
        <v>0.29166666666666669</v>
      </c>
      <c r="F169" s="151">
        <v>0.374999999999999</v>
      </c>
      <c r="G169" s="150"/>
      <c r="H169" s="150" t="s">
        <v>366</v>
      </c>
      <c r="I169" s="150">
        <f>INDEX(Aulas_capacidad,MATCH(base_de_datos[[#This Row],[Aula]],Aulas,0),2)</f>
        <v>40</v>
      </c>
      <c r="J169" s="152">
        <v>23</v>
      </c>
      <c r="K169" s="150">
        <f>INDEX(Aulas_capacidad,MATCH(base_de_datos[[#This Row],[Aula]],Aulas,0),4)</f>
        <v>15</v>
      </c>
      <c r="L169" s="153">
        <f>base_de_datos[[#This Row],[Cap 1.5]]-base_de_datos[[#This Row],[Inscritos]]</f>
        <v>-8</v>
      </c>
      <c r="M169" s="153">
        <f>INDEX(Aulas_capacidad,MATCH(base_de_datos[[#This Row],[Aula]],Aulas,0),5)</f>
        <v>25</v>
      </c>
      <c r="N169" s="153">
        <f>base_de_datos[[#This Row],[Cap .90]]-base_de_datos[[#This Row],[Inscritos]]</f>
        <v>2</v>
      </c>
      <c r="O169" s="150" t="s">
        <v>367</v>
      </c>
      <c r="P169" s="154"/>
      <c r="Q169" s="154" t="s">
        <v>67</v>
      </c>
      <c r="R169" s="154"/>
      <c r="S169" s="154"/>
      <c r="T169" s="154"/>
      <c r="U169" s="154"/>
      <c r="V169" s="154"/>
      <c r="W169" s="154" t="s">
        <v>1651</v>
      </c>
      <c r="X169" s="155">
        <f>_xlfn.XLOOKUP(base_de_datos[[#This Row],[Materia]],Materias,Horas)/16</f>
        <v>4</v>
      </c>
      <c r="Y169" s="155">
        <f>ROUND(((base_de_datos[[#This Row],[Hora fin]]-base_de_datos[[#This Row],[Hora inicio]])*24)*(COUNTA(base_de_datos[[#This Row],[Lunes]:[Sábado]])),1)</f>
        <v>2</v>
      </c>
      <c r="Z16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9" s="155">
        <f ca="1">IF(base_de_datos[[#This Row],[No clase]]=OFFSET(base_de_datos[[#This Row],[No clase]],-1,0),0,1)</f>
        <v>1</v>
      </c>
      <c r="AB169" s="155">
        <f ca="1">IF(NOT(OR(base_de_datos[[#This Row],[Horas totales]]=base_de_datos[[#This Row],[HT Plan]],base_de_datos[[#This Row],[Horas totales]]="N/A")),1,0)</f>
        <v>0</v>
      </c>
      <c r="AC169" s="155" t="e">
        <f>_xlfn.XLOOKUP(base_de_datos[[#This Row],[Profesor]],Nombre,Grado)</f>
        <v>#N/A</v>
      </c>
      <c r="AD169" s="156" t="e">
        <f>_xlfn.XLOOKUP(base_de_datos[[#This Row],[Profesor]],Nombre,Tipo)</f>
        <v>#N/A</v>
      </c>
      <c r="AE169" s="155">
        <f>IF(IFERROR(VLOOKUP($C169,Planes_de_estudio[],MATCH($AE$2,Carreras,0)+2,0),"")&gt;0,IFERROR(VLOOKUP($C169,Planes_de_estudio[],MATCH($AE$2,Carreras,0)+2,0),""),"")</f>
        <v>3</v>
      </c>
      <c r="AF169" s="155">
        <f>IF(IFERROR(VLOOKUP($C169,Planes_de_estudio[],MATCH($AF$2,Carreras,0)+2,0),"")&gt;0,IFERROR(VLOOKUP($C169,Planes_de_estudio[],MATCH($AF$2,Carreras,0)+2,0),""),"")</f>
        <v>3</v>
      </c>
      <c r="AG169" s="155">
        <f>IF(IFERROR(VLOOKUP($C169,Planes_de_estudio[],MATCH($AG$2,Carreras,0)+2,0),"")&gt;0,IFERROR(VLOOKUP($C169,Planes_de_estudio[],MATCH($AG$2,Carreras,0)+2,0),""),"")</f>
        <v>5</v>
      </c>
      <c r="AH169" s="155">
        <f>IF(IFERROR(VLOOKUP($C169,Planes_de_estudio[],MATCH($AH$2,Carreras,0)+2,0),"")&gt;0,IFERROR(VLOOKUP($C169,Planes_de_estudio[],MATCH($AH$2,Carreras,0)+2,0),""),"")</f>
        <v>3</v>
      </c>
      <c r="AI169" s="155">
        <f>IF(IFERROR(VLOOKUP($C169,Planes_de_estudio[],MATCH($AI$2,Carreras,0)+2,0),"")&gt;0,IFERROR(VLOOKUP($C169,Planes_de_estudio[],MATCH($AI$2,Carreras,0)+2,0),""),"")</f>
        <v>3</v>
      </c>
      <c r="AJ169" s="155">
        <f>IF(IFERROR(VLOOKUP($C169,Planes_de_estudio[],MATCH($AJ$2,Carreras,0)+2,0),"")&gt;0,IFERROR(VLOOKUP($C169,Planes_de_estudio[],MATCH($AJ$2,Carreras,0)+2,0),""),"")</f>
        <v>3</v>
      </c>
      <c r="AK169" s="155">
        <f>IF(IFERROR(VLOOKUP($C169,Planes_de_estudio[],MATCH($AK$2,Carreras,0)+2,0),"")&gt;0,IFERROR(VLOOKUP($C169,Planes_de_estudio[],MATCH($AK$2,Carreras,0)+2,0),""),"")</f>
        <v>3</v>
      </c>
      <c r="AL169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6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69" s="155">
        <f>base_de_datos[[#This Row],[Pronóstico]]/25</f>
        <v>4.32</v>
      </c>
      <c r="AO169" s="155" t="str">
        <f>VLOOKUP($C169,Planes_de_estudio[],2)</f>
        <v>MAT</v>
      </c>
      <c r="AP169" s="157" t="e">
        <f ca="1">IF(AND(base_de_datos[[#This Row],[Industrial]]&lt;&gt;"",base_de_datos[[#This Row],[Misma o no]]=1),base_de_datos[[#This Row],[Índice]],"")</f>
        <v>#N/A</v>
      </c>
      <c r="AQ169" s="157" t="e">
        <f ca="1">IF(AND(base_de_datos[[#This Row],[Mecatrónica]]&lt;&gt;"",base_de_datos[[#This Row],[Misma o no]]=1),base_de_datos[[#This Row],[Índice]],"")</f>
        <v>#N/A</v>
      </c>
      <c r="AR169" s="157" t="e">
        <f ca="1">IF(AND(base_de_datos[[#This Row],[Innovación y Diseño]]&lt;&gt;"",base_de_datos[[#This Row],[Misma o no]]=1),base_de_datos[[#This Row],[Índice]],"")</f>
        <v>#N/A</v>
      </c>
      <c r="AS169" s="157" t="e">
        <f ca="1">IF(AND(base_de_datos[[#This Row],[Inteligencia Artificial]]&lt;&gt;"",base_de_datos[[#This Row],[Misma o no]]=1),base_de_datos[[#This Row],[Índice]],"")</f>
        <v>#N/A</v>
      </c>
      <c r="AT169" s="157" t="e">
        <f ca="1">IF(AND(base_de_datos[[#This Row],[Tecnologías Energéticas]]&lt;&gt;"",base_de_datos[[#This Row],[Misma o no]]=1),base_de_datos[[#This Row],[Índice]],"")</f>
        <v>#N/A</v>
      </c>
      <c r="AU169" s="157" t="e">
        <f ca="1">IF(AND(base_de_datos[[#This Row],[Civil y Administración]]&lt;&gt;"",base_de_datos[[#This Row],[Misma o no]]=1),base_de_datos[[#This Row],[Índice]],"")</f>
        <v>#N/A</v>
      </c>
      <c r="AV169" s="157" t="e">
        <f ca="1">IF(AND(base_de_datos[[#This Row],[Bioelectrónica]]&lt;&gt;"",base_de_datos[[#This Row],[Misma o no]]=1),base_de_datos[[#This Row],[Índice]],"")</f>
        <v>#N/A</v>
      </c>
      <c r="AW169" s="158"/>
      <c r="AX169" s="231">
        <v>2</v>
      </c>
    </row>
    <row r="170" spans="1:221" ht="15">
      <c r="B170" s="148" t="s">
        <v>365</v>
      </c>
      <c r="C170" s="149" t="s">
        <v>342</v>
      </c>
      <c r="D170" s="150">
        <v>1</v>
      </c>
      <c r="E170" s="151">
        <v>0.29166666666666669</v>
      </c>
      <c r="F170" s="151">
        <v>0.374999999999999</v>
      </c>
      <c r="G170" s="150"/>
      <c r="H170" s="150" t="s">
        <v>78</v>
      </c>
      <c r="I170" s="150">
        <f>INDEX(Aulas_capacidad,MATCH(base_de_datos[[#This Row],[Aula]],Aulas,0),2)</f>
        <v>25</v>
      </c>
      <c r="J170" s="152">
        <v>23</v>
      </c>
      <c r="K170" s="150">
        <f>INDEX(Aulas_capacidad,MATCH(base_de_datos[[#This Row],[Aula]],Aulas,0),4)</f>
        <v>12</v>
      </c>
      <c r="L170" s="153">
        <f>base_de_datos[[#This Row],[Cap 1.5]]-base_de_datos[[#This Row],[Inscritos]]</f>
        <v>-11</v>
      </c>
      <c r="M170" s="153">
        <f>INDEX(Aulas_capacidad,MATCH(base_de_datos[[#This Row],[Aula]],Aulas,0),5)</f>
        <v>15</v>
      </c>
      <c r="N170" s="153">
        <f>base_de_datos[[#This Row],[Cap .90]]-base_de_datos[[#This Row],[Inscritos]]</f>
        <v>-8</v>
      </c>
      <c r="O170" s="150" t="s">
        <v>367</v>
      </c>
      <c r="P170" s="154"/>
      <c r="Q170" s="154"/>
      <c r="R170" s="154"/>
      <c r="S170" s="154"/>
      <c r="T170" s="154" t="s">
        <v>67</v>
      </c>
      <c r="U170" s="154"/>
      <c r="V170" s="154"/>
      <c r="W170" s="154" t="s">
        <v>1651</v>
      </c>
      <c r="X170" s="155">
        <f>_xlfn.XLOOKUP(base_de_datos[[#This Row],[Materia]],Materias,Horas)/16</f>
        <v>4</v>
      </c>
      <c r="Y170" s="155">
        <f>ROUND(((base_de_datos[[#This Row],[Hora fin]]-base_de_datos[[#This Row],[Hora inicio]])*24)*(COUNTA(base_de_datos[[#This Row],[Lunes]:[Sábado]])),1)</f>
        <v>2</v>
      </c>
      <c r="Z17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0" s="155">
        <f ca="1">IF(base_de_datos[[#This Row],[No clase]]=OFFSET(base_de_datos[[#This Row],[No clase]],-1,0),0,1)</f>
        <v>0</v>
      </c>
      <c r="AB170" s="155">
        <f ca="1">IF(NOT(OR(base_de_datos[[#This Row],[Horas totales]]=base_de_datos[[#This Row],[HT Plan]],base_de_datos[[#This Row],[Horas totales]]="N/A")),1,0)</f>
        <v>0</v>
      </c>
      <c r="AC170" s="155" t="e">
        <f>_xlfn.XLOOKUP(base_de_datos[[#This Row],[Profesor]],Nombre,Grado)</f>
        <v>#N/A</v>
      </c>
      <c r="AD170" s="156" t="e">
        <f>_xlfn.XLOOKUP(base_de_datos[[#This Row],[Profesor]],Nombre,Tipo)</f>
        <v>#N/A</v>
      </c>
      <c r="AE170" s="155">
        <f>IF(IFERROR(VLOOKUP($C170,Planes_de_estudio[],MATCH($AE$2,Carreras,0)+2,0),"")&gt;0,IFERROR(VLOOKUP($C170,Planes_de_estudio[],MATCH($AE$2,Carreras,0)+2,0),""),"")</f>
        <v>3</v>
      </c>
      <c r="AF170" s="155">
        <f>IF(IFERROR(VLOOKUP($C170,Planes_de_estudio[],MATCH($AF$2,Carreras,0)+2,0),"")&gt;0,IFERROR(VLOOKUP($C170,Planes_de_estudio[],MATCH($AF$2,Carreras,0)+2,0),""),"")</f>
        <v>3</v>
      </c>
      <c r="AG170" s="155">
        <f>IF(IFERROR(VLOOKUP($C170,Planes_de_estudio[],MATCH($AG$2,Carreras,0)+2,0),"")&gt;0,IFERROR(VLOOKUP($C170,Planes_de_estudio[],MATCH($AG$2,Carreras,0)+2,0),""),"")</f>
        <v>5</v>
      </c>
      <c r="AH170" s="155">
        <f>IF(IFERROR(VLOOKUP($C170,Planes_de_estudio[],MATCH($AH$2,Carreras,0)+2,0),"")&gt;0,IFERROR(VLOOKUP($C170,Planes_de_estudio[],MATCH($AH$2,Carreras,0)+2,0),""),"")</f>
        <v>3</v>
      </c>
      <c r="AI170" s="155">
        <f>IF(IFERROR(VLOOKUP($C170,Planes_de_estudio[],MATCH($AI$2,Carreras,0)+2,0),"")&gt;0,IFERROR(VLOOKUP($C170,Planes_de_estudio[],MATCH($AI$2,Carreras,0)+2,0),""),"")</f>
        <v>3</v>
      </c>
      <c r="AJ170" s="155">
        <f>IF(IFERROR(VLOOKUP($C170,Planes_de_estudio[],MATCH($AJ$2,Carreras,0)+2,0),"")&gt;0,IFERROR(VLOOKUP($C170,Planes_de_estudio[],MATCH($AJ$2,Carreras,0)+2,0),""),"")</f>
        <v>3</v>
      </c>
      <c r="AK170" s="155">
        <f>IF(IFERROR(VLOOKUP($C170,Planes_de_estudio[],MATCH($AK$2,Carreras,0)+2,0),"")&gt;0,IFERROR(VLOOKUP($C170,Planes_de_estudio[],MATCH($AK$2,Carreras,0)+2,0),""),"")</f>
        <v>3</v>
      </c>
      <c r="AL170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7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70" s="155">
        <f>base_de_datos[[#This Row],[Pronóstico]]/25</f>
        <v>4.32</v>
      </c>
      <c r="AO170" s="155" t="str">
        <f>VLOOKUP($C170,Planes_de_estudio[],2)</f>
        <v>MAT</v>
      </c>
      <c r="AP170" s="157" t="str">
        <f ca="1">IF(AND(base_de_datos[[#This Row],[Industrial]]&lt;&gt;"",base_de_datos[[#This Row],[Misma o no]]=1),base_de_datos[[#This Row],[Índice]],"")</f>
        <v/>
      </c>
      <c r="AQ170" s="157" t="str">
        <f ca="1">IF(AND(base_de_datos[[#This Row],[Mecatrónica]]&lt;&gt;"",base_de_datos[[#This Row],[Misma o no]]=1),base_de_datos[[#This Row],[Índice]],"")</f>
        <v/>
      </c>
      <c r="AR170" s="157" t="str">
        <f ca="1">IF(AND(base_de_datos[[#This Row],[Innovación y Diseño]]&lt;&gt;"",base_de_datos[[#This Row],[Misma o no]]=1),base_de_datos[[#This Row],[Índice]],"")</f>
        <v/>
      </c>
      <c r="AS170" s="157" t="str">
        <f ca="1">IF(AND(base_de_datos[[#This Row],[Inteligencia Artificial]]&lt;&gt;"",base_de_datos[[#This Row],[Misma o no]]=1),base_de_datos[[#This Row],[Índice]],"")</f>
        <v/>
      </c>
      <c r="AT170" s="157" t="str">
        <f ca="1">IF(AND(base_de_datos[[#This Row],[Tecnologías Energéticas]]&lt;&gt;"",base_de_datos[[#This Row],[Misma o no]]=1),base_de_datos[[#This Row],[Índice]],"")</f>
        <v/>
      </c>
      <c r="AU170" s="157" t="str">
        <f ca="1">IF(AND(base_de_datos[[#This Row],[Civil y Administración]]&lt;&gt;"",base_de_datos[[#This Row],[Misma o no]]=1),base_de_datos[[#This Row],[Índice]],"")</f>
        <v/>
      </c>
      <c r="AV170" s="157" t="str">
        <f ca="1">IF(AND(base_de_datos[[#This Row],[Bioelectrónica]]&lt;&gt;"",base_de_datos[[#This Row],[Misma o no]]=1),base_de_datos[[#This Row],[Índice]],"")</f>
        <v/>
      </c>
      <c r="AW170" s="158"/>
      <c r="AX170" s="231">
        <v>2</v>
      </c>
    </row>
    <row r="171" spans="1:221" ht="15">
      <c r="B171" s="148" t="s">
        <v>368</v>
      </c>
      <c r="C171" s="149" t="s">
        <v>369</v>
      </c>
      <c r="D171" s="150">
        <v>1</v>
      </c>
      <c r="E171" s="151">
        <v>0.39583333333333398</v>
      </c>
      <c r="F171" s="151">
        <v>0.45833333333333098</v>
      </c>
      <c r="G171" s="150"/>
      <c r="H171" s="150" t="s">
        <v>370</v>
      </c>
      <c r="I171" s="150">
        <f>INDEX(Aulas_capacidad,MATCH(base_de_datos[[#This Row],[Aula]],Aulas,0),2)</f>
        <v>40</v>
      </c>
      <c r="J171" s="152"/>
      <c r="K171" s="150">
        <f>INDEX(Aulas_capacidad,MATCH(base_de_datos[[#This Row],[Aula]],Aulas,0),4)</f>
        <v>16</v>
      </c>
      <c r="L171" s="153">
        <f>base_de_datos[[#This Row],[Cap 1.5]]-base_de_datos[[#This Row],[Inscritos]]</f>
        <v>16</v>
      </c>
      <c r="M171" s="153">
        <f>INDEX(Aulas_capacidad,MATCH(base_de_datos[[#This Row],[Aula]],Aulas,0),5)</f>
        <v>24</v>
      </c>
      <c r="N171" s="153">
        <f>base_de_datos[[#This Row],[Cap .90]]-base_de_datos[[#This Row],[Inscritos]]</f>
        <v>24</v>
      </c>
      <c r="O171" s="150" t="s">
        <v>371</v>
      </c>
      <c r="P171" s="154"/>
      <c r="Q171" s="154"/>
      <c r="R171" s="154" t="s">
        <v>67</v>
      </c>
      <c r="S171" s="154"/>
      <c r="T171" s="154"/>
      <c r="U171" s="154"/>
      <c r="V171" s="154"/>
      <c r="W171" s="154" t="s">
        <v>1654</v>
      </c>
      <c r="X171" s="155">
        <f>_xlfn.XLOOKUP(base_de_datos[[#This Row],[Materia]],Materias,Horas)/16</f>
        <v>3</v>
      </c>
      <c r="Y171" s="155">
        <f>ROUND(((base_de_datos[[#This Row],[Hora fin]]-base_de_datos[[#This Row],[Hora inicio]])*24)*(COUNTA(base_de_datos[[#This Row],[Lunes]:[Sábado]])),1)</f>
        <v>1.5</v>
      </c>
      <c r="Z17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1" s="155">
        <f ca="1">IF(base_de_datos[[#This Row],[No clase]]=OFFSET(base_de_datos[[#This Row],[No clase]],-1,0),0,1)</f>
        <v>1</v>
      </c>
      <c r="AB171" s="155">
        <f ca="1">IF(NOT(OR(base_de_datos[[#This Row],[Horas totales]]=base_de_datos[[#This Row],[HT Plan]],base_de_datos[[#This Row],[Horas totales]]="N/A")),1,0)</f>
        <v>0</v>
      </c>
      <c r="AC171" s="155" t="str">
        <f>_xlfn.XLOOKUP(base_de_datos[[#This Row],[Profesor]],Nombre,Grado)</f>
        <v>D</v>
      </c>
      <c r="AD171" s="156" t="str">
        <f>_xlfn.XLOOKUP(base_de_datos[[#This Row],[Profesor]],Nombre,Tipo)</f>
        <v>H</v>
      </c>
      <c r="AE171" s="155">
        <f>IF(IFERROR(VLOOKUP($C171,Planes_de_estudio[],MATCH($AE$2,Carreras,0)+2,0),"")&gt;0,IFERROR(VLOOKUP($C171,Planes_de_estudio[],MATCH($AE$2,Carreras,0)+2,0),""),"")</f>
        <v>2</v>
      </c>
      <c r="AF171" s="155">
        <f>IF(IFERROR(VLOOKUP($C171,Planes_de_estudio[],MATCH($AF$2,Carreras,0)+2,0),"")&gt;0,IFERROR(VLOOKUP($C171,Planes_de_estudio[],MATCH($AF$2,Carreras,0)+2,0),""),"")</f>
        <v>2</v>
      </c>
      <c r="AG171" s="155">
        <f>IF(IFERROR(VLOOKUP($C171,Planes_de_estudio[],MATCH($AG$2,Carreras,0)+2,0),"")&gt;0,IFERROR(VLOOKUP($C171,Planes_de_estudio[],MATCH($AG$2,Carreras,0)+2,0),""),"")</f>
        <v>2</v>
      </c>
      <c r="AH171" s="155">
        <f>IF(IFERROR(VLOOKUP($C171,Planes_de_estudio[],MATCH($AH$2,Carreras,0)+2,0),"")&gt;0,IFERROR(VLOOKUP($C171,Planes_de_estudio[],MATCH($AH$2,Carreras,0)+2,0),""),"")</f>
        <v>2</v>
      </c>
      <c r="AI171" s="155">
        <f>IF(IFERROR(VLOOKUP($C171,Planes_de_estudio[],MATCH($AI$2,Carreras,0)+2,0),"")&gt;0,IFERROR(VLOOKUP($C171,Planes_de_estudio[],MATCH($AI$2,Carreras,0)+2,0),""),"")</f>
        <v>2</v>
      </c>
      <c r="AJ171" s="155">
        <f>IF(IFERROR(VLOOKUP($C171,Planes_de_estudio[],MATCH($AJ$2,Carreras,0)+2,0),"")&gt;0,IFERROR(VLOOKUP($C171,Planes_de_estudio[],MATCH($AJ$2,Carreras,0)+2,0),""),"")</f>
        <v>2</v>
      </c>
      <c r="AK171" s="155">
        <f>IF(IFERROR(VLOOKUP($C171,Planes_de_estudio[],MATCH($AK$2,Carreras,0)+2,0),"")&gt;0,IFERROR(VLOOKUP($C171,Planes_de_estudio[],MATCH($AK$2,Carreras,0)+2,0),""),"")</f>
        <v>2</v>
      </c>
      <c r="AL17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71" s="155">
        <f>base_de_datos[[#This Row],[Pronóstico]]/25</f>
        <v>0.32</v>
      </c>
      <c r="AO171" s="155" t="str">
        <f>VLOOKUP($C171,Planes_de_estudio[],2)</f>
        <v>HUM</v>
      </c>
      <c r="AP171" s="157">
        <f ca="1">IF(AND(base_de_datos[[#This Row],[Industrial]]&lt;&gt;"",base_de_datos[[#This Row],[Misma o no]]=1),base_de_datos[[#This Row],[Índice]],"")</f>
        <v>6</v>
      </c>
      <c r="AQ171" s="157">
        <f ca="1">IF(AND(base_de_datos[[#This Row],[Mecatrónica]]&lt;&gt;"",base_de_datos[[#This Row],[Misma o no]]=1),base_de_datos[[#This Row],[Índice]],"")</f>
        <v>6</v>
      </c>
      <c r="AR171" s="157">
        <f ca="1">IF(AND(base_de_datos[[#This Row],[Innovación y Diseño]]&lt;&gt;"",base_de_datos[[#This Row],[Misma o no]]=1),base_de_datos[[#This Row],[Índice]],"")</f>
        <v>6</v>
      </c>
      <c r="AS171" s="157">
        <f ca="1">IF(AND(base_de_datos[[#This Row],[Inteligencia Artificial]]&lt;&gt;"",base_de_datos[[#This Row],[Misma o no]]=1),base_de_datos[[#This Row],[Índice]],"")</f>
        <v>6</v>
      </c>
      <c r="AT171" s="157">
        <f ca="1">IF(AND(base_de_datos[[#This Row],[Tecnologías Energéticas]]&lt;&gt;"",base_de_datos[[#This Row],[Misma o no]]=1),base_de_datos[[#This Row],[Índice]],"")</f>
        <v>6</v>
      </c>
      <c r="AU171" s="157">
        <f ca="1">IF(AND(base_de_datos[[#This Row],[Civil y Administración]]&lt;&gt;"",base_de_datos[[#This Row],[Misma o no]]=1),base_de_datos[[#This Row],[Índice]],"")</f>
        <v>6</v>
      </c>
      <c r="AV171" s="157">
        <f ca="1">IF(AND(base_de_datos[[#This Row],[Bioelectrónica]]&lt;&gt;"",base_de_datos[[#This Row],[Misma o no]]=1),base_de_datos[[#This Row],[Índice]],"")</f>
        <v>6</v>
      </c>
      <c r="AW171" s="158"/>
      <c r="AX171" s="231" t="s">
        <v>1631</v>
      </c>
    </row>
    <row r="172" spans="1:221" ht="15">
      <c r="B172" s="148" t="s">
        <v>368</v>
      </c>
      <c r="C172" s="149" t="s">
        <v>369</v>
      </c>
      <c r="D172" s="150">
        <v>1</v>
      </c>
      <c r="E172" s="151">
        <v>0.39583333333333398</v>
      </c>
      <c r="F172" s="151">
        <v>0.45833333333333098</v>
      </c>
      <c r="G172" s="150"/>
      <c r="H172" s="150" t="s">
        <v>80</v>
      </c>
      <c r="I172" s="150">
        <f>INDEX(Aulas_capacidad,MATCH(base_de_datos[[#This Row],[Aula]],Aulas,0),2)</f>
        <v>30</v>
      </c>
      <c r="J172" s="152"/>
      <c r="K172" s="150">
        <f>INDEX(Aulas_capacidad,MATCH(base_de_datos[[#This Row],[Aula]],Aulas,0),4)</f>
        <v>0</v>
      </c>
      <c r="L172" s="153">
        <f>base_de_datos[[#This Row],[Cap 1.5]]-base_de_datos[[#This Row],[Inscritos]]</f>
        <v>0</v>
      </c>
      <c r="M172" s="153">
        <f>INDEX(Aulas_capacidad,MATCH(base_de_datos[[#This Row],[Aula]],Aulas,0),5)</f>
        <v>0</v>
      </c>
      <c r="N172" s="153">
        <f>base_de_datos[[#This Row],[Cap .90]]-base_de_datos[[#This Row],[Inscritos]]</f>
        <v>0</v>
      </c>
      <c r="O172" s="150" t="s">
        <v>371</v>
      </c>
      <c r="P172" s="154"/>
      <c r="Q172" s="154"/>
      <c r="R172" s="154"/>
      <c r="S172" s="154"/>
      <c r="T172" s="154" t="s">
        <v>67</v>
      </c>
      <c r="U172" s="154"/>
      <c r="V172" s="154"/>
      <c r="W172" s="154" t="s">
        <v>1654</v>
      </c>
      <c r="X172" s="155">
        <f>_xlfn.XLOOKUP(base_de_datos[[#This Row],[Materia]],Materias,Horas)/16</f>
        <v>3</v>
      </c>
      <c r="Y172" s="155">
        <f>ROUND(((base_de_datos[[#This Row],[Hora fin]]-base_de_datos[[#This Row],[Hora inicio]])*24)*(COUNTA(base_de_datos[[#This Row],[Lunes]:[Sábado]])),1)</f>
        <v>1.5</v>
      </c>
      <c r="Z17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2" s="155">
        <f ca="1">IF(base_de_datos[[#This Row],[No clase]]=OFFSET(base_de_datos[[#This Row],[No clase]],-1,0),0,1)</f>
        <v>0</v>
      </c>
      <c r="AB172" s="155">
        <f ca="1">IF(NOT(OR(base_de_datos[[#This Row],[Horas totales]]=base_de_datos[[#This Row],[HT Plan]],base_de_datos[[#This Row],[Horas totales]]="N/A")),1,0)</f>
        <v>0</v>
      </c>
      <c r="AC172" s="155" t="str">
        <f>_xlfn.XLOOKUP(base_de_datos[[#This Row],[Profesor]],Nombre,Grado)</f>
        <v>D</v>
      </c>
      <c r="AD172" s="156" t="str">
        <f>_xlfn.XLOOKUP(base_de_datos[[#This Row],[Profesor]],Nombre,Tipo)</f>
        <v>H</v>
      </c>
      <c r="AE172" s="155">
        <f>IF(IFERROR(VLOOKUP($C172,Planes_de_estudio[],MATCH($AE$2,Carreras,0)+2,0),"")&gt;0,IFERROR(VLOOKUP($C172,Planes_de_estudio[],MATCH($AE$2,Carreras,0)+2,0),""),"")</f>
        <v>2</v>
      </c>
      <c r="AF172" s="155">
        <f>IF(IFERROR(VLOOKUP($C172,Planes_de_estudio[],MATCH($AF$2,Carreras,0)+2,0),"")&gt;0,IFERROR(VLOOKUP($C172,Planes_de_estudio[],MATCH($AF$2,Carreras,0)+2,0),""),"")</f>
        <v>2</v>
      </c>
      <c r="AG172" s="155">
        <f>IF(IFERROR(VLOOKUP($C172,Planes_de_estudio[],MATCH($AG$2,Carreras,0)+2,0),"")&gt;0,IFERROR(VLOOKUP($C172,Planes_de_estudio[],MATCH($AG$2,Carreras,0)+2,0),""),"")</f>
        <v>2</v>
      </c>
      <c r="AH172" s="155">
        <f>IF(IFERROR(VLOOKUP($C172,Planes_de_estudio[],MATCH($AH$2,Carreras,0)+2,0),"")&gt;0,IFERROR(VLOOKUP($C172,Planes_de_estudio[],MATCH($AH$2,Carreras,0)+2,0),""),"")</f>
        <v>2</v>
      </c>
      <c r="AI172" s="155">
        <f>IF(IFERROR(VLOOKUP($C172,Planes_de_estudio[],MATCH($AI$2,Carreras,0)+2,0),"")&gt;0,IFERROR(VLOOKUP($C172,Planes_de_estudio[],MATCH($AI$2,Carreras,0)+2,0),""),"")</f>
        <v>2</v>
      </c>
      <c r="AJ172" s="155">
        <f>IF(IFERROR(VLOOKUP($C172,Planes_de_estudio[],MATCH($AJ$2,Carreras,0)+2,0),"")&gt;0,IFERROR(VLOOKUP($C172,Planes_de_estudio[],MATCH($AJ$2,Carreras,0)+2,0),""),"")</f>
        <v>2</v>
      </c>
      <c r="AK172" s="155">
        <f>IF(IFERROR(VLOOKUP($C172,Planes_de_estudio[],MATCH($AK$2,Carreras,0)+2,0),"")&gt;0,IFERROR(VLOOKUP($C172,Planes_de_estudio[],MATCH($AK$2,Carreras,0)+2,0),""),"")</f>
        <v>2</v>
      </c>
      <c r="AL17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72" s="155">
        <f>base_de_datos[[#This Row],[Pronóstico]]/25</f>
        <v>0.32</v>
      </c>
      <c r="AO172" s="155" t="str">
        <f>VLOOKUP($C172,Planes_de_estudio[],2)</f>
        <v>HUM</v>
      </c>
      <c r="AP172" s="157" t="str">
        <f ca="1">IF(AND(base_de_datos[[#This Row],[Industrial]]&lt;&gt;"",base_de_datos[[#This Row],[Misma o no]]=1),base_de_datos[[#This Row],[Índice]],"")</f>
        <v/>
      </c>
      <c r="AQ172" s="157" t="str">
        <f ca="1">IF(AND(base_de_datos[[#This Row],[Mecatrónica]]&lt;&gt;"",base_de_datos[[#This Row],[Misma o no]]=1),base_de_datos[[#This Row],[Índice]],"")</f>
        <v/>
      </c>
      <c r="AR172" s="157" t="str">
        <f ca="1">IF(AND(base_de_datos[[#This Row],[Innovación y Diseño]]&lt;&gt;"",base_de_datos[[#This Row],[Misma o no]]=1),base_de_datos[[#This Row],[Índice]],"")</f>
        <v/>
      </c>
      <c r="AS172" s="157" t="str">
        <f ca="1">IF(AND(base_de_datos[[#This Row],[Inteligencia Artificial]]&lt;&gt;"",base_de_datos[[#This Row],[Misma o no]]=1),base_de_datos[[#This Row],[Índice]],"")</f>
        <v/>
      </c>
      <c r="AT172" s="157" t="str">
        <f ca="1">IF(AND(base_de_datos[[#This Row],[Tecnologías Energéticas]]&lt;&gt;"",base_de_datos[[#This Row],[Misma o no]]=1),base_de_datos[[#This Row],[Índice]],"")</f>
        <v/>
      </c>
      <c r="AU172" s="157" t="str">
        <f ca="1">IF(AND(base_de_datos[[#This Row],[Civil y Administración]]&lt;&gt;"",base_de_datos[[#This Row],[Misma o no]]=1),base_de_datos[[#This Row],[Índice]],"")</f>
        <v/>
      </c>
      <c r="AV172" s="157" t="str">
        <f ca="1">IF(AND(base_de_datos[[#This Row],[Bioelectrónica]]&lt;&gt;"",base_de_datos[[#This Row],[Misma o no]]=1),base_de_datos[[#This Row],[Índice]],"")</f>
        <v/>
      </c>
      <c r="AW172" s="158"/>
      <c r="AX172" s="231" t="s">
        <v>1631</v>
      </c>
    </row>
    <row r="173" spans="1:221" ht="15">
      <c r="B173" s="148" t="s">
        <v>372</v>
      </c>
      <c r="C173" s="149" t="s">
        <v>205</v>
      </c>
      <c r="D173" s="150">
        <v>1</v>
      </c>
      <c r="E173" s="151">
        <v>0.625</v>
      </c>
      <c r="F173" s="151">
        <v>0.70833333333332704</v>
      </c>
      <c r="G173" s="218" t="s">
        <v>111</v>
      </c>
      <c r="H173" s="150" t="s">
        <v>124</v>
      </c>
      <c r="I173" s="150">
        <f>INDEX(Aulas_capacidad,MATCH(base_de_datos[[#This Row],[Aula]],Aulas,0),2)</f>
        <v>0</v>
      </c>
      <c r="J173" s="152">
        <v>24</v>
      </c>
      <c r="K173" s="150">
        <f>INDEX(Aulas_capacidad,MATCH(base_de_datos[[#This Row],[Aula]],Aulas,0),4)</f>
        <v>0</v>
      </c>
      <c r="L173" s="153">
        <f>base_de_datos[[#This Row],[Cap 1.5]]-base_de_datos[[#This Row],[Inscritos]]</f>
        <v>-24</v>
      </c>
      <c r="M173" s="153">
        <f>INDEX(Aulas_capacidad,MATCH(base_de_datos[[#This Row],[Aula]],Aulas,0),5)</f>
        <v>0</v>
      </c>
      <c r="N173" s="153">
        <f>base_de_datos[[#This Row],[Cap .90]]-base_de_datos[[#This Row],[Inscritos]]</f>
        <v>-24</v>
      </c>
      <c r="O173" s="150" t="s">
        <v>373</v>
      </c>
      <c r="P173" s="154"/>
      <c r="Q173" s="154" t="s">
        <v>67</v>
      </c>
      <c r="R173" s="154"/>
      <c r="S173" s="154" t="s">
        <v>67</v>
      </c>
      <c r="T173" s="154"/>
      <c r="U173" s="154"/>
      <c r="V173" s="154"/>
      <c r="W173" s="154" t="s">
        <v>1651</v>
      </c>
      <c r="X173" s="155">
        <f>_xlfn.XLOOKUP(base_de_datos[[#This Row],[Materia]],Materias,Horas)/16</f>
        <v>4</v>
      </c>
      <c r="Y173" s="155">
        <f>ROUND(((base_de_datos[[#This Row],[Hora fin]]-base_de_datos[[#This Row],[Hora inicio]])*24)*(COUNTA(base_de_datos[[#This Row],[Lunes]:[Sábado]])),1)</f>
        <v>4</v>
      </c>
      <c r="Z17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3" s="155">
        <f ca="1">IF(base_de_datos[[#This Row],[No clase]]=OFFSET(base_de_datos[[#This Row],[No clase]],-1,0),0,1)</f>
        <v>1</v>
      </c>
      <c r="AB173" s="155">
        <f ca="1">IF(NOT(OR(base_de_datos[[#This Row],[Horas totales]]=base_de_datos[[#This Row],[HT Plan]],base_de_datos[[#This Row],[Horas totales]]="N/A")),1,0)</f>
        <v>0</v>
      </c>
      <c r="AC173" s="155" t="str">
        <f>_xlfn.XLOOKUP(base_de_datos[[#This Row],[Profesor]],Nombre,Grado)</f>
        <v>D</v>
      </c>
      <c r="AD173" s="156" t="str">
        <f>_xlfn.XLOOKUP(base_de_datos[[#This Row],[Profesor]],Nombre,Tipo)</f>
        <v>TC</v>
      </c>
      <c r="AE173" s="155" t="str">
        <f>IF(IFERROR(VLOOKUP($C173,Planes_de_estudio[],MATCH($AE$2,Carreras,0)+2,0),"")&gt;0,IFERROR(VLOOKUP($C173,Planes_de_estudio[],MATCH($AE$2,Carreras,0)+2,0),""),"")</f>
        <v/>
      </c>
      <c r="AF173" s="155">
        <f>IF(IFERROR(VLOOKUP($C173,Planes_de_estudio[],MATCH($AF$2,Carreras,0)+2,0),"")&gt;0,IFERROR(VLOOKUP($C173,Planes_de_estudio[],MATCH($AF$2,Carreras,0)+2,0),""),"")</f>
        <v>5</v>
      </c>
      <c r="AG173" s="155" t="str">
        <f>IF(IFERROR(VLOOKUP($C173,Planes_de_estudio[],MATCH($AG$2,Carreras,0)+2,0),"")&gt;0,IFERROR(VLOOKUP($C173,Planes_de_estudio[],MATCH($AG$2,Carreras,0)+2,0),""),"")</f>
        <v/>
      </c>
      <c r="AH173" s="155">
        <f>IF(IFERROR(VLOOKUP($C173,Planes_de_estudio[],MATCH($AH$2,Carreras,0)+2,0),"")&gt;0,IFERROR(VLOOKUP($C173,Planes_de_estudio[],MATCH($AH$2,Carreras,0)+2,0),""),"")</f>
        <v>5</v>
      </c>
      <c r="AI173" s="155">
        <f>IF(IFERROR(VLOOKUP($C173,Planes_de_estudio[],MATCH($AI$2,Carreras,0)+2,0),"")&gt;0,IFERROR(VLOOKUP($C173,Planes_de_estudio[],MATCH($AI$2,Carreras,0)+2,0),""),"")</f>
        <v>6</v>
      </c>
      <c r="AJ173" s="155" t="str">
        <f>IF(IFERROR(VLOOKUP($C173,Planes_de_estudio[],MATCH($AJ$2,Carreras,0)+2,0),"")&gt;0,IFERROR(VLOOKUP($C173,Planes_de_estudio[],MATCH($AJ$2,Carreras,0)+2,0),""),"")</f>
        <v/>
      </c>
      <c r="AK173" s="155">
        <f>IF(IFERROR(VLOOKUP($C173,Planes_de_estudio[],MATCH($AK$2,Carreras,0)+2,0),"")&gt;0,IFERROR(VLOOKUP($C173,Planes_de_estudio[],MATCH($AK$2,Carreras,0)+2,0),""),"")</f>
        <v>5</v>
      </c>
      <c r="AL17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48</v>
      </c>
      <c r="AN173" s="155">
        <f>base_de_datos[[#This Row],[Pronóstico]]/25</f>
        <v>1.92</v>
      </c>
      <c r="AO173" s="155" t="str">
        <f>VLOOKUP($C173,Planes_de_estudio[],2)</f>
        <v>EEC</v>
      </c>
      <c r="AP173" s="157" t="str">
        <f ca="1">IF(AND(base_de_datos[[#This Row],[Industrial]]&lt;&gt;"",base_de_datos[[#This Row],[Misma o no]]=1),base_de_datos[[#This Row],[Índice]],"")</f>
        <v/>
      </c>
      <c r="AQ173" s="157">
        <f ca="1">IF(AND(base_de_datos[[#This Row],[Mecatrónica]]&lt;&gt;"",base_de_datos[[#This Row],[Misma o no]]=1),base_de_datos[[#This Row],[Índice]],"")</f>
        <v>6</v>
      </c>
      <c r="AR173" s="157" t="str">
        <f ca="1">IF(AND(base_de_datos[[#This Row],[Innovación y Diseño]]&lt;&gt;"",base_de_datos[[#This Row],[Misma o no]]=1),base_de_datos[[#This Row],[Índice]],"")</f>
        <v/>
      </c>
      <c r="AS173" s="157">
        <f ca="1">IF(AND(base_de_datos[[#This Row],[Inteligencia Artificial]]&lt;&gt;"",base_de_datos[[#This Row],[Misma o no]]=1),base_de_datos[[#This Row],[Índice]],"")</f>
        <v>6</v>
      </c>
      <c r="AT173" s="157">
        <f ca="1">IF(AND(base_de_datos[[#This Row],[Tecnologías Energéticas]]&lt;&gt;"",base_de_datos[[#This Row],[Misma o no]]=1),base_de_datos[[#This Row],[Índice]],"")</f>
        <v>6</v>
      </c>
      <c r="AU173" s="157" t="str">
        <f ca="1">IF(AND(base_de_datos[[#This Row],[Civil y Administración]]&lt;&gt;"",base_de_datos[[#This Row],[Misma o no]]=1),base_de_datos[[#This Row],[Índice]],"")</f>
        <v/>
      </c>
      <c r="AV173" s="157">
        <f ca="1">IF(AND(base_de_datos[[#This Row],[Bioelectrónica]]&lt;&gt;"",base_de_datos[[#This Row],[Misma o no]]=1),base_de_datos[[#This Row],[Índice]],"")</f>
        <v>6</v>
      </c>
      <c r="AW173" s="158"/>
      <c r="AX173" s="231" t="s">
        <v>1631</v>
      </c>
    </row>
    <row r="174" spans="1:221" ht="15">
      <c r="B174" s="148" t="s">
        <v>372</v>
      </c>
      <c r="C174" s="149" t="s">
        <v>374</v>
      </c>
      <c r="D174" s="150">
        <v>1</v>
      </c>
      <c r="E174" s="151">
        <v>0.70833333333333304</v>
      </c>
      <c r="F174" s="151">
        <v>0.77083333333332604</v>
      </c>
      <c r="G174" s="218" t="s">
        <v>65</v>
      </c>
      <c r="H174" s="150" t="s">
        <v>124</v>
      </c>
      <c r="I174" s="150">
        <f>INDEX(Aulas_capacidad,MATCH(base_de_datos[[#This Row],[Aula]],Aulas,0),2)</f>
        <v>0</v>
      </c>
      <c r="J174" s="152">
        <v>5</v>
      </c>
      <c r="K174" s="150">
        <f>INDEX(Aulas_capacidad,MATCH(base_de_datos[[#This Row],[Aula]],Aulas,0),4)</f>
        <v>0</v>
      </c>
      <c r="L174" s="153">
        <f>base_de_datos[[#This Row],[Cap 1.5]]-base_de_datos[[#This Row],[Inscritos]]</f>
        <v>-5</v>
      </c>
      <c r="M174" s="153">
        <f>INDEX(Aulas_capacidad,MATCH(base_de_datos[[#This Row],[Aula]],Aulas,0),5)</f>
        <v>0</v>
      </c>
      <c r="N174" s="153">
        <f>base_de_datos[[#This Row],[Cap .90]]-base_de_datos[[#This Row],[Inscritos]]</f>
        <v>-5</v>
      </c>
      <c r="O174" s="150" t="s">
        <v>375</v>
      </c>
      <c r="P174" s="154"/>
      <c r="Q174" s="154" t="s">
        <v>67</v>
      </c>
      <c r="R174" s="154"/>
      <c r="S174" s="154"/>
      <c r="T174" s="154"/>
      <c r="U174" s="154"/>
      <c r="V174" s="154"/>
      <c r="W174" s="154" t="s">
        <v>1656</v>
      </c>
      <c r="X174" s="155">
        <f>_xlfn.XLOOKUP(base_de_datos[[#This Row],[Materia]],Materias,Horas)/16</f>
        <v>3</v>
      </c>
      <c r="Y174" s="155">
        <f>ROUND(((base_de_datos[[#This Row],[Hora fin]]-base_de_datos[[#This Row],[Hora inicio]])*24)*(COUNTA(base_de_datos[[#This Row],[Lunes]:[Sábado]])),1)</f>
        <v>1.5</v>
      </c>
      <c r="Z17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4" s="155">
        <f ca="1">IF(base_de_datos[[#This Row],[No clase]]=OFFSET(base_de_datos[[#This Row],[No clase]],-1,0),0,1)</f>
        <v>1</v>
      </c>
      <c r="AB174" s="155">
        <f ca="1">IF(NOT(OR(base_de_datos[[#This Row],[Horas totales]]=base_de_datos[[#This Row],[HT Plan]],base_de_datos[[#This Row],[Horas totales]]="N/A")),1,0)</f>
        <v>0</v>
      </c>
      <c r="AC174" s="155" t="str">
        <f>_xlfn.XLOOKUP(base_de_datos[[#This Row],[Profesor]],Nombre,Grado)</f>
        <v>D</v>
      </c>
      <c r="AD174" s="156" t="str">
        <f>_xlfn.XLOOKUP(base_de_datos[[#This Row],[Profesor]],Nombre,Tipo)</f>
        <v>TC</v>
      </c>
      <c r="AE174" s="155" t="str">
        <f>IF(IFERROR(VLOOKUP($C174,Planes_de_estudio[],MATCH($AE$2,Carreras,0)+2,0),"")&gt;0,IFERROR(VLOOKUP($C174,Planes_de_estudio[],MATCH($AE$2,Carreras,0)+2,0),""),"")</f>
        <v/>
      </c>
      <c r="AF174" s="155">
        <f>IF(IFERROR(VLOOKUP($C174,Planes_de_estudio[],MATCH($AF$2,Carreras,0)+2,0),"")&gt;0,IFERROR(VLOOKUP($C174,Planes_de_estudio[],MATCH($AF$2,Carreras,0)+2,0),""),"")</f>
        <v>6</v>
      </c>
      <c r="AG174" s="155" t="str">
        <f>IF(IFERROR(VLOOKUP($C174,Planes_de_estudio[],MATCH($AG$2,Carreras,0)+2,0),"")&gt;0,IFERROR(VLOOKUP($C174,Planes_de_estudio[],MATCH($AG$2,Carreras,0)+2,0),""),"")</f>
        <v/>
      </c>
      <c r="AH174" s="155">
        <f>IF(IFERROR(VLOOKUP($C174,Planes_de_estudio[],MATCH($AH$2,Carreras,0)+2,0),"")&gt;0,IFERROR(VLOOKUP($C174,Planes_de_estudio[],MATCH($AH$2,Carreras,0)+2,0),""),"")</f>
        <v>6</v>
      </c>
      <c r="AI174" s="155">
        <f>IF(IFERROR(VLOOKUP($C174,Planes_de_estudio[],MATCH($AI$2,Carreras,0)+2,0),"")&gt;0,IFERROR(VLOOKUP($C174,Planes_de_estudio[],MATCH($AI$2,Carreras,0)+2,0),""),"")</f>
        <v>7</v>
      </c>
      <c r="AJ174" s="155" t="str">
        <f>IF(IFERROR(VLOOKUP($C174,Planes_de_estudio[],MATCH($AJ$2,Carreras,0)+2,0),"")&gt;0,IFERROR(VLOOKUP($C174,Planes_de_estudio[],MATCH($AJ$2,Carreras,0)+2,0),""),"")</f>
        <v/>
      </c>
      <c r="AK174" s="155">
        <f>IF(IFERROR(VLOOKUP($C174,Planes_de_estudio[],MATCH($AK$2,Carreras,0)+2,0),"")&gt;0,IFERROR(VLOOKUP($C174,Planes_de_estudio[],MATCH($AK$2,Carreras,0)+2,0),""),"")</f>
        <v>6</v>
      </c>
      <c r="AL17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174" s="155">
        <f>base_de_datos[[#This Row],[Pronóstico]]/25</f>
        <v>0.24</v>
      </c>
      <c r="AO174" s="155" t="str">
        <f>VLOOKUP($C174,Planes_de_estudio[],2)</f>
        <v>EEC</v>
      </c>
      <c r="AP174" s="157" t="str">
        <f ca="1">IF(AND(base_de_datos[[#This Row],[Industrial]]&lt;&gt;"",base_de_datos[[#This Row],[Misma o no]]=1),base_de_datos[[#This Row],[Índice]],"")</f>
        <v/>
      </c>
      <c r="AQ174" s="157">
        <f ca="1">IF(AND(base_de_datos[[#This Row],[Mecatrónica]]&lt;&gt;"",base_de_datos[[#This Row],[Misma o no]]=1),base_de_datos[[#This Row],[Índice]],"")</f>
        <v>6</v>
      </c>
      <c r="AR174" s="157" t="str">
        <f ca="1">IF(AND(base_de_datos[[#This Row],[Innovación y Diseño]]&lt;&gt;"",base_de_datos[[#This Row],[Misma o no]]=1),base_de_datos[[#This Row],[Índice]],"")</f>
        <v/>
      </c>
      <c r="AS174" s="157">
        <f ca="1">IF(AND(base_de_datos[[#This Row],[Inteligencia Artificial]]&lt;&gt;"",base_de_datos[[#This Row],[Misma o no]]=1),base_de_datos[[#This Row],[Índice]],"")</f>
        <v>6</v>
      </c>
      <c r="AT174" s="157">
        <f ca="1">IF(AND(base_de_datos[[#This Row],[Tecnologías Energéticas]]&lt;&gt;"",base_de_datos[[#This Row],[Misma o no]]=1),base_de_datos[[#This Row],[Índice]],"")</f>
        <v>6</v>
      </c>
      <c r="AU174" s="157" t="str">
        <f ca="1">IF(AND(base_de_datos[[#This Row],[Civil y Administración]]&lt;&gt;"",base_de_datos[[#This Row],[Misma o no]]=1),base_de_datos[[#This Row],[Índice]],"")</f>
        <v/>
      </c>
      <c r="AV174" s="157">
        <f ca="1">IF(AND(base_de_datos[[#This Row],[Bioelectrónica]]&lt;&gt;"",base_de_datos[[#This Row],[Misma o no]]=1),base_de_datos[[#This Row],[Índice]],"")</f>
        <v>6</v>
      </c>
      <c r="AW174" s="158"/>
      <c r="AX174" s="231" t="s">
        <v>1631</v>
      </c>
    </row>
    <row r="175" spans="1:221" ht="15">
      <c r="B175" s="148" t="s">
        <v>372</v>
      </c>
      <c r="C175" s="149" t="s">
        <v>374</v>
      </c>
      <c r="D175" s="150">
        <v>1</v>
      </c>
      <c r="E175" s="151">
        <v>0.70833333333333304</v>
      </c>
      <c r="F175" s="151">
        <v>0.77083333333332604</v>
      </c>
      <c r="G175" s="218" t="s">
        <v>65</v>
      </c>
      <c r="H175" s="150" t="s">
        <v>124</v>
      </c>
      <c r="I175" s="150">
        <f>INDEX(Aulas_capacidad,MATCH(base_de_datos[[#This Row],[Aula]],Aulas,0),2)</f>
        <v>0</v>
      </c>
      <c r="J175" s="152">
        <v>5</v>
      </c>
      <c r="K175" s="150">
        <f>INDEX(Aulas_capacidad,MATCH(base_de_datos[[#This Row],[Aula]],Aulas,0),4)</f>
        <v>0</v>
      </c>
      <c r="L175" s="153">
        <f>base_de_datos[[#This Row],[Cap 1.5]]-base_de_datos[[#This Row],[Inscritos]]</f>
        <v>-5</v>
      </c>
      <c r="M175" s="153">
        <f>INDEX(Aulas_capacidad,MATCH(base_de_datos[[#This Row],[Aula]],Aulas,0),5)</f>
        <v>0</v>
      </c>
      <c r="N175" s="153">
        <f>base_de_datos[[#This Row],[Cap .90]]-base_de_datos[[#This Row],[Inscritos]]</f>
        <v>-5</v>
      </c>
      <c r="O175" s="150" t="s">
        <v>375</v>
      </c>
      <c r="P175" s="154"/>
      <c r="Q175" s="154"/>
      <c r="R175" s="154"/>
      <c r="S175" s="154" t="s">
        <v>67</v>
      </c>
      <c r="T175" s="154"/>
      <c r="U175" s="154"/>
      <c r="V175" s="154"/>
      <c r="W175" s="154" t="s">
        <v>1656</v>
      </c>
      <c r="X175" s="155">
        <f>_xlfn.XLOOKUP(base_de_datos[[#This Row],[Materia]],Materias,Horas)/16</f>
        <v>3</v>
      </c>
      <c r="Y175" s="155">
        <f>ROUND(((base_de_datos[[#This Row],[Hora fin]]-base_de_datos[[#This Row],[Hora inicio]])*24)*(COUNTA(base_de_datos[[#This Row],[Lunes]:[Sábado]])),1)</f>
        <v>1.5</v>
      </c>
      <c r="Z17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5" s="155">
        <f ca="1">IF(base_de_datos[[#This Row],[No clase]]=OFFSET(base_de_datos[[#This Row],[No clase]],-1,0),0,1)</f>
        <v>0</v>
      </c>
      <c r="AB175" s="155">
        <f ca="1">IF(NOT(OR(base_de_datos[[#This Row],[Horas totales]]=base_de_datos[[#This Row],[HT Plan]],base_de_datos[[#This Row],[Horas totales]]="N/A")),1,0)</f>
        <v>0</v>
      </c>
      <c r="AC175" s="155" t="str">
        <f>_xlfn.XLOOKUP(base_de_datos[[#This Row],[Profesor]],Nombre,Grado)</f>
        <v>D</v>
      </c>
      <c r="AD175" s="156" t="str">
        <f>_xlfn.XLOOKUP(base_de_datos[[#This Row],[Profesor]],Nombre,Tipo)</f>
        <v>TC</v>
      </c>
      <c r="AE175" s="155" t="str">
        <f>IF(IFERROR(VLOOKUP($C175,Planes_de_estudio[],MATCH($AE$2,Carreras,0)+2,0),"")&gt;0,IFERROR(VLOOKUP($C175,Planes_de_estudio[],MATCH($AE$2,Carreras,0)+2,0),""),"")</f>
        <v/>
      </c>
      <c r="AF175" s="155">
        <f>IF(IFERROR(VLOOKUP($C175,Planes_de_estudio[],MATCH($AF$2,Carreras,0)+2,0),"")&gt;0,IFERROR(VLOOKUP($C175,Planes_de_estudio[],MATCH($AF$2,Carreras,0)+2,0),""),"")</f>
        <v>6</v>
      </c>
      <c r="AG175" s="155" t="str">
        <f>IF(IFERROR(VLOOKUP($C175,Planes_de_estudio[],MATCH($AG$2,Carreras,0)+2,0),"")&gt;0,IFERROR(VLOOKUP($C175,Planes_de_estudio[],MATCH($AG$2,Carreras,0)+2,0),""),"")</f>
        <v/>
      </c>
      <c r="AH175" s="155">
        <f>IF(IFERROR(VLOOKUP($C175,Planes_de_estudio[],MATCH($AH$2,Carreras,0)+2,0),"")&gt;0,IFERROR(VLOOKUP($C175,Planes_de_estudio[],MATCH($AH$2,Carreras,0)+2,0),""),"")</f>
        <v>6</v>
      </c>
      <c r="AI175" s="155">
        <f>IF(IFERROR(VLOOKUP($C175,Planes_de_estudio[],MATCH($AI$2,Carreras,0)+2,0),"")&gt;0,IFERROR(VLOOKUP($C175,Planes_de_estudio[],MATCH($AI$2,Carreras,0)+2,0),""),"")</f>
        <v>7</v>
      </c>
      <c r="AJ175" s="155" t="str">
        <f>IF(IFERROR(VLOOKUP($C175,Planes_de_estudio[],MATCH($AJ$2,Carreras,0)+2,0),"")&gt;0,IFERROR(VLOOKUP($C175,Planes_de_estudio[],MATCH($AJ$2,Carreras,0)+2,0),""),"")</f>
        <v/>
      </c>
      <c r="AK175" s="155">
        <f>IF(IFERROR(VLOOKUP($C175,Planes_de_estudio[],MATCH($AK$2,Carreras,0)+2,0),"")&gt;0,IFERROR(VLOOKUP($C175,Planes_de_estudio[],MATCH($AK$2,Carreras,0)+2,0),""),"")</f>
        <v>6</v>
      </c>
      <c r="AL17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175" s="155">
        <f>base_de_datos[[#This Row],[Pronóstico]]/25</f>
        <v>0.24</v>
      </c>
      <c r="AO175" s="155" t="str">
        <f>VLOOKUP($C175,Planes_de_estudio[],2)</f>
        <v>EEC</v>
      </c>
      <c r="AP175" s="157" t="str">
        <f ca="1">IF(AND(base_de_datos[[#This Row],[Industrial]]&lt;&gt;"",base_de_datos[[#This Row],[Misma o no]]=1),base_de_datos[[#This Row],[Índice]],"")</f>
        <v/>
      </c>
      <c r="AQ175" s="157" t="str">
        <f ca="1">IF(AND(base_de_datos[[#This Row],[Mecatrónica]]&lt;&gt;"",base_de_datos[[#This Row],[Misma o no]]=1),base_de_datos[[#This Row],[Índice]],"")</f>
        <v/>
      </c>
      <c r="AR175" s="157" t="str">
        <f ca="1">IF(AND(base_de_datos[[#This Row],[Innovación y Diseño]]&lt;&gt;"",base_de_datos[[#This Row],[Misma o no]]=1),base_de_datos[[#This Row],[Índice]],"")</f>
        <v/>
      </c>
      <c r="AS175" s="157" t="str">
        <f ca="1">IF(AND(base_de_datos[[#This Row],[Inteligencia Artificial]]&lt;&gt;"",base_de_datos[[#This Row],[Misma o no]]=1),base_de_datos[[#This Row],[Índice]],"")</f>
        <v/>
      </c>
      <c r="AT175" s="157" t="str">
        <f ca="1">IF(AND(base_de_datos[[#This Row],[Tecnologías Energéticas]]&lt;&gt;"",base_de_datos[[#This Row],[Misma o no]]=1),base_de_datos[[#This Row],[Índice]],"")</f>
        <v/>
      </c>
      <c r="AU175" s="157" t="str">
        <f ca="1">IF(AND(base_de_datos[[#This Row],[Civil y Administración]]&lt;&gt;"",base_de_datos[[#This Row],[Misma o no]]=1),base_de_datos[[#This Row],[Índice]],"")</f>
        <v/>
      </c>
      <c r="AV175" s="157" t="str">
        <f ca="1">IF(AND(base_de_datos[[#This Row],[Bioelectrónica]]&lt;&gt;"",base_de_datos[[#This Row],[Misma o no]]=1),base_de_datos[[#This Row],[Índice]],"")</f>
        <v/>
      </c>
      <c r="AW175" s="158"/>
      <c r="AX175" s="231">
        <v>2</v>
      </c>
    </row>
    <row r="176" spans="1:221" ht="15">
      <c r="B176" s="148" t="s">
        <v>376</v>
      </c>
      <c r="C176" s="149" t="s">
        <v>377</v>
      </c>
      <c r="D176" s="150">
        <v>1</v>
      </c>
      <c r="E176" s="151">
        <v>0.5</v>
      </c>
      <c r="F176" s="151">
        <v>0.58333333333332904</v>
      </c>
      <c r="G176" s="218" t="s">
        <v>65</v>
      </c>
      <c r="H176" s="150" t="s">
        <v>1</v>
      </c>
      <c r="I176" s="150">
        <f>INDEX(Aulas_capacidad,MATCH(base_de_datos[[#This Row],[Aula]],Aulas,0),2)</f>
        <v>30</v>
      </c>
      <c r="J176" s="152">
        <v>18</v>
      </c>
      <c r="K176" s="150">
        <f>INDEX(Aulas_capacidad,MATCH(base_de_datos[[#This Row],[Aula]],Aulas,0),4)</f>
        <v>0</v>
      </c>
      <c r="L176" s="153">
        <f>base_de_datos[[#This Row],[Cap 1.5]]-base_de_datos[[#This Row],[Inscritos]]</f>
        <v>-18</v>
      </c>
      <c r="M176" s="153">
        <f>INDEX(Aulas_capacidad,MATCH(base_de_datos[[#This Row],[Aula]],Aulas,0),5)</f>
        <v>0</v>
      </c>
      <c r="N176" s="153">
        <f>base_de_datos[[#This Row],[Cap .90]]-base_de_datos[[#This Row],[Inscritos]]</f>
        <v>-18</v>
      </c>
      <c r="O176" s="150">
        <v>1635</v>
      </c>
      <c r="P176" s="154"/>
      <c r="Q176" s="154"/>
      <c r="R176" s="154"/>
      <c r="S176" s="154" t="s">
        <v>67</v>
      </c>
      <c r="T176" s="154"/>
      <c r="U176" s="154"/>
      <c r="V176" s="154"/>
      <c r="W176" s="154" t="s">
        <v>1651</v>
      </c>
      <c r="X176" s="174">
        <f>_xlfn.XLOOKUP(base_de_datos[[#This Row],[Materia]],Materias,Horas)/16</f>
        <v>5</v>
      </c>
      <c r="Y176" s="174">
        <f>ROUND(((base_de_datos[[#This Row],[Hora fin]]-base_de_datos[[#This Row],[Hora inicio]])*24)*(COUNTA(base_de_datos[[#This Row],[Lunes]:[Sábado]])),1)</f>
        <v>2</v>
      </c>
      <c r="Z176" s="174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76" s="155">
        <f ca="1">IF(base_de_datos[[#This Row],[No clase]]=OFFSET(base_de_datos[[#This Row],[No clase]],-1,0),0,1)</f>
        <v>1</v>
      </c>
      <c r="AB176" s="155">
        <f ca="1">IF(NOT(OR(base_de_datos[[#This Row],[Horas totales]]=base_de_datos[[#This Row],[HT Plan]],base_de_datos[[#This Row],[Horas totales]]="N/A")),1,0)</f>
        <v>0</v>
      </c>
      <c r="AC176" s="155" t="str">
        <f>_xlfn.XLOOKUP(base_de_datos[[#This Row],[Profesor]],Nombre,Grado)</f>
        <v>M</v>
      </c>
      <c r="AD176" s="156" t="str">
        <f>_xlfn.XLOOKUP(base_de_datos[[#This Row],[Profesor]],Nombre,Tipo)</f>
        <v>TC</v>
      </c>
      <c r="AE176" s="155" t="str">
        <f>IF(IFERROR(VLOOKUP($C176,Planes_de_estudio[],MATCH($AE$2,Carreras,0)+2,0),"")&gt;0,IFERROR(VLOOKUP($C176,Planes_de_estudio[],MATCH($AE$2,Carreras,0)+2,0),""),"")</f>
        <v/>
      </c>
      <c r="AF176" s="155" t="str">
        <f>IF(IFERROR(VLOOKUP($C176,Planes_de_estudio[],MATCH($AF$2,Carreras,0)+2,0),"")&gt;0,IFERROR(VLOOKUP($C176,Planes_de_estudio[],MATCH($AF$2,Carreras,0)+2,0),""),"")</f>
        <v/>
      </c>
      <c r="AG176" s="155">
        <f>IF(IFERROR(VLOOKUP($C176,Planes_de_estudio[],MATCH($AG$2,Carreras,0)+2,0),"")&gt;0,IFERROR(VLOOKUP($C176,Planes_de_estudio[],MATCH($AG$2,Carreras,0)+2,0),""),"")</f>
        <v>3</v>
      </c>
      <c r="AH176" s="155" t="str">
        <f>IF(IFERROR(VLOOKUP($C176,Planes_de_estudio[],MATCH($AH$2,Carreras,0)+2,0),"")&gt;0,IFERROR(VLOOKUP($C176,Planes_de_estudio[],MATCH($AH$2,Carreras,0)+2,0),""),"")</f>
        <v/>
      </c>
      <c r="AI176" s="155" t="str">
        <f>IF(IFERROR(VLOOKUP($C176,Planes_de_estudio[],MATCH($AI$2,Carreras,0)+2,0),"")&gt;0,IFERROR(VLOOKUP($C176,Planes_de_estudio[],MATCH($AI$2,Carreras,0)+2,0),""),"")</f>
        <v/>
      </c>
      <c r="AJ176" s="155" t="str">
        <f>IF(IFERROR(VLOOKUP($C176,Planes_de_estudio[],MATCH($AJ$2,Carreras,0)+2,0),"")&gt;0,IFERROR(VLOOKUP($C176,Planes_de_estudio[],MATCH($AJ$2,Carreras,0)+2,0),""),"")</f>
        <v/>
      </c>
      <c r="AK176" s="155" t="str">
        <f>IF(IFERROR(VLOOKUP($C176,Planes_de_estudio[],MATCH($AK$2,Carreras,0)+2,0),"")&gt;0,IFERROR(VLOOKUP($C176,Planes_de_estudio[],MATCH($AK$2,Carreras,0)+2,0),""),"")</f>
        <v/>
      </c>
      <c r="AL17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176" s="155">
        <f>base_de_datos[[#This Row],[Pronóstico]]/25</f>
        <v>0.68</v>
      </c>
      <c r="AO176" s="155" t="str">
        <f>VLOOKUP($C176,Planes_de_estudio[],2)</f>
        <v>IID</v>
      </c>
      <c r="AP176" s="157" t="str">
        <f ca="1">IF(AND(base_de_datos[[#This Row],[Industrial]]&lt;&gt;"",base_de_datos[[#This Row],[Misma o no]]=1),base_de_datos[[#This Row],[Índice]],"")</f>
        <v/>
      </c>
      <c r="AQ176" s="157" t="str">
        <f ca="1">IF(AND(base_de_datos[[#This Row],[Mecatrónica]]&lt;&gt;"",base_de_datos[[#This Row],[Misma o no]]=1),base_de_datos[[#This Row],[Índice]],"")</f>
        <v/>
      </c>
      <c r="AR176" s="157">
        <f ca="1">IF(AND(base_de_datos[[#This Row],[Innovación y Diseño]]&lt;&gt;"",base_de_datos[[#This Row],[Misma o no]]=1),base_de_datos[[#This Row],[Índice]],"")</f>
        <v>4</v>
      </c>
      <c r="AS176" s="157" t="str">
        <f ca="1">IF(AND(base_de_datos[[#This Row],[Inteligencia Artificial]]&lt;&gt;"",base_de_datos[[#This Row],[Misma o no]]=1),base_de_datos[[#This Row],[Índice]],"")</f>
        <v/>
      </c>
      <c r="AT176" s="157" t="str">
        <f ca="1">IF(AND(base_de_datos[[#This Row],[Tecnologías Energéticas]]&lt;&gt;"",base_de_datos[[#This Row],[Misma o no]]=1),base_de_datos[[#This Row],[Índice]],"")</f>
        <v/>
      </c>
      <c r="AU176" s="157" t="str">
        <f ca="1">IF(AND(base_de_datos[[#This Row],[Civil y Administración]]&lt;&gt;"",base_de_datos[[#This Row],[Misma o no]]=1),base_de_datos[[#This Row],[Índice]],"")</f>
        <v/>
      </c>
      <c r="AV176" s="157" t="str">
        <f ca="1">IF(AND(base_de_datos[[#This Row],[Bioelectrónica]]&lt;&gt;"",base_de_datos[[#This Row],[Misma o no]]=1),base_de_datos[[#This Row],[Índice]],"")</f>
        <v/>
      </c>
      <c r="AW176" s="158"/>
      <c r="AX176" s="231">
        <v>2</v>
      </c>
    </row>
    <row r="177" spans="1:221" s="161" customFormat="1" ht="15">
      <c r="A177" s="85"/>
      <c r="B177" s="148" t="s">
        <v>376</v>
      </c>
      <c r="C177" s="149" t="s">
        <v>377</v>
      </c>
      <c r="D177" s="150">
        <v>1</v>
      </c>
      <c r="E177" s="151">
        <v>0.5</v>
      </c>
      <c r="F177" s="151">
        <v>0.624999999999995</v>
      </c>
      <c r="G177" s="218" t="s">
        <v>65</v>
      </c>
      <c r="H177" s="150" t="s">
        <v>1</v>
      </c>
      <c r="I177" s="150">
        <f>INDEX(Aulas_capacidad,MATCH(base_de_datos[[#This Row],[Aula]],Aulas,0),2)</f>
        <v>30</v>
      </c>
      <c r="J177" s="152">
        <v>18</v>
      </c>
      <c r="K177" s="150">
        <f>INDEX(Aulas_capacidad,MATCH(base_de_datos[[#This Row],[Aula]],Aulas,0),4)</f>
        <v>0</v>
      </c>
      <c r="L177" s="153">
        <f>base_de_datos[[#This Row],[Cap 1.5]]-base_de_datos[[#This Row],[Inscritos]]</f>
        <v>-18</v>
      </c>
      <c r="M177" s="153">
        <f>INDEX(Aulas_capacidad,MATCH(base_de_datos[[#This Row],[Aula]],Aulas,0),5)</f>
        <v>0</v>
      </c>
      <c r="N177" s="153">
        <f>base_de_datos[[#This Row],[Cap .90]]-base_de_datos[[#This Row],[Inscritos]]</f>
        <v>-18</v>
      </c>
      <c r="O177" s="150">
        <v>1635</v>
      </c>
      <c r="P177" s="154"/>
      <c r="Q177" s="154" t="s">
        <v>67</v>
      </c>
      <c r="R177" s="154"/>
      <c r="S177" s="154"/>
      <c r="T177" s="154"/>
      <c r="U177" s="154"/>
      <c r="V177" s="154"/>
      <c r="W177" s="154" t="s">
        <v>1651</v>
      </c>
      <c r="X177" s="155">
        <f>_xlfn.XLOOKUP(base_de_datos[[#This Row],[Materia]],Materias,Horas)/16</f>
        <v>5</v>
      </c>
      <c r="Y177" s="155">
        <f>ROUND(((base_de_datos[[#This Row],[Hora fin]]-base_de_datos[[#This Row],[Hora inicio]])*24)*(COUNTA(base_de_datos[[#This Row],[Lunes]:[Sábado]])),1)</f>
        <v>3</v>
      </c>
      <c r="Z17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7" s="155">
        <f ca="1">IF(base_de_datos[[#This Row],[No clase]]=OFFSET(base_de_datos[[#This Row],[No clase]],-1,0),0,1)</f>
        <v>0</v>
      </c>
      <c r="AB177" s="155">
        <f ca="1">IF(NOT(OR(base_de_datos[[#This Row],[Horas totales]]=base_de_datos[[#This Row],[HT Plan]],base_de_datos[[#This Row],[Horas totales]]="N/A")),1,0)</f>
        <v>0</v>
      </c>
      <c r="AC177" s="155" t="str">
        <f>_xlfn.XLOOKUP(base_de_datos[[#This Row],[Profesor]],Nombre,Grado)</f>
        <v>M</v>
      </c>
      <c r="AD177" s="156" t="str">
        <f>_xlfn.XLOOKUP(base_de_datos[[#This Row],[Profesor]],Nombre,Tipo)</f>
        <v>TC</v>
      </c>
      <c r="AE177" s="155" t="str">
        <f>IF(IFERROR(VLOOKUP($C177,Planes_de_estudio[],MATCH($AE$2,Carreras,0)+2,0),"")&gt;0,IFERROR(VLOOKUP($C177,Planes_de_estudio[],MATCH($AE$2,Carreras,0)+2,0),""),"")</f>
        <v/>
      </c>
      <c r="AF177" s="155" t="str">
        <f>IF(IFERROR(VLOOKUP($C177,Planes_de_estudio[],MATCH($AF$2,Carreras,0)+2,0),"")&gt;0,IFERROR(VLOOKUP($C177,Planes_de_estudio[],MATCH($AF$2,Carreras,0)+2,0),""),"")</f>
        <v/>
      </c>
      <c r="AG177" s="155">
        <f>IF(IFERROR(VLOOKUP($C177,Planes_de_estudio[],MATCH($AG$2,Carreras,0)+2,0),"")&gt;0,IFERROR(VLOOKUP($C177,Planes_de_estudio[],MATCH($AG$2,Carreras,0)+2,0),""),"")</f>
        <v>3</v>
      </c>
      <c r="AH177" s="155" t="str">
        <f>IF(IFERROR(VLOOKUP($C177,Planes_de_estudio[],MATCH($AH$2,Carreras,0)+2,0),"")&gt;0,IFERROR(VLOOKUP($C177,Planes_de_estudio[],MATCH($AH$2,Carreras,0)+2,0),""),"")</f>
        <v/>
      </c>
      <c r="AI177" s="155" t="str">
        <f>IF(IFERROR(VLOOKUP($C177,Planes_de_estudio[],MATCH($AI$2,Carreras,0)+2,0),"")&gt;0,IFERROR(VLOOKUP($C177,Planes_de_estudio[],MATCH($AI$2,Carreras,0)+2,0),""),"")</f>
        <v/>
      </c>
      <c r="AJ177" s="155" t="str">
        <f>IF(IFERROR(VLOOKUP($C177,Planes_de_estudio[],MATCH($AJ$2,Carreras,0)+2,0),"")&gt;0,IFERROR(VLOOKUP($C177,Planes_de_estudio[],MATCH($AJ$2,Carreras,0)+2,0),""),"")</f>
        <v/>
      </c>
      <c r="AK177" s="155" t="str">
        <f>IF(IFERROR(VLOOKUP($C177,Planes_de_estudio[],MATCH($AK$2,Carreras,0)+2,0),"")&gt;0,IFERROR(VLOOKUP($C177,Planes_de_estudio[],MATCH($AK$2,Carreras,0)+2,0),""),"")</f>
        <v/>
      </c>
      <c r="AL17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177" s="155">
        <f>base_de_datos[[#This Row],[Pronóstico]]/25</f>
        <v>0.68</v>
      </c>
      <c r="AO177" s="155" t="str">
        <f>VLOOKUP($C177,Planes_de_estudio[],2)</f>
        <v>IID</v>
      </c>
      <c r="AP177" s="157" t="str">
        <f ca="1">IF(AND(base_de_datos[[#This Row],[Industrial]]&lt;&gt;"",base_de_datos[[#This Row],[Misma o no]]=1),base_de_datos[[#This Row],[Índice]],"")</f>
        <v/>
      </c>
      <c r="AQ177" s="157" t="str">
        <f ca="1">IF(AND(base_de_datos[[#This Row],[Mecatrónica]]&lt;&gt;"",base_de_datos[[#This Row],[Misma o no]]=1),base_de_datos[[#This Row],[Índice]],"")</f>
        <v/>
      </c>
      <c r="AR177" s="157" t="str">
        <f ca="1">IF(AND(base_de_datos[[#This Row],[Innovación y Diseño]]&lt;&gt;"",base_de_datos[[#This Row],[Misma o no]]=1),base_de_datos[[#This Row],[Índice]],"")</f>
        <v/>
      </c>
      <c r="AS177" s="157" t="str">
        <f ca="1">IF(AND(base_de_datos[[#This Row],[Inteligencia Artificial]]&lt;&gt;"",base_de_datos[[#This Row],[Misma o no]]=1),base_de_datos[[#This Row],[Índice]],"")</f>
        <v/>
      </c>
      <c r="AT177" s="157" t="str">
        <f ca="1">IF(AND(base_de_datos[[#This Row],[Tecnologías Energéticas]]&lt;&gt;"",base_de_datos[[#This Row],[Misma o no]]=1),base_de_datos[[#This Row],[Índice]],"")</f>
        <v/>
      </c>
      <c r="AU177" s="157" t="str">
        <f ca="1">IF(AND(base_de_datos[[#This Row],[Civil y Administración]]&lt;&gt;"",base_de_datos[[#This Row],[Misma o no]]=1),base_de_datos[[#This Row],[Índice]],"")</f>
        <v/>
      </c>
      <c r="AV177" s="157" t="str">
        <f ca="1">IF(AND(base_de_datos[[#This Row],[Bioelectrónica]]&lt;&gt;"",base_de_datos[[#This Row],[Misma o no]]=1),base_de_datos[[#This Row],[Índice]],"")</f>
        <v/>
      </c>
      <c r="AW177" s="158"/>
      <c r="AX177" s="231">
        <v>3</v>
      </c>
      <c r="AY177" s="85"/>
      <c r="AZ177" s="85"/>
      <c r="BA177" s="85"/>
      <c r="BB177" s="85"/>
      <c r="BC177" s="85"/>
      <c r="BD177" s="85"/>
      <c r="BE177" s="85"/>
      <c r="BF177" s="85"/>
      <c r="BG177" s="85"/>
      <c r="BH177" s="85"/>
      <c r="BI177" s="85"/>
      <c r="BJ177" s="85"/>
      <c r="BK177" s="85"/>
      <c r="BL177" s="85"/>
      <c r="BM177" s="85"/>
      <c r="BN177" s="85"/>
      <c r="BO177" s="85"/>
      <c r="BP177" s="85"/>
      <c r="BQ177" s="85"/>
      <c r="BR177" s="85"/>
      <c r="BS177" s="85"/>
      <c r="BT177" s="85"/>
      <c r="BU177" s="85"/>
      <c r="BV177" s="85"/>
      <c r="BW177" s="85"/>
      <c r="BX177" s="85"/>
      <c r="BY177" s="85"/>
      <c r="BZ177" s="85"/>
      <c r="CA177" s="85"/>
      <c r="CB177" s="85"/>
      <c r="CC177" s="85"/>
      <c r="CD177" s="85"/>
      <c r="CE177" s="85"/>
      <c r="CF177" s="85"/>
      <c r="CG177" s="85"/>
      <c r="CH177" s="85"/>
      <c r="CI177" s="85"/>
      <c r="CJ177" s="85"/>
      <c r="CK177" s="85"/>
      <c r="CL177" s="85"/>
      <c r="CM177" s="85"/>
      <c r="CN177" s="85"/>
      <c r="CO177" s="85"/>
      <c r="CP177" s="85"/>
      <c r="CQ177" s="85"/>
      <c r="CR177" s="85"/>
      <c r="CS177" s="85"/>
      <c r="CT177" s="85"/>
      <c r="CU177" s="85"/>
      <c r="CV177" s="85"/>
      <c r="CW177" s="85"/>
      <c r="CX177" s="85"/>
      <c r="CY177" s="85"/>
      <c r="CZ177" s="85"/>
      <c r="DA177" s="85"/>
      <c r="DB177" s="85"/>
      <c r="DC177" s="85"/>
      <c r="DD177" s="85"/>
      <c r="DE177" s="85"/>
      <c r="DF177" s="85"/>
      <c r="DG177" s="85"/>
      <c r="DH177" s="85"/>
      <c r="DI177" s="85"/>
      <c r="DJ177" s="85"/>
      <c r="DK177" s="85"/>
      <c r="DL177" s="85"/>
      <c r="DM177" s="85"/>
      <c r="DN177" s="85"/>
      <c r="DO177" s="85"/>
      <c r="DP177" s="85"/>
      <c r="DQ177" s="85"/>
      <c r="DR177" s="85"/>
      <c r="DS177" s="85"/>
      <c r="DT177" s="85"/>
      <c r="DU177" s="85"/>
      <c r="DV177" s="85"/>
      <c r="DW177" s="85"/>
      <c r="DX177" s="85"/>
      <c r="DY177" s="85"/>
      <c r="DZ177" s="85"/>
      <c r="EA177" s="85"/>
      <c r="EB177" s="85"/>
      <c r="EC177" s="85"/>
      <c r="ED177" s="85"/>
      <c r="EE177" s="85"/>
      <c r="EF177" s="85"/>
      <c r="EG177" s="85"/>
      <c r="EH177" s="85"/>
      <c r="EI177" s="85"/>
      <c r="EJ177" s="85"/>
      <c r="EK177" s="85"/>
      <c r="EL177" s="85"/>
      <c r="EM177" s="85"/>
      <c r="EN177" s="85"/>
      <c r="EO177" s="85"/>
      <c r="EP177" s="85"/>
      <c r="EQ177" s="85"/>
      <c r="ER177" s="85"/>
      <c r="ES177" s="85"/>
      <c r="ET177" s="85"/>
      <c r="EU177" s="85"/>
      <c r="EV177" s="85"/>
      <c r="EW177" s="85"/>
      <c r="EX177" s="85"/>
      <c r="EY177" s="85"/>
      <c r="EZ177" s="85"/>
      <c r="FA177" s="85"/>
      <c r="FB177" s="85"/>
      <c r="FC177" s="85"/>
      <c r="FD177" s="85"/>
      <c r="FE177" s="85"/>
      <c r="FF177" s="85"/>
      <c r="FG177" s="85"/>
      <c r="FH177" s="85"/>
      <c r="FI177" s="85"/>
      <c r="FJ177" s="85"/>
      <c r="FK177" s="85"/>
      <c r="FL177" s="85"/>
      <c r="FM177" s="85"/>
      <c r="FN177" s="85"/>
      <c r="FO177" s="85"/>
      <c r="FP177" s="85"/>
      <c r="FQ177" s="85"/>
      <c r="FR177" s="85"/>
      <c r="FS177" s="85"/>
      <c r="FT177" s="85"/>
      <c r="FU177" s="85"/>
      <c r="FV177" s="85"/>
      <c r="FW177" s="85"/>
      <c r="FX177" s="85"/>
      <c r="FY177" s="85"/>
      <c r="FZ177" s="85"/>
      <c r="GA177" s="85"/>
      <c r="GB177" s="85"/>
      <c r="GC177" s="85"/>
      <c r="GD177" s="85"/>
      <c r="GE177" s="85"/>
      <c r="GF177" s="85"/>
      <c r="GG177" s="85"/>
      <c r="GH177" s="85"/>
      <c r="GI177" s="85"/>
      <c r="GJ177" s="85"/>
      <c r="GK177" s="85"/>
      <c r="GL177" s="85"/>
      <c r="GM177" s="85"/>
      <c r="GN177" s="85"/>
      <c r="GO177" s="85"/>
      <c r="GP177" s="85"/>
      <c r="GQ177" s="85"/>
      <c r="GR177" s="85"/>
      <c r="GS177" s="85"/>
      <c r="GT177" s="85"/>
      <c r="GU177" s="85"/>
      <c r="GV177" s="85"/>
      <c r="GW177" s="85"/>
      <c r="GX177" s="85"/>
      <c r="GY177" s="85"/>
      <c r="GZ177" s="85"/>
      <c r="HA177" s="85"/>
      <c r="HB177" s="85"/>
      <c r="HC177" s="85"/>
      <c r="HD177" s="85"/>
      <c r="HE177" s="85"/>
      <c r="HF177" s="85"/>
      <c r="HG177" s="85"/>
      <c r="HH177" s="85"/>
      <c r="HI177" s="85"/>
      <c r="HJ177" s="85"/>
      <c r="HK177" s="85"/>
      <c r="HL177" s="85"/>
      <c r="HM177" s="85"/>
    </row>
    <row r="178" spans="1:221" s="161" customFormat="1" ht="15">
      <c r="A178" s="85"/>
      <c r="B178" s="148" t="s">
        <v>376</v>
      </c>
      <c r="C178" s="149" t="s">
        <v>378</v>
      </c>
      <c r="D178" s="150">
        <v>1</v>
      </c>
      <c r="E178" s="151">
        <v>0.39583333333333398</v>
      </c>
      <c r="F178" s="151">
        <v>0.45833333333333098</v>
      </c>
      <c r="G178" s="218" t="s">
        <v>65</v>
      </c>
      <c r="H178" s="150" t="s">
        <v>1</v>
      </c>
      <c r="I178" s="150">
        <f>INDEX(Aulas_capacidad,MATCH(base_de_datos[[#This Row],[Aula]],Aulas,0),2)</f>
        <v>30</v>
      </c>
      <c r="J178" s="152">
        <v>12</v>
      </c>
      <c r="K178" s="150">
        <f>INDEX(Aulas_capacidad,MATCH(base_de_datos[[#This Row],[Aula]],Aulas,0),4)</f>
        <v>0</v>
      </c>
      <c r="L178" s="153">
        <f>base_de_datos[[#This Row],[Cap 1.5]]-base_de_datos[[#This Row],[Inscritos]]</f>
        <v>-12</v>
      </c>
      <c r="M178" s="153">
        <f>INDEX(Aulas_capacidad,MATCH(base_de_datos[[#This Row],[Aula]],Aulas,0),5)</f>
        <v>0</v>
      </c>
      <c r="N178" s="153">
        <f>base_de_datos[[#This Row],[Cap .90]]-base_de_datos[[#This Row],[Inscritos]]</f>
        <v>-12</v>
      </c>
      <c r="O178" s="150">
        <v>1638</v>
      </c>
      <c r="P178" s="154" t="s">
        <v>67</v>
      </c>
      <c r="Q178" s="154"/>
      <c r="R178" s="154"/>
      <c r="S178" s="154"/>
      <c r="T178" s="154"/>
      <c r="U178" s="154"/>
      <c r="V178" s="154"/>
      <c r="W178" s="154" t="s">
        <v>1652</v>
      </c>
      <c r="X178" s="155">
        <f>_xlfn.XLOOKUP(base_de_datos[[#This Row],[Materia]],Materias,Horas)/16</f>
        <v>3</v>
      </c>
      <c r="Y178" s="155">
        <f>ROUND(((base_de_datos[[#This Row],[Hora fin]]-base_de_datos[[#This Row],[Hora inicio]])*24)*(COUNTA(base_de_datos[[#This Row],[Lunes]:[Sábado]])),1)</f>
        <v>1.5</v>
      </c>
      <c r="Z17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8" s="155">
        <f ca="1">IF(base_de_datos[[#This Row],[No clase]]=OFFSET(base_de_datos[[#This Row],[No clase]],-1,0),0,1)</f>
        <v>1</v>
      </c>
      <c r="AB178" s="155">
        <f ca="1">IF(NOT(OR(base_de_datos[[#This Row],[Horas totales]]=base_de_datos[[#This Row],[HT Plan]],base_de_datos[[#This Row],[Horas totales]]="N/A")),1,0)</f>
        <v>0</v>
      </c>
      <c r="AC178" s="155" t="str">
        <f>_xlfn.XLOOKUP(base_de_datos[[#This Row],[Profesor]],Nombre,Grado)</f>
        <v>M</v>
      </c>
      <c r="AD178" s="156" t="str">
        <f>_xlfn.XLOOKUP(base_de_datos[[#This Row],[Profesor]],Nombre,Tipo)</f>
        <v>TC</v>
      </c>
      <c r="AE178" s="155" t="str">
        <f>IF(IFERROR(VLOOKUP($C178,Planes_de_estudio[],MATCH($AE$2,Carreras,0)+2,0),"")&gt;0,IFERROR(VLOOKUP($C178,Planes_de_estudio[],MATCH($AE$2,Carreras,0)+2,0),""),"")</f>
        <v/>
      </c>
      <c r="AF178" s="155" t="str">
        <f>IF(IFERROR(VLOOKUP($C178,Planes_de_estudio[],MATCH($AF$2,Carreras,0)+2,0),"")&gt;0,IFERROR(VLOOKUP($C178,Planes_de_estudio[],MATCH($AF$2,Carreras,0)+2,0),""),"")</f>
        <v/>
      </c>
      <c r="AG178" s="155">
        <f>IF(IFERROR(VLOOKUP($C178,Planes_de_estudio[],MATCH($AG$2,Carreras,0)+2,0),"")&gt;0,IFERROR(VLOOKUP($C178,Planes_de_estudio[],MATCH($AG$2,Carreras,0)+2,0),""),"")</f>
        <v>1</v>
      </c>
      <c r="AH178" s="155" t="str">
        <f>IF(IFERROR(VLOOKUP($C178,Planes_de_estudio[],MATCH($AH$2,Carreras,0)+2,0),"")&gt;0,IFERROR(VLOOKUP($C178,Planes_de_estudio[],MATCH($AH$2,Carreras,0)+2,0),""),"")</f>
        <v/>
      </c>
      <c r="AI178" s="155" t="str">
        <f>IF(IFERROR(VLOOKUP($C178,Planes_de_estudio[],MATCH($AI$2,Carreras,0)+2,0),"")&gt;0,IFERROR(VLOOKUP($C178,Planes_de_estudio[],MATCH($AI$2,Carreras,0)+2,0),""),"")</f>
        <v/>
      </c>
      <c r="AJ178" s="155" t="str">
        <f>IF(IFERROR(VLOOKUP($C178,Planes_de_estudio[],MATCH($AJ$2,Carreras,0)+2,0),"")&gt;0,IFERROR(VLOOKUP($C178,Planes_de_estudio[],MATCH($AJ$2,Carreras,0)+2,0),""),"")</f>
        <v/>
      </c>
      <c r="AK178" s="155" t="str">
        <f>IF(IFERROR(VLOOKUP($C178,Planes_de_estudio[],MATCH($AK$2,Carreras,0)+2,0),"")&gt;0,IFERROR(VLOOKUP($C178,Planes_de_estudio[],MATCH($AK$2,Carreras,0)+2,0),""),"")</f>
        <v/>
      </c>
      <c r="AL17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178" s="155">
        <f>base_de_datos[[#This Row],[Pronóstico]]/25</f>
        <v>0.6</v>
      </c>
      <c r="AO178" s="155" t="str">
        <f>VLOOKUP($C178,Planes_de_estudio[],2)</f>
        <v>IID</v>
      </c>
      <c r="AP178" s="157" t="str">
        <f ca="1">IF(AND(base_de_datos[[#This Row],[Industrial]]&lt;&gt;"",base_de_datos[[#This Row],[Misma o no]]=1),base_de_datos[[#This Row],[Índice]],"")</f>
        <v/>
      </c>
      <c r="AQ178" s="157" t="str">
        <f ca="1">IF(AND(base_de_datos[[#This Row],[Mecatrónica]]&lt;&gt;"",base_de_datos[[#This Row],[Misma o no]]=1),base_de_datos[[#This Row],[Índice]],"")</f>
        <v/>
      </c>
      <c r="AR178" s="157">
        <f ca="1">IF(AND(base_de_datos[[#This Row],[Innovación y Diseño]]&lt;&gt;"",base_de_datos[[#This Row],[Misma o no]]=1),base_de_datos[[#This Row],[Índice]],"")</f>
        <v>4</v>
      </c>
      <c r="AS178" s="157" t="str">
        <f ca="1">IF(AND(base_de_datos[[#This Row],[Inteligencia Artificial]]&lt;&gt;"",base_de_datos[[#This Row],[Misma o no]]=1),base_de_datos[[#This Row],[Índice]],"")</f>
        <v/>
      </c>
      <c r="AT178" s="157" t="str">
        <f ca="1">IF(AND(base_de_datos[[#This Row],[Tecnologías Energéticas]]&lt;&gt;"",base_de_datos[[#This Row],[Misma o no]]=1),base_de_datos[[#This Row],[Índice]],"")</f>
        <v/>
      </c>
      <c r="AU178" s="157" t="str">
        <f ca="1">IF(AND(base_de_datos[[#This Row],[Civil y Administración]]&lt;&gt;"",base_de_datos[[#This Row],[Misma o no]]=1),base_de_datos[[#This Row],[Índice]],"")</f>
        <v/>
      </c>
      <c r="AV178" s="157" t="str">
        <f ca="1">IF(AND(base_de_datos[[#This Row],[Bioelectrónica]]&lt;&gt;"",base_de_datos[[#This Row],[Misma o no]]=1),base_de_datos[[#This Row],[Índice]],"")</f>
        <v/>
      </c>
      <c r="AW178" s="158"/>
      <c r="AX178" s="231">
        <v>3</v>
      </c>
      <c r="AY178" s="85"/>
      <c r="AZ178" s="85"/>
      <c r="BA178" s="85"/>
      <c r="BB178" s="85"/>
      <c r="BC178" s="85"/>
      <c r="BD178" s="85"/>
      <c r="BE178" s="85"/>
      <c r="BF178" s="85"/>
      <c r="BG178" s="85"/>
      <c r="BH178" s="85"/>
      <c r="BI178" s="85"/>
      <c r="BJ178" s="85"/>
      <c r="BK178" s="85"/>
      <c r="BL178" s="85"/>
      <c r="BM178" s="85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  <c r="DF178" s="85"/>
      <c r="DG178" s="85"/>
      <c r="DH178" s="85"/>
      <c r="DI178" s="85"/>
      <c r="DJ178" s="85"/>
      <c r="DK178" s="85"/>
      <c r="DL178" s="85"/>
      <c r="DM178" s="85"/>
      <c r="DN178" s="85"/>
      <c r="DO178" s="85"/>
      <c r="DP178" s="85"/>
      <c r="DQ178" s="85"/>
      <c r="DR178" s="85"/>
      <c r="DS178" s="85"/>
      <c r="DT178" s="85"/>
      <c r="DU178" s="85"/>
      <c r="DV178" s="85"/>
      <c r="DW178" s="85"/>
      <c r="DX178" s="85"/>
      <c r="DY178" s="85"/>
      <c r="DZ178" s="85"/>
      <c r="EA178" s="85"/>
      <c r="EB178" s="85"/>
      <c r="EC178" s="85"/>
      <c r="ED178" s="85"/>
      <c r="EE178" s="85"/>
      <c r="EF178" s="85"/>
      <c r="EG178" s="85"/>
      <c r="EH178" s="85"/>
      <c r="EI178" s="85"/>
      <c r="EJ178" s="85"/>
      <c r="EK178" s="85"/>
      <c r="EL178" s="85"/>
      <c r="EM178" s="85"/>
      <c r="EN178" s="85"/>
      <c r="EO178" s="85"/>
      <c r="EP178" s="85"/>
      <c r="EQ178" s="85"/>
      <c r="ER178" s="85"/>
      <c r="ES178" s="85"/>
      <c r="ET178" s="85"/>
      <c r="EU178" s="85"/>
      <c r="EV178" s="85"/>
      <c r="EW178" s="85"/>
      <c r="EX178" s="85"/>
      <c r="EY178" s="85"/>
      <c r="EZ178" s="85"/>
      <c r="FA178" s="85"/>
      <c r="FB178" s="85"/>
      <c r="FC178" s="85"/>
      <c r="FD178" s="85"/>
      <c r="FE178" s="85"/>
      <c r="FF178" s="85"/>
      <c r="FG178" s="85"/>
      <c r="FH178" s="85"/>
      <c r="FI178" s="85"/>
      <c r="FJ178" s="85"/>
      <c r="FK178" s="85"/>
      <c r="FL178" s="85"/>
      <c r="FM178" s="85"/>
      <c r="FN178" s="85"/>
      <c r="FO178" s="85"/>
      <c r="FP178" s="85"/>
      <c r="FQ178" s="85"/>
      <c r="FR178" s="85"/>
      <c r="FS178" s="85"/>
      <c r="FT178" s="85"/>
      <c r="FU178" s="85"/>
      <c r="FV178" s="85"/>
      <c r="FW178" s="85"/>
      <c r="FX178" s="85"/>
      <c r="FY178" s="85"/>
      <c r="FZ178" s="85"/>
      <c r="GA178" s="85"/>
      <c r="GB178" s="85"/>
      <c r="GC178" s="85"/>
      <c r="GD178" s="85"/>
      <c r="GE178" s="85"/>
      <c r="GF178" s="85"/>
      <c r="GG178" s="85"/>
      <c r="GH178" s="85"/>
      <c r="GI178" s="85"/>
      <c r="GJ178" s="85"/>
      <c r="GK178" s="85"/>
      <c r="GL178" s="85"/>
      <c r="GM178" s="85"/>
      <c r="GN178" s="85"/>
      <c r="GO178" s="85"/>
      <c r="GP178" s="85"/>
      <c r="GQ178" s="85"/>
      <c r="GR178" s="85"/>
      <c r="GS178" s="85"/>
      <c r="GT178" s="85"/>
      <c r="GU178" s="85"/>
      <c r="GV178" s="85"/>
      <c r="GW178" s="85"/>
      <c r="GX178" s="85"/>
      <c r="GY178" s="85"/>
      <c r="GZ178" s="85"/>
      <c r="HA178" s="85"/>
      <c r="HB178" s="85"/>
      <c r="HC178" s="85"/>
      <c r="HD178" s="85"/>
      <c r="HE178" s="85"/>
      <c r="HF178" s="85"/>
      <c r="HG178" s="85"/>
      <c r="HH178" s="85"/>
      <c r="HI178" s="85"/>
      <c r="HJ178" s="85"/>
      <c r="HK178" s="85"/>
      <c r="HL178" s="85"/>
      <c r="HM178" s="85"/>
    </row>
    <row r="179" spans="1:221" ht="15">
      <c r="B179" s="148" t="s">
        <v>376</v>
      </c>
      <c r="C179" s="149" t="s">
        <v>378</v>
      </c>
      <c r="D179" s="150">
        <v>1</v>
      </c>
      <c r="E179" s="151">
        <v>0.5</v>
      </c>
      <c r="F179" s="151">
        <v>0.562499999999996</v>
      </c>
      <c r="G179" s="218" t="s">
        <v>65</v>
      </c>
      <c r="H179" s="150" t="s">
        <v>1</v>
      </c>
      <c r="I179" s="150">
        <f>INDEX(Aulas_capacidad,MATCH(base_de_datos[[#This Row],[Aula]],Aulas,0),2)</f>
        <v>30</v>
      </c>
      <c r="J179" s="152">
        <v>12</v>
      </c>
      <c r="K179" s="150">
        <f>INDEX(Aulas_capacidad,MATCH(base_de_datos[[#This Row],[Aula]],Aulas,0),4)</f>
        <v>0</v>
      </c>
      <c r="L179" s="153">
        <f>base_de_datos[[#This Row],[Cap 1.5]]-base_de_datos[[#This Row],[Inscritos]]</f>
        <v>-12</v>
      </c>
      <c r="M179" s="153">
        <f>INDEX(Aulas_capacidad,MATCH(base_de_datos[[#This Row],[Aula]],Aulas,0),5)</f>
        <v>0</v>
      </c>
      <c r="N179" s="153">
        <f>base_de_datos[[#This Row],[Cap .90]]-base_de_datos[[#This Row],[Inscritos]]</f>
        <v>-12</v>
      </c>
      <c r="O179" s="150">
        <v>1638</v>
      </c>
      <c r="P179" s="154"/>
      <c r="Q179" s="154"/>
      <c r="R179" s="154"/>
      <c r="S179" s="154"/>
      <c r="T179" s="154" t="s">
        <v>67</v>
      </c>
      <c r="U179" s="154"/>
      <c r="V179" s="154"/>
      <c r="W179" s="154" t="s">
        <v>1652</v>
      </c>
      <c r="X179" s="155">
        <f>_xlfn.XLOOKUP(base_de_datos[[#This Row],[Materia]],Materias,Horas)/16</f>
        <v>3</v>
      </c>
      <c r="Y179" s="155">
        <f>ROUND(((base_de_datos[[#This Row],[Hora fin]]-base_de_datos[[#This Row],[Hora inicio]])*24)*(COUNTA(base_de_datos[[#This Row],[Lunes]:[Sábado]])),1)</f>
        <v>1.5</v>
      </c>
      <c r="Z17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9" s="155">
        <f ca="1">IF(base_de_datos[[#This Row],[No clase]]=OFFSET(base_de_datos[[#This Row],[No clase]],-1,0),0,1)</f>
        <v>0</v>
      </c>
      <c r="AB179" s="155">
        <f ca="1">IF(NOT(OR(base_de_datos[[#This Row],[Horas totales]]=base_de_datos[[#This Row],[HT Plan]],base_de_datos[[#This Row],[Horas totales]]="N/A")),1,0)</f>
        <v>0</v>
      </c>
      <c r="AC179" s="155" t="str">
        <f>_xlfn.XLOOKUP(base_de_datos[[#This Row],[Profesor]],Nombre,Grado)</f>
        <v>M</v>
      </c>
      <c r="AD179" s="156" t="str">
        <f>_xlfn.XLOOKUP(base_de_datos[[#This Row],[Profesor]],Nombre,Tipo)</f>
        <v>TC</v>
      </c>
      <c r="AE179" s="155" t="str">
        <f>IF(IFERROR(VLOOKUP($C179,Planes_de_estudio[],MATCH($AE$2,Carreras,0)+2,0),"")&gt;0,IFERROR(VLOOKUP($C179,Planes_de_estudio[],MATCH($AE$2,Carreras,0)+2,0),""),"")</f>
        <v/>
      </c>
      <c r="AF179" s="155" t="str">
        <f>IF(IFERROR(VLOOKUP($C179,Planes_de_estudio[],MATCH($AF$2,Carreras,0)+2,0),"")&gt;0,IFERROR(VLOOKUP($C179,Planes_de_estudio[],MATCH($AF$2,Carreras,0)+2,0),""),"")</f>
        <v/>
      </c>
      <c r="AG179" s="155">
        <f>IF(IFERROR(VLOOKUP($C179,Planes_de_estudio[],MATCH($AG$2,Carreras,0)+2,0),"")&gt;0,IFERROR(VLOOKUP($C179,Planes_de_estudio[],MATCH($AG$2,Carreras,0)+2,0),""),"")</f>
        <v>1</v>
      </c>
      <c r="AH179" s="155" t="str">
        <f>IF(IFERROR(VLOOKUP($C179,Planes_de_estudio[],MATCH($AH$2,Carreras,0)+2,0),"")&gt;0,IFERROR(VLOOKUP($C179,Planes_de_estudio[],MATCH($AH$2,Carreras,0)+2,0),""),"")</f>
        <v/>
      </c>
      <c r="AI179" s="155" t="str">
        <f>IF(IFERROR(VLOOKUP($C179,Planes_de_estudio[],MATCH($AI$2,Carreras,0)+2,0),"")&gt;0,IFERROR(VLOOKUP($C179,Planes_de_estudio[],MATCH($AI$2,Carreras,0)+2,0),""),"")</f>
        <v/>
      </c>
      <c r="AJ179" s="155" t="str">
        <f>IF(IFERROR(VLOOKUP($C179,Planes_de_estudio[],MATCH($AJ$2,Carreras,0)+2,0),"")&gt;0,IFERROR(VLOOKUP($C179,Planes_de_estudio[],MATCH($AJ$2,Carreras,0)+2,0),""),"")</f>
        <v/>
      </c>
      <c r="AK179" s="155" t="str">
        <f>IF(IFERROR(VLOOKUP($C179,Planes_de_estudio[],MATCH($AK$2,Carreras,0)+2,0),"")&gt;0,IFERROR(VLOOKUP($C179,Planes_de_estudio[],MATCH($AK$2,Carreras,0)+2,0),""),"")</f>
        <v/>
      </c>
      <c r="AL17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179" s="155">
        <f>base_de_datos[[#This Row],[Pronóstico]]/25</f>
        <v>0.6</v>
      </c>
      <c r="AO179" s="155" t="str">
        <f>VLOOKUP($C179,Planes_de_estudio[],2)</f>
        <v>IID</v>
      </c>
      <c r="AP179" s="157" t="str">
        <f ca="1">IF(AND(base_de_datos[[#This Row],[Industrial]]&lt;&gt;"",base_de_datos[[#This Row],[Misma o no]]=1),base_de_datos[[#This Row],[Índice]],"")</f>
        <v/>
      </c>
      <c r="AQ179" s="157" t="str">
        <f ca="1">IF(AND(base_de_datos[[#This Row],[Mecatrónica]]&lt;&gt;"",base_de_datos[[#This Row],[Misma o no]]=1),base_de_datos[[#This Row],[Índice]],"")</f>
        <v/>
      </c>
      <c r="AR179" s="157" t="str">
        <f ca="1">IF(AND(base_de_datos[[#This Row],[Innovación y Diseño]]&lt;&gt;"",base_de_datos[[#This Row],[Misma o no]]=1),base_de_datos[[#This Row],[Índice]],"")</f>
        <v/>
      </c>
      <c r="AS179" s="157" t="str">
        <f ca="1">IF(AND(base_de_datos[[#This Row],[Inteligencia Artificial]]&lt;&gt;"",base_de_datos[[#This Row],[Misma o no]]=1),base_de_datos[[#This Row],[Índice]],"")</f>
        <v/>
      </c>
      <c r="AT179" s="157" t="str">
        <f ca="1">IF(AND(base_de_datos[[#This Row],[Tecnologías Energéticas]]&lt;&gt;"",base_de_datos[[#This Row],[Misma o no]]=1),base_de_datos[[#This Row],[Índice]],"")</f>
        <v/>
      </c>
      <c r="AU179" s="157" t="str">
        <f ca="1">IF(AND(base_de_datos[[#This Row],[Civil y Administración]]&lt;&gt;"",base_de_datos[[#This Row],[Misma o no]]=1),base_de_datos[[#This Row],[Índice]],"")</f>
        <v/>
      </c>
      <c r="AV179" s="157" t="str">
        <f ca="1">IF(AND(base_de_datos[[#This Row],[Bioelectrónica]]&lt;&gt;"",base_de_datos[[#This Row],[Misma o no]]=1),base_de_datos[[#This Row],[Índice]],"")</f>
        <v/>
      </c>
      <c r="AW179" s="158"/>
      <c r="AX179" s="231">
        <v>2</v>
      </c>
    </row>
    <row r="180" spans="1:221" ht="15">
      <c r="B180" s="148" t="s">
        <v>379</v>
      </c>
      <c r="C180" s="149" t="s">
        <v>159</v>
      </c>
      <c r="D180" s="150">
        <v>4</v>
      </c>
      <c r="E180" s="151">
        <v>0.5</v>
      </c>
      <c r="F180" s="151">
        <v>0.624999999999995</v>
      </c>
      <c r="G180" s="150"/>
      <c r="H180" s="150" t="s">
        <v>181</v>
      </c>
      <c r="I180" s="150">
        <f>INDEX(Aulas_capacidad,MATCH(base_de_datos[[#This Row],[Aula]],Aulas,0),2)</f>
        <v>32</v>
      </c>
      <c r="J180" s="152"/>
      <c r="K180" s="150">
        <f>INDEX(Aulas_capacidad,MATCH(base_de_datos[[#This Row],[Aula]],Aulas,0),4)</f>
        <v>0</v>
      </c>
      <c r="L180" s="153">
        <f>base_de_datos[[#This Row],[Cap 1.5]]-base_de_datos[[#This Row],[Inscritos]]</f>
        <v>0</v>
      </c>
      <c r="M180" s="153">
        <f>INDEX(Aulas_capacidad,MATCH(base_de_datos[[#This Row],[Aula]],Aulas,0),5)</f>
        <v>0</v>
      </c>
      <c r="N180" s="153">
        <f>base_de_datos[[#This Row],[Cap .90]]-base_de_datos[[#This Row],[Inscritos]]</f>
        <v>0</v>
      </c>
      <c r="O180" s="150" t="s">
        <v>380</v>
      </c>
      <c r="P180" s="154"/>
      <c r="Q180" s="154"/>
      <c r="R180" s="154"/>
      <c r="S180" s="154"/>
      <c r="T180" s="154" t="s">
        <v>67</v>
      </c>
      <c r="U180" s="154"/>
      <c r="V180" s="154"/>
      <c r="W180" s="154" t="s">
        <v>1652</v>
      </c>
      <c r="X180" s="155">
        <f>_xlfn.XLOOKUP(base_de_datos[[#This Row],[Materia]],Materias,Horas)/16</f>
        <v>3</v>
      </c>
      <c r="Y180" s="155">
        <f>ROUND(((base_de_datos[[#This Row],[Hora fin]]-base_de_datos[[#This Row],[Hora inicio]])*24)*(COUNTA(base_de_datos[[#This Row],[Lunes]:[Sábado]])),1)</f>
        <v>3</v>
      </c>
      <c r="Z18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0" s="155">
        <f ca="1">IF(base_de_datos[[#This Row],[No clase]]=OFFSET(base_de_datos[[#This Row],[No clase]],-1,0),0,1)</f>
        <v>1</v>
      </c>
      <c r="AB180" s="155">
        <f ca="1">IF(NOT(OR(base_de_datos[[#This Row],[Horas totales]]=base_de_datos[[#This Row],[HT Plan]],base_de_datos[[#This Row],[Horas totales]]="N/A")),1,0)</f>
        <v>0</v>
      </c>
      <c r="AC180" s="155" t="str">
        <f>_xlfn.XLOOKUP(base_de_datos[[#This Row],[Profesor]],Nombre,Grado)</f>
        <v>M</v>
      </c>
      <c r="AD180" s="156" t="str">
        <f>_xlfn.XLOOKUP(base_de_datos[[#This Row],[Profesor]],Nombre,Tipo)</f>
        <v>H</v>
      </c>
      <c r="AE180" s="155">
        <f>IF(IFERROR(VLOOKUP($C180,Planes_de_estudio[],MATCH($AE$2,Carreras,0)+2,0),"")&gt;0,IFERROR(VLOOKUP($C180,Planes_de_estudio[],MATCH($AE$2,Carreras,0)+2,0),""),"")</f>
        <v>3</v>
      </c>
      <c r="AF180" s="155">
        <f>IF(IFERROR(VLOOKUP($C180,Planes_de_estudio[],MATCH($AF$2,Carreras,0)+2,0),"")&gt;0,IFERROR(VLOOKUP($C180,Planes_de_estudio[],MATCH($AF$2,Carreras,0)+2,0),""),"")</f>
        <v>3</v>
      </c>
      <c r="AG180" s="155">
        <f>IF(IFERROR(VLOOKUP($C180,Planes_de_estudio[],MATCH($AG$2,Carreras,0)+2,0),"")&gt;0,IFERROR(VLOOKUP($C180,Planes_de_estudio[],MATCH($AG$2,Carreras,0)+2,0),""),"")</f>
        <v>3</v>
      </c>
      <c r="AH180" s="155">
        <f>IF(IFERROR(VLOOKUP($C180,Planes_de_estudio[],MATCH($AH$2,Carreras,0)+2,0),"")&gt;0,IFERROR(VLOOKUP($C180,Planes_de_estudio[],MATCH($AH$2,Carreras,0)+2,0),""),"")</f>
        <v>3</v>
      </c>
      <c r="AI180" s="155">
        <f>IF(IFERROR(VLOOKUP($C180,Planes_de_estudio[],MATCH($AI$2,Carreras,0)+2,0),"")&gt;0,IFERROR(VLOOKUP($C180,Planes_de_estudio[],MATCH($AI$2,Carreras,0)+2,0),""),"")</f>
        <v>3</v>
      </c>
      <c r="AJ180" s="155">
        <f>IF(IFERROR(VLOOKUP($C180,Planes_de_estudio[],MATCH($AJ$2,Carreras,0)+2,0),"")&gt;0,IFERROR(VLOOKUP($C180,Planes_de_estudio[],MATCH($AJ$2,Carreras,0)+2,0),""),"")</f>
        <v>3</v>
      </c>
      <c r="AK180" s="155">
        <f>IF(IFERROR(VLOOKUP($C180,Planes_de_estudio[],MATCH($AK$2,Carreras,0)+2,0),"")&gt;0,IFERROR(VLOOKUP($C180,Planes_de_estudio[],MATCH($AK$2,Carreras,0)+2,0),""),"")</f>
        <v>3</v>
      </c>
      <c r="AL18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180" s="155">
        <f>base_de_datos[[#This Row],[Pronóstico]]/25</f>
        <v>4.4000000000000004</v>
      </c>
      <c r="AO180" s="155" t="str">
        <f>VLOOKUP($C180,Planes_de_estudio[],2)</f>
        <v>HUM</v>
      </c>
      <c r="AP180" s="157">
        <f ca="1">IF(AND(base_de_datos[[#This Row],[Industrial]]&lt;&gt;"",base_de_datos[[#This Row],[Misma o no]]=1),base_de_datos[[#This Row],[Índice]],"")</f>
        <v>4</v>
      </c>
      <c r="AQ180" s="157">
        <f ca="1">IF(AND(base_de_datos[[#This Row],[Mecatrónica]]&lt;&gt;"",base_de_datos[[#This Row],[Misma o no]]=1),base_de_datos[[#This Row],[Índice]],"")</f>
        <v>4</v>
      </c>
      <c r="AR180" s="157">
        <f ca="1">IF(AND(base_de_datos[[#This Row],[Innovación y Diseño]]&lt;&gt;"",base_de_datos[[#This Row],[Misma o no]]=1),base_de_datos[[#This Row],[Índice]],"")</f>
        <v>4</v>
      </c>
      <c r="AS180" s="157">
        <f ca="1">IF(AND(base_de_datos[[#This Row],[Inteligencia Artificial]]&lt;&gt;"",base_de_datos[[#This Row],[Misma o no]]=1),base_de_datos[[#This Row],[Índice]],"")</f>
        <v>4</v>
      </c>
      <c r="AT180" s="157">
        <f ca="1">IF(AND(base_de_datos[[#This Row],[Tecnologías Energéticas]]&lt;&gt;"",base_de_datos[[#This Row],[Misma o no]]=1),base_de_datos[[#This Row],[Índice]],"")</f>
        <v>4</v>
      </c>
      <c r="AU180" s="157">
        <f ca="1">IF(AND(base_de_datos[[#This Row],[Civil y Administración]]&lt;&gt;"",base_de_datos[[#This Row],[Misma o no]]=1),base_de_datos[[#This Row],[Índice]],"")</f>
        <v>4</v>
      </c>
      <c r="AV180" s="157">
        <f ca="1">IF(AND(base_de_datos[[#This Row],[Bioelectrónica]]&lt;&gt;"",base_de_datos[[#This Row],[Misma o no]]=1),base_de_datos[[#This Row],[Índice]],"")</f>
        <v>4</v>
      </c>
      <c r="AW180" s="158"/>
      <c r="AX180" s="231">
        <v>2</v>
      </c>
    </row>
    <row r="181" spans="1:221" ht="15">
      <c r="B181" s="148" t="s">
        <v>11</v>
      </c>
      <c r="C181" s="149" t="s">
        <v>97</v>
      </c>
      <c r="D181" s="150">
        <v>4</v>
      </c>
      <c r="E181" s="151">
        <v>0.29166666666666669</v>
      </c>
      <c r="F181" s="151">
        <v>0.45833333333333098</v>
      </c>
      <c r="G181" s="218" t="s">
        <v>65</v>
      </c>
      <c r="H181" s="150" t="s">
        <v>86</v>
      </c>
      <c r="I181" s="150">
        <f>INDEX(Aulas_capacidad,MATCH(base_de_datos[[#This Row],[Aula]],Aulas,0),2)</f>
        <v>40</v>
      </c>
      <c r="J181" s="152">
        <v>25</v>
      </c>
      <c r="K181" s="150">
        <f>INDEX(Aulas_capacidad,MATCH(base_de_datos[[#This Row],[Aula]],Aulas,0),4)</f>
        <v>10</v>
      </c>
      <c r="L181" s="153">
        <f>base_de_datos[[#This Row],[Cap 1.5]]-base_de_datos[[#This Row],[Inscritos]]</f>
        <v>-15</v>
      </c>
      <c r="M181" s="153">
        <f>INDEX(Aulas_capacidad,MATCH(base_de_datos[[#This Row],[Aula]],Aulas,0),5)</f>
        <v>25</v>
      </c>
      <c r="N181" s="153">
        <f>base_de_datos[[#This Row],[Cap .90]]-base_de_datos[[#This Row],[Inscritos]]</f>
        <v>0</v>
      </c>
      <c r="O181" s="150" t="s">
        <v>1648</v>
      </c>
      <c r="P181" s="154"/>
      <c r="Q181" s="154" t="s">
        <v>67</v>
      </c>
      <c r="R181" s="154"/>
      <c r="S181" s="154" t="s">
        <v>67</v>
      </c>
      <c r="T181" s="154"/>
      <c r="U181" s="154"/>
      <c r="V181" s="154"/>
      <c r="W181" s="154" t="s">
        <v>1651</v>
      </c>
      <c r="X181" s="155">
        <f>_xlfn.XLOOKUP(base_de_datos[[#This Row],[Materia]],Materias,Horas)/16</f>
        <v>4</v>
      </c>
      <c r="Y181" s="155">
        <f>ROUND(((base_de_datos[[#This Row],[Hora fin]]-base_de_datos[[#This Row],[Hora inicio]])*24)*(COUNTA(base_de_datos[[#This Row],[Lunes]:[Sábado]])),1)</f>
        <v>8</v>
      </c>
      <c r="Z181" s="155">
        <f ca="1">IF(base_de_datos[[#This Row],[Misma o no]]=0,"N/A",IF((OFFSET(base_de_datos[[#This Row],[Misma o no]],1,0))=0,base_de_datos[[#This Row],[Horas]]+(OFFSET(base_de_datos[[#This Row],[Horas]],1,0)),base_de_datos[[#This Row],[Horas]]))</f>
        <v>8</v>
      </c>
      <c r="AA181" s="155">
        <f ca="1">IF(base_de_datos[[#This Row],[No clase]]=OFFSET(base_de_datos[[#This Row],[No clase]],-1,0),0,1)</f>
        <v>1</v>
      </c>
      <c r="AB181" s="155">
        <f ca="1">IF(NOT(OR(base_de_datos[[#This Row],[Horas totales]]=base_de_datos[[#This Row],[HT Plan]],base_de_datos[[#This Row],[Horas totales]]="N/A")),1,0)</f>
        <v>1</v>
      </c>
      <c r="AC181" s="155" t="str">
        <f>_xlfn.XLOOKUP(base_de_datos[[#This Row],[Profesor]],Nombre,Grado)</f>
        <v>M</v>
      </c>
      <c r="AD181" s="156" t="str">
        <f>_xlfn.XLOOKUP(base_de_datos[[#This Row],[Profesor]],Nombre,Tipo)</f>
        <v>TC</v>
      </c>
      <c r="AE181" s="155">
        <f>IF(IFERROR(VLOOKUP($C181,Planes_de_estudio[],MATCH($AE$2,Carreras,0)+2,0),"")&gt;0,IFERROR(VLOOKUP($C181,Planes_de_estudio[],MATCH($AE$2,Carreras,0)+2,0),""),"")</f>
        <v>1</v>
      </c>
      <c r="AF181" s="155">
        <f>IF(IFERROR(VLOOKUP($C181,Planes_de_estudio[],MATCH($AF$2,Carreras,0)+2,0),"")&gt;0,IFERROR(VLOOKUP($C181,Planes_de_estudio[],MATCH($AF$2,Carreras,0)+2,0),""),"")</f>
        <v>1</v>
      </c>
      <c r="AG181" s="155">
        <f>IF(IFERROR(VLOOKUP($C181,Planes_de_estudio[],MATCH($AG$2,Carreras,0)+2,0),"")&gt;0,IFERROR(VLOOKUP($C181,Planes_de_estudio[],MATCH($AG$2,Carreras,0)+2,0),""),"")</f>
        <v>1</v>
      </c>
      <c r="AH181" s="155">
        <f>IF(IFERROR(VLOOKUP($C181,Planes_de_estudio[],MATCH($AH$2,Carreras,0)+2,0),"")&gt;0,IFERROR(VLOOKUP($C181,Planes_de_estudio[],MATCH($AH$2,Carreras,0)+2,0),""),"")</f>
        <v>1</v>
      </c>
      <c r="AI181" s="155">
        <f>IF(IFERROR(VLOOKUP($C181,Planes_de_estudio[],MATCH($AI$2,Carreras,0)+2,0),"")&gt;0,IFERROR(VLOOKUP($C181,Planes_de_estudio[],MATCH($AI$2,Carreras,0)+2,0),""),"")</f>
        <v>1</v>
      </c>
      <c r="AJ181" s="155">
        <f>IF(IFERROR(VLOOKUP($C181,Planes_de_estudio[],MATCH($AJ$2,Carreras,0)+2,0),"")&gt;0,IFERROR(VLOOKUP($C181,Planes_de_estudio[],MATCH($AJ$2,Carreras,0)+2,0),""),"")</f>
        <v>1</v>
      </c>
      <c r="AK181" s="155">
        <f>IF(IFERROR(VLOOKUP($C181,Planes_de_estudio[],MATCH($AK$2,Carreras,0)+2,0),"")&gt;0,IFERROR(VLOOKUP($C181,Planes_de_estudio[],MATCH($AK$2,Carreras,0)+2,0),""),"")</f>
        <v>1</v>
      </c>
      <c r="AL18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81" s="155">
        <f>base_de_datos[[#This Row],[Pronóstico]]/25</f>
        <v>4.3600000000000003</v>
      </c>
      <c r="AO181" s="155" t="str">
        <f>VLOOKUP($C181,Planes_de_estudio[],2)</f>
        <v>MAT</v>
      </c>
      <c r="AP181" s="157">
        <f ca="1">IF(AND(base_de_datos[[#This Row],[Industrial]]&lt;&gt;"",base_de_datos[[#This Row],[Misma o no]]=1),base_de_datos[[#This Row],[Índice]],"")</f>
        <v>4</v>
      </c>
      <c r="AQ181" s="157">
        <f ca="1">IF(AND(base_de_datos[[#This Row],[Mecatrónica]]&lt;&gt;"",base_de_datos[[#This Row],[Misma o no]]=1),base_de_datos[[#This Row],[Índice]],"")</f>
        <v>4</v>
      </c>
      <c r="AR181" s="157">
        <f ca="1">IF(AND(base_de_datos[[#This Row],[Innovación y Diseño]]&lt;&gt;"",base_de_datos[[#This Row],[Misma o no]]=1),base_de_datos[[#This Row],[Índice]],"")</f>
        <v>4</v>
      </c>
      <c r="AS181" s="157">
        <f ca="1">IF(AND(base_de_datos[[#This Row],[Inteligencia Artificial]]&lt;&gt;"",base_de_datos[[#This Row],[Misma o no]]=1),base_de_datos[[#This Row],[Índice]],"")</f>
        <v>4</v>
      </c>
      <c r="AT181" s="157">
        <f ca="1">IF(AND(base_de_datos[[#This Row],[Tecnologías Energéticas]]&lt;&gt;"",base_de_datos[[#This Row],[Misma o no]]=1),base_de_datos[[#This Row],[Índice]],"")</f>
        <v>4</v>
      </c>
      <c r="AU181" s="157">
        <f ca="1">IF(AND(base_de_datos[[#This Row],[Civil y Administración]]&lt;&gt;"",base_de_datos[[#This Row],[Misma o no]]=1),base_de_datos[[#This Row],[Índice]],"")</f>
        <v>4</v>
      </c>
      <c r="AV181" s="157">
        <f ca="1">IF(AND(base_de_datos[[#This Row],[Bioelectrónica]]&lt;&gt;"",base_de_datos[[#This Row],[Misma o no]]=1),base_de_datos[[#This Row],[Índice]],"")</f>
        <v>4</v>
      </c>
      <c r="AW181" s="158"/>
      <c r="AX181" s="231">
        <v>3</v>
      </c>
    </row>
    <row r="182" spans="1:221" ht="15">
      <c r="B182" s="148" t="s">
        <v>381</v>
      </c>
      <c r="C182" s="149" t="s">
        <v>382</v>
      </c>
      <c r="D182" s="150">
        <v>1</v>
      </c>
      <c r="E182" s="151">
        <v>0.70833333333333304</v>
      </c>
      <c r="F182" s="151">
        <v>0.79166666666665897</v>
      </c>
      <c r="G182" s="150"/>
      <c r="H182" s="150" t="s">
        <v>154</v>
      </c>
      <c r="I182" s="150">
        <f>INDEX(Aulas_capacidad,MATCH(base_de_datos[[#This Row],[Aula]],Aulas,0),2)</f>
        <v>40</v>
      </c>
      <c r="J182" s="152">
        <v>19</v>
      </c>
      <c r="K182" s="150">
        <f>INDEX(Aulas_capacidad,MATCH(base_de_datos[[#This Row],[Aula]],Aulas,0),4)</f>
        <v>10</v>
      </c>
      <c r="L182" s="153">
        <f>base_de_datos[[#This Row],[Cap 1.5]]-base_de_datos[[#This Row],[Inscritos]]</f>
        <v>-9</v>
      </c>
      <c r="M182" s="153">
        <f>INDEX(Aulas_capacidad,MATCH(base_de_datos[[#This Row],[Aula]],Aulas,0),5)</f>
        <v>15</v>
      </c>
      <c r="N182" s="153">
        <f>base_de_datos[[#This Row],[Cap .90]]-base_de_datos[[#This Row],[Inscritos]]</f>
        <v>-4</v>
      </c>
      <c r="O182" s="150" t="s">
        <v>383</v>
      </c>
      <c r="P182" s="154"/>
      <c r="Q182" s="154" t="s">
        <v>67</v>
      </c>
      <c r="R182" s="154"/>
      <c r="S182" s="154"/>
      <c r="T182" s="154"/>
      <c r="U182" s="154"/>
      <c r="V182" s="154"/>
      <c r="W182" s="154" t="s">
        <v>1651</v>
      </c>
      <c r="X182" s="155">
        <f>_xlfn.XLOOKUP(base_de_datos[[#This Row],[Materia]],Materias,Horas)/16</f>
        <v>4</v>
      </c>
      <c r="Y182" s="155">
        <f>ROUND(((base_de_datos[[#This Row],[Hora fin]]-base_de_datos[[#This Row],[Hora inicio]])*24)*(COUNTA(base_de_datos[[#This Row],[Lunes]:[Sábado]])),1)</f>
        <v>2</v>
      </c>
      <c r="Z18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2" s="155">
        <f ca="1">IF(base_de_datos[[#This Row],[No clase]]=OFFSET(base_de_datos[[#This Row],[No clase]],-1,0),0,1)</f>
        <v>1</v>
      </c>
      <c r="AB182" s="155">
        <f ca="1">IF(NOT(OR(base_de_datos[[#This Row],[Horas totales]]=base_de_datos[[#This Row],[HT Plan]],base_de_datos[[#This Row],[Horas totales]]="N/A")),1,0)</f>
        <v>0</v>
      </c>
      <c r="AC182" s="155" t="str">
        <f>_xlfn.XLOOKUP(base_de_datos[[#This Row],[Profesor]],Nombre,Grado)</f>
        <v>M</v>
      </c>
      <c r="AD182" s="156" t="str">
        <f>_xlfn.XLOOKUP(base_de_datos[[#This Row],[Profesor]],Nombre,Tipo)</f>
        <v>A</v>
      </c>
      <c r="AE182" s="155">
        <f>IF(IFERROR(VLOOKUP($C182,Planes_de_estudio[],MATCH($AE$2,Carreras,0)+2,0),"")&gt;0,IFERROR(VLOOKUP($C182,Planes_de_estudio[],MATCH($AE$2,Carreras,0)+2,0),""),"")</f>
        <v>2</v>
      </c>
      <c r="AF182" s="155">
        <f>IF(IFERROR(VLOOKUP($C182,Planes_de_estudio[],MATCH($AF$2,Carreras,0)+2,0),"")&gt;0,IFERROR(VLOOKUP($C182,Planes_de_estudio[],MATCH($AF$2,Carreras,0)+2,0),""),"")</f>
        <v>5</v>
      </c>
      <c r="AG182" s="155">
        <f>IF(IFERROR(VLOOKUP($C182,Planes_de_estudio[],MATCH($AG$2,Carreras,0)+2,0),"")&gt;0,IFERROR(VLOOKUP($C182,Planes_de_estudio[],MATCH($AG$2,Carreras,0)+2,0),""),"")</f>
        <v>2</v>
      </c>
      <c r="AH182" s="155" t="str">
        <f>IF(IFERROR(VLOOKUP($C182,Planes_de_estudio[],MATCH($AH$2,Carreras,0)+2,0),"")&gt;0,IFERROR(VLOOKUP($C182,Planes_de_estudio[],MATCH($AH$2,Carreras,0)+2,0),""),"")</f>
        <v/>
      </c>
      <c r="AI182" s="155">
        <f>IF(IFERROR(VLOOKUP($C182,Planes_de_estudio[],MATCH($AI$2,Carreras,0)+2,0),"")&gt;0,IFERROR(VLOOKUP($C182,Planes_de_estudio[],MATCH($AI$2,Carreras,0)+2,0),""),"")</f>
        <v>3</v>
      </c>
      <c r="AJ182" s="155" t="str">
        <f>IF(IFERROR(VLOOKUP($C182,Planes_de_estudio[],MATCH($AJ$2,Carreras,0)+2,0),"")&gt;0,IFERROR(VLOOKUP($C182,Planes_de_estudio[],MATCH($AJ$2,Carreras,0)+2,0),""),"")</f>
        <v/>
      </c>
      <c r="AK182" s="155" t="str">
        <f>IF(IFERROR(VLOOKUP($C182,Planes_de_estudio[],MATCH($AK$2,Carreras,0)+2,0),"")&gt;0,IFERROR(VLOOKUP($C182,Planes_de_estudio[],MATCH($AK$2,Carreras,0)+2,0),""),"")</f>
        <v/>
      </c>
      <c r="AL18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20</v>
      </c>
      <c r="AN182" s="155">
        <f>base_de_datos[[#This Row],[Pronóstico]]/25</f>
        <v>0.8</v>
      </c>
      <c r="AO182" s="155" t="str">
        <f>VLOOKUP($C182,Planes_de_estudio[],2)</f>
        <v>MEC</v>
      </c>
      <c r="AP182" s="157">
        <f ca="1">IF(AND(base_de_datos[[#This Row],[Industrial]]&lt;&gt;"",base_de_datos[[#This Row],[Misma o no]]=1),base_de_datos[[#This Row],[Índice]],"")</f>
        <v>4</v>
      </c>
      <c r="AQ182" s="157">
        <f ca="1">IF(AND(base_de_datos[[#This Row],[Mecatrónica]]&lt;&gt;"",base_de_datos[[#This Row],[Misma o no]]=1),base_de_datos[[#This Row],[Índice]],"")</f>
        <v>4</v>
      </c>
      <c r="AR182" s="157">
        <f ca="1">IF(AND(base_de_datos[[#This Row],[Innovación y Diseño]]&lt;&gt;"",base_de_datos[[#This Row],[Misma o no]]=1),base_de_datos[[#This Row],[Índice]],"")</f>
        <v>4</v>
      </c>
      <c r="AS182" s="157" t="str">
        <f ca="1">IF(AND(base_de_datos[[#This Row],[Inteligencia Artificial]]&lt;&gt;"",base_de_datos[[#This Row],[Misma o no]]=1),base_de_datos[[#This Row],[Índice]],"")</f>
        <v/>
      </c>
      <c r="AT182" s="157">
        <f ca="1">IF(AND(base_de_datos[[#This Row],[Tecnologías Energéticas]]&lt;&gt;"",base_de_datos[[#This Row],[Misma o no]]=1),base_de_datos[[#This Row],[Índice]],"")</f>
        <v>4</v>
      </c>
      <c r="AU182" s="157" t="str">
        <f ca="1">IF(AND(base_de_datos[[#This Row],[Civil y Administración]]&lt;&gt;"",base_de_datos[[#This Row],[Misma o no]]=1),base_de_datos[[#This Row],[Índice]],"")</f>
        <v/>
      </c>
      <c r="AV182" s="157" t="str">
        <f ca="1">IF(AND(base_de_datos[[#This Row],[Bioelectrónica]]&lt;&gt;"",base_de_datos[[#This Row],[Misma o no]]=1),base_de_datos[[#This Row],[Índice]],"")</f>
        <v/>
      </c>
      <c r="AW182" s="158"/>
      <c r="AX182" s="231" t="s">
        <v>1625</v>
      </c>
    </row>
    <row r="183" spans="1:221" ht="15">
      <c r="B183" s="148" t="s">
        <v>381</v>
      </c>
      <c r="C183" s="149" t="s">
        <v>382</v>
      </c>
      <c r="D183" s="150">
        <v>1</v>
      </c>
      <c r="E183" s="151">
        <v>0.79166666666666696</v>
      </c>
      <c r="F183" s="151">
        <v>0.87499999999999001</v>
      </c>
      <c r="G183" s="150"/>
      <c r="H183" s="150" t="s">
        <v>154</v>
      </c>
      <c r="I183" s="150">
        <f>INDEX(Aulas_capacidad,MATCH(base_de_datos[[#This Row],[Aula]],Aulas,0),2)</f>
        <v>40</v>
      </c>
      <c r="J183" s="152">
        <v>19</v>
      </c>
      <c r="K183" s="150">
        <f>INDEX(Aulas_capacidad,MATCH(base_de_datos[[#This Row],[Aula]],Aulas,0),4)</f>
        <v>10</v>
      </c>
      <c r="L183" s="153">
        <f>base_de_datos[[#This Row],[Cap 1.5]]-base_de_datos[[#This Row],[Inscritos]]</f>
        <v>-9</v>
      </c>
      <c r="M183" s="153">
        <f>INDEX(Aulas_capacidad,MATCH(base_de_datos[[#This Row],[Aula]],Aulas,0),5)</f>
        <v>15</v>
      </c>
      <c r="N183" s="153">
        <f>base_de_datos[[#This Row],[Cap .90]]-base_de_datos[[#This Row],[Inscritos]]</f>
        <v>-4</v>
      </c>
      <c r="O183" s="150" t="s">
        <v>383</v>
      </c>
      <c r="P183" s="154"/>
      <c r="Q183" s="154"/>
      <c r="R183" s="154" t="s">
        <v>67</v>
      </c>
      <c r="S183" s="154"/>
      <c r="T183" s="154"/>
      <c r="U183" s="154"/>
      <c r="V183" s="154"/>
      <c r="W183" s="154" t="s">
        <v>1651</v>
      </c>
      <c r="X183" s="155">
        <f>_xlfn.XLOOKUP(base_de_datos[[#This Row],[Materia]],Materias,Horas)/16</f>
        <v>4</v>
      </c>
      <c r="Y183" s="155">
        <f>ROUND(((base_de_datos[[#This Row],[Hora fin]]-base_de_datos[[#This Row],[Hora inicio]])*24)*(COUNTA(base_de_datos[[#This Row],[Lunes]:[Sábado]])),1)</f>
        <v>2</v>
      </c>
      <c r="Z18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3" s="155">
        <f ca="1">IF(base_de_datos[[#This Row],[No clase]]=OFFSET(base_de_datos[[#This Row],[No clase]],-1,0),0,1)</f>
        <v>0</v>
      </c>
      <c r="AB183" s="155">
        <f ca="1">IF(NOT(OR(base_de_datos[[#This Row],[Horas totales]]=base_de_datos[[#This Row],[HT Plan]],base_de_datos[[#This Row],[Horas totales]]="N/A")),1,0)</f>
        <v>0</v>
      </c>
      <c r="AC183" s="155" t="str">
        <f>_xlfn.XLOOKUP(base_de_datos[[#This Row],[Profesor]],Nombre,Grado)</f>
        <v>M</v>
      </c>
      <c r="AD183" s="156" t="str">
        <f>_xlfn.XLOOKUP(base_de_datos[[#This Row],[Profesor]],Nombre,Tipo)</f>
        <v>A</v>
      </c>
      <c r="AE183" s="155">
        <f>IF(IFERROR(VLOOKUP($C183,Planes_de_estudio[],MATCH($AE$2,Carreras,0)+2,0),"")&gt;0,IFERROR(VLOOKUP($C183,Planes_de_estudio[],MATCH($AE$2,Carreras,0)+2,0),""),"")</f>
        <v>2</v>
      </c>
      <c r="AF183" s="155">
        <f>IF(IFERROR(VLOOKUP($C183,Planes_de_estudio[],MATCH($AF$2,Carreras,0)+2,0),"")&gt;0,IFERROR(VLOOKUP($C183,Planes_de_estudio[],MATCH($AF$2,Carreras,0)+2,0),""),"")</f>
        <v>5</v>
      </c>
      <c r="AG183" s="155">
        <f>IF(IFERROR(VLOOKUP($C183,Planes_de_estudio[],MATCH($AG$2,Carreras,0)+2,0),"")&gt;0,IFERROR(VLOOKUP($C183,Planes_de_estudio[],MATCH($AG$2,Carreras,0)+2,0),""),"")</f>
        <v>2</v>
      </c>
      <c r="AH183" s="155" t="str">
        <f>IF(IFERROR(VLOOKUP($C183,Planes_de_estudio[],MATCH($AH$2,Carreras,0)+2,0),"")&gt;0,IFERROR(VLOOKUP($C183,Planes_de_estudio[],MATCH($AH$2,Carreras,0)+2,0),""),"")</f>
        <v/>
      </c>
      <c r="AI183" s="155">
        <f>IF(IFERROR(VLOOKUP($C183,Planes_de_estudio[],MATCH($AI$2,Carreras,0)+2,0),"")&gt;0,IFERROR(VLOOKUP($C183,Planes_de_estudio[],MATCH($AI$2,Carreras,0)+2,0),""),"")</f>
        <v>3</v>
      </c>
      <c r="AJ183" s="155" t="str">
        <f>IF(IFERROR(VLOOKUP($C183,Planes_de_estudio[],MATCH($AJ$2,Carreras,0)+2,0),"")&gt;0,IFERROR(VLOOKUP($C183,Planes_de_estudio[],MATCH($AJ$2,Carreras,0)+2,0),""),"")</f>
        <v/>
      </c>
      <c r="AK183" s="155" t="str">
        <f>IF(IFERROR(VLOOKUP($C183,Planes_de_estudio[],MATCH($AK$2,Carreras,0)+2,0),"")&gt;0,IFERROR(VLOOKUP($C183,Planes_de_estudio[],MATCH($AK$2,Carreras,0)+2,0),""),"")</f>
        <v/>
      </c>
      <c r="AL18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183" s="155">
        <f>base_de_datos[[#This Row],[Pronóstico]]/25</f>
        <v>0.8</v>
      </c>
      <c r="AO183" s="155" t="str">
        <f>VLOOKUP($C183,Planes_de_estudio[],2)</f>
        <v>MEC</v>
      </c>
      <c r="AP183" s="157" t="str">
        <f ca="1">IF(AND(base_de_datos[[#This Row],[Industrial]]&lt;&gt;"",base_de_datos[[#This Row],[Misma o no]]=1),base_de_datos[[#This Row],[Índice]],"")</f>
        <v/>
      </c>
      <c r="AQ183" s="157" t="str">
        <f ca="1">IF(AND(base_de_datos[[#This Row],[Mecatrónica]]&lt;&gt;"",base_de_datos[[#This Row],[Misma o no]]=1),base_de_datos[[#This Row],[Índice]],"")</f>
        <v/>
      </c>
      <c r="AR183" s="157" t="str">
        <f ca="1">IF(AND(base_de_datos[[#This Row],[Innovación y Diseño]]&lt;&gt;"",base_de_datos[[#This Row],[Misma o no]]=1),base_de_datos[[#This Row],[Índice]],"")</f>
        <v/>
      </c>
      <c r="AS183" s="157" t="str">
        <f ca="1">IF(AND(base_de_datos[[#This Row],[Inteligencia Artificial]]&lt;&gt;"",base_de_datos[[#This Row],[Misma o no]]=1),base_de_datos[[#This Row],[Índice]],"")</f>
        <v/>
      </c>
      <c r="AT183" s="157" t="str">
        <f ca="1">IF(AND(base_de_datos[[#This Row],[Tecnologías Energéticas]]&lt;&gt;"",base_de_datos[[#This Row],[Misma o no]]=1),base_de_datos[[#This Row],[Índice]],"")</f>
        <v/>
      </c>
      <c r="AU183" s="157" t="str">
        <f ca="1">IF(AND(base_de_datos[[#This Row],[Civil y Administración]]&lt;&gt;"",base_de_datos[[#This Row],[Misma o no]]=1),base_de_datos[[#This Row],[Índice]],"")</f>
        <v/>
      </c>
      <c r="AV183" s="157" t="str">
        <f ca="1">IF(AND(base_de_datos[[#This Row],[Bioelectrónica]]&lt;&gt;"",base_de_datos[[#This Row],[Misma o no]]=1),base_de_datos[[#This Row],[Índice]],"")</f>
        <v/>
      </c>
      <c r="AW183" s="158"/>
      <c r="AX183" s="231">
        <v>3</v>
      </c>
    </row>
    <row r="184" spans="1:221" ht="15">
      <c r="B184" s="148" t="s">
        <v>384</v>
      </c>
      <c r="C184" s="149" t="s">
        <v>233</v>
      </c>
      <c r="D184" s="150">
        <v>2</v>
      </c>
      <c r="E184" s="151">
        <v>0.70833333333333304</v>
      </c>
      <c r="F184" s="151">
        <v>0.77083333333332604</v>
      </c>
      <c r="G184" s="218" t="s">
        <v>65</v>
      </c>
      <c r="H184" s="150" t="s">
        <v>316</v>
      </c>
      <c r="I184" s="150">
        <f>INDEX(Aulas_capacidad,MATCH(base_de_datos[[#This Row],[Aula]],Aulas,0),2)</f>
        <v>20</v>
      </c>
      <c r="J184" s="152">
        <v>15</v>
      </c>
      <c r="K184" s="150">
        <f>INDEX(Aulas_capacidad,MATCH(base_de_datos[[#This Row],[Aula]],Aulas,0),4)</f>
        <v>8</v>
      </c>
      <c r="L184" s="153">
        <f>base_de_datos[[#This Row],[Cap 1.5]]-base_de_datos[[#This Row],[Inscritos]]</f>
        <v>-7</v>
      </c>
      <c r="M184" s="153">
        <f>INDEX(Aulas_capacidad,MATCH(base_de_datos[[#This Row],[Aula]],Aulas,0),5)</f>
        <v>10</v>
      </c>
      <c r="N184" s="153">
        <f>base_de_datos[[#This Row],[Cap .90]]-base_de_datos[[#This Row],[Inscritos]]</f>
        <v>-5</v>
      </c>
      <c r="O184" s="150" t="s">
        <v>385</v>
      </c>
      <c r="P184" s="154"/>
      <c r="Q184" s="154" t="s">
        <v>67</v>
      </c>
      <c r="R184" s="154"/>
      <c r="S184" s="154" t="s">
        <v>67</v>
      </c>
      <c r="T184" s="154"/>
      <c r="U184" s="154"/>
      <c r="V184" s="154"/>
      <c r="W184" s="154" t="s">
        <v>1651</v>
      </c>
      <c r="X184" s="155">
        <f>_xlfn.XLOOKUP(base_de_datos[[#This Row],[Materia]],Materias,Horas)/16</f>
        <v>3</v>
      </c>
      <c r="Y184" s="155">
        <f>ROUND(((base_de_datos[[#This Row],[Hora fin]]-base_de_datos[[#This Row],[Hora inicio]])*24)*(COUNTA(base_de_datos[[#This Row],[Lunes]:[Sábado]])),1)</f>
        <v>3</v>
      </c>
      <c r="Z18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4" s="155">
        <f ca="1">IF(base_de_datos[[#This Row],[No clase]]=OFFSET(base_de_datos[[#This Row],[No clase]],-1,0),0,1)</f>
        <v>1</v>
      </c>
      <c r="AB184" s="155">
        <f ca="1">IF(NOT(OR(base_de_datos[[#This Row],[Horas totales]]=base_de_datos[[#This Row],[HT Plan]],base_de_datos[[#This Row],[Horas totales]]="N/A")),1,0)</f>
        <v>0</v>
      </c>
      <c r="AC184" s="155">
        <f>_xlfn.XLOOKUP(base_de_datos[[#This Row],[Profesor]],Nombre,Grado)</f>
        <v>0</v>
      </c>
      <c r="AD184" s="156" t="str">
        <f>_xlfn.XLOOKUP(base_de_datos[[#This Row],[Profesor]],Nombre,Tipo)</f>
        <v>TC</v>
      </c>
      <c r="AE184" s="155">
        <f>IF(IFERROR(VLOOKUP($C184,Planes_de_estudio[],MATCH($AE$2,Carreras,0)+2,0),"")&gt;0,IFERROR(VLOOKUP($C184,Planes_de_estudio[],MATCH($AE$2,Carreras,0)+2,0),""),"")</f>
        <v>5</v>
      </c>
      <c r="AF184" s="155">
        <f>IF(IFERROR(VLOOKUP($C184,Planes_de_estudio[],MATCH($AF$2,Carreras,0)+2,0),"")&gt;0,IFERROR(VLOOKUP($C184,Planes_de_estudio[],MATCH($AF$2,Carreras,0)+2,0),""),"")</f>
        <v>7</v>
      </c>
      <c r="AG184" s="155" t="str">
        <f>IF(IFERROR(VLOOKUP($C184,Planes_de_estudio[],MATCH($AG$2,Carreras,0)+2,0),"")&gt;0,IFERROR(VLOOKUP($C184,Planes_de_estudio[],MATCH($AG$2,Carreras,0)+2,0),""),"")</f>
        <v/>
      </c>
      <c r="AH184" s="155" t="str">
        <f>IF(IFERROR(VLOOKUP($C184,Planes_de_estudio[],MATCH($AH$2,Carreras,0)+2,0),"")&gt;0,IFERROR(VLOOKUP($C184,Planes_de_estudio[],MATCH($AH$2,Carreras,0)+2,0),""),"")</f>
        <v/>
      </c>
      <c r="AI184" s="155" t="str">
        <f>IF(IFERROR(VLOOKUP($C184,Planes_de_estudio[],MATCH($AI$2,Carreras,0)+2,0),"")&gt;0,IFERROR(VLOOKUP($C184,Planes_de_estudio[],MATCH($AI$2,Carreras,0)+2,0),""),"")</f>
        <v/>
      </c>
      <c r="AJ184" s="155" t="str">
        <f>IF(IFERROR(VLOOKUP($C184,Planes_de_estudio[],MATCH($AJ$2,Carreras,0)+2,0),"")&gt;0,IFERROR(VLOOKUP($C184,Planes_de_estudio[],MATCH($AJ$2,Carreras,0)+2,0),""),"")</f>
        <v/>
      </c>
      <c r="AK184" s="155" t="str">
        <f>IF(IFERROR(VLOOKUP($C184,Planes_de_estudio[],MATCH($AK$2,Carreras,0)+2,0),"")&gt;0,IFERROR(VLOOKUP($C184,Planes_de_estudio[],MATCH($AK$2,Carreras,0)+2,0),""),"")</f>
        <v/>
      </c>
      <c r="AL18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37</v>
      </c>
      <c r="AN184" s="155">
        <f>base_de_datos[[#This Row],[Pronóstico]]/25</f>
        <v>1.48</v>
      </c>
      <c r="AO184" s="155" t="str">
        <f>VLOOKUP($C184,Planes_de_estudio[],2)</f>
        <v>DOP</v>
      </c>
      <c r="AP184" s="157">
        <f ca="1">IF(AND(base_de_datos[[#This Row],[Industrial]]&lt;&gt;"",base_de_datos[[#This Row],[Misma o no]]=1),base_de_datos[[#This Row],[Índice]],"")</f>
        <v>6</v>
      </c>
      <c r="AQ184" s="157">
        <f ca="1">IF(AND(base_de_datos[[#This Row],[Mecatrónica]]&lt;&gt;"",base_de_datos[[#This Row],[Misma o no]]=1),base_de_datos[[#This Row],[Índice]],"")</f>
        <v>6</v>
      </c>
      <c r="AR184" s="157" t="str">
        <f ca="1">IF(AND(base_de_datos[[#This Row],[Innovación y Diseño]]&lt;&gt;"",base_de_datos[[#This Row],[Misma o no]]=1),base_de_datos[[#This Row],[Índice]],"")</f>
        <v/>
      </c>
      <c r="AS184" s="157" t="str">
        <f ca="1">IF(AND(base_de_datos[[#This Row],[Inteligencia Artificial]]&lt;&gt;"",base_de_datos[[#This Row],[Misma o no]]=1),base_de_datos[[#This Row],[Índice]],"")</f>
        <v/>
      </c>
      <c r="AT184" s="157" t="str">
        <f ca="1">IF(AND(base_de_datos[[#This Row],[Tecnologías Energéticas]]&lt;&gt;"",base_de_datos[[#This Row],[Misma o no]]=1),base_de_datos[[#This Row],[Índice]],"")</f>
        <v/>
      </c>
      <c r="AU184" s="157" t="str">
        <f ca="1">IF(AND(base_de_datos[[#This Row],[Civil y Administración]]&lt;&gt;"",base_de_datos[[#This Row],[Misma o no]]=1),base_de_datos[[#This Row],[Índice]],"")</f>
        <v/>
      </c>
      <c r="AV184" s="157" t="str">
        <f ca="1">IF(AND(base_de_datos[[#This Row],[Bioelectrónica]]&lt;&gt;"",base_de_datos[[#This Row],[Misma o no]]=1),base_de_datos[[#This Row],[Índice]],"")</f>
        <v/>
      </c>
      <c r="AW184" s="158"/>
      <c r="AX184" s="231" t="s">
        <v>1625</v>
      </c>
    </row>
    <row r="185" spans="1:221" ht="15">
      <c r="B185" s="148" t="s">
        <v>386</v>
      </c>
      <c r="C185" s="149" t="s">
        <v>387</v>
      </c>
      <c r="D185" s="150">
        <v>1</v>
      </c>
      <c r="E185" s="151">
        <v>0.29166666666666669</v>
      </c>
      <c r="F185" s="151">
        <v>0.41666666666666502</v>
      </c>
      <c r="G185" s="150"/>
      <c r="H185" s="150" t="s">
        <v>140</v>
      </c>
      <c r="I185" s="150">
        <f>INDEX(Aulas_capacidad,MATCH(base_de_datos[[#This Row],[Aula]],Aulas,0),2)</f>
        <v>40</v>
      </c>
      <c r="J185" s="152">
        <v>11</v>
      </c>
      <c r="K185" s="150">
        <f>INDEX(Aulas_capacidad,MATCH(base_de_datos[[#This Row],[Aula]],Aulas,0),4)</f>
        <v>15</v>
      </c>
      <c r="L185" s="153">
        <f>base_de_datos[[#This Row],[Cap 1.5]]-base_de_datos[[#This Row],[Inscritos]]</f>
        <v>4</v>
      </c>
      <c r="M185" s="153">
        <f>INDEX(Aulas_capacidad,MATCH(base_de_datos[[#This Row],[Aula]],Aulas,0),5)</f>
        <v>25</v>
      </c>
      <c r="N185" s="153">
        <f>base_de_datos[[#This Row],[Cap .90]]-base_de_datos[[#This Row],[Inscritos]]</f>
        <v>14</v>
      </c>
      <c r="O185" s="150" t="s">
        <v>388</v>
      </c>
      <c r="P185" s="154"/>
      <c r="Q185" s="154"/>
      <c r="R185" s="154"/>
      <c r="S185" s="154" t="s">
        <v>67</v>
      </c>
      <c r="T185" s="154"/>
      <c r="U185" s="154"/>
      <c r="V185" s="154"/>
      <c r="W185" s="154" t="s">
        <v>1656</v>
      </c>
      <c r="X185" s="155">
        <f>_xlfn.XLOOKUP(base_de_datos[[#This Row],[Materia]],Materias,Horas)/16</f>
        <v>3</v>
      </c>
      <c r="Y185" s="155">
        <f>ROUND(((base_de_datos[[#This Row],[Hora fin]]-base_de_datos[[#This Row],[Hora inicio]])*24)*(COUNTA(base_de_datos[[#This Row],[Lunes]:[Sábado]])),1)</f>
        <v>3</v>
      </c>
      <c r="Z18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5" s="155">
        <f ca="1">IF(base_de_datos[[#This Row],[No clase]]=OFFSET(base_de_datos[[#This Row],[No clase]],-1,0),0,1)</f>
        <v>1</v>
      </c>
      <c r="AB185" s="155">
        <f ca="1">IF(NOT(OR(base_de_datos[[#This Row],[Horas totales]]=base_de_datos[[#This Row],[HT Plan]],base_de_datos[[#This Row],[Horas totales]]="N/A")),1,0)</f>
        <v>0</v>
      </c>
      <c r="AC185" s="155" t="str">
        <f>_xlfn.XLOOKUP(base_de_datos[[#This Row],[Profesor]],Nombre,Grado)</f>
        <v>L</v>
      </c>
      <c r="AD185" s="156" t="str">
        <f>_xlfn.XLOOKUP(base_de_datos[[#This Row],[Profesor]],Nombre,Tipo)</f>
        <v>A</v>
      </c>
      <c r="AE185" s="155">
        <f>IF(IFERROR(VLOOKUP($C185,Planes_de_estudio[],MATCH($AE$2,Carreras,0)+2,0),"")&gt;0,IFERROR(VLOOKUP($C185,Planes_de_estudio[],MATCH($AE$2,Carreras,0)+2,0),""),"")</f>
        <v>3</v>
      </c>
      <c r="AF185" s="155">
        <f>IF(IFERROR(VLOOKUP($C185,Planes_de_estudio[],MATCH($AF$2,Carreras,0)+2,0),"")&gt;0,IFERROR(VLOOKUP($C185,Planes_de_estudio[],MATCH($AF$2,Carreras,0)+2,0),""),"")</f>
        <v>4</v>
      </c>
      <c r="AG185" s="155" t="str">
        <f>IF(IFERROR(VLOOKUP($C185,Planes_de_estudio[],MATCH($AG$2,Carreras,0)+2,0),"")&gt;0,IFERROR(VLOOKUP($C185,Planes_de_estudio[],MATCH($AG$2,Carreras,0)+2,0),""),"")</f>
        <v/>
      </c>
      <c r="AH185" s="155">
        <f>IF(IFERROR(VLOOKUP($C185,Planes_de_estudio[],MATCH($AH$2,Carreras,0)+2,0),"")&gt;0,IFERROR(VLOOKUP($C185,Planes_de_estudio[],MATCH($AH$2,Carreras,0)+2,0),""),"")</f>
        <v>4</v>
      </c>
      <c r="AI185" s="155" t="str">
        <f>IF(IFERROR(VLOOKUP($C185,Planes_de_estudio[],MATCH($AI$2,Carreras,0)+2,0),"")&gt;0,IFERROR(VLOOKUP($C185,Planes_de_estudio[],MATCH($AI$2,Carreras,0)+2,0),""),"")</f>
        <v/>
      </c>
      <c r="AJ185" s="155" t="str">
        <f>IF(IFERROR(VLOOKUP($C185,Planes_de_estudio[],MATCH($AJ$2,Carreras,0)+2,0),"")&gt;0,IFERROR(VLOOKUP($C185,Planes_de_estudio[],MATCH($AJ$2,Carreras,0)+2,0),""),"")</f>
        <v/>
      </c>
      <c r="AK185" s="155">
        <f>IF(IFERROR(VLOOKUP($C185,Planes_de_estudio[],MATCH($AK$2,Carreras,0)+2,0),"")&gt;0,IFERROR(VLOOKUP($C185,Planes_de_estudio[],MATCH($AK$2,Carreras,0)+2,0),""),"")</f>
        <v>4</v>
      </c>
      <c r="AL18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8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26</v>
      </c>
      <c r="AN185" s="155">
        <f>base_de_datos[[#This Row],[Pronóstico]]/25</f>
        <v>1.04</v>
      </c>
      <c r="AO185" s="155" t="str">
        <f>VLOOKUP($C185,Planes_de_estudio[],2)</f>
        <v>EMP</v>
      </c>
      <c r="AP185" s="157">
        <f ca="1">IF(AND(base_de_datos[[#This Row],[Industrial]]&lt;&gt;"",base_de_datos[[#This Row],[Misma o no]]=1),base_de_datos[[#This Row],[Índice]],"")</f>
        <v>1</v>
      </c>
      <c r="AQ185" s="157">
        <f ca="1">IF(AND(base_de_datos[[#This Row],[Mecatrónica]]&lt;&gt;"",base_de_datos[[#This Row],[Misma o no]]=1),base_de_datos[[#This Row],[Índice]],"")</f>
        <v>1</v>
      </c>
      <c r="AR185" s="157" t="str">
        <f ca="1">IF(AND(base_de_datos[[#This Row],[Innovación y Diseño]]&lt;&gt;"",base_de_datos[[#This Row],[Misma o no]]=1),base_de_datos[[#This Row],[Índice]],"")</f>
        <v/>
      </c>
      <c r="AS185" s="157">
        <f ca="1">IF(AND(base_de_datos[[#This Row],[Inteligencia Artificial]]&lt;&gt;"",base_de_datos[[#This Row],[Misma o no]]=1),base_de_datos[[#This Row],[Índice]],"")</f>
        <v>1</v>
      </c>
      <c r="AT185" s="157" t="str">
        <f ca="1">IF(AND(base_de_datos[[#This Row],[Tecnologías Energéticas]]&lt;&gt;"",base_de_datos[[#This Row],[Misma o no]]=1),base_de_datos[[#This Row],[Índice]],"")</f>
        <v/>
      </c>
      <c r="AU185" s="157" t="str">
        <f ca="1">IF(AND(base_de_datos[[#This Row],[Civil y Administración]]&lt;&gt;"",base_de_datos[[#This Row],[Misma o no]]=1),base_de_datos[[#This Row],[Índice]],"")</f>
        <v/>
      </c>
      <c r="AV185" s="157">
        <f ca="1">IF(AND(base_de_datos[[#This Row],[Bioelectrónica]]&lt;&gt;"",base_de_datos[[#This Row],[Misma o no]]=1),base_de_datos[[#This Row],[Índice]],"")</f>
        <v>1</v>
      </c>
      <c r="AW185" s="158"/>
      <c r="AX185" s="231" t="s">
        <v>1641</v>
      </c>
    </row>
    <row r="186" spans="1:221" ht="15">
      <c r="B186" s="148" t="s">
        <v>389</v>
      </c>
      <c r="C186" s="149" t="s">
        <v>390</v>
      </c>
      <c r="D186" s="150">
        <v>1</v>
      </c>
      <c r="E186" s="151">
        <v>0.66666666666666696</v>
      </c>
      <c r="F186" s="151">
        <v>0.79166666666665897</v>
      </c>
      <c r="G186" s="150"/>
      <c r="H186" s="150" t="s">
        <v>260</v>
      </c>
      <c r="I186" s="150">
        <f>INDEX(Aulas_capacidad,MATCH(base_de_datos[[#This Row],[Aula]],Aulas,0),2)</f>
        <v>20</v>
      </c>
      <c r="J186" s="152">
        <v>7</v>
      </c>
      <c r="K186" s="150">
        <f>INDEX(Aulas_capacidad,MATCH(base_de_datos[[#This Row],[Aula]],Aulas,0),4)</f>
        <v>8</v>
      </c>
      <c r="L186" s="153">
        <f>base_de_datos[[#This Row],[Cap 1.5]]-base_de_datos[[#This Row],[Inscritos]]</f>
        <v>1</v>
      </c>
      <c r="M186" s="153">
        <f>INDEX(Aulas_capacidad,MATCH(base_de_datos[[#This Row],[Aula]],Aulas,0),5)</f>
        <v>10</v>
      </c>
      <c r="N186" s="153">
        <f>base_de_datos[[#This Row],[Cap .90]]-base_de_datos[[#This Row],[Inscritos]]</f>
        <v>3</v>
      </c>
      <c r="O186" s="150">
        <v>1557</v>
      </c>
      <c r="P186" s="154"/>
      <c r="Q186" s="154" t="s">
        <v>67</v>
      </c>
      <c r="R186" s="154"/>
      <c r="S186" s="154"/>
      <c r="T186" s="154"/>
      <c r="U186" s="154"/>
      <c r="V186" s="154"/>
      <c r="W186" s="154" t="s">
        <v>1651</v>
      </c>
      <c r="X186" s="155">
        <f>_xlfn.XLOOKUP(base_de_datos[[#This Row],[Materia]],Materias,Horas)/16</f>
        <v>3</v>
      </c>
      <c r="Y186" s="155">
        <f>ROUND(((base_de_datos[[#This Row],[Hora fin]]-base_de_datos[[#This Row],[Hora inicio]])*24)*(COUNTA(base_de_datos[[#This Row],[Lunes]:[Sábado]])),1)</f>
        <v>3</v>
      </c>
      <c r="Z18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6" s="155">
        <f ca="1">IF(base_de_datos[[#This Row],[No clase]]=OFFSET(base_de_datos[[#This Row],[No clase]],-1,0),0,1)</f>
        <v>1</v>
      </c>
      <c r="AB186" s="155">
        <f ca="1">IF(NOT(OR(base_de_datos[[#This Row],[Horas totales]]=base_de_datos[[#This Row],[HT Plan]],base_de_datos[[#This Row],[Horas totales]]="N/A")),1,0)</f>
        <v>0</v>
      </c>
      <c r="AC186" s="155" t="str">
        <f>_xlfn.XLOOKUP(base_de_datos[[#This Row],[Profesor]],Nombre,Grado)</f>
        <v>L</v>
      </c>
      <c r="AD186" s="156" t="str">
        <f>_xlfn.XLOOKUP(base_de_datos[[#This Row],[Profesor]],Nombre,Tipo)</f>
        <v>A</v>
      </c>
      <c r="AE186" s="155" t="str">
        <f>IF(IFERROR(VLOOKUP($C186,Planes_de_estudio[],MATCH($AE$2,Carreras,0)+2,0),"")&gt;0,IFERROR(VLOOKUP($C186,Planes_de_estudio[],MATCH($AE$2,Carreras,0)+2,0),""),"")</f>
        <v/>
      </c>
      <c r="AF186" s="155" t="str">
        <f>IF(IFERROR(VLOOKUP($C186,Planes_de_estudio[],MATCH($AF$2,Carreras,0)+2,0),"")&gt;0,IFERROR(VLOOKUP($C186,Planes_de_estudio[],MATCH($AF$2,Carreras,0)+2,0),""),"")</f>
        <v/>
      </c>
      <c r="AG186" s="155" t="str">
        <f>IF(IFERROR(VLOOKUP($C186,Planes_de_estudio[],MATCH($AG$2,Carreras,0)+2,0),"")&gt;0,IFERROR(VLOOKUP($C186,Planes_de_estudio[],MATCH($AG$2,Carreras,0)+2,0),""),"")</f>
        <v/>
      </c>
      <c r="AH186" s="155">
        <f>IF(IFERROR(VLOOKUP($C186,Planes_de_estudio[],MATCH($AH$2,Carreras,0)+2,0),"")&gt;0,IFERROR(VLOOKUP($C186,Planes_de_estudio[],MATCH($AH$2,Carreras,0)+2,0),""),"")</f>
        <v>7</v>
      </c>
      <c r="AI186" s="155" t="str">
        <f>IF(IFERROR(VLOOKUP($C186,Planes_de_estudio[],MATCH($AI$2,Carreras,0)+2,0),"")&gt;0,IFERROR(VLOOKUP($C186,Planes_de_estudio[],MATCH($AI$2,Carreras,0)+2,0),""),"")</f>
        <v/>
      </c>
      <c r="AJ186" s="155" t="str">
        <f>IF(IFERROR(VLOOKUP($C186,Planes_de_estudio[],MATCH($AJ$2,Carreras,0)+2,0),"")&gt;0,IFERROR(VLOOKUP($C186,Planes_de_estudio[],MATCH($AJ$2,Carreras,0)+2,0),""),"")</f>
        <v/>
      </c>
      <c r="AK186" s="155" t="str">
        <f>IF(IFERROR(VLOOKUP($C186,Planes_de_estudio[],MATCH($AK$2,Carreras,0)+2,0),"")&gt;0,IFERROR(VLOOKUP($C186,Planes_de_estudio[],MATCH($AK$2,Carreras,0)+2,0),""),"")</f>
        <v/>
      </c>
      <c r="AL18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8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186" s="155">
        <f>base_de_datos[[#This Row],[Pronóstico]]/25</f>
        <v>0.56000000000000005</v>
      </c>
      <c r="AO186" s="155" t="str">
        <f>VLOOKUP($C186,Planes_de_estudio[],2)</f>
        <v>COM</v>
      </c>
      <c r="AP186" s="157" t="str">
        <f ca="1">IF(AND(base_de_datos[[#This Row],[Industrial]]&lt;&gt;"",base_de_datos[[#This Row],[Misma o no]]=1),base_de_datos[[#This Row],[Índice]],"")</f>
        <v/>
      </c>
      <c r="AQ186" s="157" t="str">
        <f ca="1">IF(AND(base_de_datos[[#This Row],[Mecatrónica]]&lt;&gt;"",base_de_datos[[#This Row],[Misma o no]]=1),base_de_datos[[#This Row],[Índice]],"")</f>
        <v/>
      </c>
      <c r="AR186" s="157" t="str">
        <f ca="1">IF(AND(base_de_datos[[#This Row],[Innovación y Diseño]]&lt;&gt;"",base_de_datos[[#This Row],[Misma o no]]=1),base_de_datos[[#This Row],[Índice]],"")</f>
        <v/>
      </c>
      <c r="AS186" s="157">
        <f ca="1">IF(AND(base_de_datos[[#This Row],[Inteligencia Artificial]]&lt;&gt;"",base_de_datos[[#This Row],[Misma o no]]=1),base_de_datos[[#This Row],[Índice]],"")</f>
        <v>1</v>
      </c>
      <c r="AT186" s="157" t="str">
        <f ca="1">IF(AND(base_de_datos[[#This Row],[Tecnologías Energéticas]]&lt;&gt;"",base_de_datos[[#This Row],[Misma o no]]=1),base_de_datos[[#This Row],[Índice]],"")</f>
        <v/>
      </c>
      <c r="AU186" s="157" t="str">
        <f ca="1">IF(AND(base_de_datos[[#This Row],[Civil y Administración]]&lt;&gt;"",base_de_datos[[#This Row],[Misma o no]]=1),base_de_datos[[#This Row],[Índice]],"")</f>
        <v/>
      </c>
      <c r="AV186" s="157" t="str">
        <f ca="1">IF(AND(base_de_datos[[#This Row],[Bioelectrónica]]&lt;&gt;"",base_de_datos[[#This Row],[Misma o no]]=1),base_de_datos[[#This Row],[Índice]],"")</f>
        <v/>
      </c>
      <c r="AW186" s="158"/>
      <c r="AX186" s="231" t="s">
        <v>1641</v>
      </c>
    </row>
    <row r="187" spans="1:221" ht="15">
      <c r="B187" s="148" t="s">
        <v>391</v>
      </c>
      <c r="C187" s="149" t="s">
        <v>184</v>
      </c>
      <c r="D187" s="150">
        <v>2</v>
      </c>
      <c r="E187" s="151">
        <v>0.79166666666666696</v>
      </c>
      <c r="F187" s="151">
        <v>0.87499999999999001</v>
      </c>
      <c r="G187" s="218" t="s">
        <v>65</v>
      </c>
      <c r="H187" s="150" t="s">
        <v>124</v>
      </c>
      <c r="I187" s="150">
        <f>INDEX(Aulas_capacidad,MATCH(base_de_datos[[#This Row],[Aula]],Aulas,0),2)</f>
        <v>0</v>
      </c>
      <c r="J187" s="152">
        <v>20</v>
      </c>
      <c r="K187" s="150">
        <f>INDEX(Aulas_capacidad,MATCH(base_de_datos[[#This Row],[Aula]],Aulas,0),4)</f>
        <v>0</v>
      </c>
      <c r="L187" s="153">
        <f>base_de_datos[[#This Row],[Cap 1.5]]-base_de_datos[[#This Row],[Inscritos]]</f>
        <v>-20</v>
      </c>
      <c r="M187" s="153">
        <f>INDEX(Aulas_capacidad,MATCH(base_de_datos[[#This Row],[Aula]],Aulas,0),5)</f>
        <v>0</v>
      </c>
      <c r="N187" s="153">
        <f>base_de_datos[[#This Row],[Cap .90]]-base_de_datos[[#This Row],[Inscritos]]</f>
        <v>-20</v>
      </c>
      <c r="O187" s="150" t="s">
        <v>392</v>
      </c>
      <c r="P187" s="154"/>
      <c r="Q187" s="154"/>
      <c r="R187" s="154" t="s">
        <v>67</v>
      </c>
      <c r="S187" s="154"/>
      <c r="T187" s="154" t="s">
        <v>67</v>
      </c>
      <c r="U187" s="154"/>
      <c r="V187" s="154"/>
      <c r="W187" s="154" t="s">
        <v>1658</v>
      </c>
      <c r="X187" s="155">
        <f>_xlfn.XLOOKUP(base_de_datos[[#This Row],[Materia]],Materias,Horas)/16</f>
        <v>4</v>
      </c>
      <c r="Y187" s="155">
        <f>ROUND(((base_de_datos[[#This Row],[Hora fin]]-base_de_datos[[#This Row],[Hora inicio]])*24)*(COUNTA(base_de_datos[[#This Row],[Lunes]:[Sábado]])),1)</f>
        <v>4</v>
      </c>
      <c r="Z18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7" s="155">
        <f ca="1">IF(base_de_datos[[#This Row],[No clase]]=OFFSET(base_de_datos[[#This Row],[No clase]],-1,0),0,1)</f>
        <v>1</v>
      </c>
      <c r="AB187" s="155">
        <f ca="1">IF(NOT(OR(base_de_datos[[#This Row],[Horas totales]]=base_de_datos[[#This Row],[HT Plan]],base_de_datos[[#This Row],[Horas totales]]="N/A")),1,0)</f>
        <v>0</v>
      </c>
      <c r="AC187" s="155" t="str">
        <f>_xlfn.XLOOKUP(base_de_datos[[#This Row],[Profesor]],Nombre,Grado)</f>
        <v>SNI</v>
      </c>
      <c r="AD187" s="156" t="str">
        <f>_xlfn.XLOOKUP(base_de_datos[[#This Row],[Profesor]],Nombre,Tipo)</f>
        <v>TC</v>
      </c>
      <c r="AE187" s="155">
        <f>IF(IFERROR(VLOOKUP($C187,Planes_de_estudio[],MATCH($AE$2,Carreras,0)+2,0),"")&gt;0,IFERROR(VLOOKUP($C187,Planes_de_estudio[],MATCH($AE$2,Carreras,0)+2,0),""),"")</f>
        <v>5</v>
      </c>
      <c r="AF187" s="155">
        <f>IF(IFERROR(VLOOKUP($C187,Planes_de_estudio[],MATCH($AF$2,Carreras,0)+2,0),"")&gt;0,IFERROR(VLOOKUP($C187,Planes_de_estudio[],MATCH($AF$2,Carreras,0)+2,0),""),"")</f>
        <v>3</v>
      </c>
      <c r="AG187" s="155" t="str">
        <f>IF(IFERROR(VLOOKUP($C187,Planes_de_estudio[],MATCH($AG$2,Carreras,0)+2,0),"")&gt;0,IFERROR(VLOOKUP($C187,Planes_de_estudio[],MATCH($AG$2,Carreras,0)+2,0),""),"")</f>
        <v/>
      </c>
      <c r="AH187" s="155" t="str">
        <f>IF(IFERROR(VLOOKUP($C187,Planes_de_estudio[],MATCH($AH$2,Carreras,0)+2,0),"")&gt;0,IFERROR(VLOOKUP($C187,Planes_de_estudio[],MATCH($AH$2,Carreras,0)+2,0),""),"")</f>
        <v/>
      </c>
      <c r="AI187" s="155">
        <f>IF(IFERROR(VLOOKUP($C187,Planes_de_estudio[],MATCH($AI$2,Carreras,0)+2,0),"")&gt;0,IFERROR(VLOOKUP($C187,Planes_de_estudio[],MATCH($AI$2,Carreras,0)+2,0),""),"")</f>
        <v>3</v>
      </c>
      <c r="AJ187" s="155" t="str">
        <f>IF(IFERROR(VLOOKUP($C187,Planes_de_estudio[],MATCH($AJ$2,Carreras,0)+2,0),"")&gt;0,IFERROR(VLOOKUP($C187,Planes_de_estudio[],MATCH($AJ$2,Carreras,0)+2,0),""),"")</f>
        <v/>
      </c>
      <c r="AK187" s="155">
        <f>IF(IFERROR(VLOOKUP($C187,Planes_de_estudio[],MATCH($AK$2,Carreras,0)+2,0),"")&gt;0,IFERROR(VLOOKUP($C187,Planes_de_estudio[],MATCH($AK$2,Carreras,0)+2,0),""),"")</f>
        <v>3</v>
      </c>
      <c r="AL18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53</v>
      </c>
      <c r="AN187" s="155">
        <f>base_de_datos[[#This Row],[Pronóstico]]/25</f>
        <v>2.12</v>
      </c>
      <c r="AO187" s="155" t="str">
        <f>VLOOKUP($C187,Planes_de_estudio[],2)</f>
        <v>EEC</v>
      </c>
      <c r="AP187" s="157">
        <f ca="1">IF(AND(base_de_datos[[#This Row],[Industrial]]&lt;&gt;"",base_de_datos[[#This Row],[Misma o no]]=1),base_de_datos[[#This Row],[Índice]],"")</f>
        <v>6</v>
      </c>
      <c r="AQ187" s="157">
        <f ca="1">IF(AND(base_de_datos[[#This Row],[Mecatrónica]]&lt;&gt;"",base_de_datos[[#This Row],[Misma o no]]=1),base_de_datos[[#This Row],[Índice]],"")</f>
        <v>6</v>
      </c>
      <c r="AR187" s="157" t="str">
        <f ca="1">IF(AND(base_de_datos[[#This Row],[Innovación y Diseño]]&lt;&gt;"",base_de_datos[[#This Row],[Misma o no]]=1),base_de_datos[[#This Row],[Índice]],"")</f>
        <v/>
      </c>
      <c r="AS187" s="157" t="str">
        <f ca="1">IF(AND(base_de_datos[[#This Row],[Inteligencia Artificial]]&lt;&gt;"",base_de_datos[[#This Row],[Misma o no]]=1),base_de_datos[[#This Row],[Índice]],"")</f>
        <v/>
      </c>
      <c r="AT187" s="157">
        <f ca="1">IF(AND(base_de_datos[[#This Row],[Tecnologías Energéticas]]&lt;&gt;"",base_de_datos[[#This Row],[Misma o no]]=1),base_de_datos[[#This Row],[Índice]],"")</f>
        <v>6</v>
      </c>
      <c r="AU187" s="157" t="str">
        <f ca="1">IF(AND(base_de_datos[[#This Row],[Civil y Administración]]&lt;&gt;"",base_de_datos[[#This Row],[Misma o no]]=1),base_de_datos[[#This Row],[Índice]],"")</f>
        <v/>
      </c>
      <c r="AV187" s="157">
        <f ca="1">IF(AND(base_de_datos[[#This Row],[Bioelectrónica]]&lt;&gt;"",base_de_datos[[#This Row],[Misma o no]]=1),base_de_datos[[#This Row],[Índice]],"")</f>
        <v>6</v>
      </c>
      <c r="AW187" s="158"/>
      <c r="AX187" s="231">
        <v>2</v>
      </c>
    </row>
    <row r="188" spans="1:221" ht="15">
      <c r="B188" s="148" t="s">
        <v>391</v>
      </c>
      <c r="C188" s="149" t="s">
        <v>124</v>
      </c>
      <c r="D188" s="150">
        <v>1</v>
      </c>
      <c r="E188" s="151">
        <v>0.70833333333333304</v>
      </c>
      <c r="F188" s="151">
        <v>0.79166666666665897</v>
      </c>
      <c r="G188" s="218" t="s">
        <v>65</v>
      </c>
      <c r="H188" s="150" t="s">
        <v>187</v>
      </c>
      <c r="I188" s="150">
        <f>INDEX(Aulas_capacidad,MATCH(base_de_datos[[#This Row],[Aula]],Aulas,0),2)</f>
        <v>57</v>
      </c>
      <c r="J188" s="152">
        <v>4</v>
      </c>
      <c r="K188" s="150">
        <f>INDEX(Aulas_capacidad,MATCH(base_de_datos[[#This Row],[Aula]],Aulas,0),4)</f>
        <v>0</v>
      </c>
      <c r="L188" s="153">
        <f>base_de_datos[[#This Row],[Cap 1.5]]-base_de_datos[[#This Row],[Inscritos]]</f>
        <v>-4</v>
      </c>
      <c r="M188" s="153">
        <f>INDEX(Aulas_capacidad,MATCH(base_de_datos[[#This Row],[Aula]],Aulas,0),5)</f>
        <v>0</v>
      </c>
      <c r="N188" s="153">
        <f>base_de_datos[[#This Row],[Cap .90]]-base_de_datos[[#This Row],[Inscritos]]</f>
        <v>-4</v>
      </c>
      <c r="O188" s="150" t="s">
        <v>393</v>
      </c>
      <c r="P188" s="154"/>
      <c r="Q188" s="154" t="s">
        <v>67</v>
      </c>
      <c r="R188" s="154"/>
      <c r="S188" s="154"/>
      <c r="T188" s="154"/>
      <c r="U188" s="154"/>
      <c r="V188" s="154"/>
      <c r="W188" s="154" t="s">
        <v>1650</v>
      </c>
      <c r="X188" s="155">
        <f>_xlfn.XLOOKUP(base_de_datos[[#This Row],[Materia]],Materias,Horas)/16</f>
        <v>4</v>
      </c>
      <c r="Y188" s="155">
        <f>ROUND(((base_de_datos[[#This Row],[Hora fin]]-base_de_datos[[#This Row],[Hora inicio]])*24)*(COUNTA(base_de_datos[[#This Row],[Lunes]:[Sábado]])),1)</f>
        <v>2</v>
      </c>
      <c r="Z18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8" s="155">
        <f ca="1">IF(base_de_datos[[#This Row],[No clase]]=OFFSET(base_de_datos[[#This Row],[No clase]],-1,0),0,1)</f>
        <v>1</v>
      </c>
      <c r="AB188" s="155">
        <f ca="1">IF(NOT(OR(base_de_datos[[#This Row],[Horas totales]]=base_de_datos[[#This Row],[HT Plan]],base_de_datos[[#This Row],[Horas totales]]="N/A")),1,0)</f>
        <v>0</v>
      </c>
      <c r="AC188" s="155" t="str">
        <f>_xlfn.XLOOKUP(base_de_datos[[#This Row],[Profesor]],Nombre,Grado)</f>
        <v>SNI</v>
      </c>
      <c r="AD188" s="156" t="str">
        <f>_xlfn.XLOOKUP(base_de_datos[[#This Row],[Profesor]],Nombre,Tipo)</f>
        <v>TC</v>
      </c>
      <c r="AE188" s="155" t="str">
        <f>IF(IFERROR(VLOOKUP($C188,Planes_de_estudio[],MATCH($AE$2,Carreras,0)+2,0),"")&gt;0,IFERROR(VLOOKUP($C188,Planes_de_estudio[],MATCH($AE$2,Carreras,0)+2,0),""),"")</f>
        <v/>
      </c>
      <c r="AF188" s="155">
        <f>IF(IFERROR(VLOOKUP($C188,Planes_de_estudio[],MATCH($AF$2,Carreras,0)+2,0),"")&gt;0,IFERROR(VLOOKUP($C188,Planes_de_estudio[],MATCH($AF$2,Carreras,0)+2,0),""),"")</f>
        <v>6</v>
      </c>
      <c r="AG188" s="155" t="str">
        <f>IF(IFERROR(VLOOKUP($C188,Planes_de_estudio[],MATCH($AG$2,Carreras,0)+2,0),"")&gt;0,IFERROR(VLOOKUP($C188,Planes_de_estudio[],MATCH($AG$2,Carreras,0)+2,0),""),"")</f>
        <v/>
      </c>
      <c r="AH188" s="155" t="str">
        <f>IF(IFERROR(VLOOKUP($C188,Planes_de_estudio[],MATCH($AH$2,Carreras,0)+2,0),"")&gt;0,IFERROR(VLOOKUP($C188,Planes_de_estudio[],MATCH($AH$2,Carreras,0)+2,0),""),"")</f>
        <v/>
      </c>
      <c r="AI188" s="155">
        <f>IF(IFERROR(VLOOKUP($C188,Planes_de_estudio[],MATCH($AI$2,Carreras,0)+2,0),"")&gt;0,IFERROR(VLOOKUP($C188,Planes_de_estudio[],MATCH($AI$2,Carreras,0)+2,0),""),"")</f>
        <v>5</v>
      </c>
      <c r="AJ188" s="155" t="str">
        <f>IF(IFERROR(VLOOKUP($C188,Planes_de_estudio[],MATCH($AJ$2,Carreras,0)+2,0),"")&gt;0,IFERROR(VLOOKUP($C188,Planes_de_estudio[],MATCH($AJ$2,Carreras,0)+2,0),""),"")</f>
        <v/>
      </c>
      <c r="AK188" s="155">
        <f>IF(IFERROR(VLOOKUP($C188,Planes_de_estudio[],MATCH($AK$2,Carreras,0)+2,0),"")&gt;0,IFERROR(VLOOKUP($C188,Planes_de_estudio[],MATCH($AK$2,Carreras,0)+2,0),""),"")</f>
        <v>6</v>
      </c>
      <c r="AL18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88" s="155">
        <f>base_de_datos[[#This Row],[Pronóstico]]/25</f>
        <v>0.32</v>
      </c>
      <c r="AO188" s="155" t="str">
        <f>VLOOKUP($C188,Planes_de_estudio[],2)</f>
        <v>EEC</v>
      </c>
      <c r="AP188" s="157" t="str">
        <f ca="1">IF(AND(base_de_datos[[#This Row],[Industrial]]&lt;&gt;"",base_de_datos[[#This Row],[Misma o no]]=1),base_de_datos[[#This Row],[Índice]],"")</f>
        <v/>
      </c>
      <c r="AQ188" s="157">
        <f ca="1">IF(AND(base_de_datos[[#This Row],[Mecatrónica]]&lt;&gt;"",base_de_datos[[#This Row],[Misma o no]]=1),base_de_datos[[#This Row],[Índice]],"")</f>
        <v>6</v>
      </c>
      <c r="AR188" s="157" t="str">
        <f ca="1">IF(AND(base_de_datos[[#This Row],[Innovación y Diseño]]&lt;&gt;"",base_de_datos[[#This Row],[Misma o no]]=1),base_de_datos[[#This Row],[Índice]],"")</f>
        <v/>
      </c>
      <c r="AS188" s="157" t="str">
        <f ca="1">IF(AND(base_de_datos[[#This Row],[Inteligencia Artificial]]&lt;&gt;"",base_de_datos[[#This Row],[Misma o no]]=1),base_de_datos[[#This Row],[Índice]],"")</f>
        <v/>
      </c>
      <c r="AT188" s="157">
        <f ca="1">IF(AND(base_de_datos[[#This Row],[Tecnologías Energéticas]]&lt;&gt;"",base_de_datos[[#This Row],[Misma o no]]=1),base_de_datos[[#This Row],[Índice]],"")</f>
        <v>6</v>
      </c>
      <c r="AU188" s="157" t="str">
        <f ca="1">IF(AND(base_de_datos[[#This Row],[Civil y Administración]]&lt;&gt;"",base_de_datos[[#This Row],[Misma o no]]=1),base_de_datos[[#This Row],[Índice]],"")</f>
        <v/>
      </c>
      <c r="AV188" s="157">
        <f ca="1">IF(AND(base_de_datos[[#This Row],[Bioelectrónica]]&lt;&gt;"",base_de_datos[[#This Row],[Misma o no]]=1),base_de_datos[[#This Row],[Índice]],"")</f>
        <v>6</v>
      </c>
      <c r="AW188" s="158"/>
      <c r="AX188" s="231">
        <v>1</v>
      </c>
    </row>
    <row r="189" spans="1:221" s="165" customFormat="1" ht="15">
      <c r="A189" s="85"/>
      <c r="B189" s="148" t="s">
        <v>391</v>
      </c>
      <c r="C189" s="149" t="s">
        <v>124</v>
      </c>
      <c r="D189" s="150">
        <v>1</v>
      </c>
      <c r="E189" s="151">
        <v>0.79166666666666696</v>
      </c>
      <c r="F189" s="151">
        <v>0.87499999999999001</v>
      </c>
      <c r="G189" s="218" t="s">
        <v>65</v>
      </c>
      <c r="H189" s="150" t="s">
        <v>124</v>
      </c>
      <c r="I189" s="150">
        <f>INDEX(Aulas_capacidad,MATCH(base_de_datos[[#This Row],[Aula]],Aulas,0),2)</f>
        <v>0</v>
      </c>
      <c r="J189" s="152">
        <v>4</v>
      </c>
      <c r="K189" s="150">
        <f>INDEX(Aulas_capacidad,MATCH(base_de_datos[[#This Row],[Aula]],Aulas,0),4)</f>
        <v>0</v>
      </c>
      <c r="L189" s="153">
        <f>base_de_datos[[#This Row],[Cap 1.5]]-base_de_datos[[#This Row],[Inscritos]]</f>
        <v>-4</v>
      </c>
      <c r="M189" s="153">
        <f>INDEX(Aulas_capacidad,MATCH(base_de_datos[[#This Row],[Aula]],Aulas,0),5)</f>
        <v>0</v>
      </c>
      <c r="N189" s="153">
        <f>base_de_datos[[#This Row],[Cap .90]]-base_de_datos[[#This Row],[Inscritos]]</f>
        <v>-4</v>
      </c>
      <c r="O189" s="150" t="s">
        <v>393</v>
      </c>
      <c r="P189" s="154"/>
      <c r="Q189" s="154"/>
      <c r="R189" s="154"/>
      <c r="S189" s="154" t="s">
        <v>67</v>
      </c>
      <c r="T189" s="154"/>
      <c r="U189" s="154"/>
      <c r="V189" s="154"/>
      <c r="W189" s="154" t="s">
        <v>1650</v>
      </c>
      <c r="X189" s="155">
        <f>_xlfn.XLOOKUP(base_de_datos[[#This Row],[Materia]],Materias,Horas)/16</f>
        <v>4</v>
      </c>
      <c r="Y189" s="155">
        <f>ROUND(((base_de_datos[[#This Row],[Hora fin]]-base_de_datos[[#This Row],[Hora inicio]])*24)*(COUNTA(base_de_datos[[#This Row],[Lunes]:[Sábado]])),1)</f>
        <v>2</v>
      </c>
      <c r="Z18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9" s="155">
        <f ca="1">IF(base_de_datos[[#This Row],[No clase]]=OFFSET(base_de_datos[[#This Row],[No clase]],-1,0),0,1)</f>
        <v>0</v>
      </c>
      <c r="AB189" s="155">
        <f ca="1">IF(NOT(OR(base_de_datos[[#This Row],[Horas totales]]=base_de_datos[[#This Row],[HT Plan]],base_de_datos[[#This Row],[Horas totales]]="N/A")),1,0)</f>
        <v>0</v>
      </c>
      <c r="AC189" s="155" t="str">
        <f>_xlfn.XLOOKUP(base_de_datos[[#This Row],[Profesor]],Nombre,Grado)</f>
        <v>SNI</v>
      </c>
      <c r="AD189" s="156" t="str">
        <f>_xlfn.XLOOKUP(base_de_datos[[#This Row],[Profesor]],Nombre,Tipo)</f>
        <v>TC</v>
      </c>
      <c r="AE189" s="155" t="str">
        <f>IF(IFERROR(VLOOKUP($C189,Planes_de_estudio[],MATCH($AE$2,Carreras,0)+2,0),"")&gt;0,IFERROR(VLOOKUP($C189,Planes_de_estudio[],MATCH($AE$2,Carreras,0)+2,0),""),"")</f>
        <v/>
      </c>
      <c r="AF189" s="155">
        <f>IF(IFERROR(VLOOKUP($C189,Planes_de_estudio[],MATCH($AF$2,Carreras,0)+2,0),"")&gt;0,IFERROR(VLOOKUP($C189,Planes_de_estudio[],MATCH($AF$2,Carreras,0)+2,0),""),"")</f>
        <v>6</v>
      </c>
      <c r="AG189" s="155" t="str">
        <f>IF(IFERROR(VLOOKUP($C189,Planes_de_estudio[],MATCH($AG$2,Carreras,0)+2,0),"")&gt;0,IFERROR(VLOOKUP($C189,Planes_de_estudio[],MATCH($AG$2,Carreras,0)+2,0),""),"")</f>
        <v/>
      </c>
      <c r="AH189" s="155" t="str">
        <f>IF(IFERROR(VLOOKUP($C189,Planes_de_estudio[],MATCH($AH$2,Carreras,0)+2,0),"")&gt;0,IFERROR(VLOOKUP($C189,Planes_de_estudio[],MATCH($AH$2,Carreras,0)+2,0),""),"")</f>
        <v/>
      </c>
      <c r="AI189" s="155">
        <f>IF(IFERROR(VLOOKUP($C189,Planes_de_estudio[],MATCH($AI$2,Carreras,0)+2,0),"")&gt;0,IFERROR(VLOOKUP($C189,Planes_de_estudio[],MATCH($AI$2,Carreras,0)+2,0),""),"")</f>
        <v>5</v>
      </c>
      <c r="AJ189" s="155" t="str">
        <f>IF(IFERROR(VLOOKUP($C189,Planes_de_estudio[],MATCH($AJ$2,Carreras,0)+2,0),"")&gt;0,IFERROR(VLOOKUP($C189,Planes_de_estudio[],MATCH($AJ$2,Carreras,0)+2,0),""),"")</f>
        <v/>
      </c>
      <c r="AK189" s="155">
        <f>IF(IFERROR(VLOOKUP($C189,Planes_de_estudio[],MATCH($AK$2,Carreras,0)+2,0),"")&gt;0,IFERROR(VLOOKUP($C189,Planes_de_estudio[],MATCH($AK$2,Carreras,0)+2,0),""),"")</f>
        <v>6</v>
      </c>
      <c r="AL18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89" s="155">
        <f>base_de_datos[[#This Row],[Pronóstico]]/25</f>
        <v>0.32</v>
      </c>
      <c r="AO189" s="155" t="str">
        <f>VLOOKUP($C189,Planes_de_estudio[],2)</f>
        <v>EEC</v>
      </c>
      <c r="AP189" s="157" t="str">
        <f ca="1">IF(AND(base_de_datos[[#This Row],[Industrial]]&lt;&gt;"",base_de_datos[[#This Row],[Misma o no]]=1),base_de_datos[[#This Row],[Índice]],"")</f>
        <v/>
      </c>
      <c r="AQ189" s="157" t="str">
        <f ca="1">IF(AND(base_de_datos[[#This Row],[Mecatrónica]]&lt;&gt;"",base_de_datos[[#This Row],[Misma o no]]=1),base_de_datos[[#This Row],[Índice]],"")</f>
        <v/>
      </c>
      <c r="AR189" s="157" t="str">
        <f ca="1">IF(AND(base_de_datos[[#This Row],[Innovación y Diseño]]&lt;&gt;"",base_de_datos[[#This Row],[Misma o no]]=1),base_de_datos[[#This Row],[Índice]],"")</f>
        <v/>
      </c>
      <c r="AS189" s="157" t="str">
        <f ca="1">IF(AND(base_de_datos[[#This Row],[Inteligencia Artificial]]&lt;&gt;"",base_de_datos[[#This Row],[Misma o no]]=1),base_de_datos[[#This Row],[Índice]],"")</f>
        <v/>
      </c>
      <c r="AT189" s="157" t="str">
        <f ca="1">IF(AND(base_de_datos[[#This Row],[Tecnologías Energéticas]]&lt;&gt;"",base_de_datos[[#This Row],[Misma o no]]=1),base_de_datos[[#This Row],[Índice]],"")</f>
        <v/>
      </c>
      <c r="AU189" s="157" t="str">
        <f ca="1">IF(AND(base_de_datos[[#This Row],[Civil y Administración]]&lt;&gt;"",base_de_datos[[#This Row],[Misma o no]]=1),base_de_datos[[#This Row],[Índice]],"")</f>
        <v/>
      </c>
      <c r="AV189" s="157" t="str">
        <f ca="1">IF(AND(base_de_datos[[#This Row],[Bioelectrónica]]&lt;&gt;"",base_de_datos[[#This Row],[Misma o no]]=1),base_de_datos[[#This Row],[Índice]],"")</f>
        <v/>
      </c>
      <c r="AW189" s="158"/>
      <c r="AX189" s="231">
        <v>1</v>
      </c>
      <c r="AY189" s="85"/>
      <c r="AZ189" s="85"/>
      <c r="BA189" s="85"/>
      <c r="BB189" s="85"/>
      <c r="BC189" s="85"/>
      <c r="BD189" s="85"/>
      <c r="BE189" s="85"/>
      <c r="BF189" s="85"/>
      <c r="BG189" s="85"/>
      <c r="BH189" s="85"/>
      <c r="BI189" s="85"/>
      <c r="BJ189" s="85"/>
      <c r="BK189" s="85"/>
      <c r="BL189" s="85"/>
      <c r="BM189" s="85"/>
      <c r="BN189" s="85"/>
      <c r="BO189" s="85"/>
      <c r="BP189" s="85"/>
      <c r="BQ189" s="85"/>
      <c r="BR189" s="85"/>
      <c r="BS189" s="85"/>
      <c r="BT189" s="85"/>
      <c r="BU189" s="85"/>
      <c r="BV189" s="85"/>
      <c r="BW189" s="85"/>
      <c r="BX189" s="85"/>
      <c r="BY189" s="85"/>
      <c r="BZ189" s="85"/>
      <c r="CA189" s="85"/>
      <c r="CB189" s="85"/>
      <c r="CC189" s="85"/>
      <c r="CD189" s="85"/>
      <c r="CE189" s="85"/>
      <c r="CF189" s="85"/>
      <c r="CG189" s="85"/>
      <c r="CH189" s="85"/>
      <c r="CI189" s="85"/>
      <c r="CJ189" s="85"/>
      <c r="CK189" s="85"/>
      <c r="CL189" s="85"/>
      <c r="CM189" s="85"/>
      <c r="CN189" s="85"/>
      <c r="CO189" s="85"/>
      <c r="CP189" s="85"/>
      <c r="CQ189" s="85"/>
      <c r="CR189" s="85"/>
      <c r="CS189" s="85"/>
      <c r="CT189" s="85"/>
      <c r="CU189" s="85"/>
      <c r="CV189" s="85"/>
      <c r="CW189" s="85"/>
      <c r="CX189" s="85"/>
      <c r="CY189" s="85"/>
      <c r="CZ189" s="85"/>
      <c r="DA189" s="85"/>
      <c r="DB189" s="85"/>
      <c r="DC189" s="85"/>
      <c r="DD189" s="85"/>
      <c r="DE189" s="85"/>
      <c r="DF189" s="85"/>
      <c r="DG189" s="85"/>
      <c r="DH189" s="85"/>
      <c r="DI189" s="85"/>
      <c r="DJ189" s="85"/>
      <c r="DK189" s="85"/>
      <c r="DL189" s="85"/>
      <c r="DM189" s="85"/>
      <c r="DN189" s="85"/>
      <c r="DO189" s="85"/>
      <c r="DP189" s="85"/>
      <c r="DQ189" s="85"/>
      <c r="DR189" s="85"/>
      <c r="DS189" s="85"/>
      <c r="DT189" s="85"/>
      <c r="DU189" s="85"/>
      <c r="DV189" s="85"/>
      <c r="DW189" s="85"/>
      <c r="DX189" s="85"/>
      <c r="DY189" s="85"/>
      <c r="DZ189" s="85"/>
      <c r="EA189" s="85"/>
      <c r="EB189" s="85"/>
      <c r="EC189" s="85"/>
      <c r="ED189" s="85"/>
      <c r="EE189" s="85"/>
      <c r="EF189" s="85"/>
      <c r="EG189" s="85"/>
      <c r="EH189" s="85"/>
      <c r="EI189" s="85"/>
      <c r="EJ189" s="85"/>
      <c r="EK189" s="85"/>
      <c r="EL189" s="85"/>
      <c r="EM189" s="85"/>
      <c r="EN189" s="85"/>
      <c r="EO189" s="85"/>
      <c r="EP189" s="85"/>
      <c r="EQ189" s="85"/>
      <c r="ER189" s="85"/>
      <c r="ES189" s="85"/>
      <c r="ET189" s="85"/>
      <c r="EU189" s="85"/>
      <c r="EV189" s="85"/>
      <c r="EW189" s="85"/>
      <c r="EX189" s="85"/>
      <c r="EY189" s="85"/>
      <c r="EZ189" s="85"/>
      <c r="FA189" s="85"/>
      <c r="FB189" s="85"/>
      <c r="FC189" s="85"/>
      <c r="FD189" s="85"/>
      <c r="FE189" s="85"/>
      <c r="FF189" s="85"/>
      <c r="FG189" s="85"/>
      <c r="FH189" s="85"/>
      <c r="FI189" s="85"/>
      <c r="FJ189" s="85"/>
      <c r="FK189" s="85"/>
      <c r="FL189" s="85"/>
      <c r="FM189" s="85"/>
      <c r="FN189" s="85"/>
      <c r="FO189" s="85"/>
      <c r="FP189" s="85"/>
      <c r="FQ189" s="85"/>
      <c r="FR189" s="85"/>
      <c r="FS189" s="85"/>
      <c r="FT189" s="85"/>
      <c r="FU189" s="85"/>
      <c r="FV189" s="85"/>
      <c r="FW189" s="85"/>
      <c r="FX189" s="85"/>
      <c r="FY189" s="85"/>
      <c r="FZ189" s="85"/>
      <c r="GA189" s="85"/>
      <c r="GB189" s="85"/>
      <c r="GC189" s="85"/>
      <c r="GD189" s="85"/>
      <c r="GE189" s="85"/>
      <c r="GF189" s="85"/>
      <c r="GG189" s="85"/>
      <c r="GH189" s="85"/>
      <c r="GI189" s="85"/>
      <c r="GJ189" s="85"/>
      <c r="GK189" s="85"/>
      <c r="GL189" s="85"/>
      <c r="GM189" s="85"/>
      <c r="GN189" s="85"/>
      <c r="GO189" s="85"/>
      <c r="GP189" s="85"/>
      <c r="GQ189" s="85"/>
      <c r="GR189" s="85"/>
      <c r="GS189" s="85"/>
      <c r="GT189" s="85"/>
      <c r="GU189" s="85"/>
      <c r="GV189" s="85"/>
      <c r="GW189" s="85"/>
      <c r="GX189" s="85"/>
      <c r="GY189" s="85"/>
      <c r="GZ189" s="85"/>
      <c r="HA189" s="85"/>
      <c r="HB189" s="85"/>
      <c r="HC189" s="85"/>
      <c r="HD189" s="85"/>
      <c r="HE189" s="85"/>
      <c r="HF189" s="85"/>
      <c r="HG189" s="85"/>
      <c r="HH189" s="85"/>
      <c r="HI189" s="85"/>
      <c r="HJ189" s="85"/>
      <c r="HK189" s="85"/>
      <c r="HL189" s="85"/>
      <c r="HM189" s="85"/>
    </row>
    <row r="190" spans="1:221" ht="15">
      <c r="B190" s="148" t="s">
        <v>391</v>
      </c>
      <c r="C190" s="149" t="s">
        <v>394</v>
      </c>
      <c r="D190" s="150">
        <v>1</v>
      </c>
      <c r="E190" s="151">
        <v>0.79166666666666696</v>
      </c>
      <c r="F190" s="151">
        <v>0.85416666666665797</v>
      </c>
      <c r="G190" s="218" t="s">
        <v>111</v>
      </c>
      <c r="H190" s="150" t="s">
        <v>124</v>
      </c>
      <c r="I190" s="150">
        <f>INDEX(Aulas_capacidad,MATCH(base_de_datos[[#This Row],[Aula]],Aulas,0),2)</f>
        <v>0</v>
      </c>
      <c r="J190" s="212">
        <v>27</v>
      </c>
      <c r="K190" s="150">
        <f>INDEX(Aulas_capacidad,MATCH(base_de_datos[[#This Row],[Aula]],Aulas,0),4)</f>
        <v>0</v>
      </c>
      <c r="L190" s="153">
        <f>base_de_datos[[#This Row],[Cap 1.5]]-base_de_datos[[#This Row],[Inscritos]]</f>
        <v>-27</v>
      </c>
      <c r="M190" s="153">
        <f>INDEX(Aulas_capacidad,MATCH(base_de_datos[[#This Row],[Aula]],Aulas,0),5)</f>
        <v>0</v>
      </c>
      <c r="N190" s="153">
        <f>base_de_datos[[#This Row],[Cap .90]]-base_de_datos[[#This Row],[Inscritos]]</f>
        <v>-27</v>
      </c>
      <c r="O190" s="150" t="s">
        <v>395</v>
      </c>
      <c r="P190" s="154"/>
      <c r="Q190" s="154" t="s">
        <v>67</v>
      </c>
      <c r="R190" s="154"/>
      <c r="S190" s="154"/>
      <c r="T190" s="154"/>
      <c r="U190" s="154"/>
      <c r="V190" s="154"/>
      <c r="W190" s="154" t="s">
        <v>1652</v>
      </c>
      <c r="X190" s="155">
        <f>_xlfn.XLOOKUP(base_de_datos[[#This Row],[Materia]],Materias,Horas)/16</f>
        <v>3</v>
      </c>
      <c r="Y190" s="155">
        <f>ROUND(((base_de_datos[[#This Row],[Hora fin]]-base_de_datos[[#This Row],[Hora inicio]])*24)*(COUNTA(base_de_datos[[#This Row],[Lunes]:[Sábado]])),1)</f>
        <v>1.5</v>
      </c>
      <c r="Z19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0" s="155">
        <f ca="1">IF(base_de_datos[[#This Row],[No clase]]=OFFSET(base_de_datos[[#This Row],[No clase]],-1,0),0,1)</f>
        <v>1</v>
      </c>
      <c r="AB190" s="155">
        <f ca="1">IF(NOT(OR(base_de_datos[[#This Row],[Horas totales]]=base_de_datos[[#This Row],[HT Plan]],base_de_datos[[#This Row],[Horas totales]]="N/A")),1,0)</f>
        <v>0</v>
      </c>
      <c r="AC190" s="155" t="str">
        <f>_xlfn.XLOOKUP(base_de_datos[[#This Row],[Profesor]],Nombre,Grado)</f>
        <v>SNI</v>
      </c>
      <c r="AD190" s="156" t="str">
        <f>_xlfn.XLOOKUP(base_de_datos[[#This Row],[Profesor]],Nombre,Tipo)</f>
        <v>TC</v>
      </c>
      <c r="AE190" s="155" t="str">
        <f>IF(IFERROR(VLOOKUP($C190,Planes_de_estudio[],MATCH($AE$2,Carreras,0)+2,0),"")&gt;0,IFERROR(VLOOKUP($C190,Planes_de_estudio[],MATCH($AE$2,Carreras,0)+2,0),""),"")</f>
        <v/>
      </c>
      <c r="AF190" s="155">
        <f>IF(IFERROR(VLOOKUP($C190,Planes_de_estudio[],MATCH($AF$2,Carreras,0)+2,0),"")&gt;0,IFERROR(VLOOKUP($C190,Planes_de_estudio[],MATCH($AF$2,Carreras,0)+2,0),""),"")</f>
        <v>5</v>
      </c>
      <c r="AG190" s="155" t="str">
        <f>IF(IFERROR(VLOOKUP($C190,Planes_de_estudio[],MATCH($AG$2,Carreras,0)+2,0),"")&gt;0,IFERROR(VLOOKUP($C190,Planes_de_estudio[],MATCH($AG$2,Carreras,0)+2,0),""),"")</f>
        <v/>
      </c>
      <c r="AH190" s="155" t="str">
        <f>IF(IFERROR(VLOOKUP($C190,Planes_de_estudio[],MATCH($AH$2,Carreras,0)+2,0),"")&gt;0,IFERROR(VLOOKUP($C190,Planes_de_estudio[],MATCH($AH$2,Carreras,0)+2,0),""),"")</f>
        <v/>
      </c>
      <c r="AI190" s="155" t="str">
        <f>IF(IFERROR(VLOOKUP($C190,Planes_de_estudio[],MATCH($AI$2,Carreras,0)+2,0),"")&gt;0,IFERROR(VLOOKUP($C190,Planes_de_estudio[],MATCH($AI$2,Carreras,0)+2,0),""),"")</f>
        <v/>
      </c>
      <c r="AJ190" s="155" t="str">
        <f>IF(IFERROR(VLOOKUP($C190,Planes_de_estudio[],MATCH($AJ$2,Carreras,0)+2,0),"")&gt;0,IFERROR(VLOOKUP($C190,Planes_de_estudio[],MATCH($AJ$2,Carreras,0)+2,0),""),"")</f>
        <v/>
      </c>
      <c r="AK190" s="155">
        <f>IF(IFERROR(VLOOKUP($C190,Planes_de_estudio[],MATCH($AK$2,Carreras,0)+2,0),"")&gt;0,IFERROR(VLOOKUP($C190,Planes_de_estudio[],MATCH($AK$2,Carreras,0)+2,0),""),"")</f>
        <v>5</v>
      </c>
      <c r="AL19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190" s="155">
        <f>base_de_datos[[#This Row],[Pronóstico]]/25</f>
        <v>0.88</v>
      </c>
      <c r="AO190" s="155" t="str">
        <f>VLOOKUP($C190,Planes_de_estudio[],2)</f>
        <v>EEC</v>
      </c>
      <c r="AP190" s="157" t="str">
        <f ca="1">IF(AND(base_de_datos[[#This Row],[Industrial]]&lt;&gt;"",base_de_datos[[#This Row],[Misma o no]]=1),base_de_datos[[#This Row],[Índice]],"")</f>
        <v/>
      </c>
      <c r="AQ190" s="157">
        <f ca="1">IF(AND(base_de_datos[[#This Row],[Mecatrónica]]&lt;&gt;"",base_de_datos[[#This Row],[Misma o no]]=1),base_de_datos[[#This Row],[Índice]],"")</f>
        <v>6</v>
      </c>
      <c r="AR190" s="157" t="str">
        <f ca="1">IF(AND(base_de_datos[[#This Row],[Innovación y Diseño]]&lt;&gt;"",base_de_datos[[#This Row],[Misma o no]]=1),base_de_datos[[#This Row],[Índice]],"")</f>
        <v/>
      </c>
      <c r="AS190" s="157" t="str">
        <f ca="1">IF(AND(base_de_datos[[#This Row],[Inteligencia Artificial]]&lt;&gt;"",base_de_datos[[#This Row],[Misma o no]]=1),base_de_datos[[#This Row],[Índice]],"")</f>
        <v/>
      </c>
      <c r="AT190" s="157" t="str">
        <f ca="1">IF(AND(base_de_datos[[#This Row],[Tecnologías Energéticas]]&lt;&gt;"",base_de_datos[[#This Row],[Misma o no]]=1),base_de_datos[[#This Row],[Índice]],"")</f>
        <v/>
      </c>
      <c r="AU190" s="157" t="str">
        <f ca="1">IF(AND(base_de_datos[[#This Row],[Civil y Administración]]&lt;&gt;"",base_de_datos[[#This Row],[Misma o no]]=1),base_de_datos[[#This Row],[Índice]],"")</f>
        <v/>
      </c>
      <c r="AV190" s="157">
        <f ca="1">IF(AND(base_de_datos[[#This Row],[Bioelectrónica]]&lt;&gt;"",base_de_datos[[#This Row],[Misma o no]]=1),base_de_datos[[#This Row],[Índice]],"")</f>
        <v>6</v>
      </c>
      <c r="AW190" s="158"/>
      <c r="AX190" s="231" t="s">
        <v>1635</v>
      </c>
    </row>
    <row r="191" spans="1:221" ht="15">
      <c r="B191" s="148" t="s">
        <v>391</v>
      </c>
      <c r="C191" s="149" t="s">
        <v>394</v>
      </c>
      <c r="D191" s="150">
        <v>1</v>
      </c>
      <c r="E191" s="151">
        <v>0.66666666666666696</v>
      </c>
      <c r="F191" s="151">
        <v>0.72916666666665997</v>
      </c>
      <c r="G191" s="218" t="s">
        <v>111</v>
      </c>
      <c r="H191" s="150" t="s">
        <v>124</v>
      </c>
      <c r="I191" s="150">
        <f>INDEX(Aulas_capacidad,MATCH(base_de_datos[[#This Row],[Aula]],Aulas,0),2)</f>
        <v>0</v>
      </c>
      <c r="J191" s="212">
        <v>27</v>
      </c>
      <c r="K191" s="150">
        <f>INDEX(Aulas_capacidad,MATCH(base_de_datos[[#This Row],[Aula]],Aulas,0),4)</f>
        <v>0</v>
      </c>
      <c r="L191" s="153">
        <f>base_de_datos[[#This Row],[Cap 1.5]]-base_de_datos[[#This Row],[Inscritos]]</f>
        <v>-27</v>
      </c>
      <c r="M191" s="153">
        <f>INDEX(Aulas_capacidad,MATCH(base_de_datos[[#This Row],[Aula]],Aulas,0),5)</f>
        <v>0</v>
      </c>
      <c r="N191" s="153">
        <f>base_de_datos[[#This Row],[Cap .90]]-base_de_datos[[#This Row],[Inscritos]]</f>
        <v>-27</v>
      </c>
      <c r="O191" s="150" t="s">
        <v>395</v>
      </c>
      <c r="P191" s="154"/>
      <c r="Q191" s="154"/>
      <c r="R191" s="154"/>
      <c r="S191" s="154"/>
      <c r="T191" s="154" t="s">
        <v>67</v>
      </c>
      <c r="U191" s="154"/>
      <c r="V191" s="154"/>
      <c r="W191" s="154" t="s">
        <v>1652</v>
      </c>
      <c r="X191" s="155">
        <f>_xlfn.XLOOKUP(base_de_datos[[#This Row],[Materia]],Materias,Horas)/16</f>
        <v>3</v>
      </c>
      <c r="Y191" s="155">
        <f>ROUND(((base_de_datos[[#This Row],[Hora fin]]-base_de_datos[[#This Row],[Hora inicio]])*24)*(COUNTA(base_de_datos[[#This Row],[Lunes]:[Sábado]])),1)</f>
        <v>1.5</v>
      </c>
      <c r="Z19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1" s="155">
        <f ca="1">IF(base_de_datos[[#This Row],[No clase]]=OFFSET(base_de_datos[[#This Row],[No clase]],-1,0),0,1)</f>
        <v>0</v>
      </c>
      <c r="AB191" s="155">
        <f ca="1">IF(NOT(OR(base_de_datos[[#This Row],[Horas totales]]=base_de_datos[[#This Row],[HT Plan]],base_de_datos[[#This Row],[Horas totales]]="N/A")),1,0)</f>
        <v>0</v>
      </c>
      <c r="AC191" s="155" t="str">
        <f>_xlfn.XLOOKUP(base_de_datos[[#This Row],[Profesor]],Nombre,Grado)</f>
        <v>SNI</v>
      </c>
      <c r="AD191" s="156" t="str">
        <f>_xlfn.XLOOKUP(base_de_datos[[#This Row],[Profesor]],Nombre,Tipo)</f>
        <v>TC</v>
      </c>
      <c r="AE191" s="155" t="str">
        <f>IF(IFERROR(VLOOKUP($C191,Planes_de_estudio[],MATCH($AE$2,Carreras,0)+2,0),"")&gt;0,IFERROR(VLOOKUP($C191,Planes_de_estudio[],MATCH($AE$2,Carreras,0)+2,0),""),"")</f>
        <v/>
      </c>
      <c r="AF191" s="155">
        <f>IF(IFERROR(VLOOKUP($C191,Planes_de_estudio[],MATCH($AF$2,Carreras,0)+2,0),"")&gt;0,IFERROR(VLOOKUP($C191,Planes_de_estudio[],MATCH($AF$2,Carreras,0)+2,0),""),"")</f>
        <v>5</v>
      </c>
      <c r="AG191" s="155" t="str">
        <f>IF(IFERROR(VLOOKUP($C191,Planes_de_estudio[],MATCH($AG$2,Carreras,0)+2,0),"")&gt;0,IFERROR(VLOOKUP($C191,Planes_de_estudio[],MATCH($AG$2,Carreras,0)+2,0),""),"")</f>
        <v/>
      </c>
      <c r="AH191" s="155" t="str">
        <f>IF(IFERROR(VLOOKUP($C191,Planes_de_estudio[],MATCH($AH$2,Carreras,0)+2,0),"")&gt;0,IFERROR(VLOOKUP($C191,Planes_de_estudio[],MATCH($AH$2,Carreras,0)+2,0),""),"")</f>
        <v/>
      </c>
      <c r="AI191" s="155" t="str">
        <f>IF(IFERROR(VLOOKUP($C191,Planes_de_estudio[],MATCH($AI$2,Carreras,0)+2,0),"")&gt;0,IFERROR(VLOOKUP($C191,Planes_de_estudio[],MATCH($AI$2,Carreras,0)+2,0),""),"")</f>
        <v/>
      </c>
      <c r="AJ191" s="155" t="str">
        <f>IF(IFERROR(VLOOKUP($C191,Planes_de_estudio[],MATCH($AJ$2,Carreras,0)+2,0),"")&gt;0,IFERROR(VLOOKUP($C191,Planes_de_estudio[],MATCH($AJ$2,Carreras,0)+2,0),""),"")</f>
        <v/>
      </c>
      <c r="AK191" s="155">
        <f>IF(IFERROR(VLOOKUP($C191,Planes_de_estudio[],MATCH($AK$2,Carreras,0)+2,0),"")&gt;0,IFERROR(VLOOKUP($C191,Planes_de_estudio[],MATCH($AK$2,Carreras,0)+2,0),""),"")</f>
        <v>5</v>
      </c>
      <c r="AL19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191" s="155">
        <f>base_de_datos[[#This Row],[Pronóstico]]/25</f>
        <v>0.88</v>
      </c>
      <c r="AO191" s="155" t="str">
        <f>VLOOKUP($C191,Planes_de_estudio[],2)</f>
        <v>EEC</v>
      </c>
      <c r="AP191" s="157" t="str">
        <f ca="1">IF(AND(base_de_datos[[#This Row],[Industrial]]&lt;&gt;"",base_de_datos[[#This Row],[Misma o no]]=1),base_de_datos[[#This Row],[Índice]],"")</f>
        <v/>
      </c>
      <c r="AQ191" s="157" t="str">
        <f ca="1">IF(AND(base_de_datos[[#This Row],[Mecatrónica]]&lt;&gt;"",base_de_datos[[#This Row],[Misma o no]]=1),base_de_datos[[#This Row],[Índice]],"")</f>
        <v/>
      </c>
      <c r="AR191" s="157" t="str">
        <f ca="1">IF(AND(base_de_datos[[#This Row],[Innovación y Diseño]]&lt;&gt;"",base_de_datos[[#This Row],[Misma o no]]=1),base_de_datos[[#This Row],[Índice]],"")</f>
        <v/>
      </c>
      <c r="AS191" s="157" t="str">
        <f ca="1">IF(AND(base_de_datos[[#This Row],[Inteligencia Artificial]]&lt;&gt;"",base_de_datos[[#This Row],[Misma o no]]=1),base_de_datos[[#This Row],[Índice]],"")</f>
        <v/>
      </c>
      <c r="AT191" s="157" t="str">
        <f ca="1">IF(AND(base_de_datos[[#This Row],[Tecnologías Energéticas]]&lt;&gt;"",base_de_datos[[#This Row],[Misma o no]]=1),base_de_datos[[#This Row],[Índice]],"")</f>
        <v/>
      </c>
      <c r="AU191" s="157" t="str">
        <f ca="1">IF(AND(base_de_datos[[#This Row],[Civil y Administración]]&lt;&gt;"",base_de_datos[[#This Row],[Misma o no]]=1),base_de_datos[[#This Row],[Índice]],"")</f>
        <v/>
      </c>
      <c r="AV191" s="157" t="str">
        <f ca="1">IF(AND(base_de_datos[[#This Row],[Bioelectrónica]]&lt;&gt;"",base_de_datos[[#This Row],[Misma o no]]=1),base_de_datos[[#This Row],[Índice]],"")</f>
        <v/>
      </c>
      <c r="AW191" s="158"/>
      <c r="AX191" s="231">
        <v>2</v>
      </c>
    </row>
    <row r="192" spans="1:221" ht="15">
      <c r="B192" s="148" t="s">
        <v>396</v>
      </c>
      <c r="C192" s="149" t="s">
        <v>101</v>
      </c>
      <c r="D192" s="150">
        <v>1</v>
      </c>
      <c r="E192" s="151">
        <v>0.79166666666666696</v>
      </c>
      <c r="F192" s="151">
        <v>0.87499999999999001</v>
      </c>
      <c r="G192" s="150"/>
      <c r="H192" s="150" t="s">
        <v>102</v>
      </c>
      <c r="I192" s="150">
        <f>INDEX(Aulas_capacidad,MATCH(base_de_datos[[#This Row],[Aula]],Aulas,0),2)</f>
        <v>20</v>
      </c>
      <c r="J192" s="152">
        <v>15</v>
      </c>
      <c r="K192" s="150">
        <f>INDEX(Aulas_capacidad,MATCH(base_de_datos[[#This Row],[Aula]],Aulas,0),4)</f>
        <v>20</v>
      </c>
      <c r="L192" s="153">
        <f>base_de_datos[[#This Row],[Cap 1.5]]-base_de_datos[[#This Row],[Inscritos]]</f>
        <v>5</v>
      </c>
      <c r="M192" s="153">
        <f>INDEX(Aulas_capacidad,MATCH(base_de_datos[[#This Row],[Aula]],Aulas,0),5)</f>
        <v>18</v>
      </c>
      <c r="N192" s="153">
        <f>base_de_datos[[#This Row],[Cap .90]]-base_de_datos[[#This Row],[Inscritos]]</f>
        <v>3</v>
      </c>
      <c r="O192" s="150" t="s">
        <v>1645</v>
      </c>
      <c r="P192" s="154"/>
      <c r="Q192" s="154" t="s">
        <v>67</v>
      </c>
      <c r="R192" s="154"/>
      <c r="S192" s="154"/>
      <c r="T192" s="154"/>
      <c r="U192" s="154"/>
      <c r="V192" s="154"/>
      <c r="W192" s="154" t="s">
        <v>1656</v>
      </c>
      <c r="X192" s="155">
        <f>_xlfn.XLOOKUP(base_de_datos[[#This Row],[Materia]],Materias,Horas)/16</f>
        <v>5</v>
      </c>
      <c r="Y192" s="155">
        <f>ROUND(((base_de_datos[[#This Row],[Hora fin]]-base_de_datos[[#This Row],[Hora inicio]])*24)*(COUNTA(base_de_datos[[#This Row],[Lunes]:[Sábado]])),1)</f>
        <v>2</v>
      </c>
      <c r="Z192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92" s="155">
        <f ca="1">IF(base_de_datos[[#This Row],[No clase]]=OFFSET(base_de_datos[[#This Row],[No clase]],-1,0),0,1)</f>
        <v>1</v>
      </c>
      <c r="AB192" s="155">
        <f ca="1">IF(NOT(OR(base_de_datos[[#This Row],[Horas totales]]=base_de_datos[[#This Row],[HT Plan]],base_de_datos[[#This Row],[Horas totales]]="N/A")),1,0)</f>
        <v>1</v>
      </c>
      <c r="AC192" s="155" t="str">
        <f>_xlfn.XLOOKUP(base_de_datos[[#This Row],[Profesor]],Nombre,Grado)</f>
        <v>M</v>
      </c>
      <c r="AD192" s="156" t="str">
        <f>_xlfn.XLOOKUP(base_de_datos[[#This Row],[Profesor]],Nombre,Tipo)</f>
        <v>A</v>
      </c>
      <c r="AE192" s="155" t="str">
        <f>IF(IFERROR(VLOOKUP($C192,Planes_de_estudio[],MATCH($AE$2,Carreras,0)+2,0),"")&gt;0,IFERROR(VLOOKUP($C192,Planes_de_estudio[],MATCH($AE$2,Carreras,0)+2,0),""),"")</f>
        <v/>
      </c>
      <c r="AF192" s="155" t="str">
        <f>IF(IFERROR(VLOOKUP($C192,Planes_de_estudio[],MATCH($AF$2,Carreras,0)+2,0),"")&gt;0,IFERROR(VLOOKUP($C192,Planes_de_estudio[],MATCH($AF$2,Carreras,0)+2,0),""),"")</f>
        <v/>
      </c>
      <c r="AG192" s="155">
        <f>IF(IFERROR(VLOOKUP($C192,Planes_de_estudio[],MATCH($AG$2,Carreras,0)+2,0),"")&gt;0,IFERROR(VLOOKUP($C192,Planes_de_estudio[],MATCH($AG$2,Carreras,0)+2,0),""),"")</f>
        <v>5</v>
      </c>
      <c r="AH192" s="155" t="str">
        <f>IF(IFERROR(VLOOKUP($C192,Planes_de_estudio[],MATCH($AH$2,Carreras,0)+2,0),"")&gt;0,IFERROR(VLOOKUP($C192,Planes_de_estudio[],MATCH($AH$2,Carreras,0)+2,0),""),"")</f>
        <v/>
      </c>
      <c r="AI192" s="155" t="str">
        <f>IF(IFERROR(VLOOKUP($C192,Planes_de_estudio[],MATCH($AI$2,Carreras,0)+2,0),"")&gt;0,IFERROR(VLOOKUP($C192,Planes_de_estudio[],MATCH($AI$2,Carreras,0)+2,0),""),"")</f>
        <v/>
      </c>
      <c r="AJ192" s="155" t="str">
        <f>IF(IFERROR(VLOOKUP($C192,Planes_de_estudio[],MATCH($AJ$2,Carreras,0)+2,0),"")&gt;0,IFERROR(VLOOKUP($C192,Planes_de_estudio[],MATCH($AJ$2,Carreras,0)+2,0),""),"")</f>
        <v/>
      </c>
      <c r="AK192" s="155" t="str">
        <f>IF(IFERROR(VLOOKUP($C192,Planes_de_estudio[],MATCH($AK$2,Carreras,0)+2,0),"")&gt;0,IFERROR(VLOOKUP($C192,Planes_de_estudio[],MATCH($AK$2,Carreras,0)+2,0),""),"")</f>
        <v/>
      </c>
      <c r="AL19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92" s="155">
        <f>base_de_datos[[#This Row],[Pronóstico]]/25</f>
        <v>0.6</v>
      </c>
      <c r="AO192" s="155" t="str">
        <f>VLOOKUP($C192,Planes_de_estudio[],2)</f>
        <v>IID</v>
      </c>
      <c r="AP192" s="157" t="str">
        <f ca="1">IF(AND(base_de_datos[[#This Row],[Industrial]]&lt;&gt;"",base_de_datos[[#This Row],[Misma o no]]=1),base_de_datos[[#This Row],[Índice]],"")</f>
        <v/>
      </c>
      <c r="AQ192" s="157" t="str">
        <f ca="1">IF(AND(base_de_datos[[#This Row],[Mecatrónica]]&lt;&gt;"",base_de_datos[[#This Row],[Misma o no]]=1),base_de_datos[[#This Row],[Índice]],"")</f>
        <v/>
      </c>
      <c r="AR192" s="157">
        <f ca="1">IF(AND(base_de_datos[[#This Row],[Innovación y Diseño]]&lt;&gt;"",base_de_datos[[#This Row],[Misma o no]]=1),base_de_datos[[#This Row],[Índice]],"")</f>
        <v>4</v>
      </c>
      <c r="AS192" s="157" t="str">
        <f ca="1">IF(AND(base_de_datos[[#This Row],[Inteligencia Artificial]]&lt;&gt;"",base_de_datos[[#This Row],[Misma o no]]=1),base_de_datos[[#This Row],[Índice]],"")</f>
        <v/>
      </c>
      <c r="AT192" s="157" t="str">
        <f ca="1">IF(AND(base_de_datos[[#This Row],[Tecnologías Energéticas]]&lt;&gt;"",base_de_datos[[#This Row],[Misma o no]]=1),base_de_datos[[#This Row],[Índice]],"")</f>
        <v/>
      </c>
      <c r="AU192" s="157" t="str">
        <f ca="1">IF(AND(base_de_datos[[#This Row],[Civil y Administración]]&lt;&gt;"",base_de_datos[[#This Row],[Misma o no]]=1),base_de_datos[[#This Row],[Índice]],"")</f>
        <v/>
      </c>
      <c r="AV192" s="157" t="str">
        <f ca="1">IF(AND(base_de_datos[[#This Row],[Bioelectrónica]]&lt;&gt;"",base_de_datos[[#This Row],[Misma o no]]=1),base_de_datos[[#This Row],[Índice]],"")</f>
        <v/>
      </c>
      <c r="AW192" s="158"/>
      <c r="AX192" s="231">
        <v>2</v>
      </c>
    </row>
    <row r="193" spans="1:221" s="165" customFormat="1" ht="15">
      <c r="A193" s="85"/>
      <c r="B193" s="148" t="s">
        <v>397</v>
      </c>
      <c r="C193" s="149" t="s">
        <v>97</v>
      </c>
      <c r="D193" s="150">
        <v>2</v>
      </c>
      <c r="E193" s="151">
        <v>0.29166666666666669</v>
      </c>
      <c r="F193" s="151">
        <v>0.374999999999999</v>
      </c>
      <c r="G193" s="218" t="s">
        <v>65</v>
      </c>
      <c r="H193" s="150" t="s">
        <v>87</v>
      </c>
      <c r="I193" s="150">
        <f>INDEX(Aulas_capacidad,MATCH(base_de_datos[[#This Row],[Aula]],Aulas,0),2)</f>
        <v>40</v>
      </c>
      <c r="J193" s="152">
        <v>27</v>
      </c>
      <c r="K193" s="150">
        <f>INDEX(Aulas_capacidad,MATCH(base_de_datos[[#This Row],[Aula]],Aulas,0),4)</f>
        <v>0</v>
      </c>
      <c r="L193" s="153">
        <f>base_de_datos[[#This Row],[Cap 1.5]]-base_de_datos[[#This Row],[Inscritos]]</f>
        <v>-27</v>
      </c>
      <c r="M193" s="153">
        <f>INDEX(Aulas_capacidad,MATCH(base_de_datos[[#This Row],[Aula]],Aulas,0),5)</f>
        <v>0</v>
      </c>
      <c r="N193" s="153">
        <f>base_de_datos[[#This Row],[Cap .90]]-base_de_datos[[#This Row],[Inscritos]]</f>
        <v>-27</v>
      </c>
      <c r="O193" s="150" t="s">
        <v>1649</v>
      </c>
      <c r="P193" s="154"/>
      <c r="Q193" s="154" t="s">
        <v>67</v>
      </c>
      <c r="R193" s="154"/>
      <c r="S193" s="154" t="s">
        <v>67</v>
      </c>
      <c r="T193" s="154"/>
      <c r="U193" s="154"/>
      <c r="V193" s="154"/>
      <c r="W193" s="154" t="s">
        <v>1651</v>
      </c>
      <c r="X193" s="155">
        <f>_xlfn.XLOOKUP(base_de_datos[[#This Row],[Materia]],Materias,Horas)/16</f>
        <v>4</v>
      </c>
      <c r="Y193" s="155">
        <f>ROUND(((base_de_datos[[#This Row],[Hora fin]]-base_de_datos[[#This Row],[Hora inicio]])*24)*(COUNTA(base_de_datos[[#This Row],[Lunes]:[Sábado]])),1)</f>
        <v>4</v>
      </c>
      <c r="Z19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3" s="155">
        <f ca="1">IF(base_de_datos[[#This Row],[No clase]]=OFFSET(base_de_datos[[#This Row],[No clase]],-1,0),0,1)</f>
        <v>1</v>
      </c>
      <c r="AB193" s="155">
        <f ca="1">IF(NOT(OR(base_de_datos[[#This Row],[Horas totales]]=base_de_datos[[#This Row],[HT Plan]],base_de_datos[[#This Row],[Horas totales]]="N/A")),1,0)</f>
        <v>0</v>
      </c>
      <c r="AC193" s="155" t="str">
        <f>_xlfn.XLOOKUP(base_de_datos[[#This Row],[Profesor]],Nombre,Grado)</f>
        <v>L</v>
      </c>
      <c r="AD193" s="156" t="str">
        <f>_xlfn.XLOOKUP(base_de_datos[[#This Row],[Profesor]],Nombre,Tipo)</f>
        <v>TC</v>
      </c>
      <c r="AE193" s="155">
        <f>IF(IFERROR(VLOOKUP($C193,Planes_de_estudio[],MATCH($AE$2,Carreras,0)+2,0),"")&gt;0,IFERROR(VLOOKUP($C193,Planes_de_estudio[],MATCH($AE$2,Carreras,0)+2,0),""),"")</f>
        <v>1</v>
      </c>
      <c r="AF193" s="155">
        <f>IF(IFERROR(VLOOKUP($C193,Planes_de_estudio[],MATCH($AF$2,Carreras,0)+2,0),"")&gt;0,IFERROR(VLOOKUP($C193,Planes_de_estudio[],MATCH($AF$2,Carreras,0)+2,0),""),"")</f>
        <v>1</v>
      </c>
      <c r="AG193" s="155">
        <f>IF(IFERROR(VLOOKUP($C193,Planes_de_estudio[],MATCH($AG$2,Carreras,0)+2,0),"")&gt;0,IFERROR(VLOOKUP($C193,Planes_de_estudio[],MATCH($AG$2,Carreras,0)+2,0),""),"")</f>
        <v>1</v>
      </c>
      <c r="AH193" s="155">
        <f>IF(IFERROR(VLOOKUP($C193,Planes_de_estudio[],MATCH($AH$2,Carreras,0)+2,0),"")&gt;0,IFERROR(VLOOKUP($C193,Planes_de_estudio[],MATCH($AH$2,Carreras,0)+2,0),""),"")</f>
        <v>1</v>
      </c>
      <c r="AI193" s="155">
        <f>IF(IFERROR(VLOOKUP($C193,Planes_de_estudio[],MATCH($AI$2,Carreras,0)+2,0),"")&gt;0,IFERROR(VLOOKUP($C193,Planes_de_estudio[],MATCH($AI$2,Carreras,0)+2,0),""),"")</f>
        <v>1</v>
      </c>
      <c r="AJ193" s="155">
        <f>IF(IFERROR(VLOOKUP($C193,Planes_de_estudio[],MATCH($AJ$2,Carreras,0)+2,0),"")&gt;0,IFERROR(VLOOKUP($C193,Planes_de_estudio[],MATCH($AJ$2,Carreras,0)+2,0),""),"")</f>
        <v>1</v>
      </c>
      <c r="AK193" s="155">
        <f>IF(IFERROR(VLOOKUP($C193,Planes_de_estudio[],MATCH($AK$2,Carreras,0)+2,0),"")&gt;0,IFERROR(VLOOKUP($C193,Planes_de_estudio[],MATCH($AK$2,Carreras,0)+2,0),""),"")</f>
        <v>1</v>
      </c>
      <c r="AL19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93" s="155">
        <f>base_de_datos[[#This Row],[Pronóstico]]/25</f>
        <v>4.3600000000000003</v>
      </c>
      <c r="AO193" s="155" t="str">
        <f>VLOOKUP($C193,Planes_de_estudio[],2)</f>
        <v>MAT</v>
      </c>
      <c r="AP193" s="157">
        <f ca="1">IF(AND(base_de_datos[[#This Row],[Industrial]]&lt;&gt;"",base_de_datos[[#This Row],[Misma o no]]=1),base_de_datos[[#This Row],[Índice]],"")</f>
        <v>1</v>
      </c>
      <c r="AQ193" s="157">
        <f ca="1">IF(AND(base_de_datos[[#This Row],[Mecatrónica]]&lt;&gt;"",base_de_datos[[#This Row],[Misma o no]]=1),base_de_datos[[#This Row],[Índice]],"")</f>
        <v>1</v>
      </c>
      <c r="AR193" s="157">
        <f ca="1">IF(AND(base_de_datos[[#This Row],[Innovación y Diseño]]&lt;&gt;"",base_de_datos[[#This Row],[Misma o no]]=1),base_de_datos[[#This Row],[Índice]],"")</f>
        <v>1</v>
      </c>
      <c r="AS193" s="157">
        <f ca="1">IF(AND(base_de_datos[[#This Row],[Inteligencia Artificial]]&lt;&gt;"",base_de_datos[[#This Row],[Misma o no]]=1),base_de_datos[[#This Row],[Índice]],"")</f>
        <v>1</v>
      </c>
      <c r="AT193" s="157">
        <f ca="1">IF(AND(base_de_datos[[#This Row],[Tecnologías Energéticas]]&lt;&gt;"",base_de_datos[[#This Row],[Misma o no]]=1),base_de_datos[[#This Row],[Índice]],"")</f>
        <v>1</v>
      </c>
      <c r="AU193" s="157">
        <f ca="1">IF(AND(base_de_datos[[#This Row],[Civil y Administración]]&lt;&gt;"",base_de_datos[[#This Row],[Misma o no]]=1),base_de_datos[[#This Row],[Índice]],"")</f>
        <v>1</v>
      </c>
      <c r="AV193" s="157">
        <f ca="1">IF(AND(base_de_datos[[#This Row],[Bioelectrónica]]&lt;&gt;"",base_de_datos[[#This Row],[Misma o no]]=1),base_de_datos[[#This Row],[Índice]],"")</f>
        <v>1</v>
      </c>
      <c r="AW193" s="158"/>
      <c r="AX193" s="231">
        <v>2</v>
      </c>
      <c r="AY193" s="85"/>
      <c r="AZ193" s="85"/>
      <c r="BA193" s="85"/>
      <c r="BB193" s="85"/>
      <c r="BC193" s="85"/>
      <c r="BD193" s="85"/>
      <c r="BE193" s="85"/>
      <c r="BF193" s="85"/>
      <c r="BG193" s="85"/>
      <c r="BH193" s="85"/>
      <c r="BI193" s="85"/>
      <c r="BJ193" s="85"/>
      <c r="BK193" s="85"/>
      <c r="BL193" s="85"/>
      <c r="BM193" s="85"/>
      <c r="BN193" s="85"/>
      <c r="BO193" s="85"/>
      <c r="BP193" s="85"/>
      <c r="BQ193" s="85"/>
      <c r="BR193" s="85"/>
      <c r="BS193" s="85"/>
      <c r="BT193" s="85"/>
      <c r="BU193" s="85"/>
      <c r="BV193" s="85"/>
      <c r="BW193" s="85"/>
      <c r="BX193" s="85"/>
      <c r="BY193" s="85"/>
      <c r="BZ193" s="85"/>
      <c r="CA193" s="85"/>
      <c r="CB193" s="85"/>
      <c r="CC193" s="85"/>
      <c r="CD193" s="85"/>
      <c r="CE193" s="85"/>
      <c r="CF193" s="85"/>
      <c r="CG193" s="85"/>
      <c r="CH193" s="85"/>
      <c r="CI193" s="85"/>
      <c r="CJ193" s="85"/>
      <c r="CK193" s="85"/>
      <c r="CL193" s="85"/>
      <c r="CM193" s="85"/>
      <c r="CN193" s="85"/>
      <c r="CO193" s="85"/>
      <c r="CP193" s="85"/>
      <c r="CQ193" s="85"/>
      <c r="CR193" s="85"/>
      <c r="CS193" s="85"/>
      <c r="CT193" s="85"/>
      <c r="CU193" s="85"/>
      <c r="CV193" s="85"/>
      <c r="CW193" s="85"/>
      <c r="CX193" s="85"/>
      <c r="CY193" s="85"/>
      <c r="CZ193" s="85"/>
      <c r="DA193" s="85"/>
      <c r="DB193" s="85"/>
      <c r="DC193" s="85"/>
      <c r="DD193" s="85"/>
      <c r="DE193" s="85"/>
      <c r="DF193" s="85"/>
      <c r="DG193" s="85"/>
      <c r="DH193" s="85"/>
      <c r="DI193" s="85"/>
      <c r="DJ193" s="85"/>
      <c r="DK193" s="85"/>
      <c r="DL193" s="85"/>
      <c r="DM193" s="85"/>
      <c r="DN193" s="85"/>
      <c r="DO193" s="85"/>
      <c r="DP193" s="85"/>
      <c r="DQ193" s="85"/>
      <c r="DR193" s="85"/>
      <c r="DS193" s="85"/>
      <c r="DT193" s="85"/>
      <c r="DU193" s="85"/>
      <c r="DV193" s="85"/>
      <c r="DW193" s="85"/>
      <c r="DX193" s="85"/>
      <c r="DY193" s="85"/>
      <c r="DZ193" s="85"/>
      <c r="EA193" s="85"/>
      <c r="EB193" s="85"/>
      <c r="EC193" s="85"/>
      <c r="ED193" s="85"/>
      <c r="EE193" s="85"/>
      <c r="EF193" s="85"/>
      <c r="EG193" s="85"/>
      <c r="EH193" s="85"/>
      <c r="EI193" s="85"/>
      <c r="EJ193" s="85"/>
      <c r="EK193" s="85"/>
      <c r="EL193" s="85"/>
      <c r="EM193" s="85"/>
      <c r="EN193" s="85"/>
      <c r="EO193" s="85"/>
      <c r="EP193" s="85"/>
      <c r="EQ193" s="85"/>
      <c r="ER193" s="85"/>
      <c r="ES193" s="85"/>
      <c r="ET193" s="85"/>
      <c r="EU193" s="85"/>
      <c r="EV193" s="85"/>
      <c r="EW193" s="85"/>
      <c r="EX193" s="85"/>
      <c r="EY193" s="85"/>
      <c r="EZ193" s="85"/>
      <c r="FA193" s="85"/>
      <c r="FB193" s="85"/>
      <c r="FC193" s="85"/>
      <c r="FD193" s="85"/>
      <c r="FE193" s="85"/>
      <c r="FF193" s="85"/>
      <c r="FG193" s="85"/>
      <c r="FH193" s="85"/>
      <c r="FI193" s="85"/>
      <c r="FJ193" s="85"/>
      <c r="FK193" s="85"/>
      <c r="FL193" s="85"/>
      <c r="FM193" s="85"/>
      <c r="FN193" s="85"/>
      <c r="FO193" s="85"/>
      <c r="FP193" s="85"/>
      <c r="FQ193" s="85"/>
      <c r="FR193" s="85"/>
      <c r="FS193" s="85"/>
      <c r="FT193" s="85"/>
      <c r="FU193" s="85"/>
      <c r="FV193" s="85"/>
      <c r="FW193" s="85"/>
      <c r="FX193" s="85"/>
      <c r="FY193" s="85"/>
      <c r="FZ193" s="85"/>
      <c r="GA193" s="85"/>
      <c r="GB193" s="85"/>
      <c r="GC193" s="85"/>
      <c r="GD193" s="85"/>
      <c r="GE193" s="85"/>
      <c r="GF193" s="85"/>
      <c r="GG193" s="85"/>
      <c r="GH193" s="85"/>
      <c r="GI193" s="85"/>
      <c r="GJ193" s="85"/>
      <c r="GK193" s="85"/>
      <c r="GL193" s="85"/>
      <c r="GM193" s="85"/>
      <c r="GN193" s="85"/>
      <c r="GO193" s="85"/>
      <c r="GP193" s="85"/>
      <c r="GQ193" s="85"/>
      <c r="GR193" s="85"/>
      <c r="GS193" s="85"/>
      <c r="GT193" s="85"/>
      <c r="GU193" s="85"/>
      <c r="GV193" s="85"/>
      <c r="GW193" s="85"/>
      <c r="GX193" s="85"/>
      <c r="GY193" s="85"/>
      <c r="GZ193" s="85"/>
      <c r="HA193" s="85"/>
      <c r="HB193" s="85"/>
      <c r="HC193" s="85"/>
      <c r="HD193" s="85"/>
      <c r="HE193" s="85"/>
      <c r="HF193" s="85"/>
      <c r="HG193" s="85"/>
      <c r="HH193" s="85"/>
      <c r="HI193" s="85"/>
      <c r="HJ193" s="85"/>
      <c r="HK193" s="85"/>
      <c r="HL193" s="85"/>
      <c r="HM193" s="85"/>
    </row>
    <row r="194" spans="1:221" s="161" customFormat="1" ht="15">
      <c r="A194" s="85"/>
      <c r="B194" s="148" t="s">
        <v>397</v>
      </c>
      <c r="C194" s="149" t="s">
        <v>191</v>
      </c>
      <c r="D194" s="150">
        <v>3</v>
      </c>
      <c r="E194" s="151">
        <v>0.375</v>
      </c>
      <c r="F194" s="151">
        <v>0.45833333333333098</v>
      </c>
      <c r="G194" s="218" t="s">
        <v>65</v>
      </c>
      <c r="H194" s="150" t="s">
        <v>87</v>
      </c>
      <c r="I194" s="150">
        <f>INDEX(Aulas_capacidad,MATCH(base_de_datos[[#This Row],[Aula]],Aulas,0),2)</f>
        <v>40</v>
      </c>
      <c r="J194" s="152">
        <v>20</v>
      </c>
      <c r="K194" s="150">
        <f>INDEX(Aulas_capacidad,MATCH(base_de_datos[[#This Row],[Aula]],Aulas,0),4)</f>
        <v>0</v>
      </c>
      <c r="L194" s="153">
        <f>base_de_datos[[#This Row],[Cap 1.5]]-base_de_datos[[#This Row],[Inscritos]]</f>
        <v>-20</v>
      </c>
      <c r="M194" s="153">
        <f>INDEX(Aulas_capacidad,MATCH(base_de_datos[[#This Row],[Aula]],Aulas,0),5)</f>
        <v>0</v>
      </c>
      <c r="N194" s="153">
        <f>base_de_datos[[#This Row],[Cap .90]]-base_de_datos[[#This Row],[Inscritos]]</f>
        <v>-20</v>
      </c>
      <c r="O194" s="150" t="s">
        <v>398</v>
      </c>
      <c r="P194" s="154"/>
      <c r="Q194" s="154" t="s">
        <v>67</v>
      </c>
      <c r="R194" s="154"/>
      <c r="S194" s="154" t="s">
        <v>67</v>
      </c>
      <c r="T194" s="154"/>
      <c r="U194" s="154"/>
      <c r="V194" s="154"/>
      <c r="W194" s="154" t="s">
        <v>1650</v>
      </c>
      <c r="X194" s="155">
        <f>_xlfn.XLOOKUP(base_de_datos[[#This Row],[Materia]],Materias,Horas)/16</f>
        <v>4</v>
      </c>
      <c r="Y194" s="155">
        <f>ROUND(((base_de_datos[[#This Row],[Hora fin]]-base_de_datos[[#This Row],[Hora inicio]])*24)*(COUNTA(base_de_datos[[#This Row],[Lunes]:[Sábado]])),1)</f>
        <v>4</v>
      </c>
      <c r="Z19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4" s="155">
        <f ca="1">IF(base_de_datos[[#This Row],[No clase]]=OFFSET(base_de_datos[[#This Row],[No clase]],-1,0),0,1)</f>
        <v>1</v>
      </c>
      <c r="AB194" s="155">
        <f ca="1">IF(NOT(OR(base_de_datos[[#This Row],[Horas totales]]=base_de_datos[[#This Row],[HT Plan]],base_de_datos[[#This Row],[Horas totales]]="N/A")),1,0)</f>
        <v>0</v>
      </c>
      <c r="AC194" s="155" t="str">
        <f>_xlfn.XLOOKUP(base_de_datos[[#This Row],[Profesor]],Nombre,Grado)</f>
        <v>L</v>
      </c>
      <c r="AD194" s="156" t="str">
        <f>_xlfn.XLOOKUP(base_de_datos[[#This Row],[Profesor]],Nombre,Tipo)</f>
        <v>TC</v>
      </c>
      <c r="AE194" s="155">
        <f>IF(IFERROR(VLOOKUP($C194,Planes_de_estudio[],MATCH($AE$2,Carreras,0)+2,0),"")&gt;0,IFERROR(VLOOKUP($C194,Planes_de_estudio[],MATCH($AE$2,Carreras,0)+2,0),""),"")</f>
        <v>1</v>
      </c>
      <c r="AF194" s="155">
        <f>IF(IFERROR(VLOOKUP($C194,Planes_de_estudio[],MATCH($AF$2,Carreras,0)+2,0),"")&gt;0,IFERROR(VLOOKUP($C194,Planes_de_estudio[],MATCH($AF$2,Carreras,0)+2,0),""),"")</f>
        <v>1</v>
      </c>
      <c r="AG194" s="155">
        <f>IF(IFERROR(VLOOKUP($C194,Planes_de_estudio[],MATCH($AG$2,Carreras,0)+2,0),"")&gt;0,IFERROR(VLOOKUP($C194,Planes_de_estudio[],MATCH($AG$2,Carreras,0)+2,0),""),"")</f>
        <v>3</v>
      </c>
      <c r="AH194" s="155">
        <f>IF(IFERROR(VLOOKUP($C194,Planes_de_estudio[],MATCH($AH$2,Carreras,0)+2,0),"")&gt;0,IFERROR(VLOOKUP($C194,Planes_de_estudio[],MATCH($AH$2,Carreras,0)+2,0),""),"")</f>
        <v>1</v>
      </c>
      <c r="AI194" s="155">
        <f>IF(IFERROR(VLOOKUP($C194,Planes_de_estudio[],MATCH($AI$2,Carreras,0)+2,0),"")&gt;0,IFERROR(VLOOKUP($C194,Planes_de_estudio[],MATCH($AI$2,Carreras,0)+2,0),""),"")</f>
        <v>1</v>
      </c>
      <c r="AJ194" s="155">
        <f>IF(IFERROR(VLOOKUP($C194,Planes_de_estudio[],MATCH($AJ$2,Carreras,0)+2,0),"")&gt;0,IFERROR(VLOOKUP($C194,Planes_de_estudio[],MATCH($AJ$2,Carreras,0)+2,0),""),"")</f>
        <v>1</v>
      </c>
      <c r="AK194" s="155">
        <f>IF(IFERROR(VLOOKUP($C194,Planes_de_estudio[],MATCH($AK$2,Carreras,0)+2,0),"")&gt;0,IFERROR(VLOOKUP($C194,Planes_de_estudio[],MATCH($AK$2,Carreras,0)+2,0),""),"")</f>
        <v>1</v>
      </c>
      <c r="AL19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194" s="155">
        <f>base_de_datos[[#This Row],[Pronóstico]]/25</f>
        <v>4.4400000000000004</v>
      </c>
      <c r="AO194" s="155" t="str">
        <f>VLOOKUP($C194,Planes_de_estudio[],2)</f>
        <v>MAT</v>
      </c>
      <c r="AP194" s="157">
        <f ca="1">IF(AND(base_de_datos[[#This Row],[Industrial]]&lt;&gt;"",base_de_datos[[#This Row],[Misma o no]]=1),base_de_datos[[#This Row],[Índice]],"")</f>
        <v>1</v>
      </c>
      <c r="AQ194" s="157">
        <f ca="1">IF(AND(base_de_datos[[#This Row],[Mecatrónica]]&lt;&gt;"",base_de_datos[[#This Row],[Misma o no]]=1),base_de_datos[[#This Row],[Índice]],"")</f>
        <v>1</v>
      </c>
      <c r="AR194" s="157">
        <f ca="1">IF(AND(base_de_datos[[#This Row],[Innovación y Diseño]]&lt;&gt;"",base_de_datos[[#This Row],[Misma o no]]=1),base_de_datos[[#This Row],[Índice]],"")</f>
        <v>1</v>
      </c>
      <c r="AS194" s="157">
        <f ca="1">IF(AND(base_de_datos[[#This Row],[Inteligencia Artificial]]&lt;&gt;"",base_de_datos[[#This Row],[Misma o no]]=1),base_de_datos[[#This Row],[Índice]],"")</f>
        <v>1</v>
      </c>
      <c r="AT194" s="157">
        <f ca="1">IF(AND(base_de_datos[[#This Row],[Tecnologías Energéticas]]&lt;&gt;"",base_de_datos[[#This Row],[Misma o no]]=1),base_de_datos[[#This Row],[Índice]],"")</f>
        <v>1</v>
      </c>
      <c r="AU194" s="157">
        <f ca="1">IF(AND(base_de_datos[[#This Row],[Civil y Administración]]&lt;&gt;"",base_de_datos[[#This Row],[Misma o no]]=1),base_de_datos[[#This Row],[Índice]],"")</f>
        <v>1</v>
      </c>
      <c r="AV194" s="157">
        <f ca="1">IF(AND(base_de_datos[[#This Row],[Bioelectrónica]]&lt;&gt;"",base_de_datos[[#This Row],[Misma o no]]=1),base_de_datos[[#This Row],[Índice]],"")</f>
        <v>1</v>
      </c>
      <c r="AW194" s="158"/>
      <c r="AX194" s="231">
        <v>2</v>
      </c>
      <c r="AY194" s="85"/>
      <c r="AZ194" s="85"/>
      <c r="BA194" s="85"/>
      <c r="BB194" s="85"/>
      <c r="BC194" s="85"/>
      <c r="BD194" s="85"/>
      <c r="BE194" s="85"/>
      <c r="BF194" s="85"/>
      <c r="BG194" s="85"/>
      <c r="BH194" s="85"/>
      <c r="BI194" s="85"/>
      <c r="BJ194" s="85"/>
      <c r="BK194" s="85"/>
      <c r="BL194" s="85"/>
      <c r="BM194" s="85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  <c r="DF194" s="85"/>
      <c r="DG194" s="85"/>
      <c r="DH194" s="85"/>
      <c r="DI194" s="85"/>
      <c r="DJ194" s="85"/>
      <c r="DK194" s="85"/>
      <c r="DL194" s="85"/>
      <c r="DM194" s="85"/>
      <c r="DN194" s="85"/>
      <c r="DO194" s="85"/>
      <c r="DP194" s="85"/>
      <c r="DQ194" s="85"/>
      <c r="DR194" s="85"/>
      <c r="DS194" s="85"/>
      <c r="DT194" s="85"/>
      <c r="DU194" s="85"/>
      <c r="DV194" s="85"/>
      <c r="DW194" s="85"/>
      <c r="DX194" s="85"/>
      <c r="DY194" s="85"/>
      <c r="DZ194" s="85"/>
      <c r="EA194" s="85"/>
      <c r="EB194" s="85"/>
      <c r="EC194" s="85"/>
      <c r="ED194" s="85"/>
      <c r="EE194" s="85"/>
      <c r="EF194" s="85"/>
      <c r="EG194" s="85"/>
      <c r="EH194" s="85"/>
      <c r="EI194" s="85"/>
      <c r="EJ194" s="85"/>
      <c r="EK194" s="85"/>
      <c r="EL194" s="85"/>
      <c r="EM194" s="85"/>
      <c r="EN194" s="85"/>
      <c r="EO194" s="85"/>
      <c r="EP194" s="85"/>
      <c r="EQ194" s="85"/>
      <c r="ER194" s="85"/>
      <c r="ES194" s="85"/>
      <c r="ET194" s="85"/>
      <c r="EU194" s="85"/>
      <c r="EV194" s="85"/>
      <c r="EW194" s="85"/>
      <c r="EX194" s="85"/>
      <c r="EY194" s="85"/>
      <c r="EZ194" s="85"/>
      <c r="FA194" s="85"/>
      <c r="FB194" s="85"/>
      <c r="FC194" s="85"/>
      <c r="FD194" s="85"/>
      <c r="FE194" s="85"/>
      <c r="FF194" s="85"/>
      <c r="FG194" s="85"/>
      <c r="FH194" s="85"/>
      <c r="FI194" s="85"/>
      <c r="FJ194" s="85"/>
      <c r="FK194" s="85"/>
      <c r="FL194" s="85"/>
      <c r="FM194" s="85"/>
      <c r="FN194" s="85"/>
      <c r="FO194" s="85"/>
      <c r="FP194" s="85"/>
      <c r="FQ194" s="85"/>
      <c r="FR194" s="85"/>
      <c r="FS194" s="85"/>
      <c r="FT194" s="85"/>
      <c r="FU194" s="85"/>
      <c r="FV194" s="85"/>
      <c r="FW194" s="85"/>
      <c r="FX194" s="85"/>
      <c r="FY194" s="85"/>
      <c r="FZ194" s="85"/>
      <c r="GA194" s="85"/>
      <c r="GB194" s="85"/>
      <c r="GC194" s="85"/>
      <c r="GD194" s="85"/>
      <c r="GE194" s="85"/>
      <c r="GF194" s="85"/>
      <c r="GG194" s="85"/>
      <c r="GH194" s="85"/>
      <c r="GI194" s="85"/>
      <c r="GJ194" s="85"/>
      <c r="GK194" s="85"/>
      <c r="GL194" s="85"/>
      <c r="GM194" s="85"/>
      <c r="GN194" s="85"/>
      <c r="GO194" s="85"/>
      <c r="GP194" s="85"/>
      <c r="GQ194" s="85"/>
      <c r="GR194" s="85"/>
      <c r="GS194" s="85"/>
      <c r="GT194" s="85"/>
      <c r="GU194" s="85"/>
      <c r="GV194" s="85"/>
      <c r="GW194" s="85"/>
      <c r="GX194" s="85"/>
      <c r="GY194" s="85"/>
      <c r="GZ194" s="85"/>
      <c r="HA194" s="85"/>
      <c r="HB194" s="85"/>
      <c r="HC194" s="85"/>
      <c r="HD194" s="85"/>
      <c r="HE194" s="85"/>
      <c r="HF194" s="85"/>
      <c r="HG194" s="85"/>
      <c r="HH194" s="85"/>
      <c r="HI194" s="85"/>
      <c r="HJ194" s="85"/>
      <c r="HK194" s="85"/>
      <c r="HL194" s="85"/>
      <c r="HM194" s="85"/>
    </row>
    <row r="195" spans="1:221" s="161" customFormat="1" ht="15">
      <c r="A195" s="85"/>
      <c r="B195" s="148" t="s">
        <v>397</v>
      </c>
      <c r="C195" s="149" t="s">
        <v>399</v>
      </c>
      <c r="D195" s="150">
        <v>1</v>
      </c>
      <c r="E195" s="151">
        <v>0.375</v>
      </c>
      <c r="F195" s="151">
        <v>0.45833333333333098</v>
      </c>
      <c r="G195" s="218" t="s">
        <v>111</v>
      </c>
      <c r="H195" s="150" t="s">
        <v>87</v>
      </c>
      <c r="I195" s="150">
        <f>INDEX(Aulas_capacidad,MATCH(base_de_datos[[#This Row],[Aula]],Aulas,0),2)</f>
        <v>40</v>
      </c>
      <c r="J195" s="152">
        <v>25</v>
      </c>
      <c r="K195" s="150">
        <f>INDEX(Aulas_capacidad,MATCH(base_de_datos[[#This Row],[Aula]],Aulas,0),4)</f>
        <v>0</v>
      </c>
      <c r="L195" s="153">
        <f>base_de_datos[[#This Row],[Cap 1.5]]-base_de_datos[[#This Row],[Inscritos]]</f>
        <v>-25</v>
      </c>
      <c r="M195" s="153">
        <f>INDEX(Aulas_capacidad,MATCH(base_de_datos[[#This Row],[Aula]],Aulas,0),5)</f>
        <v>0</v>
      </c>
      <c r="N195" s="153">
        <f>base_de_datos[[#This Row],[Cap .90]]-base_de_datos[[#This Row],[Inscritos]]</f>
        <v>-25</v>
      </c>
      <c r="O195" s="150">
        <v>1701</v>
      </c>
      <c r="P195" s="154" t="s">
        <v>67</v>
      </c>
      <c r="Q195" s="154"/>
      <c r="R195" s="154" t="s">
        <v>67</v>
      </c>
      <c r="S195" s="154"/>
      <c r="T195" s="154"/>
      <c r="U195" s="154"/>
      <c r="V195" s="154"/>
      <c r="W195" s="154" t="s">
        <v>1653</v>
      </c>
      <c r="X195" s="155">
        <f>_xlfn.XLOOKUP(base_de_datos[[#This Row],[Materia]],Materias,Horas)/16</f>
        <v>4</v>
      </c>
      <c r="Y195" s="155">
        <f>ROUND(((base_de_datos[[#This Row],[Hora fin]]-base_de_datos[[#This Row],[Hora inicio]])*24)*(COUNTA(base_de_datos[[#This Row],[Lunes]:[Sábado]])),1)</f>
        <v>4</v>
      </c>
      <c r="Z19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5" s="155">
        <f ca="1">IF(base_de_datos[[#This Row],[No clase]]=OFFSET(base_de_datos[[#This Row],[No clase]],-1,0),0,1)</f>
        <v>1</v>
      </c>
      <c r="AB195" s="155">
        <f ca="1">IF(NOT(OR(base_de_datos[[#This Row],[Horas totales]]=base_de_datos[[#This Row],[HT Plan]],base_de_datos[[#This Row],[Horas totales]]="N/A")),1,0)</f>
        <v>0</v>
      </c>
      <c r="AC195" s="155" t="str">
        <f>_xlfn.XLOOKUP(base_de_datos[[#This Row],[Profesor]],Nombre,Grado)</f>
        <v>L</v>
      </c>
      <c r="AD195" s="156" t="str">
        <f>_xlfn.XLOOKUP(base_de_datos[[#This Row],[Profesor]],Nombre,Tipo)</f>
        <v>TC</v>
      </c>
      <c r="AE195" s="155" t="str">
        <f>IF(IFERROR(VLOOKUP($C195,Planes_de_estudio[],MATCH($AE$2,Carreras,0)+2,0),"")&gt;0,IFERROR(VLOOKUP($C195,Planes_de_estudio[],MATCH($AE$2,Carreras,0)+2,0),""),"")</f>
        <v/>
      </c>
      <c r="AF195" s="155" t="str">
        <f>IF(IFERROR(VLOOKUP($C195,Planes_de_estudio[],MATCH($AF$2,Carreras,0)+2,0),"")&gt;0,IFERROR(VLOOKUP($C195,Planes_de_estudio[],MATCH($AF$2,Carreras,0)+2,0),""),"")</f>
        <v/>
      </c>
      <c r="AG195" s="155" t="str">
        <f>IF(IFERROR(VLOOKUP($C195,Planes_de_estudio[],MATCH($AG$2,Carreras,0)+2,0),"")&gt;0,IFERROR(VLOOKUP($C195,Planes_de_estudio[],MATCH($AG$2,Carreras,0)+2,0),""),"")</f>
        <v/>
      </c>
      <c r="AH195" s="155">
        <f>IF(IFERROR(VLOOKUP($C195,Planes_de_estudio[],MATCH($AH$2,Carreras,0)+2,0),"")&gt;0,IFERROR(VLOOKUP($C195,Planes_de_estudio[],MATCH($AH$2,Carreras,0)+2,0),""),"")</f>
        <v>3</v>
      </c>
      <c r="AI195" s="155" t="str">
        <f>IF(IFERROR(VLOOKUP($C195,Planes_de_estudio[],MATCH($AI$2,Carreras,0)+2,0),"")&gt;0,IFERROR(VLOOKUP($C195,Planes_de_estudio[],MATCH($AI$2,Carreras,0)+2,0),""),"")</f>
        <v/>
      </c>
      <c r="AJ195" s="155" t="str">
        <f>IF(IFERROR(VLOOKUP($C195,Planes_de_estudio[],MATCH($AJ$2,Carreras,0)+2,0),"")&gt;0,IFERROR(VLOOKUP($C195,Planes_de_estudio[],MATCH($AJ$2,Carreras,0)+2,0),""),"")</f>
        <v/>
      </c>
      <c r="AK195" s="155" t="str">
        <f>IF(IFERROR(VLOOKUP($C195,Planes_de_estudio[],MATCH($AK$2,Carreras,0)+2,0),"")&gt;0,IFERROR(VLOOKUP($C195,Planes_de_estudio[],MATCH($AK$2,Carreras,0)+2,0),""),"")</f>
        <v/>
      </c>
      <c r="AL19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195" s="155">
        <f>base_de_datos[[#This Row],[Pronóstico]]/25</f>
        <v>0.96</v>
      </c>
      <c r="AO195" s="155" t="str">
        <f>VLOOKUP($C195,Planes_de_estudio[],2)</f>
        <v>MAT</v>
      </c>
      <c r="AP195" s="157" t="str">
        <f ca="1">IF(AND(base_de_datos[[#This Row],[Industrial]]&lt;&gt;"",base_de_datos[[#This Row],[Misma o no]]=1),base_de_datos[[#This Row],[Índice]],"")</f>
        <v/>
      </c>
      <c r="AQ195" s="157" t="str">
        <f ca="1">IF(AND(base_de_datos[[#This Row],[Mecatrónica]]&lt;&gt;"",base_de_datos[[#This Row],[Misma o no]]=1),base_de_datos[[#This Row],[Índice]],"")</f>
        <v/>
      </c>
      <c r="AR195" s="157" t="str">
        <f ca="1">IF(AND(base_de_datos[[#This Row],[Innovación y Diseño]]&lt;&gt;"",base_de_datos[[#This Row],[Misma o no]]=1),base_de_datos[[#This Row],[Índice]],"")</f>
        <v/>
      </c>
      <c r="AS195" s="157">
        <f ca="1">IF(AND(base_de_datos[[#This Row],[Inteligencia Artificial]]&lt;&gt;"",base_de_datos[[#This Row],[Misma o no]]=1),base_de_datos[[#This Row],[Índice]],"")</f>
        <v>1</v>
      </c>
      <c r="AT195" s="157" t="str">
        <f ca="1">IF(AND(base_de_datos[[#This Row],[Tecnologías Energéticas]]&lt;&gt;"",base_de_datos[[#This Row],[Misma o no]]=1),base_de_datos[[#This Row],[Índice]],"")</f>
        <v/>
      </c>
      <c r="AU195" s="157" t="str">
        <f ca="1">IF(AND(base_de_datos[[#This Row],[Civil y Administración]]&lt;&gt;"",base_de_datos[[#This Row],[Misma o no]]=1),base_de_datos[[#This Row],[Índice]],"")</f>
        <v/>
      </c>
      <c r="AV195" s="157" t="str">
        <f ca="1">IF(AND(base_de_datos[[#This Row],[Bioelectrónica]]&lt;&gt;"",base_de_datos[[#This Row],[Misma o no]]=1),base_de_datos[[#This Row],[Índice]],"")</f>
        <v/>
      </c>
      <c r="AW195" s="158"/>
      <c r="AX195" s="231">
        <v>2</v>
      </c>
      <c r="AY195" s="85"/>
      <c r="AZ195" s="85"/>
      <c r="BA195" s="85"/>
      <c r="BB195" s="85"/>
      <c r="BC195" s="85"/>
      <c r="BD195" s="85"/>
      <c r="BE195" s="85"/>
      <c r="BF195" s="85"/>
      <c r="BG195" s="85"/>
      <c r="BH195" s="85"/>
      <c r="BI195" s="85"/>
      <c r="BJ195" s="85"/>
      <c r="BK195" s="85"/>
      <c r="BL195" s="85"/>
      <c r="BM195" s="85"/>
      <c r="BN195" s="85"/>
      <c r="BO195" s="85"/>
      <c r="BP195" s="85"/>
      <c r="BQ195" s="85"/>
      <c r="BR195" s="85"/>
      <c r="BS195" s="85"/>
      <c r="BT195" s="85"/>
      <c r="BU195" s="85"/>
      <c r="BV195" s="85"/>
      <c r="BW195" s="85"/>
      <c r="BX195" s="85"/>
      <c r="BY195" s="85"/>
      <c r="BZ195" s="85"/>
      <c r="CA195" s="85"/>
      <c r="CB195" s="85"/>
      <c r="CC195" s="85"/>
      <c r="CD195" s="85"/>
      <c r="CE195" s="85"/>
      <c r="CF195" s="85"/>
      <c r="CG195" s="85"/>
      <c r="CH195" s="85"/>
      <c r="CI195" s="85"/>
      <c r="CJ195" s="85"/>
      <c r="CK195" s="85"/>
      <c r="CL195" s="85"/>
      <c r="CM195" s="85"/>
      <c r="CN195" s="85"/>
      <c r="CO195" s="85"/>
      <c r="CP195" s="85"/>
      <c r="CQ195" s="85"/>
      <c r="CR195" s="85"/>
      <c r="CS195" s="85"/>
      <c r="CT195" s="85"/>
      <c r="CU195" s="85"/>
      <c r="CV195" s="85"/>
      <c r="CW195" s="85"/>
      <c r="CX195" s="85"/>
      <c r="CY195" s="85"/>
      <c r="CZ195" s="85"/>
      <c r="DA195" s="85"/>
      <c r="DB195" s="85"/>
      <c r="DC195" s="85"/>
      <c r="DD195" s="85"/>
      <c r="DE195" s="85"/>
      <c r="DF195" s="85"/>
      <c r="DG195" s="85"/>
      <c r="DH195" s="85"/>
      <c r="DI195" s="85"/>
      <c r="DJ195" s="85"/>
      <c r="DK195" s="85"/>
      <c r="DL195" s="85"/>
      <c r="DM195" s="85"/>
      <c r="DN195" s="85"/>
      <c r="DO195" s="85"/>
      <c r="DP195" s="85"/>
      <c r="DQ195" s="85"/>
      <c r="DR195" s="85"/>
      <c r="DS195" s="85"/>
      <c r="DT195" s="85"/>
      <c r="DU195" s="85"/>
      <c r="DV195" s="85"/>
      <c r="DW195" s="85"/>
      <c r="DX195" s="85"/>
      <c r="DY195" s="85"/>
      <c r="DZ195" s="85"/>
      <c r="EA195" s="85"/>
      <c r="EB195" s="85"/>
      <c r="EC195" s="85"/>
      <c r="ED195" s="85"/>
      <c r="EE195" s="85"/>
      <c r="EF195" s="85"/>
      <c r="EG195" s="85"/>
      <c r="EH195" s="85"/>
      <c r="EI195" s="85"/>
      <c r="EJ195" s="85"/>
      <c r="EK195" s="85"/>
      <c r="EL195" s="85"/>
      <c r="EM195" s="85"/>
      <c r="EN195" s="85"/>
      <c r="EO195" s="85"/>
      <c r="EP195" s="85"/>
      <c r="EQ195" s="85"/>
      <c r="ER195" s="85"/>
      <c r="ES195" s="85"/>
      <c r="ET195" s="85"/>
      <c r="EU195" s="85"/>
      <c r="EV195" s="85"/>
      <c r="EW195" s="85"/>
      <c r="EX195" s="85"/>
      <c r="EY195" s="85"/>
      <c r="EZ195" s="85"/>
      <c r="FA195" s="85"/>
      <c r="FB195" s="85"/>
      <c r="FC195" s="85"/>
      <c r="FD195" s="85"/>
      <c r="FE195" s="85"/>
      <c r="FF195" s="85"/>
      <c r="FG195" s="85"/>
      <c r="FH195" s="85"/>
      <c r="FI195" s="85"/>
      <c r="FJ195" s="85"/>
      <c r="FK195" s="85"/>
      <c r="FL195" s="85"/>
      <c r="FM195" s="85"/>
      <c r="FN195" s="85"/>
      <c r="FO195" s="85"/>
      <c r="FP195" s="85"/>
      <c r="FQ195" s="85"/>
      <c r="FR195" s="85"/>
      <c r="FS195" s="85"/>
      <c r="FT195" s="85"/>
      <c r="FU195" s="85"/>
      <c r="FV195" s="85"/>
      <c r="FW195" s="85"/>
      <c r="FX195" s="85"/>
      <c r="FY195" s="85"/>
      <c r="FZ195" s="85"/>
      <c r="GA195" s="85"/>
      <c r="GB195" s="85"/>
      <c r="GC195" s="85"/>
      <c r="GD195" s="85"/>
      <c r="GE195" s="85"/>
      <c r="GF195" s="85"/>
      <c r="GG195" s="85"/>
      <c r="GH195" s="85"/>
      <c r="GI195" s="85"/>
      <c r="GJ195" s="85"/>
      <c r="GK195" s="85"/>
      <c r="GL195" s="85"/>
      <c r="GM195" s="85"/>
      <c r="GN195" s="85"/>
      <c r="GO195" s="85"/>
      <c r="GP195" s="85"/>
      <c r="GQ195" s="85"/>
      <c r="GR195" s="85"/>
      <c r="GS195" s="85"/>
      <c r="GT195" s="85"/>
      <c r="GU195" s="85"/>
      <c r="GV195" s="85"/>
      <c r="GW195" s="85"/>
      <c r="GX195" s="85"/>
      <c r="GY195" s="85"/>
      <c r="GZ195" s="85"/>
      <c r="HA195" s="85"/>
      <c r="HB195" s="85"/>
      <c r="HC195" s="85"/>
      <c r="HD195" s="85"/>
      <c r="HE195" s="85"/>
      <c r="HF195" s="85"/>
      <c r="HG195" s="85"/>
      <c r="HH195" s="85"/>
      <c r="HI195" s="85"/>
      <c r="HJ195" s="85"/>
      <c r="HK195" s="85"/>
      <c r="HL195" s="85"/>
      <c r="HM195" s="85"/>
    </row>
    <row r="196" spans="1:221" s="164" customFormat="1" ht="15">
      <c r="A196" s="85"/>
      <c r="B196" s="148" t="s">
        <v>400</v>
      </c>
      <c r="C196" s="149" t="s">
        <v>138</v>
      </c>
      <c r="D196" s="150">
        <v>4</v>
      </c>
      <c r="E196" s="151">
        <v>0.39583333333333398</v>
      </c>
      <c r="F196" s="151">
        <v>0.45833333333333098</v>
      </c>
      <c r="G196" s="150"/>
      <c r="H196" s="150" t="s">
        <v>401</v>
      </c>
      <c r="I196" s="150">
        <f>INDEX(Aulas_capacidad,MATCH(base_de_datos[[#This Row],[Aula]],Aulas,0),2)</f>
        <v>60</v>
      </c>
      <c r="J196" s="152"/>
      <c r="K196" s="150">
        <f>INDEX(Aulas_capacidad,MATCH(base_de_datos[[#This Row],[Aula]],Aulas,0),4)</f>
        <v>18</v>
      </c>
      <c r="L196" s="153">
        <f>base_de_datos[[#This Row],[Cap 1.5]]-base_de_datos[[#This Row],[Inscritos]]</f>
        <v>18</v>
      </c>
      <c r="M196" s="153">
        <f>INDEX(Aulas_capacidad,MATCH(base_de_datos[[#This Row],[Aula]],Aulas,0),5)</f>
        <v>26</v>
      </c>
      <c r="N196" s="153">
        <f>base_de_datos[[#This Row],[Cap .90]]-base_de_datos[[#This Row],[Inscritos]]</f>
        <v>26</v>
      </c>
      <c r="O196" s="150" t="s">
        <v>402</v>
      </c>
      <c r="P196" s="154"/>
      <c r="Q196" s="154"/>
      <c r="R196" s="154" t="s">
        <v>67</v>
      </c>
      <c r="S196" s="154"/>
      <c r="T196" s="154"/>
      <c r="U196" s="154"/>
      <c r="V196" s="154"/>
      <c r="W196" s="154" t="s">
        <v>1654</v>
      </c>
      <c r="X196" s="155">
        <f>_xlfn.XLOOKUP(base_de_datos[[#This Row],[Materia]],Materias,Horas)/16</f>
        <v>3</v>
      </c>
      <c r="Y196" s="155">
        <f>ROUND(((base_de_datos[[#This Row],[Hora fin]]-base_de_datos[[#This Row],[Hora inicio]])*24)*(COUNTA(base_de_datos[[#This Row],[Lunes]:[Sábado]])),1)</f>
        <v>1.5</v>
      </c>
      <c r="Z19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6" s="155">
        <f ca="1">IF(base_de_datos[[#This Row],[No clase]]=OFFSET(base_de_datos[[#This Row],[No clase]],-1,0),0,1)</f>
        <v>1</v>
      </c>
      <c r="AB196" s="155">
        <f ca="1">IF(NOT(OR(base_de_datos[[#This Row],[Horas totales]]=base_de_datos[[#This Row],[HT Plan]],base_de_datos[[#This Row],[Horas totales]]="N/A")),1,0)</f>
        <v>0</v>
      </c>
      <c r="AC196" s="155" t="str">
        <f>_xlfn.XLOOKUP(base_de_datos[[#This Row],[Profesor]],Nombre,Grado)</f>
        <v>M</v>
      </c>
      <c r="AD196" s="156" t="str">
        <f>_xlfn.XLOOKUP(base_de_datos[[#This Row],[Profesor]],Nombre,Tipo)</f>
        <v>H</v>
      </c>
      <c r="AE196" s="155">
        <f>IF(IFERROR(VLOOKUP($C196,Planes_de_estudio[],MATCH($AE$2,Carreras,0)+2,0),"")&gt;0,IFERROR(VLOOKUP($C196,Planes_de_estudio[],MATCH($AE$2,Carreras,0)+2,0),""),"")</f>
        <v>1</v>
      </c>
      <c r="AF196" s="155">
        <f>IF(IFERROR(VLOOKUP($C196,Planes_de_estudio[],MATCH($AF$2,Carreras,0)+2,0),"")&gt;0,IFERROR(VLOOKUP($C196,Planes_de_estudio[],MATCH($AF$2,Carreras,0)+2,0),""),"")</f>
        <v>1</v>
      </c>
      <c r="AG196" s="155">
        <f>IF(IFERROR(VLOOKUP($C196,Planes_de_estudio[],MATCH($AG$2,Carreras,0)+2,0),"")&gt;0,IFERROR(VLOOKUP($C196,Planes_de_estudio[],MATCH($AG$2,Carreras,0)+2,0),""),"")</f>
        <v>1</v>
      </c>
      <c r="AH196" s="155">
        <f>IF(IFERROR(VLOOKUP($C196,Planes_de_estudio[],MATCH($AH$2,Carreras,0)+2,0),"")&gt;0,IFERROR(VLOOKUP($C196,Planes_de_estudio[],MATCH($AH$2,Carreras,0)+2,0),""),"")</f>
        <v>1</v>
      </c>
      <c r="AI196" s="155">
        <f>IF(IFERROR(VLOOKUP($C196,Planes_de_estudio[],MATCH($AI$2,Carreras,0)+2,0),"")&gt;0,IFERROR(VLOOKUP($C196,Planes_de_estudio[],MATCH($AI$2,Carreras,0)+2,0),""),"")</f>
        <v>1</v>
      </c>
      <c r="AJ196" s="155">
        <f>IF(IFERROR(VLOOKUP($C196,Planes_de_estudio[],MATCH($AJ$2,Carreras,0)+2,0),"")&gt;0,IFERROR(VLOOKUP($C196,Planes_de_estudio[],MATCH($AJ$2,Carreras,0)+2,0),""),"")</f>
        <v>1</v>
      </c>
      <c r="AK196" s="155">
        <f>IF(IFERROR(VLOOKUP($C196,Planes_de_estudio[],MATCH($AK$2,Carreras,0)+2,0),"")&gt;0,IFERROR(VLOOKUP($C196,Planes_de_estudio[],MATCH($AK$2,Carreras,0)+2,0),""),"")</f>
        <v>1</v>
      </c>
      <c r="AL19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96" s="155">
        <f>base_de_datos[[#This Row],[Pronóstico]]/25</f>
        <v>4.3600000000000003</v>
      </c>
      <c r="AO196" s="155" t="str">
        <f>VLOOKUP($C196,Planes_de_estudio[],2)</f>
        <v>HUM</v>
      </c>
      <c r="AP196" s="157">
        <f ca="1">IF(AND(base_de_datos[[#This Row],[Industrial]]&lt;&gt;"",base_de_datos[[#This Row],[Misma o no]]=1),base_de_datos[[#This Row],[Índice]],"")</f>
        <v>4</v>
      </c>
      <c r="AQ196" s="157">
        <f ca="1">IF(AND(base_de_datos[[#This Row],[Mecatrónica]]&lt;&gt;"",base_de_datos[[#This Row],[Misma o no]]=1),base_de_datos[[#This Row],[Índice]],"")</f>
        <v>4</v>
      </c>
      <c r="AR196" s="157">
        <f ca="1">IF(AND(base_de_datos[[#This Row],[Innovación y Diseño]]&lt;&gt;"",base_de_datos[[#This Row],[Misma o no]]=1),base_de_datos[[#This Row],[Índice]],"")</f>
        <v>4</v>
      </c>
      <c r="AS196" s="157">
        <f ca="1">IF(AND(base_de_datos[[#This Row],[Inteligencia Artificial]]&lt;&gt;"",base_de_datos[[#This Row],[Misma o no]]=1),base_de_datos[[#This Row],[Índice]],"")</f>
        <v>4</v>
      </c>
      <c r="AT196" s="157">
        <f ca="1">IF(AND(base_de_datos[[#This Row],[Tecnologías Energéticas]]&lt;&gt;"",base_de_datos[[#This Row],[Misma o no]]=1),base_de_datos[[#This Row],[Índice]],"")</f>
        <v>4</v>
      </c>
      <c r="AU196" s="157">
        <f ca="1">IF(AND(base_de_datos[[#This Row],[Civil y Administración]]&lt;&gt;"",base_de_datos[[#This Row],[Misma o no]]=1),base_de_datos[[#This Row],[Índice]],"")</f>
        <v>4</v>
      </c>
      <c r="AV196" s="157">
        <f ca="1">IF(AND(base_de_datos[[#This Row],[Bioelectrónica]]&lt;&gt;"",base_de_datos[[#This Row],[Misma o no]]=1),base_de_datos[[#This Row],[Índice]],"")</f>
        <v>4</v>
      </c>
      <c r="AW196" s="158"/>
      <c r="AX196" s="231">
        <v>2</v>
      </c>
      <c r="AY196" s="85"/>
      <c r="AZ196" s="85"/>
      <c r="BA196" s="85"/>
      <c r="BB196" s="85"/>
      <c r="BC196" s="85"/>
      <c r="BD196" s="85"/>
      <c r="BE196" s="85"/>
      <c r="BF196" s="85"/>
      <c r="BG196" s="85"/>
      <c r="BH196" s="85"/>
      <c r="BI196" s="85"/>
      <c r="BJ196" s="85"/>
      <c r="BK196" s="85"/>
      <c r="BL196" s="85"/>
      <c r="BM196" s="85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  <c r="DF196" s="85"/>
      <c r="DG196" s="85"/>
      <c r="DH196" s="85"/>
      <c r="DI196" s="85"/>
      <c r="DJ196" s="85"/>
      <c r="DK196" s="85"/>
      <c r="DL196" s="85"/>
      <c r="DM196" s="85"/>
      <c r="DN196" s="85"/>
      <c r="DO196" s="85"/>
      <c r="DP196" s="85"/>
      <c r="DQ196" s="85"/>
      <c r="DR196" s="85"/>
      <c r="DS196" s="85"/>
      <c r="DT196" s="85"/>
      <c r="DU196" s="85"/>
      <c r="DV196" s="85"/>
      <c r="DW196" s="85"/>
      <c r="DX196" s="85"/>
      <c r="DY196" s="85"/>
      <c r="DZ196" s="85"/>
      <c r="EA196" s="85"/>
      <c r="EB196" s="85"/>
      <c r="EC196" s="85"/>
      <c r="ED196" s="85"/>
      <c r="EE196" s="85"/>
      <c r="EF196" s="85"/>
      <c r="EG196" s="85"/>
      <c r="EH196" s="85"/>
      <c r="EI196" s="85"/>
      <c r="EJ196" s="85"/>
      <c r="EK196" s="85"/>
      <c r="EL196" s="85"/>
      <c r="EM196" s="85"/>
      <c r="EN196" s="85"/>
      <c r="EO196" s="85"/>
      <c r="EP196" s="85"/>
      <c r="EQ196" s="85"/>
      <c r="ER196" s="85"/>
      <c r="ES196" s="85"/>
      <c r="ET196" s="85"/>
      <c r="EU196" s="85"/>
      <c r="EV196" s="85"/>
      <c r="EW196" s="85"/>
      <c r="EX196" s="85"/>
      <c r="EY196" s="85"/>
      <c r="EZ196" s="85"/>
      <c r="FA196" s="85"/>
      <c r="FB196" s="85"/>
      <c r="FC196" s="85"/>
      <c r="FD196" s="85"/>
      <c r="FE196" s="85"/>
      <c r="FF196" s="85"/>
      <c r="FG196" s="85"/>
      <c r="FH196" s="85"/>
      <c r="FI196" s="85"/>
      <c r="FJ196" s="85"/>
      <c r="FK196" s="85"/>
      <c r="FL196" s="85"/>
      <c r="FM196" s="85"/>
      <c r="FN196" s="85"/>
      <c r="FO196" s="85"/>
      <c r="FP196" s="85"/>
      <c r="FQ196" s="85"/>
      <c r="FR196" s="85"/>
      <c r="FS196" s="85"/>
      <c r="FT196" s="85"/>
      <c r="FU196" s="85"/>
      <c r="FV196" s="85"/>
      <c r="FW196" s="85"/>
      <c r="FX196" s="85"/>
      <c r="FY196" s="85"/>
      <c r="FZ196" s="85"/>
      <c r="GA196" s="85"/>
      <c r="GB196" s="85"/>
      <c r="GC196" s="85"/>
      <c r="GD196" s="85"/>
      <c r="GE196" s="85"/>
      <c r="GF196" s="85"/>
      <c r="GG196" s="85"/>
      <c r="GH196" s="85"/>
      <c r="GI196" s="85"/>
      <c r="GJ196" s="85"/>
      <c r="GK196" s="85"/>
      <c r="GL196" s="85"/>
      <c r="GM196" s="85"/>
      <c r="GN196" s="85"/>
      <c r="GO196" s="85"/>
      <c r="GP196" s="85"/>
      <c r="GQ196" s="85"/>
      <c r="GR196" s="85"/>
      <c r="GS196" s="85"/>
      <c r="GT196" s="85"/>
      <c r="GU196" s="85"/>
      <c r="GV196" s="85"/>
      <c r="GW196" s="85"/>
      <c r="GX196" s="85"/>
      <c r="GY196" s="85"/>
      <c r="GZ196" s="85"/>
      <c r="HA196" s="85"/>
      <c r="HB196" s="85"/>
      <c r="HC196" s="85"/>
      <c r="HD196" s="85"/>
      <c r="HE196" s="85"/>
      <c r="HF196" s="85"/>
      <c r="HG196" s="85"/>
      <c r="HH196" s="85"/>
      <c r="HI196" s="85"/>
      <c r="HJ196" s="85"/>
      <c r="HK196" s="85"/>
      <c r="HL196" s="85"/>
      <c r="HM196" s="85"/>
    </row>
    <row r="197" spans="1:221" s="164" customFormat="1" ht="15">
      <c r="A197" s="85"/>
      <c r="B197" s="148" t="s">
        <v>400</v>
      </c>
      <c r="C197" s="149" t="s">
        <v>138</v>
      </c>
      <c r="D197" s="150">
        <v>4</v>
      </c>
      <c r="E197" s="151">
        <v>0.39583333333333398</v>
      </c>
      <c r="F197" s="151">
        <v>0.45833333333333098</v>
      </c>
      <c r="G197" s="150"/>
      <c r="H197" s="150" t="s">
        <v>325</v>
      </c>
      <c r="I197" s="150">
        <f>INDEX(Aulas_capacidad,MATCH(base_de_datos[[#This Row],[Aula]],Aulas,0),2)</f>
        <v>30</v>
      </c>
      <c r="J197" s="152"/>
      <c r="K197" s="150">
        <f>INDEX(Aulas_capacidad,MATCH(base_de_datos[[#This Row],[Aula]],Aulas,0),4)</f>
        <v>12</v>
      </c>
      <c r="L197" s="153">
        <f>base_de_datos[[#This Row],[Cap 1.5]]-base_de_datos[[#This Row],[Inscritos]]</f>
        <v>12</v>
      </c>
      <c r="M197" s="153">
        <f>INDEX(Aulas_capacidad,MATCH(base_de_datos[[#This Row],[Aula]],Aulas,0),5)</f>
        <v>18</v>
      </c>
      <c r="N197" s="153">
        <f>base_de_datos[[#This Row],[Cap .90]]-base_de_datos[[#This Row],[Inscritos]]</f>
        <v>18</v>
      </c>
      <c r="O197" s="150" t="s">
        <v>402</v>
      </c>
      <c r="P197" s="154"/>
      <c r="Q197" s="154"/>
      <c r="R197" s="154"/>
      <c r="S197" s="154"/>
      <c r="T197" s="154" t="s">
        <v>67</v>
      </c>
      <c r="U197" s="154"/>
      <c r="V197" s="154"/>
      <c r="W197" s="154" t="s">
        <v>1654</v>
      </c>
      <c r="X197" s="155">
        <f>_xlfn.XLOOKUP(base_de_datos[[#This Row],[Materia]],Materias,Horas)/16</f>
        <v>3</v>
      </c>
      <c r="Y197" s="155">
        <f>ROUND(((base_de_datos[[#This Row],[Hora fin]]-base_de_datos[[#This Row],[Hora inicio]])*24)*(COUNTA(base_de_datos[[#This Row],[Lunes]:[Sábado]])),1)</f>
        <v>1.5</v>
      </c>
      <c r="Z19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7" s="155">
        <f ca="1">IF(base_de_datos[[#This Row],[No clase]]=OFFSET(base_de_datos[[#This Row],[No clase]],-1,0),0,1)</f>
        <v>0</v>
      </c>
      <c r="AB197" s="155">
        <f ca="1">IF(NOT(OR(base_de_datos[[#This Row],[Horas totales]]=base_de_datos[[#This Row],[HT Plan]],base_de_datos[[#This Row],[Horas totales]]="N/A")),1,0)</f>
        <v>0</v>
      </c>
      <c r="AC197" s="155" t="str">
        <f>_xlfn.XLOOKUP(base_de_datos[[#This Row],[Profesor]],Nombre,Grado)</f>
        <v>M</v>
      </c>
      <c r="AD197" s="156" t="str">
        <f>_xlfn.XLOOKUP(base_de_datos[[#This Row],[Profesor]],Nombre,Tipo)</f>
        <v>H</v>
      </c>
      <c r="AE197" s="155">
        <f>IF(IFERROR(VLOOKUP($C197,Planes_de_estudio[],MATCH($AE$2,Carreras,0)+2,0),"")&gt;0,IFERROR(VLOOKUP($C197,Planes_de_estudio[],MATCH($AE$2,Carreras,0)+2,0),""),"")</f>
        <v>1</v>
      </c>
      <c r="AF197" s="155">
        <f>IF(IFERROR(VLOOKUP($C197,Planes_de_estudio[],MATCH($AF$2,Carreras,0)+2,0),"")&gt;0,IFERROR(VLOOKUP($C197,Planes_de_estudio[],MATCH($AF$2,Carreras,0)+2,0),""),"")</f>
        <v>1</v>
      </c>
      <c r="AG197" s="155">
        <f>IF(IFERROR(VLOOKUP($C197,Planes_de_estudio[],MATCH($AG$2,Carreras,0)+2,0),"")&gt;0,IFERROR(VLOOKUP($C197,Planes_de_estudio[],MATCH($AG$2,Carreras,0)+2,0),""),"")</f>
        <v>1</v>
      </c>
      <c r="AH197" s="155">
        <f>IF(IFERROR(VLOOKUP($C197,Planes_de_estudio[],MATCH($AH$2,Carreras,0)+2,0),"")&gt;0,IFERROR(VLOOKUP($C197,Planes_de_estudio[],MATCH($AH$2,Carreras,0)+2,0),""),"")</f>
        <v>1</v>
      </c>
      <c r="AI197" s="155">
        <f>IF(IFERROR(VLOOKUP($C197,Planes_de_estudio[],MATCH($AI$2,Carreras,0)+2,0),"")&gt;0,IFERROR(VLOOKUP($C197,Planes_de_estudio[],MATCH($AI$2,Carreras,0)+2,0),""),"")</f>
        <v>1</v>
      </c>
      <c r="AJ197" s="155">
        <f>IF(IFERROR(VLOOKUP($C197,Planes_de_estudio[],MATCH($AJ$2,Carreras,0)+2,0),"")&gt;0,IFERROR(VLOOKUP($C197,Planes_de_estudio[],MATCH($AJ$2,Carreras,0)+2,0),""),"")</f>
        <v>1</v>
      </c>
      <c r="AK197" s="155">
        <f>IF(IFERROR(VLOOKUP($C197,Planes_de_estudio[],MATCH($AK$2,Carreras,0)+2,0),"")&gt;0,IFERROR(VLOOKUP($C197,Planes_de_estudio[],MATCH($AK$2,Carreras,0)+2,0),""),"")</f>
        <v>1</v>
      </c>
      <c r="AL19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97" s="155">
        <f>base_de_datos[[#This Row],[Pronóstico]]/25</f>
        <v>4.3600000000000003</v>
      </c>
      <c r="AO197" s="155" t="str">
        <f>VLOOKUP($C197,Planes_de_estudio[],2)</f>
        <v>HUM</v>
      </c>
      <c r="AP197" s="157" t="str">
        <f ca="1">IF(AND(base_de_datos[[#This Row],[Industrial]]&lt;&gt;"",base_de_datos[[#This Row],[Misma o no]]=1),base_de_datos[[#This Row],[Índice]],"")</f>
        <v/>
      </c>
      <c r="AQ197" s="157" t="str">
        <f ca="1">IF(AND(base_de_datos[[#This Row],[Mecatrónica]]&lt;&gt;"",base_de_datos[[#This Row],[Misma o no]]=1),base_de_datos[[#This Row],[Índice]],"")</f>
        <v/>
      </c>
      <c r="AR197" s="157" t="str">
        <f ca="1">IF(AND(base_de_datos[[#This Row],[Innovación y Diseño]]&lt;&gt;"",base_de_datos[[#This Row],[Misma o no]]=1),base_de_datos[[#This Row],[Índice]],"")</f>
        <v/>
      </c>
      <c r="AS197" s="157" t="str">
        <f ca="1">IF(AND(base_de_datos[[#This Row],[Inteligencia Artificial]]&lt;&gt;"",base_de_datos[[#This Row],[Misma o no]]=1),base_de_datos[[#This Row],[Índice]],"")</f>
        <v/>
      </c>
      <c r="AT197" s="157" t="str">
        <f ca="1">IF(AND(base_de_datos[[#This Row],[Tecnologías Energéticas]]&lt;&gt;"",base_de_datos[[#This Row],[Misma o no]]=1),base_de_datos[[#This Row],[Índice]],"")</f>
        <v/>
      </c>
      <c r="AU197" s="157" t="str">
        <f ca="1">IF(AND(base_de_datos[[#This Row],[Civil y Administración]]&lt;&gt;"",base_de_datos[[#This Row],[Misma o no]]=1),base_de_datos[[#This Row],[Índice]],"")</f>
        <v/>
      </c>
      <c r="AV197" s="157" t="str">
        <f ca="1">IF(AND(base_de_datos[[#This Row],[Bioelectrónica]]&lt;&gt;"",base_de_datos[[#This Row],[Misma o no]]=1),base_de_datos[[#This Row],[Índice]],"")</f>
        <v/>
      </c>
      <c r="AW197" s="158"/>
      <c r="AX197" s="231" t="s">
        <v>1635</v>
      </c>
      <c r="AY197" s="85"/>
      <c r="AZ197" s="85"/>
      <c r="BA197" s="85"/>
      <c r="BB197" s="85"/>
      <c r="BC197" s="85"/>
      <c r="BD197" s="85"/>
      <c r="BE197" s="85"/>
      <c r="BF197" s="85"/>
      <c r="BG197" s="85"/>
      <c r="BH197" s="85"/>
      <c r="BI197" s="85"/>
      <c r="BJ197" s="85"/>
      <c r="BK197" s="85"/>
      <c r="BL197" s="85"/>
      <c r="BM197" s="85"/>
      <c r="BN197" s="85"/>
      <c r="BO197" s="85"/>
      <c r="BP197" s="85"/>
      <c r="BQ197" s="85"/>
      <c r="BR197" s="85"/>
      <c r="BS197" s="85"/>
      <c r="BT197" s="85"/>
      <c r="BU197" s="85"/>
      <c r="BV197" s="85"/>
      <c r="BW197" s="85"/>
      <c r="BX197" s="85"/>
      <c r="BY197" s="85"/>
      <c r="BZ197" s="85"/>
      <c r="CA197" s="85"/>
      <c r="CB197" s="85"/>
      <c r="CC197" s="85"/>
      <c r="CD197" s="85"/>
      <c r="CE197" s="85"/>
      <c r="CF197" s="85"/>
      <c r="CG197" s="85"/>
      <c r="CH197" s="85"/>
      <c r="CI197" s="85"/>
      <c r="CJ197" s="85"/>
      <c r="CK197" s="85"/>
      <c r="CL197" s="85"/>
      <c r="CM197" s="85"/>
      <c r="CN197" s="85"/>
      <c r="CO197" s="85"/>
      <c r="CP197" s="85"/>
      <c r="CQ197" s="85"/>
      <c r="CR197" s="85"/>
      <c r="CS197" s="85"/>
      <c r="CT197" s="85"/>
      <c r="CU197" s="85"/>
      <c r="CV197" s="85"/>
      <c r="CW197" s="85"/>
      <c r="CX197" s="85"/>
      <c r="CY197" s="85"/>
      <c r="CZ197" s="85"/>
      <c r="DA197" s="85"/>
      <c r="DB197" s="85"/>
      <c r="DC197" s="85"/>
      <c r="DD197" s="85"/>
      <c r="DE197" s="85"/>
      <c r="DF197" s="85"/>
      <c r="DG197" s="85"/>
      <c r="DH197" s="85"/>
      <c r="DI197" s="85"/>
      <c r="DJ197" s="85"/>
      <c r="DK197" s="85"/>
      <c r="DL197" s="85"/>
      <c r="DM197" s="85"/>
      <c r="DN197" s="85"/>
      <c r="DO197" s="85"/>
      <c r="DP197" s="85"/>
      <c r="DQ197" s="85"/>
      <c r="DR197" s="85"/>
      <c r="DS197" s="85"/>
      <c r="DT197" s="85"/>
      <c r="DU197" s="85"/>
      <c r="DV197" s="85"/>
      <c r="DW197" s="85"/>
      <c r="DX197" s="85"/>
      <c r="DY197" s="85"/>
      <c r="DZ197" s="85"/>
      <c r="EA197" s="85"/>
      <c r="EB197" s="85"/>
      <c r="EC197" s="85"/>
      <c r="ED197" s="85"/>
      <c r="EE197" s="85"/>
      <c r="EF197" s="85"/>
      <c r="EG197" s="85"/>
      <c r="EH197" s="85"/>
      <c r="EI197" s="85"/>
      <c r="EJ197" s="85"/>
      <c r="EK197" s="85"/>
      <c r="EL197" s="85"/>
      <c r="EM197" s="85"/>
      <c r="EN197" s="85"/>
      <c r="EO197" s="85"/>
      <c r="EP197" s="85"/>
      <c r="EQ197" s="85"/>
      <c r="ER197" s="85"/>
      <c r="ES197" s="85"/>
      <c r="ET197" s="85"/>
      <c r="EU197" s="85"/>
      <c r="EV197" s="85"/>
      <c r="EW197" s="85"/>
      <c r="EX197" s="85"/>
      <c r="EY197" s="85"/>
      <c r="EZ197" s="85"/>
      <c r="FA197" s="85"/>
      <c r="FB197" s="85"/>
      <c r="FC197" s="85"/>
      <c r="FD197" s="85"/>
      <c r="FE197" s="85"/>
      <c r="FF197" s="85"/>
      <c r="FG197" s="85"/>
      <c r="FH197" s="85"/>
      <c r="FI197" s="85"/>
      <c r="FJ197" s="85"/>
      <c r="FK197" s="85"/>
      <c r="FL197" s="85"/>
      <c r="FM197" s="85"/>
      <c r="FN197" s="85"/>
      <c r="FO197" s="85"/>
      <c r="FP197" s="85"/>
      <c r="FQ197" s="85"/>
      <c r="FR197" s="85"/>
      <c r="FS197" s="85"/>
      <c r="FT197" s="85"/>
      <c r="FU197" s="85"/>
      <c r="FV197" s="85"/>
      <c r="FW197" s="85"/>
      <c r="FX197" s="85"/>
      <c r="FY197" s="85"/>
      <c r="FZ197" s="85"/>
      <c r="GA197" s="85"/>
      <c r="GB197" s="85"/>
      <c r="GC197" s="85"/>
      <c r="GD197" s="85"/>
      <c r="GE197" s="85"/>
      <c r="GF197" s="85"/>
      <c r="GG197" s="85"/>
      <c r="GH197" s="85"/>
      <c r="GI197" s="85"/>
      <c r="GJ197" s="85"/>
      <c r="GK197" s="85"/>
      <c r="GL197" s="85"/>
      <c r="GM197" s="85"/>
      <c r="GN197" s="85"/>
      <c r="GO197" s="85"/>
      <c r="GP197" s="85"/>
      <c r="GQ197" s="85"/>
      <c r="GR197" s="85"/>
      <c r="GS197" s="85"/>
      <c r="GT197" s="85"/>
      <c r="GU197" s="85"/>
      <c r="GV197" s="85"/>
      <c r="GW197" s="85"/>
      <c r="GX197" s="85"/>
      <c r="GY197" s="85"/>
      <c r="GZ197" s="85"/>
      <c r="HA197" s="85"/>
      <c r="HB197" s="85"/>
      <c r="HC197" s="85"/>
      <c r="HD197" s="85"/>
      <c r="HE197" s="85"/>
      <c r="HF197" s="85"/>
      <c r="HG197" s="85"/>
      <c r="HH197" s="85"/>
      <c r="HI197" s="85"/>
      <c r="HJ197" s="85"/>
      <c r="HK197" s="85"/>
      <c r="HL197" s="85"/>
      <c r="HM197" s="85"/>
    </row>
    <row r="198" spans="1:221" ht="15">
      <c r="B198" s="148" t="s">
        <v>400</v>
      </c>
      <c r="C198" s="149" t="s">
        <v>263</v>
      </c>
      <c r="D198" s="150">
        <v>1</v>
      </c>
      <c r="E198" s="151">
        <v>0.79166666666666696</v>
      </c>
      <c r="F198" s="151">
        <v>0.91666666666665697</v>
      </c>
      <c r="G198" s="150"/>
      <c r="H198" s="150" t="s">
        <v>86</v>
      </c>
      <c r="I198" s="150">
        <f>INDEX(Aulas_capacidad,MATCH(base_de_datos[[#This Row],[Aula]],Aulas,0),2)</f>
        <v>40</v>
      </c>
      <c r="J198" s="152"/>
      <c r="K198" s="150">
        <f>INDEX(Aulas_capacidad,MATCH(base_de_datos[[#This Row],[Aula]],Aulas,0),4)</f>
        <v>10</v>
      </c>
      <c r="L198" s="153">
        <f>base_de_datos[[#This Row],[Cap 1.5]]-base_de_datos[[#This Row],[Inscritos]]</f>
        <v>10</v>
      </c>
      <c r="M198" s="153">
        <f>INDEX(Aulas_capacidad,MATCH(base_de_datos[[#This Row],[Aula]],Aulas,0),5)</f>
        <v>25</v>
      </c>
      <c r="N198" s="153">
        <f>base_de_datos[[#This Row],[Cap .90]]-base_de_datos[[#This Row],[Inscritos]]</f>
        <v>25</v>
      </c>
      <c r="O198" s="150" t="s">
        <v>403</v>
      </c>
      <c r="P198" s="154"/>
      <c r="Q198" s="154" t="s">
        <v>67</v>
      </c>
      <c r="R198" s="154"/>
      <c r="S198" s="154"/>
      <c r="T198" s="154"/>
      <c r="U198" s="154"/>
      <c r="V198" s="154"/>
      <c r="W198" s="154" t="s">
        <v>1659</v>
      </c>
      <c r="X198" s="155">
        <f>_xlfn.XLOOKUP(base_de_datos[[#This Row],[Materia]],Materias,Horas)/16</f>
        <v>3</v>
      </c>
      <c r="Y198" s="155">
        <f>ROUND(((base_de_datos[[#This Row],[Hora fin]]-base_de_datos[[#This Row],[Hora inicio]])*24)*(COUNTA(base_de_datos[[#This Row],[Lunes]:[Sábado]])),1)</f>
        <v>3</v>
      </c>
      <c r="Z19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8" s="155">
        <f ca="1">IF(base_de_datos[[#This Row],[No clase]]=OFFSET(base_de_datos[[#This Row],[No clase]],-1,0),0,1)</f>
        <v>1</v>
      </c>
      <c r="AB198" s="155">
        <f ca="1">IF(NOT(OR(base_de_datos[[#This Row],[Horas totales]]=base_de_datos[[#This Row],[HT Plan]],base_de_datos[[#This Row],[Horas totales]]="N/A")),1,0)</f>
        <v>0</v>
      </c>
      <c r="AC198" s="155" t="str">
        <f>_xlfn.XLOOKUP(base_de_datos[[#This Row],[Profesor]],Nombre,Grado)</f>
        <v>M</v>
      </c>
      <c r="AD198" s="156" t="str">
        <f>_xlfn.XLOOKUP(base_de_datos[[#This Row],[Profesor]],Nombre,Tipo)</f>
        <v>H</v>
      </c>
      <c r="AE198" s="155">
        <f>IF(IFERROR(VLOOKUP($C198,Planes_de_estudio[],MATCH($AE$2,Carreras,0)+2,0),"")&gt;0,IFERROR(VLOOKUP($C198,Planes_de_estudio[],MATCH($AE$2,Carreras,0)+2,0),""),"")</f>
        <v>7</v>
      </c>
      <c r="AF198" s="155">
        <f>IF(IFERROR(VLOOKUP($C198,Planes_de_estudio[],MATCH($AF$2,Carreras,0)+2,0),"")&gt;0,IFERROR(VLOOKUP($C198,Planes_de_estudio[],MATCH($AF$2,Carreras,0)+2,0),""),"")</f>
        <v>7</v>
      </c>
      <c r="AG198" s="155">
        <f>IF(IFERROR(VLOOKUP($C198,Planes_de_estudio[],MATCH($AG$2,Carreras,0)+2,0),"")&gt;0,IFERROR(VLOOKUP($C198,Planes_de_estudio[],MATCH($AG$2,Carreras,0)+2,0),""),"")</f>
        <v>7</v>
      </c>
      <c r="AH198" s="155">
        <f>IF(IFERROR(VLOOKUP($C198,Planes_de_estudio[],MATCH($AH$2,Carreras,0)+2,0),"")&gt;0,IFERROR(VLOOKUP($C198,Planes_de_estudio[],MATCH($AH$2,Carreras,0)+2,0),""),"")</f>
        <v>7</v>
      </c>
      <c r="AI198" s="155">
        <f>IF(IFERROR(VLOOKUP($C198,Planes_de_estudio[],MATCH($AI$2,Carreras,0)+2,0),"")&gt;0,IFERROR(VLOOKUP($C198,Planes_de_estudio[],MATCH($AI$2,Carreras,0)+2,0),""),"")</f>
        <v>7</v>
      </c>
      <c r="AJ198" s="155">
        <f>IF(IFERROR(VLOOKUP($C198,Planes_de_estudio[],MATCH($AJ$2,Carreras,0)+2,0),"")&gt;0,IFERROR(VLOOKUP($C198,Planes_de_estudio[],MATCH($AJ$2,Carreras,0)+2,0),""),"")</f>
        <v>7</v>
      </c>
      <c r="AK198" s="155">
        <f>IF(IFERROR(VLOOKUP($C198,Planes_de_estudio[],MATCH($AK$2,Carreras,0)+2,0),"")&gt;0,IFERROR(VLOOKUP($C198,Planes_de_estudio[],MATCH($AK$2,Carreras,0)+2,0),""),"")</f>
        <v>7</v>
      </c>
      <c r="AL19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98" s="155">
        <f>base_de_datos[[#This Row],[Pronóstico]]/25</f>
        <v>3.8</v>
      </c>
      <c r="AO198" s="155" t="str">
        <f>VLOOKUP($C198,Planes_de_estudio[],2)</f>
        <v>HUM</v>
      </c>
      <c r="AP198" s="157">
        <f ca="1">IF(AND(base_de_datos[[#This Row],[Industrial]]&lt;&gt;"",base_de_datos[[#This Row],[Misma o no]]=1),base_de_datos[[#This Row],[Índice]],"")</f>
        <v>4</v>
      </c>
      <c r="AQ198" s="157">
        <f ca="1">IF(AND(base_de_datos[[#This Row],[Mecatrónica]]&lt;&gt;"",base_de_datos[[#This Row],[Misma o no]]=1),base_de_datos[[#This Row],[Índice]],"")</f>
        <v>4</v>
      </c>
      <c r="AR198" s="157">
        <f ca="1">IF(AND(base_de_datos[[#This Row],[Innovación y Diseño]]&lt;&gt;"",base_de_datos[[#This Row],[Misma o no]]=1),base_de_datos[[#This Row],[Índice]],"")</f>
        <v>4</v>
      </c>
      <c r="AS198" s="157">
        <f ca="1">IF(AND(base_de_datos[[#This Row],[Inteligencia Artificial]]&lt;&gt;"",base_de_datos[[#This Row],[Misma o no]]=1),base_de_datos[[#This Row],[Índice]],"")</f>
        <v>4</v>
      </c>
      <c r="AT198" s="157">
        <f ca="1">IF(AND(base_de_datos[[#This Row],[Tecnologías Energéticas]]&lt;&gt;"",base_de_datos[[#This Row],[Misma o no]]=1),base_de_datos[[#This Row],[Índice]],"")</f>
        <v>4</v>
      </c>
      <c r="AU198" s="157">
        <f ca="1">IF(AND(base_de_datos[[#This Row],[Civil y Administración]]&lt;&gt;"",base_de_datos[[#This Row],[Misma o no]]=1),base_de_datos[[#This Row],[Índice]],"")</f>
        <v>4</v>
      </c>
      <c r="AV198" s="157">
        <f ca="1">IF(AND(base_de_datos[[#This Row],[Bioelectrónica]]&lt;&gt;"",base_de_datos[[#This Row],[Misma o no]]=1),base_de_datos[[#This Row],[Índice]],"")</f>
        <v>4</v>
      </c>
      <c r="AW198" s="158"/>
      <c r="AX198" s="231">
        <v>3</v>
      </c>
    </row>
    <row r="199" spans="1:221" ht="15">
      <c r="B199" s="148" t="s">
        <v>404</v>
      </c>
      <c r="C199" s="149" t="s">
        <v>405</v>
      </c>
      <c r="D199" s="150">
        <v>2</v>
      </c>
      <c r="E199" s="151">
        <v>0.79166666666666696</v>
      </c>
      <c r="F199" s="151">
        <v>0.87499999999999001</v>
      </c>
      <c r="G199" s="150"/>
      <c r="H199" s="150" t="s">
        <v>132</v>
      </c>
      <c r="I199" s="150">
        <f>INDEX(Aulas_capacidad,MATCH(base_de_datos[[#This Row],[Aula]],Aulas,0),2)</f>
        <v>30</v>
      </c>
      <c r="J199" s="152">
        <v>24</v>
      </c>
      <c r="K199" s="150">
        <f>INDEX(Aulas_capacidad,MATCH(base_de_datos[[#This Row],[Aula]],Aulas,0),4)</f>
        <v>12</v>
      </c>
      <c r="L199" s="153">
        <f>base_de_datos[[#This Row],[Cap 1.5]]-base_de_datos[[#This Row],[Inscritos]]</f>
        <v>-12</v>
      </c>
      <c r="M199" s="153">
        <f>INDEX(Aulas_capacidad,MATCH(base_de_datos[[#This Row],[Aula]],Aulas,0),5)</f>
        <v>18</v>
      </c>
      <c r="N199" s="153">
        <f>base_de_datos[[#This Row],[Cap .90]]-base_de_datos[[#This Row],[Inscritos]]</f>
        <v>-6</v>
      </c>
      <c r="O199" s="150" t="s">
        <v>406</v>
      </c>
      <c r="P199" s="154" t="s">
        <v>67</v>
      </c>
      <c r="Q199" s="154"/>
      <c r="R199" s="154"/>
      <c r="S199" s="154"/>
      <c r="T199" s="154"/>
      <c r="U199" s="154"/>
      <c r="V199" s="154"/>
      <c r="W199" s="154" t="s">
        <v>1656</v>
      </c>
      <c r="X199" s="155">
        <f>_xlfn.XLOOKUP(base_de_datos[[#This Row],[Materia]],Materias,Horas)/16</f>
        <v>4</v>
      </c>
      <c r="Y199" s="155">
        <f>ROUND(((base_de_datos[[#This Row],[Hora fin]]-base_de_datos[[#This Row],[Hora inicio]])*24)*(COUNTA(base_de_datos[[#This Row],[Lunes]:[Sábado]])),1)</f>
        <v>2</v>
      </c>
      <c r="Z19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9" s="155">
        <f ca="1">IF(base_de_datos[[#This Row],[No clase]]=OFFSET(base_de_datos[[#This Row],[No clase]],-1,0),0,1)</f>
        <v>1</v>
      </c>
      <c r="AB199" s="155">
        <f ca="1">IF(NOT(OR(base_de_datos[[#This Row],[Horas totales]]=base_de_datos[[#This Row],[HT Plan]],base_de_datos[[#This Row],[Horas totales]]="N/A")),1,0)</f>
        <v>0</v>
      </c>
      <c r="AC199" s="155" t="str">
        <f>_xlfn.XLOOKUP(base_de_datos[[#This Row],[Profesor]],Nombre,Grado)</f>
        <v>M</v>
      </c>
      <c r="AD199" s="156" t="str">
        <f>_xlfn.XLOOKUP(base_de_datos[[#This Row],[Profesor]],Nombre,Tipo)</f>
        <v>A</v>
      </c>
      <c r="AE199" s="155" t="str">
        <f>IF(IFERROR(VLOOKUP($C199,Planes_de_estudio[],MATCH($AE$2,Carreras,0)+2,0),"")&gt;0,IFERROR(VLOOKUP($C199,Planes_de_estudio[],MATCH($AE$2,Carreras,0)+2,0),""),"")</f>
        <v/>
      </c>
      <c r="AF199" s="155">
        <f>IF(IFERROR(VLOOKUP($C199,Planes_de_estudio[],MATCH($AF$2,Carreras,0)+2,0),"")&gt;0,IFERROR(VLOOKUP($C199,Planes_de_estudio[],MATCH($AF$2,Carreras,0)+2,0),""),"")</f>
        <v>5</v>
      </c>
      <c r="AG199" s="155">
        <f>IF(IFERROR(VLOOKUP($C199,Planes_de_estudio[],MATCH($AG$2,Carreras,0)+2,0),"")&gt;0,IFERROR(VLOOKUP($C199,Planes_de_estudio[],MATCH($AG$2,Carreras,0)+2,0),""),"")</f>
        <v>6</v>
      </c>
      <c r="AH199" s="155">
        <f>IF(IFERROR(VLOOKUP($C199,Planes_de_estudio[],MATCH($AH$2,Carreras,0)+2,0),"")&gt;0,IFERROR(VLOOKUP($C199,Planes_de_estudio[],MATCH($AH$2,Carreras,0)+2,0),""),"")</f>
        <v>5</v>
      </c>
      <c r="AI199" s="155">
        <f>IF(IFERROR(VLOOKUP($C199,Planes_de_estudio[],MATCH($AI$2,Carreras,0)+2,0),"")&gt;0,IFERROR(VLOOKUP($C199,Planes_de_estudio[],MATCH($AI$2,Carreras,0)+2,0),""),"")</f>
        <v>4</v>
      </c>
      <c r="AJ199" s="155">
        <f>IF(IFERROR(VLOOKUP($C199,Planes_de_estudio[],MATCH($AJ$2,Carreras,0)+2,0),"")&gt;0,IFERROR(VLOOKUP($C199,Planes_de_estudio[],MATCH($AJ$2,Carreras,0)+2,0),""),"")</f>
        <v>4</v>
      </c>
      <c r="AK199" s="155">
        <f>IF(IFERROR(VLOOKUP($C199,Planes_de_estudio[],MATCH($AK$2,Carreras,0)+2,0),"")&gt;0,IFERROR(VLOOKUP($C199,Planes_de_estudio[],MATCH($AK$2,Carreras,0)+2,0),""),"")</f>
        <v>5</v>
      </c>
      <c r="AL19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199" s="155">
        <f>base_de_datos[[#This Row],[Pronóstico]]/25</f>
        <v>2.08</v>
      </c>
      <c r="AO199" s="155" t="str">
        <f>VLOOKUP($C199,Planes_de_estudio[],2)</f>
        <v>MAT</v>
      </c>
      <c r="AP199" s="157" t="str">
        <f ca="1">IF(AND(base_de_datos[[#This Row],[Industrial]]&lt;&gt;"",base_de_datos[[#This Row],[Misma o no]]=1),base_de_datos[[#This Row],[Índice]],"")</f>
        <v/>
      </c>
      <c r="AQ199" s="157">
        <f ca="1">IF(AND(base_de_datos[[#This Row],[Mecatrónica]]&lt;&gt;"",base_de_datos[[#This Row],[Misma o no]]=1),base_de_datos[[#This Row],[Índice]],"")</f>
        <v>4</v>
      </c>
      <c r="AR199" s="157">
        <f ca="1">IF(AND(base_de_datos[[#This Row],[Innovación y Diseño]]&lt;&gt;"",base_de_datos[[#This Row],[Misma o no]]=1),base_de_datos[[#This Row],[Índice]],"")</f>
        <v>4</v>
      </c>
      <c r="AS199" s="157">
        <f ca="1">IF(AND(base_de_datos[[#This Row],[Inteligencia Artificial]]&lt;&gt;"",base_de_datos[[#This Row],[Misma o no]]=1),base_de_datos[[#This Row],[Índice]],"")</f>
        <v>4</v>
      </c>
      <c r="AT199" s="157">
        <f ca="1">IF(AND(base_de_datos[[#This Row],[Tecnologías Energéticas]]&lt;&gt;"",base_de_datos[[#This Row],[Misma o no]]=1),base_de_datos[[#This Row],[Índice]],"")</f>
        <v>4</v>
      </c>
      <c r="AU199" s="157">
        <f ca="1">IF(AND(base_de_datos[[#This Row],[Civil y Administración]]&lt;&gt;"",base_de_datos[[#This Row],[Misma o no]]=1),base_de_datos[[#This Row],[Índice]],"")</f>
        <v>4</v>
      </c>
      <c r="AV199" s="157">
        <f ca="1">IF(AND(base_de_datos[[#This Row],[Bioelectrónica]]&lt;&gt;"",base_de_datos[[#This Row],[Misma o no]]=1),base_de_datos[[#This Row],[Índice]],"")</f>
        <v>4</v>
      </c>
      <c r="AW199" s="158"/>
      <c r="AX199" s="231">
        <v>2</v>
      </c>
    </row>
    <row r="200" spans="1:221" ht="15">
      <c r="B200" s="148" t="s">
        <v>404</v>
      </c>
      <c r="C200" s="149" t="s">
        <v>405</v>
      </c>
      <c r="D200" s="150">
        <v>2</v>
      </c>
      <c r="E200" s="151">
        <v>0.79166666666666696</v>
      </c>
      <c r="F200" s="151">
        <v>0.87499999999999001</v>
      </c>
      <c r="G200" s="150"/>
      <c r="H200" s="150" t="s">
        <v>325</v>
      </c>
      <c r="I200" s="150">
        <f>INDEX(Aulas_capacidad,MATCH(base_de_datos[[#This Row],[Aula]],Aulas,0),2)</f>
        <v>30</v>
      </c>
      <c r="J200" s="152">
        <v>24</v>
      </c>
      <c r="K200" s="150">
        <f>INDEX(Aulas_capacidad,MATCH(base_de_datos[[#This Row],[Aula]],Aulas,0),4)</f>
        <v>12</v>
      </c>
      <c r="L200" s="153">
        <f>base_de_datos[[#This Row],[Cap 1.5]]-base_de_datos[[#This Row],[Inscritos]]</f>
        <v>-12</v>
      </c>
      <c r="M200" s="153">
        <f>INDEX(Aulas_capacidad,MATCH(base_de_datos[[#This Row],[Aula]],Aulas,0),5)</f>
        <v>18</v>
      </c>
      <c r="N200" s="153">
        <f>base_de_datos[[#This Row],[Cap .90]]-base_de_datos[[#This Row],[Inscritos]]</f>
        <v>-6</v>
      </c>
      <c r="O200" s="150" t="s">
        <v>406</v>
      </c>
      <c r="P200" s="154"/>
      <c r="Q200" s="154"/>
      <c r="R200" s="154"/>
      <c r="S200" s="154" t="s">
        <v>67</v>
      </c>
      <c r="T200" s="154"/>
      <c r="U200" s="154"/>
      <c r="V200" s="154"/>
      <c r="W200" s="154" t="s">
        <v>1656</v>
      </c>
      <c r="X200" s="155">
        <f>_xlfn.XLOOKUP(base_de_datos[[#This Row],[Materia]],Materias,Horas)/16</f>
        <v>4</v>
      </c>
      <c r="Y200" s="155">
        <f>ROUND(((base_de_datos[[#This Row],[Hora fin]]-base_de_datos[[#This Row],[Hora inicio]])*24)*(COUNTA(base_de_datos[[#This Row],[Lunes]:[Sábado]])),1)</f>
        <v>2</v>
      </c>
      <c r="Z20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0" s="155">
        <f ca="1">IF(base_de_datos[[#This Row],[No clase]]=OFFSET(base_de_datos[[#This Row],[No clase]],-1,0),0,1)</f>
        <v>0</v>
      </c>
      <c r="AB200" s="155">
        <f ca="1">IF(NOT(OR(base_de_datos[[#This Row],[Horas totales]]=base_de_datos[[#This Row],[HT Plan]],base_de_datos[[#This Row],[Horas totales]]="N/A")),1,0)</f>
        <v>0</v>
      </c>
      <c r="AC200" s="155" t="str">
        <f>_xlfn.XLOOKUP(base_de_datos[[#This Row],[Profesor]],Nombre,Grado)</f>
        <v>M</v>
      </c>
      <c r="AD200" s="156" t="str">
        <f>_xlfn.XLOOKUP(base_de_datos[[#This Row],[Profesor]],Nombre,Tipo)</f>
        <v>A</v>
      </c>
      <c r="AE200" s="155" t="str">
        <f>IF(IFERROR(VLOOKUP($C200,Planes_de_estudio[],MATCH($AE$2,Carreras,0)+2,0),"")&gt;0,IFERROR(VLOOKUP($C200,Planes_de_estudio[],MATCH($AE$2,Carreras,0)+2,0),""),"")</f>
        <v/>
      </c>
      <c r="AF200" s="155">
        <f>IF(IFERROR(VLOOKUP($C200,Planes_de_estudio[],MATCH($AF$2,Carreras,0)+2,0),"")&gt;0,IFERROR(VLOOKUP($C200,Planes_de_estudio[],MATCH($AF$2,Carreras,0)+2,0),""),"")</f>
        <v>5</v>
      </c>
      <c r="AG200" s="155">
        <f>IF(IFERROR(VLOOKUP($C200,Planes_de_estudio[],MATCH($AG$2,Carreras,0)+2,0),"")&gt;0,IFERROR(VLOOKUP($C200,Planes_de_estudio[],MATCH($AG$2,Carreras,0)+2,0),""),"")</f>
        <v>6</v>
      </c>
      <c r="AH200" s="155">
        <f>IF(IFERROR(VLOOKUP($C200,Planes_de_estudio[],MATCH($AH$2,Carreras,0)+2,0),"")&gt;0,IFERROR(VLOOKUP($C200,Planes_de_estudio[],MATCH($AH$2,Carreras,0)+2,0),""),"")</f>
        <v>5</v>
      </c>
      <c r="AI200" s="155">
        <f>IF(IFERROR(VLOOKUP($C200,Planes_de_estudio[],MATCH($AI$2,Carreras,0)+2,0),"")&gt;0,IFERROR(VLOOKUP($C200,Planes_de_estudio[],MATCH($AI$2,Carreras,0)+2,0),""),"")</f>
        <v>4</v>
      </c>
      <c r="AJ200" s="155">
        <f>IF(IFERROR(VLOOKUP($C200,Planes_de_estudio[],MATCH($AJ$2,Carreras,0)+2,0),"")&gt;0,IFERROR(VLOOKUP($C200,Planes_de_estudio[],MATCH($AJ$2,Carreras,0)+2,0),""),"")</f>
        <v>4</v>
      </c>
      <c r="AK200" s="155">
        <f>IF(IFERROR(VLOOKUP($C200,Planes_de_estudio[],MATCH($AK$2,Carreras,0)+2,0),"")&gt;0,IFERROR(VLOOKUP($C200,Planes_de_estudio[],MATCH($AK$2,Carreras,0)+2,0),""),"")</f>
        <v>5</v>
      </c>
      <c r="AL20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200" s="155">
        <f>base_de_datos[[#This Row],[Pronóstico]]/25</f>
        <v>2.08</v>
      </c>
      <c r="AO200" s="155" t="str">
        <f>VLOOKUP($C200,Planes_de_estudio[],2)</f>
        <v>MAT</v>
      </c>
      <c r="AP200" s="157" t="str">
        <f ca="1">IF(AND(base_de_datos[[#This Row],[Industrial]]&lt;&gt;"",base_de_datos[[#This Row],[Misma o no]]=1),base_de_datos[[#This Row],[Índice]],"")</f>
        <v/>
      </c>
      <c r="AQ200" s="157" t="str">
        <f ca="1">IF(AND(base_de_datos[[#This Row],[Mecatrónica]]&lt;&gt;"",base_de_datos[[#This Row],[Misma o no]]=1),base_de_datos[[#This Row],[Índice]],"")</f>
        <v/>
      </c>
      <c r="AR200" s="157" t="str">
        <f ca="1">IF(AND(base_de_datos[[#This Row],[Innovación y Diseño]]&lt;&gt;"",base_de_datos[[#This Row],[Misma o no]]=1),base_de_datos[[#This Row],[Índice]],"")</f>
        <v/>
      </c>
      <c r="AS200" s="157" t="str">
        <f ca="1">IF(AND(base_de_datos[[#This Row],[Inteligencia Artificial]]&lt;&gt;"",base_de_datos[[#This Row],[Misma o no]]=1),base_de_datos[[#This Row],[Índice]],"")</f>
        <v/>
      </c>
      <c r="AT200" s="157" t="str">
        <f ca="1">IF(AND(base_de_datos[[#This Row],[Tecnologías Energéticas]]&lt;&gt;"",base_de_datos[[#This Row],[Misma o no]]=1),base_de_datos[[#This Row],[Índice]],"")</f>
        <v/>
      </c>
      <c r="AU200" s="157" t="str">
        <f ca="1">IF(AND(base_de_datos[[#This Row],[Civil y Administración]]&lt;&gt;"",base_de_datos[[#This Row],[Misma o no]]=1),base_de_datos[[#This Row],[Índice]],"")</f>
        <v/>
      </c>
      <c r="AV200" s="157" t="str">
        <f ca="1">IF(AND(base_de_datos[[#This Row],[Bioelectrónica]]&lt;&gt;"",base_de_datos[[#This Row],[Misma o no]]=1),base_de_datos[[#This Row],[Índice]],"")</f>
        <v/>
      </c>
      <c r="AW200" s="158"/>
      <c r="AX200" s="231">
        <v>2</v>
      </c>
    </row>
    <row r="201" spans="1:221" s="164" customFormat="1" ht="15">
      <c r="A201" s="85"/>
      <c r="B201" s="148" t="s">
        <v>407</v>
      </c>
      <c r="C201" s="149" t="s">
        <v>319</v>
      </c>
      <c r="D201" s="150">
        <v>1</v>
      </c>
      <c r="E201" s="151">
        <v>0.5</v>
      </c>
      <c r="F201" s="151">
        <v>0.58333333333332904</v>
      </c>
      <c r="G201" s="218" t="s">
        <v>65</v>
      </c>
      <c r="H201" s="150" t="s">
        <v>132</v>
      </c>
      <c r="I201" s="150">
        <f>INDEX(Aulas_capacidad,MATCH(base_de_datos[[#This Row],[Aula]],Aulas,0),2)</f>
        <v>30</v>
      </c>
      <c r="J201" s="212">
        <v>26</v>
      </c>
      <c r="K201" s="150">
        <f>INDEX(Aulas_capacidad,MATCH(base_de_datos[[#This Row],[Aula]],Aulas,0),4)</f>
        <v>12</v>
      </c>
      <c r="L201" s="153">
        <f>base_de_datos[[#This Row],[Cap 1.5]]-base_de_datos[[#This Row],[Inscritos]]</f>
        <v>-14</v>
      </c>
      <c r="M201" s="153">
        <f>INDEX(Aulas_capacidad,MATCH(base_de_datos[[#This Row],[Aula]],Aulas,0),5)</f>
        <v>18</v>
      </c>
      <c r="N201" s="153">
        <f>base_de_datos[[#This Row],[Cap .90]]-base_de_datos[[#This Row],[Inscritos]]</f>
        <v>-8</v>
      </c>
      <c r="O201" s="150" t="s">
        <v>408</v>
      </c>
      <c r="P201" s="154"/>
      <c r="Q201" s="154" t="s">
        <v>67</v>
      </c>
      <c r="R201" s="154"/>
      <c r="S201" s="154" t="s">
        <v>67</v>
      </c>
      <c r="T201" s="154"/>
      <c r="U201" s="154"/>
      <c r="V201" s="154"/>
      <c r="W201" s="154" t="s">
        <v>1656</v>
      </c>
      <c r="X201" s="155">
        <f>_xlfn.XLOOKUP(base_de_datos[[#This Row],[Materia]],Materias,Horas)/16</f>
        <v>4</v>
      </c>
      <c r="Y201" s="155">
        <f>ROUND(((base_de_datos[[#This Row],[Hora fin]]-base_de_datos[[#This Row],[Hora inicio]])*24)*(COUNTA(base_de_datos[[#This Row],[Lunes]:[Sábado]])),1)</f>
        <v>4</v>
      </c>
      <c r="Z20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1" s="155">
        <f ca="1">IF(base_de_datos[[#This Row],[No clase]]=OFFSET(base_de_datos[[#This Row],[No clase]],-1,0),0,1)</f>
        <v>1</v>
      </c>
      <c r="AB201" s="155">
        <f ca="1">IF(NOT(OR(base_de_datos[[#This Row],[Horas totales]]=base_de_datos[[#This Row],[HT Plan]],base_de_datos[[#This Row],[Horas totales]]="N/A")),1,0)</f>
        <v>0</v>
      </c>
      <c r="AC201" s="155" t="str">
        <f>_xlfn.XLOOKUP(base_de_datos[[#This Row],[Profesor]],Nombre,Grado)</f>
        <v>D</v>
      </c>
      <c r="AD201" s="156" t="str">
        <f>_xlfn.XLOOKUP(base_de_datos[[#This Row],[Profesor]],Nombre,Tipo)</f>
        <v>TC</v>
      </c>
      <c r="AE201" s="155">
        <f>IF(IFERROR(VLOOKUP($C201,Planes_de_estudio[],MATCH($AE$2,Carreras,0)+2,0),"")&gt;0,IFERROR(VLOOKUP($C201,Planes_de_estudio[],MATCH($AE$2,Carreras,0)+2,0),""),"")</f>
        <v>1</v>
      </c>
      <c r="AF201" s="155">
        <f>IF(IFERROR(VLOOKUP($C201,Planes_de_estudio[],MATCH($AF$2,Carreras,0)+2,0),"")&gt;0,IFERROR(VLOOKUP($C201,Planes_de_estudio[],MATCH($AF$2,Carreras,0)+2,0),""),"")</f>
        <v>1</v>
      </c>
      <c r="AG201" s="155">
        <f>IF(IFERROR(VLOOKUP($C201,Planes_de_estudio[],MATCH($AG$2,Carreras,0)+2,0),"")&gt;0,IFERROR(VLOOKUP($C201,Planes_de_estudio[],MATCH($AG$2,Carreras,0)+2,0),""),"")</f>
        <v>2</v>
      </c>
      <c r="AH201" s="155">
        <f>IF(IFERROR(VLOOKUP($C201,Planes_de_estudio[],MATCH($AH$2,Carreras,0)+2,0),"")&gt;0,IFERROR(VLOOKUP($C201,Planes_de_estudio[],MATCH($AH$2,Carreras,0)+2,0),""),"")</f>
        <v>1</v>
      </c>
      <c r="AI201" s="155">
        <f>IF(IFERROR(VLOOKUP($C201,Planes_de_estudio[],MATCH($AI$2,Carreras,0)+2,0),"")&gt;0,IFERROR(VLOOKUP($C201,Planes_de_estudio[],MATCH($AI$2,Carreras,0)+2,0),""),"")</f>
        <v>1</v>
      </c>
      <c r="AJ201" s="155" t="str">
        <f>IF(IFERROR(VLOOKUP($C201,Planes_de_estudio[],MATCH($AJ$2,Carreras,0)+2,0),"")&gt;0,IFERROR(VLOOKUP($C201,Planes_de_estudio[],MATCH($AJ$2,Carreras,0)+2,0),""),"")</f>
        <v/>
      </c>
      <c r="AK201" s="155">
        <f>IF(IFERROR(VLOOKUP($C201,Planes_de_estudio[],MATCH($AK$2,Carreras,0)+2,0),"")&gt;0,IFERROR(VLOOKUP($C201,Planes_de_estudio[],MATCH($AK$2,Carreras,0)+2,0),""),"")</f>
        <v>1</v>
      </c>
      <c r="AL20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80</v>
      </c>
      <c r="AN201" s="155">
        <f>base_de_datos[[#This Row],[Pronóstico]]/25</f>
        <v>3.2</v>
      </c>
      <c r="AO201" s="155" t="str">
        <f>VLOOKUP($C201,Planes_de_estudio[],2)</f>
        <v>ETF</v>
      </c>
      <c r="AP201" s="157">
        <f ca="1">IF(AND(base_de_datos[[#This Row],[Industrial]]&lt;&gt;"",base_de_datos[[#This Row],[Misma o no]]=1),base_de_datos[[#This Row],[Índice]],"")</f>
        <v>6</v>
      </c>
      <c r="AQ201" s="157">
        <f ca="1">IF(AND(base_de_datos[[#This Row],[Mecatrónica]]&lt;&gt;"",base_de_datos[[#This Row],[Misma o no]]=1),base_de_datos[[#This Row],[Índice]],"")</f>
        <v>6</v>
      </c>
      <c r="AR201" s="157">
        <f ca="1">IF(AND(base_de_datos[[#This Row],[Innovación y Diseño]]&lt;&gt;"",base_de_datos[[#This Row],[Misma o no]]=1),base_de_datos[[#This Row],[Índice]],"")</f>
        <v>6</v>
      </c>
      <c r="AS201" s="157">
        <f ca="1">IF(AND(base_de_datos[[#This Row],[Inteligencia Artificial]]&lt;&gt;"",base_de_datos[[#This Row],[Misma o no]]=1),base_de_datos[[#This Row],[Índice]],"")</f>
        <v>6</v>
      </c>
      <c r="AT201" s="157">
        <f ca="1">IF(AND(base_de_datos[[#This Row],[Tecnologías Energéticas]]&lt;&gt;"",base_de_datos[[#This Row],[Misma o no]]=1),base_de_datos[[#This Row],[Índice]],"")</f>
        <v>6</v>
      </c>
      <c r="AU201" s="157" t="str">
        <f ca="1">IF(AND(base_de_datos[[#This Row],[Civil y Administración]]&lt;&gt;"",base_de_datos[[#This Row],[Misma o no]]=1),base_de_datos[[#This Row],[Índice]],"")</f>
        <v/>
      </c>
      <c r="AV201" s="157">
        <f ca="1">IF(AND(base_de_datos[[#This Row],[Bioelectrónica]]&lt;&gt;"",base_de_datos[[#This Row],[Misma o no]]=1),base_de_datos[[#This Row],[Índice]],"")</f>
        <v>6</v>
      </c>
      <c r="AW201" s="158"/>
      <c r="AX201" s="231">
        <v>3</v>
      </c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  <c r="DY201" s="85"/>
      <c r="DZ201" s="85"/>
      <c r="EA201" s="85"/>
      <c r="EB201" s="85"/>
      <c r="EC201" s="85"/>
      <c r="ED201" s="85"/>
      <c r="EE201" s="85"/>
      <c r="EF201" s="85"/>
      <c r="EG201" s="85"/>
      <c r="EH201" s="85"/>
      <c r="EI201" s="85"/>
      <c r="EJ201" s="85"/>
      <c r="EK201" s="85"/>
      <c r="EL201" s="85"/>
      <c r="EM201" s="85"/>
      <c r="EN201" s="85"/>
      <c r="EO201" s="85"/>
      <c r="EP201" s="85"/>
      <c r="EQ201" s="85"/>
      <c r="ER201" s="85"/>
      <c r="ES201" s="85"/>
      <c r="ET201" s="85"/>
      <c r="EU201" s="85"/>
      <c r="EV201" s="85"/>
      <c r="EW201" s="85"/>
      <c r="EX201" s="85"/>
      <c r="EY201" s="85"/>
      <c r="EZ201" s="85"/>
      <c r="FA201" s="85"/>
      <c r="FB201" s="85"/>
      <c r="FC201" s="85"/>
      <c r="FD201" s="85"/>
      <c r="FE201" s="85"/>
      <c r="FF201" s="85"/>
      <c r="FG201" s="85"/>
      <c r="FH201" s="85"/>
      <c r="FI201" s="85"/>
      <c r="FJ201" s="85"/>
      <c r="FK201" s="85"/>
      <c r="FL201" s="85"/>
      <c r="FM201" s="85"/>
      <c r="FN201" s="85"/>
      <c r="FO201" s="85"/>
      <c r="FP201" s="85"/>
      <c r="FQ201" s="85"/>
      <c r="FR201" s="85"/>
      <c r="FS201" s="85"/>
      <c r="FT201" s="85"/>
      <c r="FU201" s="85"/>
      <c r="FV201" s="85"/>
      <c r="FW201" s="85"/>
      <c r="FX201" s="85"/>
      <c r="FY201" s="85"/>
      <c r="FZ201" s="85"/>
      <c r="GA201" s="85"/>
      <c r="GB201" s="85"/>
      <c r="GC201" s="85"/>
      <c r="GD201" s="85"/>
      <c r="GE201" s="85"/>
      <c r="GF201" s="85"/>
      <c r="GG201" s="85"/>
      <c r="GH201" s="85"/>
      <c r="GI201" s="85"/>
      <c r="GJ201" s="85"/>
      <c r="GK201" s="85"/>
      <c r="GL201" s="85"/>
      <c r="GM201" s="85"/>
      <c r="GN201" s="85"/>
      <c r="GO201" s="85"/>
      <c r="GP201" s="85"/>
      <c r="GQ201" s="85"/>
      <c r="GR201" s="85"/>
      <c r="GS201" s="85"/>
      <c r="GT201" s="85"/>
      <c r="GU201" s="85"/>
      <c r="GV201" s="85"/>
      <c r="GW201" s="85"/>
      <c r="GX201" s="85"/>
      <c r="GY201" s="85"/>
      <c r="GZ201" s="85"/>
      <c r="HA201" s="85"/>
      <c r="HB201" s="85"/>
      <c r="HC201" s="85"/>
      <c r="HD201" s="85"/>
      <c r="HE201" s="85"/>
      <c r="HF201" s="85"/>
      <c r="HG201" s="85"/>
      <c r="HH201" s="85"/>
      <c r="HI201" s="85"/>
      <c r="HJ201" s="85"/>
      <c r="HK201" s="85"/>
      <c r="HL201" s="85"/>
      <c r="HM201" s="85"/>
    </row>
    <row r="202" spans="1:221" s="164" customFormat="1" ht="15">
      <c r="A202" s="85"/>
      <c r="B202" s="148" t="s">
        <v>409</v>
      </c>
      <c r="C202" s="149" t="s">
        <v>410</v>
      </c>
      <c r="D202" s="150">
        <v>1</v>
      </c>
      <c r="E202" s="151">
        <v>0.70833333333333304</v>
      </c>
      <c r="F202" s="151">
        <v>0.79166666666665897</v>
      </c>
      <c r="G202" s="150"/>
      <c r="H202" s="150" t="s">
        <v>225</v>
      </c>
      <c r="I202" s="150">
        <f>INDEX(Aulas_capacidad,MATCH(base_de_datos[[#This Row],[Aula]],Aulas,0),2)</f>
        <v>36</v>
      </c>
      <c r="J202" s="152">
        <v>19</v>
      </c>
      <c r="K202" s="150">
        <f>INDEX(Aulas_capacidad,MATCH(base_de_datos[[#This Row],[Aula]],Aulas,0),4)</f>
        <v>18</v>
      </c>
      <c r="L202" s="153">
        <f>base_de_datos[[#This Row],[Cap 1.5]]-base_de_datos[[#This Row],[Inscritos]]</f>
        <v>-1</v>
      </c>
      <c r="M202" s="153">
        <f>INDEX(Aulas_capacidad,MATCH(base_de_datos[[#This Row],[Aula]],Aulas,0),5)</f>
        <v>18</v>
      </c>
      <c r="N202" s="153">
        <f>base_de_datos[[#This Row],[Cap .90]]-base_de_datos[[#This Row],[Inscritos]]</f>
        <v>-1</v>
      </c>
      <c r="O202" s="150" t="s">
        <v>411</v>
      </c>
      <c r="P202" s="154" t="s">
        <v>67</v>
      </c>
      <c r="Q202" s="154"/>
      <c r="R202" s="154"/>
      <c r="S202" s="154"/>
      <c r="T202" s="154" t="s">
        <v>67</v>
      </c>
      <c r="U202" s="154"/>
      <c r="V202" s="154" t="s">
        <v>67</v>
      </c>
      <c r="W202" s="154" t="s">
        <v>1652</v>
      </c>
      <c r="X202" s="155">
        <f>_xlfn.XLOOKUP(base_de_datos[[#This Row],[Materia]],Materias,Horas)/16</f>
        <v>4</v>
      </c>
      <c r="Y202" s="155">
        <f>ROUND(((base_de_datos[[#This Row],[Hora fin]]-base_de_datos[[#This Row],[Hora inicio]])*24)*(COUNTA(base_de_datos[[#This Row],[Lunes]:[Sábado]])),1)</f>
        <v>4</v>
      </c>
      <c r="Z20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2" s="155">
        <f ca="1">IF(base_de_datos[[#This Row],[No clase]]=OFFSET(base_de_datos[[#This Row],[No clase]],-1,0),0,1)</f>
        <v>1</v>
      </c>
      <c r="AB202" s="155">
        <f ca="1">IF(NOT(OR(base_de_datos[[#This Row],[Horas totales]]=base_de_datos[[#This Row],[HT Plan]],base_de_datos[[#This Row],[Horas totales]]="N/A")),1,0)</f>
        <v>0</v>
      </c>
      <c r="AC202" s="155" t="str">
        <f>_xlfn.XLOOKUP(base_de_datos[[#This Row],[Profesor]],Nombre,Grado)</f>
        <v>SNI</v>
      </c>
      <c r="AD202" s="156" t="str">
        <f>_xlfn.XLOOKUP(base_de_datos[[#This Row],[Profesor]],Nombre,Tipo)</f>
        <v>OA</v>
      </c>
      <c r="AE202" s="155" t="str">
        <f>IF(IFERROR(VLOOKUP($C202,Planes_de_estudio[],MATCH($AE$2,Carreras,0)+2,0),"")&gt;0,IFERROR(VLOOKUP($C202,Planes_de_estudio[],MATCH($AE$2,Carreras,0)+2,0),""),"")</f>
        <v/>
      </c>
      <c r="AF202" s="155">
        <f>IF(IFERROR(VLOOKUP($C202,Planes_de_estudio[],MATCH($AF$2,Carreras,0)+2,0),"")&gt;0,IFERROR(VLOOKUP($C202,Planes_de_estudio[],MATCH($AF$2,Carreras,0)+2,0),""),"")</f>
        <v>7</v>
      </c>
      <c r="AG202" s="155" t="str">
        <f>IF(IFERROR(VLOOKUP($C202,Planes_de_estudio[],MATCH($AG$2,Carreras,0)+2,0),"")&gt;0,IFERROR(VLOOKUP($C202,Planes_de_estudio[],MATCH($AG$2,Carreras,0)+2,0),""),"")</f>
        <v/>
      </c>
      <c r="AH202" s="155" t="str">
        <f>IF(IFERROR(VLOOKUP($C202,Planes_de_estudio[],MATCH($AH$2,Carreras,0)+2,0),"")&gt;0,IFERROR(VLOOKUP($C202,Planes_de_estudio[],MATCH($AH$2,Carreras,0)+2,0),""),"")</f>
        <v/>
      </c>
      <c r="AI202" s="155" t="str">
        <f>IF(IFERROR(VLOOKUP($C202,Planes_de_estudio[],MATCH($AI$2,Carreras,0)+2,0),"")&gt;0,IFERROR(VLOOKUP($C202,Planes_de_estudio[],MATCH($AI$2,Carreras,0)+2,0),""),"")</f>
        <v/>
      </c>
      <c r="AJ202" s="155" t="str">
        <f>IF(IFERROR(VLOOKUP($C202,Planes_de_estudio[],MATCH($AJ$2,Carreras,0)+2,0),"")&gt;0,IFERROR(VLOOKUP($C202,Planes_de_estudio[],MATCH($AJ$2,Carreras,0)+2,0),""),"")</f>
        <v/>
      </c>
      <c r="AK202" s="155">
        <f>IF(IFERROR(VLOOKUP($C202,Planes_de_estudio[],MATCH($AK$2,Carreras,0)+2,0),"")&gt;0,IFERROR(VLOOKUP($C202,Planes_de_estudio[],MATCH($AK$2,Carreras,0)+2,0),""),"")</f>
        <v>7</v>
      </c>
      <c r="AL20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202" s="155">
        <f>base_de_datos[[#This Row],[Pronóstico]]/25</f>
        <v>0.88</v>
      </c>
      <c r="AO202" s="155" t="str">
        <f>VLOOKUP($C202,Planes_de_estudio[],2)</f>
        <v>EEC</v>
      </c>
      <c r="AP202" s="157" t="str">
        <f ca="1">IF(AND(base_de_datos[[#This Row],[Industrial]]&lt;&gt;"",base_de_datos[[#This Row],[Misma o no]]=1),base_de_datos[[#This Row],[Índice]],"")</f>
        <v/>
      </c>
      <c r="AQ202" s="157">
        <f ca="1">IF(AND(base_de_datos[[#This Row],[Mecatrónica]]&lt;&gt;"",base_de_datos[[#This Row],[Misma o no]]=1),base_de_datos[[#This Row],[Índice]],"")</f>
        <v>6</v>
      </c>
      <c r="AR202" s="157" t="str">
        <f ca="1">IF(AND(base_de_datos[[#This Row],[Innovación y Diseño]]&lt;&gt;"",base_de_datos[[#This Row],[Misma o no]]=1),base_de_datos[[#This Row],[Índice]],"")</f>
        <v/>
      </c>
      <c r="AS202" s="157" t="str">
        <f ca="1">IF(AND(base_de_datos[[#This Row],[Inteligencia Artificial]]&lt;&gt;"",base_de_datos[[#This Row],[Misma o no]]=1),base_de_datos[[#This Row],[Índice]],"")</f>
        <v/>
      </c>
      <c r="AT202" s="157" t="str">
        <f ca="1">IF(AND(base_de_datos[[#This Row],[Tecnologías Energéticas]]&lt;&gt;"",base_de_datos[[#This Row],[Misma o no]]=1),base_de_datos[[#This Row],[Índice]],"")</f>
        <v/>
      </c>
      <c r="AU202" s="157" t="str">
        <f ca="1">IF(AND(base_de_datos[[#This Row],[Civil y Administración]]&lt;&gt;"",base_de_datos[[#This Row],[Misma o no]]=1),base_de_datos[[#This Row],[Índice]],"")</f>
        <v/>
      </c>
      <c r="AV202" s="157">
        <f ca="1">IF(AND(base_de_datos[[#This Row],[Bioelectrónica]]&lt;&gt;"",base_de_datos[[#This Row],[Misma o no]]=1),base_de_datos[[#This Row],[Índice]],"")</f>
        <v>6</v>
      </c>
      <c r="AW202" s="158"/>
      <c r="AX202" s="231">
        <v>3</v>
      </c>
      <c r="AY202" s="85"/>
      <c r="AZ202" s="85"/>
      <c r="BA202" s="85"/>
      <c r="BB202" s="85"/>
      <c r="BC202" s="85"/>
      <c r="BD202" s="85"/>
      <c r="BE202" s="85"/>
      <c r="BF202" s="85"/>
      <c r="BG202" s="85"/>
      <c r="BH202" s="85"/>
      <c r="BI202" s="85"/>
      <c r="BJ202" s="85"/>
      <c r="BK202" s="85"/>
      <c r="BL202" s="85"/>
      <c r="BM202" s="85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  <c r="DF202" s="85"/>
      <c r="DG202" s="85"/>
      <c r="DH202" s="85"/>
      <c r="DI202" s="85"/>
      <c r="DJ202" s="85"/>
      <c r="DK202" s="85"/>
      <c r="DL202" s="85"/>
      <c r="DM202" s="85"/>
      <c r="DN202" s="85"/>
      <c r="DO202" s="85"/>
      <c r="DP202" s="85"/>
      <c r="DQ202" s="85"/>
      <c r="DR202" s="85"/>
      <c r="DS202" s="85"/>
      <c r="DT202" s="85"/>
      <c r="DU202" s="85"/>
      <c r="DV202" s="85"/>
      <c r="DW202" s="85"/>
      <c r="DX202" s="85"/>
      <c r="DY202" s="85"/>
      <c r="DZ202" s="85"/>
      <c r="EA202" s="85"/>
      <c r="EB202" s="85"/>
      <c r="EC202" s="85"/>
      <c r="ED202" s="85"/>
      <c r="EE202" s="85"/>
      <c r="EF202" s="85"/>
      <c r="EG202" s="85"/>
      <c r="EH202" s="85"/>
      <c r="EI202" s="85"/>
      <c r="EJ202" s="85"/>
      <c r="EK202" s="85"/>
      <c r="EL202" s="85"/>
      <c r="EM202" s="85"/>
      <c r="EN202" s="85"/>
      <c r="EO202" s="85"/>
      <c r="EP202" s="85"/>
      <c r="EQ202" s="85"/>
      <c r="ER202" s="85"/>
      <c r="ES202" s="85"/>
      <c r="ET202" s="85"/>
      <c r="EU202" s="85"/>
      <c r="EV202" s="85"/>
      <c r="EW202" s="85"/>
      <c r="EX202" s="85"/>
      <c r="EY202" s="85"/>
      <c r="EZ202" s="85"/>
      <c r="FA202" s="85"/>
      <c r="FB202" s="85"/>
      <c r="FC202" s="85"/>
      <c r="FD202" s="85"/>
      <c r="FE202" s="85"/>
      <c r="FF202" s="85"/>
      <c r="FG202" s="85"/>
      <c r="FH202" s="85"/>
      <c r="FI202" s="85"/>
      <c r="FJ202" s="85"/>
      <c r="FK202" s="85"/>
      <c r="FL202" s="85"/>
      <c r="FM202" s="85"/>
      <c r="FN202" s="85"/>
      <c r="FO202" s="85"/>
      <c r="FP202" s="85"/>
      <c r="FQ202" s="85"/>
      <c r="FR202" s="85"/>
      <c r="FS202" s="85"/>
      <c r="FT202" s="85"/>
      <c r="FU202" s="85"/>
      <c r="FV202" s="85"/>
      <c r="FW202" s="85"/>
      <c r="FX202" s="85"/>
      <c r="FY202" s="85"/>
      <c r="FZ202" s="85"/>
      <c r="GA202" s="85"/>
      <c r="GB202" s="85"/>
      <c r="GC202" s="85"/>
      <c r="GD202" s="85"/>
      <c r="GE202" s="85"/>
      <c r="GF202" s="85"/>
      <c r="GG202" s="85"/>
      <c r="GH202" s="85"/>
      <c r="GI202" s="85"/>
      <c r="GJ202" s="85"/>
      <c r="GK202" s="85"/>
      <c r="GL202" s="85"/>
      <c r="GM202" s="85"/>
      <c r="GN202" s="85"/>
      <c r="GO202" s="85"/>
      <c r="GP202" s="85"/>
      <c r="GQ202" s="85"/>
      <c r="GR202" s="85"/>
      <c r="GS202" s="85"/>
      <c r="GT202" s="85"/>
      <c r="GU202" s="85"/>
      <c r="GV202" s="85"/>
      <c r="GW202" s="85"/>
      <c r="GX202" s="85"/>
      <c r="GY202" s="85"/>
      <c r="GZ202" s="85"/>
      <c r="HA202" s="85"/>
      <c r="HB202" s="85"/>
      <c r="HC202" s="85"/>
      <c r="HD202" s="85"/>
      <c r="HE202" s="85"/>
      <c r="HF202" s="85"/>
      <c r="HG202" s="85"/>
      <c r="HH202" s="85"/>
      <c r="HI202" s="85"/>
      <c r="HJ202" s="85"/>
      <c r="HK202" s="85"/>
      <c r="HL202" s="85"/>
      <c r="HM202" s="85"/>
    </row>
    <row r="203" spans="1:221" s="164" customFormat="1" ht="15">
      <c r="A203" s="85"/>
      <c r="B203" s="148" t="s">
        <v>412</v>
      </c>
      <c r="C203" s="149" t="s">
        <v>342</v>
      </c>
      <c r="D203" s="150">
        <v>4</v>
      </c>
      <c r="E203" s="151">
        <v>0.70833333333333304</v>
      </c>
      <c r="F203" s="151">
        <v>0.79166666666665897</v>
      </c>
      <c r="G203" s="150"/>
      <c r="H203" s="150" t="s">
        <v>178</v>
      </c>
      <c r="I203" s="150">
        <f>INDEX(Aulas_capacidad,MATCH(base_de_datos[[#This Row],[Aula]],Aulas,0),2)</f>
        <v>24</v>
      </c>
      <c r="J203" s="152">
        <v>13</v>
      </c>
      <c r="K203" s="150">
        <f>INDEX(Aulas_capacidad,MATCH(base_de_datos[[#This Row],[Aula]],Aulas,0),4)</f>
        <v>12</v>
      </c>
      <c r="L203" s="153">
        <f>base_de_datos[[#This Row],[Cap 1.5]]-base_de_datos[[#This Row],[Inscritos]]</f>
        <v>-1</v>
      </c>
      <c r="M203" s="153">
        <f>INDEX(Aulas_capacidad,MATCH(base_de_datos[[#This Row],[Aula]],Aulas,0),5)</f>
        <v>12</v>
      </c>
      <c r="N203" s="153">
        <f>base_de_datos[[#This Row],[Cap .90]]-base_de_datos[[#This Row],[Inscritos]]</f>
        <v>-1</v>
      </c>
      <c r="O203" s="150" t="s">
        <v>413</v>
      </c>
      <c r="P203" s="154"/>
      <c r="Q203" s="154" t="s">
        <v>67</v>
      </c>
      <c r="R203" s="154"/>
      <c r="S203" s="154"/>
      <c r="T203" s="154"/>
      <c r="U203" s="154"/>
      <c r="V203" s="154"/>
      <c r="W203" s="154" t="s">
        <v>1651</v>
      </c>
      <c r="X203" s="155">
        <f>_xlfn.XLOOKUP(base_de_datos[[#This Row],[Materia]],Materias,Horas)/16</f>
        <v>4</v>
      </c>
      <c r="Y203" s="155">
        <f>ROUND(((base_de_datos[[#This Row],[Hora fin]]-base_de_datos[[#This Row],[Hora inicio]])*24)*(COUNTA(base_de_datos[[#This Row],[Lunes]:[Sábado]])),1)</f>
        <v>2</v>
      </c>
      <c r="Z20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3" s="155">
        <f ca="1">IF(base_de_datos[[#This Row],[No clase]]=OFFSET(base_de_datos[[#This Row],[No clase]],-1,0),0,1)</f>
        <v>1</v>
      </c>
      <c r="AB203" s="155">
        <f ca="1">IF(NOT(OR(base_de_datos[[#This Row],[Horas totales]]=base_de_datos[[#This Row],[HT Plan]],base_de_datos[[#This Row],[Horas totales]]="N/A")),1,0)</f>
        <v>0</v>
      </c>
      <c r="AC203" s="155" t="str">
        <f>_xlfn.XLOOKUP(base_de_datos[[#This Row],[Profesor]],Nombre,Grado)</f>
        <v>L</v>
      </c>
      <c r="AD203" s="156" t="str">
        <f>_xlfn.XLOOKUP(base_de_datos[[#This Row],[Profesor]],Nombre,Tipo)</f>
        <v>A</v>
      </c>
      <c r="AE203" s="155">
        <f>IF(IFERROR(VLOOKUP($C203,Planes_de_estudio[],MATCH($AE$2,Carreras,0)+2,0),"")&gt;0,IFERROR(VLOOKUP($C203,Planes_de_estudio[],MATCH($AE$2,Carreras,0)+2,0),""),"")</f>
        <v>3</v>
      </c>
      <c r="AF203" s="155">
        <f>IF(IFERROR(VLOOKUP($C203,Planes_de_estudio[],MATCH($AF$2,Carreras,0)+2,0),"")&gt;0,IFERROR(VLOOKUP($C203,Planes_de_estudio[],MATCH($AF$2,Carreras,0)+2,0),""),"")</f>
        <v>3</v>
      </c>
      <c r="AG203" s="155">
        <f>IF(IFERROR(VLOOKUP($C203,Planes_de_estudio[],MATCH($AG$2,Carreras,0)+2,0),"")&gt;0,IFERROR(VLOOKUP($C203,Planes_de_estudio[],MATCH($AG$2,Carreras,0)+2,0),""),"")</f>
        <v>5</v>
      </c>
      <c r="AH203" s="155">
        <f>IF(IFERROR(VLOOKUP($C203,Planes_de_estudio[],MATCH($AH$2,Carreras,0)+2,0),"")&gt;0,IFERROR(VLOOKUP($C203,Planes_de_estudio[],MATCH($AH$2,Carreras,0)+2,0),""),"")</f>
        <v>3</v>
      </c>
      <c r="AI203" s="155">
        <f>IF(IFERROR(VLOOKUP($C203,Planes_de_estudio[],MATCH($AI$2,Carreras,0)+2,0),"")&gt;0,IFERROR(VLOOKUP($C203,Planes_de_estudio[],MATCH($AI$2,Carreras,0)+2,0),""),"")</f>
        <v>3</v>
      </c>
      <c r="AJ203" s="155">
        <f>IF(IFERROR(VLOOKUP($C203,Planes_de_estudio[],MATCH($AJ$2,Carreras,0)+2,0),"")&gt;0,IFERROR(VLOOKUP($C203,Planes_de_estudio[],MATCH($AJ$2,Carreras,0)+2,0),""),"")</f>
        <v>3</v>
      </c>
      <c r="AK203" s="155">
        <f>IF(IFERROR(VLOOKUP($C203,Planes_de_estudio[],MATCH($AK$2,Carreras,0)+2,0),"")&gt;0,IFERROR(VLOOKUP($C203,Planes_de_estudio[],MATCH($AK$2,Carreras,0)+2,0),""),"")</f>
        <v>3</v>
      </c>
      <c r="AL20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03" s="155">
        <f>base_de_datos[[#This Row],[Pronóstico]]/25</f>
        <v>4.32</v>
      </c>
      <c r="AO203" s="155" t="str">
        <f>VLOOKUP($C203,Planes_de_estudio[],2)</f>
        <v>MAT</v>
      </c>
      <c r="AP203" s="157">
        <f ca="1">IF(AND(base_de_datos[[#This Row],[Industrial]]&lt;&gt;"",base_de_datos[[#This Row],[Misma o no]]=1),base_de_datos[[#This Row],[Índice]],"")</f>
        <v>1</v>
      </c>
      <c r="AQ203" s="157">
        <f ca="1">IF(AND(base_de_datos[[#This Row],[Mecatrónica]]&lt;&gt;"",base_de_datos[[#This Row],[Misma o no]]=1),base_de_datos[[#This Row],[Índice]],"")</f>
        <v>1</v>
      </c>
      <c r="AR203" s="157">
        <f ca="1">IF(AND(base_de_datos[[#This Row],[Innovación y Diseño]]&lt;&gt;"",base_de_datos[[#This Row],[Misma o no]]=1),base_de_datos[[#This Row],[Índice]],"")</f>
        <v>1</v>
      </c>
      <c r="AS203" s="157">
        <f ca="1">IF(AND(base_de_datos[[#This Row],[Inteligencia Artificial]]&lt;&gt;"",base_de_datos[[#This Row],[Misma o no]]=1),base_de_datos[[#This Row],[Índice]],"")</f>
        <v>1</v>
      </c>
      <c r="AT203" s="157">
        <f ca="1">IF(AND(base_de_datos[[#This Row],[Tecnologías Energéticas]]&lt;&gt;"",base_de_datos[[#This Row],[Misma o no]]=1),base_de_datos[[#This Row],[Índice]],"")</f>
        <v>1</v>
      </c>
      <c r="AU203" s="157">
        <f ca="1">IF(AND(base_de_datos[[#This Row],[Civil y Administración]]&lt;&gt;"",base_de_datos[[#This Row],[Misma o no]]=1),base_de_datos[[#This Row],[Índice]],"")</f>
        <v>1</v>
      </c>
      <c r="AV203" s="157">
        <f ca="1">IF(AND(base_de_datos[[#This Row],[Bioelectrónica]]&lt;&gt;"",base_de_datos[[#This Row],[Misma o no]]=1),base_de_datos[[#This Row],[Índice]],"")</f>
        <v>1</v>
      </c>
      <c r="AW203" s="158"/>
      <c r="AX203" s="231" t="s">
        <v>1642</v>
      </c>
      <c r="AY203" s="85"/>
      <c r="AZ203" s="85"/>
      <c r="BA203" s="85"/>
      <c r="BB203" s="85"/>
      <c r="BC203" s="85"/>
      <c r="BD203" s="85"/>
      <c r="BE203" s="85"/>
      <c r="BF203" s="85"/>
      <c r="BG203" s="85"/>
      <c r="BH203" s="85"/>
      <c r="BI203" s="85"/>
      <c r="BJ203" s="85"/>
      <c r="BK203" s="85"/>
      <c r="BL203" s="85"/>
      <c r="BM203" s="85"/>
      <c r="BN203" s="85"/>
      <c r="BO203" s="85"/>
      <c r="BP203" s="85"/>
      <c r="BQ203" s="85"/>
      <c r="BR203" s="85"/>
      <c r="BS203" s="85"/>
      <c r="BT203" s="85"/>
      <c r="BU203" s="85"/>
      <c r="BV203" s="85"/>
      <c r="BW203" s="85"/>
      <c r="BX203" s="85"/>
      <c r="BY203" s="85"/>
      <c r="BZ203" s="85"/>
      <c r="CA203" s="85"/>
      <c r="CB203" s="85"/>
      <c r="CC203" s="85"/>
      <c r="CD203" s="85"/>
      <c r="CE203" s="85"/>
      <c r="CF203" s="85"/>
      <c r="CG203" s="85"/>
      <c r="CH203" s="85"/>
      <c r="CI203" s="85"/>
      <c r="CJ203" s="85"/>
      <c r="CK203" s="85"/>
      <c r="CL203" s="85"/>
      <c r="CM203" s="85"/>
      <c r="CN203" s="85"/>
      <c r="CO203" s="85"/>
      <c r="CP203" s="85"/>
      <c r="CQ203" s="85"/>
      <c r="CR203" s="85"/>
      <c r="CS203" s="85"/>
      <c r="CT203" s="85"/>
      <c r="CU203" s="85"/>
      <c r="CV203" s="85"/>
      <c r="CW203" s="85"/>
      <c r="CX203" s="85"/>
      <c r="CY203" s="85"/>
      <c r="CZ203" s="85"/>
      <c r="DA203" s="85"/>
      <c r="DB203" s="85"/>
      <c r="DC203" s="85"/>
      <c r="DD203" s="85"/>
      <c r="DE203" s="85"/>
      <c r="DF203" s="85"/>
      <c r="DG203" s="85"/>
      <c r="DH203" s="85"/>
      <c r="DI203" s="85"/>
      <c r="DJ203" s="85"/>
      <c r="DK203" s="85"/>
      <c r="DL203" s="85"/>
      <c r="DM203" s="85"/>
      <c r="DN203" s="85"/>
      <c r="DO203" s="85"/>
      <c r="DP203" s="85"/>
      <c r="DQ203" s="85"/>
      <c r="DR203" s="85"/>
      <c r="DS203" s="85"/>
      <c r="DT203" s="85"/>
      <c r="DU203" s="85"/>
      <c r="DV203" s="85"/>
      <c r="DW203" s="85"/>
      <c r="DX203" s="85"/>
      <c r="DY203" s="85"/>
      <c r="DZ203" s="85"/>
      <c r="EA203" s="85"/>
      <c r="EB203" s="85"/>
      <c r="EC203" s="85"/>
      <c r="ED203" s="85"/>
      <c r="EE203" s="85"/>
      <c r="EF203" s="85"/>
      <c r="EG203" s="85"/>
      <c r="EH203" s="85"/>
      <c r="EI203" s="85"/>
      <c r="EJ203" s="85"/>
      <c r="EK203" s="85"/>
      <c r="EL203" s="85"/>
      <c r="EM203" s="85"/>
      <c r="EN203" s="85"/>
      <c r="EO203" s="85"/>
      <c r="EP203" s="85"/>
      <c r="EQ203" s="85"/>
      <c r="ER203" s="85"/>
      <c r="ES203" s="85"/>
      <c r="ET203" s="85"/>
      <c r="EU203" s="85"/>
      <c r="EV203" s="85"/>
      <c r="EW203" s="85"/>
      <c r="EX203" s="85"/>
      <c r="EY203" s="85"/>
      <c r="EZ203" s="85"/>
      <c r="FA203" s="85"/>
      <c r="FB203" s="85"/>
      <c r="FC203" s="85"/>
      <c r="FD203" s="85"/>
      <c r="FE203" s="85"/>
      <c r="FF203" s="85"/>
      <c r="FG203" s="85"/>
      <c r="FH203" s="85"/>
      <c r="FI203" s="85"/>
      <c r="FJ203" s="85"/>
      <c r="FK203" s="85"/>
      <c r="FL203" s="85"/>
      <c r="FM203" s="85"/>
      <c r="FN203" s="85"/>
      <c r="FO203" s="85"/>
      <c r="FP203" s="85"/>
      <c r="FQ203" s="85"/>
      <c r="FR203" s="85"/>
      <c r="FS203" s="85"/>
      <c r="FT203" s="85"/>
      <c r="FU203" s="85"/>
      <c r="FV203" s="85"/>
      <c r="FW203" s="85"/>
      <c r="FX203" s="85"/>
      <c r="FY203" s="85"/>
      <c r="FZ203" s="85"/>
      <c r="GA203" s="85"/>
      <c r="GB203" s="85"/>
      <c r="GC203" s="85"/>
      <c r="GD203" s="85"/>
      <c r="GE203" s="85"/>
      <c r="GF203" s="85"/>
      <c r="GG203" s="85"/>
      <c r="GH203" s="85"/>
      <c r="GI203" s="85"/>
      <c r="GJ203" s="85"/>
      <c r="GK203" s="85"/>
      <c r="GL203" s="85"/>
      <c r="GM203" s="85"/>
      <c r="GN203" s="85"/>
      <c r="GO203" s="85"/>
      <c r="GP203" s="85"/>
      <c r="GQ203" s="85"/>
      <c r="GR203" s="85"/>
      <c r="GS203" s="85"/>
      <c r="GT203" s="85"/>
      <c r="GU203" s="85"/>
      <c r="GV203" s="85"/>
      <c r="GW203" s="85"/>
      <c r="GX203" s="85"/>
      <c r="GY203" s="85"/>
      <c r="GZ203" s="85"/>
      <c r="HA203" s="85"/>
      <c r="HB203" s="85"/>
      <c r="HC203" s="85"/>
      <c r="HD203" s="85"/>
      <c r="HE203" s="85"/>
      <c r="HF203" s="85"/>
      <c r="HG203" s="85"/>
      <c r="HH203" s="85"/>
      <c r="HI203" s="85"/>
      <c r="HJ203" s="85"/>
      <c r="HK203" s="85"/>
      <c r="HL203" s="85"/>
      <c r="HM203" s="85"/>
    </row>
    <row r="204" spans="1:221" ht="15">
      <c r="B204" s="148" t="s">
        <v>412</v>
      </c>
      <c r="C204" s="149" t="s">
        <v>342</v>
      </c>
      <c r="D204" s="150">
        <v>4</v>
      </c>
      <c r="E204" s="151">
        <v>0.66666666666666696</v>
      </c>
      <c r="F204" s="151">
        <v>0.74999999999999301</v>
      </c>
      <c r="G204" s="150"/>
      <c r="H204" s="150" t="s">
        <v>178</v>
      </c>
      <c r="I204" s="150">
        <f>INDEX(Aulas_capacidad,MATCH(base_de_datos[[#This Row],[Aula]],Aulas,0),2)</f>
        <v>24</v>
      </c>
      <c r="J204" s="152">
        <v>13</v>
      </c>
      <c r="K204" s="150">
        <f>INDEX(Aulas_capacidad,MATCH(base_de_datos[[#This Row],[Aula]],Aulas,0),4)</f>
        <v>12</v>
      </c>
      <c r="L204" s="153">
        <f>base_de_datos[[#This Row],[Cap 1.5]]-base_de_datos[[#This Row],[Inscritos]]</f>
        <v>-1</v>
      </c>
      <c r="M204" s="153">
        <f>INDEX(Aulas_capacidad,MATCH(base_de_datos[[#This Row],[Aula]],Aulas,0),5)</f>
        <v>12</v>
      </c>
      <c r="N204" s="153">
        <f>base_de_datos[[#This Row],[Cap .90]]-base_de_datos[[#This Row],[Inscritos]]</f>
        <v>-1</v>
      </c>
      <c r="O204" s="150" t="s">
        <v>413</v>
      </c>
      <c r="P204" s="154"/>
      <c r="Q204" s="154"/>
      <c r="R204" s="154"/>
      <c r="S204" s="154"/>
      <c r="T204" s="154" t="s">
        <v>67</v>
      </c>
      <c r="U204" s="154"/>
      <c r="V204" s="154"/>
      <c r="W204" s="154" t="s">
        <v>1651</v>
      </c>
      <c r="X204" s="155">
        <f>_xlfn.XLOOKUP(base_de_datos[[#This Row],[Materia]],Materias,Horas)/16</f>
        <v>4</v>
      </c>
      <c r="Y204" s="155">
        <f>ROUND(((base_de_datos[[#This Row],[Hora fin]]-base_de_datos[[#This Row],[Hora inicio]])*24)*(COUNTA(base_de_datos[[#This Row],[Lunes]:[Sábado]])),1)</f>
        <v>2</v>
      </c>
      <c r="Z20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4" s="155">
        <f ca="1">IF(base_de_datos[[#This Row],[No clase]]=OFFSET(base_de_datos[[#This Row],[No clase]],-1,0),0,1)</f>
        <v>0</v>
      </c>
      <c r="AB204" s="155">
        <f ca="1">IF(NOT(OR(base_de_datos[[#This Row],[Horas totales]]=base_de_datos[[#This Row],[HT Plan]],base_de_datos[[#This Row],[Horas totales]]="N/A")),1,0)</f>
        <v>0</v>
      </c>
      <c r="AC204" s="155" t="str">
        <f>_xlfn.XLOOKUP(base_de_datos[[#This Row],[Profesor]],Nombre,Grado)</f>
        <v>L</v>
      </c>
      <c r="AD204" s="156" t="str">
        <f>_xlfn.XLOOKUP(base_de_datos[[#This Row],[Profesor]],Nombre,Tipo)</f>
        <v>A</v>
      </c>
      <c r="AE204" s="155">
        <f>IF(IFERROR(VLOOKUP($C204,Planes_de_estudio[],MATCH($AE$2,Carreras,0)+2,0),"")&gt;0,IFERROR(VLOOKUP($C204,Planes_de_estudio[],MATCH($AE$2,Carreras,0)+2,0),""),"")</f>
        <v>3</v>
      </c>
      <c r="AF204" s="155">
        <f>IF(IFERROR(VLOOKUP($C204,Planes_de_estudio[],MATCH($AF$2,Carreras,0)+2,0),"")&gt;0,IFERROR(VLOOKUP($C204,Planes_de_estudio[],MATCH($AF$2,Carreras,0)+2,0),""),"")</f>
        <v>3</v>
      </c>
      <c r="AG204" s="155">
        <f>IF(IFERROR(VLOOKUP($C204,Planes_de_estudio[],MATCH($AG$2,Carreras,0)+2,0),"")&gt;0,IFERROR(VLOOKUP($C204,Planes_de_estudio[],MATCH($AG$2,Carreras,0)+2,0),""),"")</f>
        <v>5</v>
      </c>
      <c r="AH204" s="155">
        <f>IF(IFERROR(VLOOKUP($C204,Planes_de_estudio[],MATCH($AH$2,Carreras,0)+2,0),"")&gt;0,IFERROR(VLOOKUP($C204,Planes_de_estudio[],MATCH($AH$2,Carreras,0)+2,0),""),"")</f>
        <v>3</v>
      </c>
      <c r="AI204" s="155">
        <f>IF(IFERROR(VLOOKUP($C204,Planes_de_estudio[],MATCH($AI$2,Carreras,0)+2,0),"")&gt;0,IFERROR(VLOOKUP($C204,Planes_de_estudio[],MATCH($AI$2,Carreras,0)+2,0),""),"")</f>
        <v>3</v>
      </c>
      <c r="AJ204" s="155">
        <f>IF(IFERROR(VLOOKUP($C204,Planes_de_estudio[],MATCH($AJ$2,Carreras,0)+2,0),"")&gt;0,IFERROR(VLOOKUP($C204,Planes_de_estudio[],MATCH($AJ$2,Carreras,0)+2,0),""),"")</f>
        <v>3</v>
      </c>
      <c r="AK204" s="155">
        <f>IF(IFERROR(VLOOKUP($C204,Planes_de_estudio[],MATCH($AK$2,Carreras,0)+2,0),"")&gt;0,IFERROR(VLOOKUP($C204,Planes_de_estudio[],MATCH($AK$2,Carreras,0)+2,0),""),"")</f>
        <v>3</v>
      </c>
      <c r="AL20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04" s="155">
        <f>base_de_datos[[#This Row],[Pronóstico]]/25</f>
        <v>4.32</v>
      </c>
      <c r="AO204" s="155" t="str">
        <f>VLOOKUP($C204,Planes_de_estudio[],2)</f>
        <v>MAT</v>
      </c>
      <c r="AP204" s="157" t="str">
        <f ca="1">IF(AND(base_de_datos[[#This Row],[Industrial]]&lt;&gt;"",base_de_datos[[#This Row],[Misma o no]]=1),base_de_datos[[#This Row],[Índice]],"")</f>
        <v/>
      </c>
      <c r="AQ204" s="157" t="str">
        <f ca="1">IF(AND(base_de_datos[[#This Row],[Mecatrónica]]&lt;&gt;"",base_de_datos[[#This Row],[Misma o no]]=1),base_de_datos[[#This Row],[Índice]],"")</f>
        <v/>
      </c>
      <c r="AR204" s="157" t="str">
        <f ca="1">IF(AND(base_de_datos[[#This Row],[Innovación y Diseño]]&lt;&gt;"",base_de_datos[[#This Row],[Misma o no]]=1),base_de_datos[[#This Row],[Índice]],"")</f>
        <v/>
      </c>
      <c r="AS204" s="157" t="str">
        <f ca="1">IF(AND(base_de_datos[[#This Row],[Inteligencia Artificial]]&lt;&gt;"",base_de_datos[[#This Row],[Misma o no]]=1),base_de_datos[[#This Row],[Índice]],"")</f>
        <v/>
      </c>
      <c r="AT204" s="157" t="str">
        <f ca="1">IF(AND(base_de_datos[[#This Row],[Tecnologías Energéticas]]&lt;&gt;"",base_de_datos[[#This Row],[Misma o no]]=1),base_de_datos[[#This Row],[Índice]],"")</f>
        <v/>
      </c>
      <c r="AU204" s="157" t="str">
        <f ca="1">IF(AND(base_de_datos[[#This Row],[Civil y Administración]]&lt;&gt;"",base_de_datos[[#This Row],[Misma o no]]=1),base_de_datos[[#This Row],[Índice]],"")</f>
        <v/>
      </c>
      <c r="AV204" s="157" t="str">
        <f ca="1">IF(AND(base_de_datos[[#This Row],[Bioelectrónica]]&lt;&gt;"",base_de_datos[[#This Row],[Misma o no]]=1),base_de_datos[[#This Row],[Índice]],"")</f>
        <v/>
      </c>
      <c r="AW204" s="158"/>
      <c r="AX204" s="231">
        <v>2</v>
      </c>
    </row>
    <row r="205" spans="1:221" ht="15">
      <c r="B205" s="148" t="s">
        <v>412</v>
      </c>
      <c r="C205" s="149" t="s">
        <v>405</v>
      </c>
      <c r="D205" s="150">
        <v>1</v>
      </c>
      <c r="E205" s="151">
        <v>0.79166666666666696</v>
      </c>
      <c r="F205" s="151">
        <v>0.87499999999999001</v>
      </c>
      <c r="G205" s="150"/>
      <c r="H205" s="150" t="s">
        <v>127</v>
      </c>
      <c r="I205" s="150">
        <f>INDEX(Aulas_capacidad,MATCH(base_de_datos[[#This Row],[Aula]],Aulas,0),2)</f>
        <v>30</v>
      </c>
      <c r="J205" s="212">
        <v>26</v>
      </c>
      <c r="K205" s="150">
        <f>INDEX(Aulas_capacidad,MATCH(base_de_datos[[#This Row],[Aula]],Aulas,0),4)</f>
        <v>12</v>
      </c>
      <c r="L205" s="153">
        <f>base_de_datos[[#This Row],[Cap 1.5]]-base_de_datos[[#This Row],[Inscritos]]</f>
        <v>-14</v>
      </c>
      <c r="M205" s="153">
        <f>INDEX(Aulas_capacidad,MATCH(base_de_datos[[#This Row],[Aula]],Aulas,0),5)</f>
        <v>18</v>
      </c>
      <c r="N205" s="153">
        <f>base_de_datos[[#This Row],[Cap .90]]-base_de_datos[[#This Row],[Inscritos]]</f>
        <v>-8</v>
      </c>
      <c r="O205" s="150" t="s">
        <v>414</v>
      </c>
      <c r="P205" s="154" t="s">
        <v>67</v>
      </c>
      <c r="Q205" s="154"/>
      <c r="R205" s="154"/>
      <c r="S205" s="154"/>
      <c r="T205" s="154"/>
      <c r="U205" s="154"/>
      <c r="V205" s="154"/>
      <c r="W205" s="154" t="s">
        <v>1656</v>
      </c>
      <c r="X205" s="155">
        <f>_xlfn.XLOOKUP(base_de_datos[[#This Row],[Materia]],Materias,Horas)/16</f>
        <v>4</v>
      </c>
      <c r="Y205" s="155">
        <f>ROUND(((base_de_datos[[#This Row],[Hora fin]]-base_de_datos[[#This Row],[Hora inicio]])*24)*(COUNTA(base_de_datos[[#This Row],[Lunes]:[Sábado]])),1)</f>
        <v>2</v>
      </c>
      <c r="Z20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5" s="155">
        <f ca="1">IF(base_de_datos[[#This Row],[No clase]]=OFFSET(base_de_datos[[#This Row],[No clase]],-1,0),0,1)</f>
        <v>1</v>
      </c>
      <c r="AB205" s="155">
        <f ca="1">IF(NOT(OR(base_de_datos[[#This Row],[Horas totales]]=base_de_datos[[#This Row],[HT Plan]],base_de_datos[[#This Row],[Horas totales]]="N/A")),1,0)</f>
        <v>0</v>
      </c>
      <c r="AC205" s="155" t="str">
        <f>_xlfn.XLOOKUP(base_de_datos[[#This Row],[Profesor]],Nombre,Grado)</f>
        <v>L</v>
      </c>
      <c r="AD205" s="156" t="str">
        <f>_xlfn.XLOOKUP(base_de_datos[[#This Row],[Profesor]],Nombre,Tipo)</f>
        <v>A</v>
      </c>
      <c r="AE205" s="155" t="str">
        <f>IF(IFERROR(VLOOKUP($C205,Planes_de_estudio[],MATCH($AE$2,Carreras,0)+2,0),"")&gt;0,IFERROR(VLOOKUP($C205,Planes_de_estudio[],MATCH($AE$2,Carreras,0)+2,0),""),"")</f>
        <v/>
      </c>
      <c r="AF205" s="155">
        <f>IF(IFERROR(VLOOKUP($C205,Planes_de_estudio[],MATCH($AF$2,Carreras,0)+2,0),"")&gt;0,IFERROR(VLOOKUP($C205,Planes_de_estudio[],MATCH($AF$2,Carreras,0)+2,0),""),"")</f>
        <v>5</v>
      </c>
      <c r="AG205" s="155">
        <f>IF(IFERROR(VLOOKUP($C205,Planes_de_estudio[],MATCH($AG$2,Carreras,0)+2,0),"")&gt;0,IFERROR(VLOOKUP($C205,Planes_de_estudio[],MATCH($AG$2,Carreras,0)+2,0),""),"")</f>
        <v>6</v>
      </c>
      <c r="AH205" s="155">
        <f>IF(IFERROR(VLOOKUP($C205,Planes_de_estudio[],MATCH($AH$2,Carreras,0)+2,0),"")&gt;0,IFERROR(VLOOKUP($C205,Planes_de_estudio[],MATCH($AH$2,Carreras,0)+2,0),""),"")</f>
        <v>5</v>
      </c>
      <c r="AI205" s="155">
        <f>IF(IFERROR(VLOOKUP($C205,Planes_de_estudio[],MATCH($AI$2,Carreras,0)+2,0),"")&gt;0,IFERROR(VLOOKUP($C205,Planes_de_estudio[],MATCH($AI$2,Carreras,0)+2,0),""),"")</f>
        <v>4</v>
      </c>
      <c r="AJ205" s="155">
        <f>IF(IFERROR(VLOOKUP($C205,Planes_de_estudio[],MATCH($AJ$2,Carreras,0)+2,0),"")&gt;0,IFERROR(VLOOKUP($C205,Planes_de_estudio[],MATCH($AJ$2,Carreras,0)+2,0),""),"")</f>
        <v>4</v>
      </c>
      <c r="AK205" s="155">
        <f>IF(IFERROR(VLOOKUP($C205,Planes_de_estudio[],MATCH($AK$2,Carreras,0)+2,0),"")&gt;0,IFERROR(VLOOKUP($C205,Planes_de_estudio[],MATCH($AK$2,Carreras,0)+2,0),""),"")</f>
        <v>5</v>
      </c>
      <c r="AL20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205" s="155">
        <f>base_de_datos[[#This Row],[Pronóstico]]/25</f>
        <v>2.08</v>
      </c>
      <c r="AO205" s="155" t="str">
        <f>VLOOKUP($C205,Planes_de_estudio[],2)</f>
        <v>MAT</v>
      </c>
      <c r="AP205" s="157" t="str">
        <f ca="1">IF(AND(base_de_datos[[#This Row],[Industrial]]&lt;&gt;"",base_de_datos[[#This Row],[Misma o no]]=1),base_de_datos[[#This Row],[Índice]],"")</f>
        <v/>
      </c>
      <c r="AQ205" s="157">
        <f ca="1">IF(AND(base_de_datos[[#This Row],[Mecatrónica]]&lt;&gt;"",base_de_datos[[#This Row],[Misma o no]]=1),base_de_datos[[#This Row],[Índice]],"")</f>
        <v>1</v>
      </c>
      <c r="AR205" s="157">
        <f ca="1">IF(AND(base_de_datos[[#This Row],[Innovación y Diseño]]&lt;&gt;"",base_de_datos[[#This Row],[Misma o no]]=1),base_de_datos[[#This Row],[Índice]],"")</f>
        <v>1</v>
      </c>
      <c r="AS205" s="157">
        <f ca="1">IF(AND(base_de_datos[[#This Row],[Inteligencia Artificial]]&lt;&gt;"",base_de_datos[[#This Row],[Misma o no]]=1),base_de_datos[[#This Row],[Índice]],"")</f>
        <v>1</v>
      </c>
      <c r="AT205" s="157">
        <f ca="1">IF(AND(base_de_datos[[#This Row],[Tecnologías Energéticas]]&lt;&gt;"",base_de_datos[[#This Row],[Misma o no]]=1),base_de_datos[[#This Row],[Índice]],"")</f>
        <v>1</v>
      </c>
      <c r="AU205" s="157">
        <f ca="1">IF(AND(base_de_datos[[#This Row],[Civil y Administración]]&lt;&gt;"",base_de_datos[[#This Row],[Misma o no]]=1),base_de_datos[[#This Row],[Índice]],"")</f>
        <v>1</v>
      </c>
      <c r="AV205" s="157">
        <f ca="1">IF(AND(base_de_datos[[#This Row],[Bioelectrónica]]&lt;&gt;"",base_de_datos[[#This Row],[Misma o no]]=1),base_de_datos[[#This Row],[Índice]],"")</f>
        <v>1</v>
      </c>
      <c r="AW205" s="158"/>
      <c r="AX205" s="231">
        <v>3</v>
      </c>
    </row>
    <row r="206" spans="1:221" ht="15">
      <c r="B206" s="148" t="s">
        <v>412</v>
      </c>
      <c r="C206" s="149" t="s">
        <v>405</v>
      </c>
      <c r="D206" s="150">
        <v>1</v>
      </c>
      <c r="E206" s="151">
        <v>0.79166666666666696</v>
      </c>
      <c r="F206" s="151">
        <v>0.87499999999999001</v>
      </c>
      <c r="G206" s="150"/>
      <c r="H206" s="150" t="s">
        <v>181</v>
      </c>
      <c r="I206" s="150">
        <f>INDEX(Aulas_capacidad,MATCH(base_de_datos[[#This Row],[Aula]],Aulas,0),2)</f>
        <v>32</v>
      </c>
      <c r="J206" s="212">
        <v>26</v>
      </c>
      <c r="K206" s="150">
        <f>INDEX(Aulas_capacidad,MATCH(base_de_datos[[#This Row],[Aula]],Aulas,0),4)</f>
        <v>0</v>
      </c>
      <c r="L206" s="153">
        <f>base_de_datos[[#This Row],[Cap 1.5]]-base_de_datos[[#This Row],[Inscritos]]</f>
        <v>-26</v>
      </c>
      <c r="M206" s="153">
        <f>INDEX(Aulas_capacidad,MATCH(base_de_datos[[#This Row],[Aula]],Aulas,0),5)</f>
        <v>0</v>
      </c>
      <c r="N206" s="153">
        <f>base_de_datos[[#This Row],[Cap .90]]-base_de_datos[[#This Row],[Inscritos]]</f>
        <v>-26</v>
      </c>
      <c r="O206" s="150" t="s">
        <v>414</v>
      </c>
      <c r="P206" s="154"/>
      <c r="Q206" s="154"/>
      <c r="R206" s="154"/>
      <c r="S206" s="154" t="s">
        <v>67</v>
      </c>
      <c r="T206" s="154"/>
      <c r="U206" s="154"/>
      <c r="V206" s="154"/>
      <c r="W206" s="154" t="s">
        <v>1656</v>
      </c>
      <c r="X206" s="155">
        <f>_xlfn.XLOOKUP(base_de_datos[[#This Row],[Materia]],Materias,Horas)/16</f>
        <v>4</v>
      </c>
      <c r="Y206" s="155">
        <f>ROUND(((base_de_datos[[#This Row],[Hora fin]]-base_de_datos[[#This Row],[Hora inicio]])*24)*(COUNTA(base_de_datos[[#This Row],[Lunes]:[Sábado]])),1)</f>
        <v>2</v>
      </c>
      <c r="Z20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6" s="155">
        <f ca="1">IF(base_de_datos[[#This Row],[No clase]]=OFFSET(base_de_datos[[#This Row],[No clase]],-1,0),0,1)</f>
        <v>0</v>
      </c>
      <c r="AB206" s="155">
        <f ca="1">IF(NOT(OR(base_de_datos[[#This Row],[Horas totales]]=base_de_datos[[#This Row],[HT Plan]],base_de_datos[[#This Row],[Horas totales]]="N/A")),1,0)</f>
        <v>0</v>
      </c>
      <c r="AC206" s="155" t="str">
        <f>_xlfn.XLOOKUP(base_de_datos[[#This Row],[Profesor]],Nombre,Grado)</f>
        <v>L</v>
      </c>
      <c r="AD206" s="156" t="str">
        <f>_xlfn.XLOOKUP(base_de_datos[[#This Row],[Profesor]],Nombre,Tipo)</f>
        <v>A</v>
      </c>
      <c r="AE206" s="155" t="str">
        <f>IF(IFERROR(VLOOKUP($C206,Planes_de_estudio[],MATCH($AE$2,Carreras,0)+2,0),"")&gt;0,IFERROR(VLOOKUP($C206,Planes_de_estudio[],MATCH($AE$2,Carreras,0)+2,0),""),"")</f>
        <v/>
      </c>
      <c r="AF206" s="155">
        <f>IF(IFERROR(VLOOKUP($C206,Planes_de_estudio[],MATCH($AF$2,Carreras,0)+2,0),"")&gt;0,IFERROR(VLOOKUP($C206,Planes_de_estudio[],MATCH($AF$2,Carreras,0)+2,0),""),"")</f>
        <v>5</v>
      </c>
      <c r="AG206" s="155">
        <f>IF(IFERROR(VLOOKUP($C206,Planes_de_estudio[],MATCH($AG$2,Carreras,0)+2,0),"")&gt;0,IFERROR(VLOOKUP($C206,Planes_de_estudio[],MATCH($AG$2,Carreras,0)+2,0),""),"")</f>
        <v>6</v>
      </c>
      <c r="AH206" s="155">
        <f>IF(IFERROR(VLOOKUP($C206,Planes_de_estudio[],MATCH($AH$2,Carreras,0)+2,0),"")&gt;0,IFERROR(VLOOKUP($C206,Planes_de_estudio[],MATCH($AH$2,Carreras,0)+2,0),""),"")</f>
        <v>5</v>
      </c>
      <c r="AI206" s="155">
        <f>IF(IFERROR(VLOOKUP($C206,Planes_de_estudio[],MATCH($AI$2,Carreras,0)+2,0),"")&gt;0,IFERROR(VLOOKUP($C206,Planes_de_estudio[],MATCH($AI$2,Carreras,0)+2,0),""),"")</f>
        <v>4</v>
      </c>
      <c r="AJ206" s="155">
        <f>IF(IFERROR(VLOOKUP($C206,Planes_de_estudio[],MATCH($AJ$2,Carreras,0)+2,0),"")&gt;0,IFERROR(VLOOKUP($C206,Planes_de_estudio[],MATCH($AJ$2,Carreras,0)+2,0),""),"")</f>
        <v>4</v>
      </c>
      <c r="AK206" s="155">
        <f>IF(IFERROR(VLOOKUP($C206,Planes_de_estudio[],MATCH($AK$2,Carreras,0)+2,0),"")&gt;0,IFERROR(VLOOKUP($C206,Planes_de_estudio[],MATCH($AK$2,Carreras,0)+2,0),""),"")</f>
        <v>5</v>
      </c>
      <c r="AL20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206" s="155">
        <f>base_de_datos[[#This Row],[Pronóstico]]/25</f>
        <v>2.08</v>
      </c>
      <c r="AO206" s="155" t="str">
        <f>VLOOKUP($C206,Planes_de_estudio[],2)</f>
        <v>MAT</v>
      </c>
      <c r="AP206" s="157" t="str">
        <f ca="1">IF(AND(base_de_datos[[#This Row],[Industrial]]&lt;&gt;"",base_de_datos[[#This Row],[Misma o no]]=1),base_de_datos[[#This Row],[Índice]],"")</f>
        <v/>
      </c>
      <c r="AQ206" s="157" t="str">
        <f ca="1">IF(AND(base_de_datos[[#This Row],[Mecatrónica]]&lt;&gt;"",base_de_datos[[#This Row],[Misma o no]]=1),base_de_datos[[#This Row],[Índice]],"")</f>
        <v/>
      </c>
      <c r="AR206" s="157" t="str">
        <f ca="1">IF(AND(base_de_datos[[#This Row],[Innovación y Diseño]]&lt;&gt;"",base_de_datos[[#This Row],[Misma o no]]=1),base_de_datos[[#This Row],[Índice]],"")</f>
        <v/>
      </c>
      <c r="AS206" s="157" t="str">
        <f ca="1">IF(AND(base_de_datos[[#This Row],[Inteligencia Artificial]]&lt;&gt;"",base_de_datos[[#This Row],[Misma o no]]=1),base_de_datos[[#This Row],[Índice]],"")</f>
        <v/>
      </c>
      <c r="AT206" s="157" t="str">
        <f ca="1">IF(AND(base_de_datos[[#This Row],[Tecnologías Energéticas]]&lt;&gt;"",base_de_datos[[#This Row],[Misma o no]]=1),base_de_datos[[#This Row],[Índice]],"")</f>
        <v/>
      </c>
      <c r="AU206" s="157" t="str">
        <f ca="1">IF(AND(base_de_datos[[#This Row],[Civil y Administración]]&lt;&gt;"",base_de_datos[[#This Row],[Misma o no]]=1),base_de_datos[[#This Row],[Índice]],"")</f>
        <v/>
      </c>
      <c r="AV206" s="157" t="str">
        <f ca="1">IF(AND(base_de_datos[[#This Row],[Bioelectrónica]]&lt;&gt;"",base_de_datos[[#This Row],[Misma o no]]=1),base_de_datos[[#This Row],[Índice]],"")</f>
        <v/>
      </c>
      <c r="AW206" s="158"/>
      <c r="AX206" s="231">
        <v>3</v>
      </c>
    </row>
    <row r="207" spans="1:221" ht="15">
      <c r="B207" s="148" t="s">
        <v>415</v>
      </c>
      <c r="C207" s="149" t="s">
        <v>416</v>
      </c>
      <c r="D207" s="150">
        <v>1</v>
      </c>
      <c r="E207" s="151">
        <v>0.70833333333333304</v>
      </c>
      <c r="F207" s="151">
        <v>0.79166666666665897</v>
      </c>
      <c r="G207" s="150"/>
      <c r="H207" s="150" t="s">
        <v>1</v>
      </c>
      <c r="I207" s="150">
        <f>INDEX(Aulas_capacidad,MATCH(base_de_datos[[#This Row],[Aula]],Aulas,0),2)</f>
        <v>30</v>
      </c>
      <c r="J207" s="152">
        <v>2</v>
      </c>
      <c r="K207" s="150">
        <f>INDEX(Aulas_capacidad,MATCH(base_de_datos[[#This Row],[Aula]],Aulas,0),4)</f>
        <v>0</v>
      </c>
      <c r="L207" s="153">
        <f>base_de_datos[[#This Row],[Cap 1.5]]-base_de_datos[[#This Row],[Inscritos]]</f>
        <v>-2</v>
      </c>
      <c r="M207" s="153">
        <f>INDEX(Aulas_capacidad,MATCH(base_de_datos[[#This Row],[Aula]],Aulas,0),5)</f>
        <v>0</v>
      </c>
      <c r="N207" s="153">
        <f>base_de_datos[[#This Row],[Cap .90]]-base_de_datos[[#This Row],[Inscritos]]</f>
        <v>-2</v>
      </c>
      <c r="O207" s="150" t="s">
        <v>417</v>
      </c>
      <c r="P207" s="154" t="s">
        <v>67</v>
      </c>
      <c r="Q207" s="154"/>
      <c r="R207" s="154"/>
      <c r="S207" s="154"/>
      <c r="T207" s="154"/>
      <c r="U207" s="154"/>
      <c r="V207" s="154"/>
      <c r="W207" s="154" t="s">
        <v>1655</v>
      </c>
      <c r="X207" s="155">
        <f>_xlfn.XLOOKUP(base_de_datos[[#This Row],[Materia]],Materias,Horas)/16</f>
        <v>4</v>
      </c>
      <c r="Y207" s="155">
        <f>ROUND(((base_de_datos[[#This Row],[Hora fin]]-base_de_datos[[#This Row],[Hora inicio]])*24)*(COUNTA(base_de_datos[[#This Row],[Lunes]:[Sábado]])),1)</f>
        <v>2</v>
      </c>
      <c r="Z20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7" s="155">
        <f ca="1">IF(base_de_datos[[#This Row],[No clase]]=OFFSET(base_de_datos[[#This Row],[No clase]],-1,0),0,1)</f>
        <v>1</v>
      </c>
      <c r="AB207" s="155">
        <f ca="1">IF(NOT(OR(base_de_datos[[#This Row],[Horas totales]]=base_de_datos[[#This Row],[HT Plan]],base_de_datos[[#This Row],[Horas totales]]="N/A")),1,0)</f>
        <v>0</v>
      </c>
      <c r="AC207" s="155" t="str">
        <f>_xlfn.XLOOKUP(base_de_datos[[#This Row],[Profesor]],Nombre,Grado)</f>
        <v>E</v>
      </c>
      <c r="AD207" s="156" t="str">
        <f>_xlfn.XLOOKUP(base_de_datos[[#This Row],[Profesor]],Nombre,Tipo)</f>
        <v>A</v>
      </c>
      <c r="AE207" s="155" t="str">
        <f>IF(IFERROR(VLOOKUP($C207,Planes_de_estudio[],MATCH($AE$2,Carreras,0)+2,0),"")&gt;0,IFERROR(VLOOKUP($C207,Planes_de_estudio[],MATCH($AE$2,Carreras,0)+2,0),""),"")</f>
        <v/>
      </c>
      <c r="AF207" s="155" t="str">
        <f>IF(IFERROR(VLOOKUP($C207,Planes_de_estudio[],MATCH($AF$2,Carreras,0)+2,0),"")&gt;0,IFERROR(VLOOKUP($C207,Planes_de_estudio[],MATCH($AF$2,Carreras,0)+2,0),""),"")</f>
        <v/>
      </c>
      <c r="AG207" s="155" t="str">
        <f>IF(IFERROR(VLOOKUP($C207,Planes_de_estudio[],MATCH($AG$2,Carreras,0)+2,0),"")&gt;0,IFERROR(VLOOKUP($C207,Planes_de_estudio[],MATCH($AG$2,Carreras,0)+2,0),""),"")</f>
        <v/>
      </c>
      <c r="AH207" s="155" t="str">
        <f>IF(IFERROR(VLOOKUP($C207,Planes_de_estudio[],MATCH($AH$2,Carreras,0)+2,0),"")&gt;0,IFERROR(VLOOKUP($C207,Planes_de_estudio[],MATCH($AH$2,Carreras,0)+2,0),""),"")</f>
        <v/>
      </c>
      <c r="AI207" s="155">
        <f>IF(IFERROR(VLOOKUP($C207,Planes_de_estudio[],MATCH($AI$2,Carreras,0)+2,0),"")&gt;0,IFERROR(VLOOKUP($C207,Planes_de_estudio[],MATCH($AI$2,Carreras,0)+2,0),""),"")</f>
        <v>7</v>
      </c>
      <c r="AJ207" s="155" t="str">
        <f>IF(IFERROR(VLOOKUP($C207,Planes_de_estudio[],MATCH($AJ$2,Carreras,0)+2,0),"")&gt;0,IFERROR(VLOOKUP($C207,Planes_de_estudio[],MATCH($AJ$2,Carreras,0)+2,0),""),"")</f>
        <v/>
      </c>
      <c r="AK207" s="155" t="str">
        <f>IF(IFERROR(VLOOKUP($C207,Planes_de_estudio[],MATCH($AK$2,Carreras,0)+2,0),"")&gt;0,IFERROR(VLOOKUP($C207,Planes_de_estudio[],MATCH($AK$2,Carreras,0)+2,0),""),"")</f>
        <v/>
      </c>
      <c r="AL20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207" s="155">
        <f>base_de_datos[[#This Row],[Pronóstico]]/25</f>
        <v>0.08</v>
      </c>
      <c r="AO207" s="155" t="str">
        <f>VLOOKUP($C207,Planes_de_estudio[],2)</f>
        <v>ETF</v>
      </c>
      <c r="AP207" s="157" t="str">
        <f ca="1">IF(AND(base_de_datos[[#This Row],[Industrial]]&lt;&gt;"",base_de_datos[[#This Row],[Misma o no]]=1),base_de_datos[[#This Row],[Índice]],"")</f>
        <v/>
      </c>
      <c r="AQ207" s="157" t="str">
        <f ca="1">IF(AND(base_de_datos[[#This Row],[Mecatrónica]]&lt;&gt;"",base_de_datos[[#This Row],[Misma o no]]=1),base_de_datos[[#This Row],[Índice]],"")</f>
        <v/>
      </c>
      <c r="AR207" s="157" t="str">
        <f ca="1">IF(AND(base_de_datos[[#This Row],[Innovación y Diseño]]&lt;&gt;"",base_de_datos[[#This Row],[Misma o no]]=1),base_de_datos[[#This Row],[Índice]],"")</f>
        <v/>
      </c>
      <c r="AS207" s="157" t="str">
        <f ca="1">IF(AND(base_de_datos[[#This Row],[Inteligencia Artificial]]&lt;&gt;"",base_de_datos[[#This Row],[Misma o no]]=1),base_de_datos[[#This Row],[Índice]],"")</f>
        <v/>
      </c>
      <c r="AT207" s="157">
        <f ca="1">IF(AND(base_de_datos[[#This Row],[Tecnologías Energéticas]]&lt;&gt;"",base_de_datos[[#This Row],[Misma o no]]=1),base_de_datos[[#This Row],[Índice]],"")</f>
        <v>2</v>
      </c>
      <c r="AU207" s="157" t="str">
        <f ca="1">IF(AND(base_de_datos[[#This Row],[Civil y Administración]]&lt;&gt;"",base_de_datos[[#This Row],[Misma o no]]=1),base_de_datos[[#This Row],[Índice]],"")</f>
        <v/>
      </c>
      <c r="AV207" s="157" t="str">
        <f ca="1">IF(AND(base_de_datos[[#This Row],[Bioelectrónica]]&lt;&gt;"",base_de_datos[[#This Row],[Misma o no]]=1),base_de_datos[[#This Row],[Índice]],"")</f>
        <v/>
      </c>
      <c r="AW207" s="158"/>
      <c r="AX207" s="231">
        <v>3</v>
      </c>
    </row>
    <row r="208" spans="1:221" ht="15">
      <c r="B208" s="148" t="s">
        <v>415</v>
      </c>
      <c r="C208" s="149" t="s">
        <v>416</v>
      </c>
      <c r="D208" s="150">
        <v>1</v>
      </c>
      <c r="E208" s="151">
        <v>0.70833333333333304</v>
      </c>
      <c r="F208" s="151">
        <v>0.79166666666665897</v>
      </c>
      <c r="G208" s="150"/>
      <c r="H208" s="150" t="s">
        <v>1</v>
      </c>
      <c r="I208" s="150">
        <f>INDEX(Aulas_capacidad,MATCH(base_de_datos[[#This Row],[Aula]],Aulas,0),2)</f>
        <v>30</v>
      </c>
      <c r="J208" s="152">
        <v>2</v>
      </c>
      <c r="K208" s="150">
        <f>INDEX(Aulas_capacidad,MATCH(base_de_datos[[#This Row],[Aula]],Aulas,0),4)</f>
        <v>0</v>
      </c>
      <c r="L208" s="153">
        <f>base_de_datos[[#This Row],[Cap 1.5]]-base_de_datos[[#This Row],[Inscritos]]</f>
        <v>-2</v>
      </c>
      <c r="M208" s="153">
        <f>INDEX(Aulas_capacidad,MATCH(base_de_datos[[#This Row],[Aula]],Aulas,0),5)</f>
        <v>0</v>
      </c>
      <c r="N208" s="153">
        <f>base_de_datos[[#This Row],[Cap .90]]-base_de_datos[[#This Row],[Inscritos]]</f>
        <v>-2</v>
      </c>
      <c r="O208" s="150" t="s">
        <v>417</v>
      </c>
      <c r="P208" s="154"/>
      <c r="Q208" s="154"/>
      <c r="R208" s="154" t="s">
        <v>67</v>
      </c>
      <c r="S208" s="154"/>
      <c r="T208" s="154"/>
      <c r="U208" s="154"/>
      <c r="V208" s="154"/>
      <c r="W208" s="154" t="s">
        <v>1655</v>
      </c>
      <c r="X208" s="155">
        <f>_xlfn.XLOOKUP(base_de_datos[[#This Row],[Materia]],Materias,Horas)/16</f>
        <v>4</v>
      </c>
      <c r="Y208" s="155">
        <f>ROUND(((base_de_datos[[#This Row],[Hora fin]]-base_de_datos[[#This Row],[Hora inicio]])*24)*(COUNTA(base_de_datos[[#This Row],[Lunes]:[Sábado]])),1)</f>
        <v>2</v>
      </c>
      <c r="Z208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8" s="155">
        <f ca="1">IF(base_de_datos[[#This Row],[No clase]]=OFFSET(base_de_datos[[#This Row],[No clase]],-1,0),0,1)</f>
        <v>0</v>
      </c>
      <c r="AB208" s="155">
        <f ca="1">IF(NOT(OR(base_de_datos[[#This Row],[Horas totales]]=base_de_datos[[#This Row],[HT Plan]],base_de_datos[[#This Row],[Horas totales]]="N/A")),1,0)</f>
        <v>0</v>
      </c>
      <c r="AC208" s="155" t="str">
        <f>_xlfn.XLOOKUP(base_de_datos[[#This Row],[Profesor]],Nombre,Grado)</f>
        <v>E</v>
      </c>
      <c r="AD208" s="156" t="str">
        <f>_xlfn.XLOOKUP(base_de_datos[[#This Row],[Profesor]],Nombre,Tipo)</f>
        <v>A</v>
      </c>
      <c r="AE208" s="155" t="str">
        <f>IF(IFERROR(VLOOKUP($C208,Planes_de_estudio[],MATCH($AE$2,Carreras,0)+2,0),"")&gt;0,IFERROR(VLOOKUP($C208,Planes_de_estudio[],MATCH($AE$2,Carreras,0)+2,0),""),"")</f>
        <v/>
      </c>
      <c r="AF208" s="155" t="str">
        <f>IF(IFERROR(VLOOKUP($C208,Planes_de_estudio[],MATCH($AF$2,Carreras,0)+2,0),"")&gt;0,IFERROR(VLOOKUP($C208,Planes_de_estudio[],MATCH($AF$2,Carreras,0)+2,0),""),"")</f>
        <v/>
      </c>
      <c r="AG208" s="155" t="str">
        <f>IF(IFERROR(VLOOKUP($C208,Planes_de_estudio[],MATCH($AG$2,Carreras,0)+2,0),"")&gt;0,IFERROR(VLOOKUP($C208,Planes_de_estudio[],MATCH($AG$2,Carreras,0)+2,0),""),"")</f>
        <v/>
      </c>
      <c r="AH208" s="155" t="str">
        <f>IF(IFERROR(VLOOKUP($C208,Planes_de_estudio[],MATCH($AH$2,Carreras,0)+2,0),"")&gt;0,IFERROR(VLOOKUP($C208,Planes_de_estudio[],MATCH($AH$2,Carreras,0)+2,0),""),"")</f>
        <v/>
      </c>
      <c r="AI208" s="155">
        <f>IF(IFERROR(VLOOKUP($C208,Planes_de_estudio[],MATCH($AI$2,Carreras,0)+2,0),"")&gt;0,IFERROR(VLOOKUP($C208,Planes_de_estudio[],MATCH($AI$2,Carreras,0)+2,0),""),"")</f>
        <v>7</v>
      </c>
      <c r="AJ208" s="155" t="str">
        <f>IF(IFERROR(VLOOKUP($C208,Planes_de_estudio[],MATCH($AJ$2,Carreras,0)+2,0),"")&gt;0,IFERROR(VLOOKUP($C208,Planes_de_estudio[],MATCH($AJ$2,Carreras,0)+2,0),""),"")</f>
        <v/>
      </c>
      <c r="AK208" s="155" t="str">
        <f>IF(IFERROR(VLOOKUP($C208,Planes_de_estudio[],MATCH($AK$2,Carreras,0)+2,0),"")&gt;0,IFERROR(VLOOKUP($C208,Planes_de_estudio[],MATCH($AK$2,Carreras,0)+2,0),""),"")</f>
        <v/>
      </c>
      <c r="AL20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</v>
      </c>
      <c r="AN208" s="155">
        <f>base_de_datos[[#This Row],[Pronóstico]]/25</f>
        <v>0.08</v>
      </c>
      <c r="AO208" s="155" t="str">
        <f>VLOOKUP($C208,Planes_de_estudio[],2)</f>
        <v>ETF</v>
      </c>
      <c r="AP208" s="157" t="str">
        <f ca="1">IF(AND(base_de_datos[[#This Row],[Industrial]]&lt;&gt;"",base_de_datos[[#This Row],[Misma o no]]=1),base_de_datos[[#This Row],[Índice]],"")</f>
        <v/>
      </c>
      <c r="AQ208" s="157" t="str">
        <f ca="1">IF(AND(base_de_datos[[#This Row],[Mecatrónica]]&lt;&gt;"",base_de_datos[[#This Row],[Misma o no]]=1),base_de_datos[[#This Row],[Índice]],"")</f>
        <v/>
      </c>
      <c r="AR208" s="157" t="str">
        <f ca="1">IF(AND(base_de_datos[[#This Row],[Innovación y Diseño]]&lt;&gt;"",base_de_datos[[#This Row],[Misma o no]]=1),base_de_datos[[#This Row],[Índice]],"")</f>
        <v/>
      </c>
      <c r="AS208" s="157" t="str">
        <f ca="1">IF(AND(base_de_datos[[#This Row],[Inteligencia Artificial]]&lt;&gt;"",base_de_datos[[#This Row],[Misma o no]]=1),base_de_datos[[#This Row],[Índice]],"")</f>
        <v/>
      </c>
      <c r="AT208" s="157" t="str">
        <f ca="1">IF(AND(base_de_datos[[#This Row],[Tecnologías Energéticas]]&lt;&gt;"",base_de_datos[[#This Row],[Misma o no]]=1),base_de_datos[[#This Row],[Índice]],"")</f>
        <v/>
      </c>
      <c r="AU208" s="157" t="str">
        <f ca="1">IF(AND(base_de_datos[[#This Row],[Civil y Administración]]&lt;&gt;"",base_de_datos[[#This Row],[Misma o no]]=1),base_de_datos[[#This Row],[Índice]],"")</f>
        <v/>
      </c>
      <c r="AV208" s="157" t="str">
        <f ca="1">IF(AND(base_de_datos[[#This Row],[Bioelectrónica]]&lt;&gt;"",base_de_datos[[#This Row],[Misma o no]]=1),base_de_datos[[#This Row],[Índice]],"")</f>
        <v/>
      </c>
      <c r="AW208" s="158"/>
      <c r="AX208" s="231">
        <v>3</v>
      </c>
    </row>
    <row r="209" spans="1:221" ht="15">
      <c r="B209" s="148" t="s">
        <v>418</v>
      </c>
      <c r="C209" s="149" t="s">
        <v>419</v>
      </c>
      <c r="D209" s="150">
        <v>1</v>
      </c>
      <c r="E209" s="151">
        <v>0.70833333333333304</v>
      </c>
      <c r="F209" s="151">
        <v>0.79166666666665897</v>
      </c>
      <c r="G209" s="218" t="s">
        <v>65</v>
      </c>
      <c r="H209" s="150" t="s">
        <v>325</v>
      </c>
      <c r="I209" s="150">
        <f>INDEX(Aulas_capacidad,MATCH(base_de_datos[[#This Row],[Aula]],Aulas,0),2)</f>
        <v>30</v>
      </c>
      <c r="J209" s="152">
        <v>6</v>
      </c>
      <c r="K209" s="150">
        <f>INDEX(Aulas_capacidad,MATCH(base_de_datos[[#This Row],[Aula]],Aulas,0),4)</f>
        <v>12</v>
      </c>
      <c r="L209" s="153">
        <f>base_de_datos[[#This Row],[Cap 1.5]]-base_de_datos[[#This Row],[Inscritos]]</f>
        <v>6</v>
      </c>
      <c r="M209" s="153">
        <f>INDEX(Aulas_capacidad,MATCH(base_de_datos[[#This Row],[Aula]],Aulas,0),5)</f>
        <v>18</v>
      </c>
      <c r="N209" s="153">
        <f>base_de_datos[[#This Row],[Cap .90]]-base_de_datos[[#This Row],[Inscritos]]</f>
        <v>12</v>
      </c>
      <c r="O209" s="150" t="s">
        <v>420</v>
      </c>
      <c r="P209" s="154"/>
      <c r="Q209" s="154" t="s">
        <v>67</v>
      </c>
      <c r="R209" s="154"/>
      <c r="S209" s="154"/>
      <c r="T209" s="154"/>
      <c r="U209" s="154"/>
      <c r="V209" s="154"/>
      <c r="W209" s="154" t="s">
        <v>1651</v>
      </c>
      <c r="X209" s="155">
        <f>_xlfn.XLOOKUP(base_de_datos[[#This Row],[Materia]],Materias,Horas)/16</f>
        <v>4</v>
      </c>
      <c r="Y209" s="155">
        <f>ROUND(((base_de_datos[[#This Row],[Hora fin]]-base_de_datos[[#This Row],[Hora inicio]])*24)*(COUNTA(base_de_datos[[#This Row],[Lunes]:[Sábado]])),1)</f>
        <v>2</v>
      </c>
      <c r="Z20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9" s="155">
        <f ca="1">IF(base_de_datos[[#This Row],[No clase]]=OFFSET(base_de_datos[[#This Row],[No clase]],-1,0),0,1)</f>
        <v>1</v>
      </c>
      <c r="AB209" s="155">
        <f ca="1">IF(NOT(OR(base_de_datos[[#This Row],[Horas totales]]=base_de_datos[[#This Row],[HT Plan]],base_de_datos[[#This Row],[Horas totales]]="N/A")),1,0)</f>
        <v>0</v>
      </c>
      <c r="AC209" s="155" t="str">
        <f>_xlfn.XLOOKUP(base_de_datos[[#This Row],[Profesor]],Nombre,Grado)</f>
        <v>M</v>
      </c>
      <c r="AD209" s="156" t="str">
        <f>_xlfn.XLOOKUP(base_de_datos[[#This Row],[Profesor]],Nombre,Tipo)</f>
        <v>TC</v>
      </c>
      <c r="AE209" s="155" t="str">
        <f>IF(IFERROR(VLOOKUP($C209,Planes_de_estudio[],MATCH($AE$2,Carreras,0)+2,0),"")&gt;0,IFERROR(VLOOKUP($C209,Planes_de_estudio[],MATCH($AE$2,Carreras,0)+2,0),""),"")</f>
        <v/>
      </c>
      <c r="AF209" s="155">
        <f>IF(IFERROR(VLOOKUP($C209,Planes_de_estudio[],MATCH($AF$2,Carreras,0)+2,0),"")&gt;0,IFERROR(VLOOKUP($C209,Planes_de_estudio[],MATCH($AF$2,Carreras,0)+2,0),""),"")</f>
        <v>7</v>
      </c>
      <c r="AG209" s="155" t="str">
        <f>IF(IFERROR(VLOOKUP($C209,Planes_de_estudio[],MATCH($AG$2,Carreras,0)+2,0),"")&gt;0,IFERROR(VLOOKUP($C209,Planes_de_estudio[],MATCH($AG$2,Carreras,0)+2,0),""),"")</f>
        <v/>
      </c>
      <c r="AH209" s="155" t="str">
        <f>IF(IFERROR(VLOOKUP($C209,Planes_de_estudio[],MATCH($AH$2,Carreras,0)+2,0),"")&gt;0,IFERROR(VLOOKUP($C209,Planes_de_estudio[],MATCH($AH$2,Carreras,0)+2,0),""),"")</f>
        <v/>
      </c>
      <c r="AI209" s="155" t="str">
        <f>IF(IFERROR(VLOOKUP($C209,Planes_de_estudio[],MATCH($AI$2,Carreras,0)+2,0),"")&gt;0,IFERROR(VLOOKUP($C209,Planes_de_estudio[],MATCH($AI$2,Carreras,0)+2,0),""),"")</f>
        <v/>
      </c>
      <c r="AJ209" s="155" t="str">
        <f>IF(IFERROR(VLOOKUP($C209,Planes_de_estudio[],MATCH($AJ$2,Carreras,0)+2,0),"")&gt;0,IFERROR(VLOOKUP($C209,Planes_de_estudio[],MATCH($AJ$2,Carreras,0)+2,0),""),"")</f>
        <v/>
      </c>
      <c r="AK209" s="155">
        <f>IF(IFERROR(VLOOKUP($C209,Planes_de_estudio[],MATCH($AK$2,Carreras,0)+2,0),"")&gt;0,IFERROR(VLOOKUP($C209,Planes_de_estudio[],MATCH($AK$2,Carreras,0)+2,0),""),"")</f>
        <v>7</v>
      </c>
      <c r="AL20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209" s="155">
        <f>base_de_datos[[#This Row],[Pronóstico]]/25</f>
        <v>0.88</v>
      </c>
      <c r="AO209" s="155" t="str">
        <f>VLOOKUP($C209,Planes_de_estudio[],2)</f>
        <v>EEC</v>
      </c>
      <c r="AP209" s="157" t="str">
        <f ca="1">IF(AND(base_de_datos[[#This Row],[Industrial]]&lt;&gt;"",base_de_datos[[#This Row],[Misma o no]]=1),base_de_datos[[#This Row],[Índice]],"")</f>
        <v/>
      </c>
      <c r="AQ209" s="157">
        <f ca="1">IF(AND(base_de_datos[[#This Row],[Mecatrónica]]&lt;&gt;"",base_de_datos[[#This Row],[Misma o no]]=1),base_de_datos[[#This Row],[Índice]],"")</f>
        <v>4</v>
      </c>
      <c r="AR209" s="157" t="str">
        <f ca="1">IF(AND(base_de_datos[[#This Row],[Innovación y Diseño]]&lt;&gt;"",base_de_datos[[#This Row],[Misma o no]]=1),base_de_datos[[#This Row],[Índice]],"")</f>
        <v/>
      </c>
      <c r="AS209" s="157" t="str">
        <f ca="1">IF(AND(base_de_datos[[#This Row],[Inteligencia Artificial]]&lt;&gt;"",base_de_datos[[#This Row],[Misma o no]]=1),base_de_datos[[#This Row],[Índice]],"")</f>
        <v/>
      </c>
      <c r="AT209" s="157" t="str">
        <f ca="1">IF(AND(base_de_datos[[#This Row],[Tecnologías Energéticas]]&lt;&gt;"",base_de_datos[[#This Row],[Misma o no]]=1),base_de_datos[[#This Row],[Índice]],"")</f>
        <v/>
      </c>
      <c r="AU209" s="157" t="str">
        <f ca="1">IF(AND(base_de_datos[[#This Row],[Civil y Administración]]&lt;&gt;"",base_de_datos[[#This Row],[Misma o no]]=1),base_de_datos[[#This Row],[Índice]],"")</f>
        <v/>
      </c>
      <c r="AV209" s="157">
        <f ca="1">IF(AND(base_de_datos[[#This Row],[Bioelectrónica]]&lt;&gt;"",base_de_datos[[#This Row],[Misma o no]]=1),base_de_datos[[#This Row],[Índice]],"")</f>
        <v>4</v>
      </c>
      <c r="AW209" s="158"/>
      <c r="AX209" s="231">
        <v>3</v>
      </c>
    </row>
    <row r="210" spans="1:221" ht="15">
      <c r="B210" s="148" t="s">
        <v>418</v>
      </c>
      <c r="C210" s="149" t="s">
        <v>419</v>
      </c>
      <c r="D210" s="150">
        <v>1</v>
      </c>
      <c r="E210" s="151">
        <v>0.70833333333333304</v>
      </c>
      <c r="F210" s="151">
        <v>0.79166666666665897</v>
      </c>
      <c r="G210" s="218" t="s">
        <v>65</v>
      </c>
      <c r="H210" s="150" t="s">
        <v>132</v>
      </c>
      <c r="I210" s="150">
        <f>INDEX(Aulas_capacidad,MATCH(base_de_datos[[#This Row],[Aula]],Aulas,0),2)</f>
        <v>30</v>
      </c>
      <c r="J210" s="152">
        <v>6</v>
      </c>
      <c r="K210" s="150">
        <f>INDEX(Aulas_capacidad,MATCH(base_de_datos[[#This Row],[Aula]],Aulas,0),4)</f>
        <v>12</v>
      </c>
      <c r="L210" s="153">
        <f>base_de_datos[[#This Row],[Cap 1.5]]-base_de_datos[[#This Row],[Inscritos]]</f>
        <v>6</v>
      </c>
      <c r="M210" s="153">
        <f>INDEX(Aulas_capacidad,MATCH(base_de_datos[[#This Row],[Aula]],Aulas,0),5)</f>
        <v>18</v>
      </c>
      <c r="N210" s="153">
        <f>base_de_datos[[#This Row],[Cap .90]]-base_de_datos[[#This Row],[Inscritos]]</f>
        <v>12</v>
      </c>
      <c r="O210" s="150" t="s">
        <v>420</v>
      </c>
      <c r="P210" s="154"/>
      <c r="Q210" s="154"/>
      <c r="R210" s="154"/>
      <c r="S210" s="154" t="s">
        <v>67</v>
      </c>
      <c r="T210" s="154"/>
      <c r="U210" s="154"/>
      <c r="V210" s="154"/>
      <c r="W210" s="154" t="s">
        <v>1651</v>
      </c>
      <c r="X210" s="155">
        <f>_xlfn.XLOOKUP(base_de_datos[[#This Row],[Materia]],Materias,Horas)/16</f>
        <v>4</v>
      </c>
      <c r="Y210" s="155">
        <f>ROUND(((base_de_datos[[#This Row],[Hora fin]]-base_de_datos[[#This Row],[Hora inicio]])*24)*(COUNTA(base_de_datos[[#This Row],[Lunes]:[Sábado]])),1)</f>
        <v>2</v>
      </c>
      <c r="Z21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0" s="155">
        <f ca="1">IF(base_de_datos[[#This Row],[No clase]]=OFFSET(base_de_datos[[#This Row],[No clase]],-1,0),0,1)</f>
        <v>0</v>
      </c>
      <c r="AB210" s="155">
        <f ca="1">IF(NOT(OR(base_de_datos[[#This Row],[Horas totales]]=base_de_datos[[#This Row],[HT Plan]],base_de_datos[[#This Row],[Horas totales]]="N/A")),1,0)</f>
        <v>0</v>
      </c>
      <c r="AC210" s="155" t="str">
        <f>_xlfn.XLOOKUP(base_de_datos[[#This Row],[Profesor]],Nombre,Grado)</f>
        <v>M</v>
      </c>
      <c r="AD210" s="156" t="str">
        <f>_xlfn.XLOOKUP(base_de_datos[[#This Row],[Profesor]],Nombre,Tipo)</f>
        <v>TC</v>
      </c>
      <c r="AE210" s="155" t="str">
        <f>IF(IFERROR(VLOOKUP($C210,Planes_de_estudio[],MATCH($AE$2,Carreras,0)+2,0),"")&gt;0,IFERROR(VLOOKUP($C210,Planes_de_estudio[],MATCH($AE$2,Carreras,0)+2,0),""),"")</f>
        <v/>
      </c>
      <c r="AF210" s="155">
        <f>IF(IFERROR(VLOOKUP($C210,Planes_de_estudio[],MATCH($AF$2,Carreras,0)+2,0),"")&gt;0,IFERROR(VLOOKUP($C210,Planes_de_estudio[],MATCH($AF$2,Carreras,0)+2,0),""),"")</f>
        <v>7</v>
      </c>
      <c r="AG210" s="155" t="str">
        <f>IF(IFERROR(VLOOKUP($C210,Planes_de_estudio[],MATCH($AG$2,Carreras,0)+2,0),"")&gt;0,IFERROR(VLOOKUP($C210,Planes_de_estudio[],MATCH($AG$2,Carreras,0)+2,0),""),"")</f>
        <v/>
      </c>
      <c r="AH210" s="155" t="str">
        <f>IF(IFERROR(VLOOKUP($C210,Planes_de_estudio[],MATCH($AH$2,Carreras,0)+2,0),"")&gt;0,IFERROR(VLOOKUP($C210,Planes_de_estudio[],MATCH($AH$2,Carreras,0)+2,0),""),"")</f>
        <v/>
      </c>
      <c r="AI210" s="155" t="str">
        <f>IF(IFERROR(VLOOKUP($C210,Planes_de_estudio[],MATCH($AI$2,Carreras,0)+2,0),"")&gt;0,IFERROR(VLOOKUP($C210,Planes_de_estudio[],MATCH($AI$2,Carreras,0)+2,0),""),"")</f>
        <v/>
      </c>
      <c r="AJ210" s="155" t="str">
        <f>IF(IFERROR(VLOOKUP($C210,Planes_de_estudio[],MATCH($AJ$2,Carreras,0)+2,0),"")&gt;0,IFERROR(VLOOKUP($C210,Planes_de_estudio[],MATCH($AJ$2,Carreras,0)+2,0),""),"")</f>
        <v/>
      </c>
      <c r="AK210" s="155">
        <f>IF(IFERROR(VLOOKUP($C210,Planes_de_estudio[],MATCH($AK$2,Carreras,0)+2,0),"")&gt;0,IFERROR(VLOOKUP($C210,Planes_de_estudio[],MATCH($AK$2,Carreras,0)+2,0),""),"")</f>
        <v>7</v>
      </c>
      <c r="AL21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210" s="155">
        <f>base_de_datos[[#This Row],[Pronóstico]]/25</f>
        <v>0.88</v>
      </c>
      <c r="AO210" s="155" t="str">
        <f>VLOOKUP($C210,Planes_de_estudio[],2)</f>
        <v>EEC</v>
      </c>
      <c r="AP210" s="157" t="str">
        <f ca="1">IF(AND(base_de_datos[[#This Row],[Industrial]]&lt;&gt;"",base_de_datos[[#This Row],[Misma o no]]=1),base_de_datos[[#This Row],[Índice]],"")</f>
        <v/>
      </c>
      <c r="AQ210" s="157" t="str">
        <f ca="1">IF(AND(base_de_datos[[#This Row],[Mecatrónica]]&lt;&gt;"",base_de_datos[[#This Row],[Misma o no]]=1),base_de_datos[[#This Row],[Índice]],"")</f>
        <v/>
      </c>
      <c r="AR210" s="157" t="str">
        <f ca="1">IF(AND(base_de_datos[[#This Row],[Innovación y Diseño]]&lt;&gt;"",base_de_datos[[#This Row],[Misma o no]]=1),base_de_datos[[#This Row],[Índice]],"")</f>
        <v/>
      </c>
      <c r="AS210" s="157" t="str">
        <f ca="1">IF(AND(base_de_datos[[#This Row],[Inteligencia Artificial]]&lt;&gt;"",base_de_datos[[#This Row],[Misma o no]]=1),base_de_datos[[#This Row],[Índice]],"")</f>
        <v/>
      </c>
      <c r="AT210" s="157" t="str">
        <f ca="1">IF(AND(base_de_datos[[#This Row],[Tecnologías Energéticas]]&lt;&gt;"",base_de_datos[[#This Row],[Misma o no]]=1),base_de_datos[[#This Row],[Índice]],"")</f>
        <v/>
      </c>
      <c r="AU210" s="157" t="str">
        <f ca="1">IF(AND(base_de_datos[[#This Row],[Civil y Administración]]&lt;&gt;"",base_de_datos[[#This Row],[Misma o no]]=1),base_de_datos[[#This Row],[Índice]],"")</f>
        <v/>
      </c>
      <c r="AV210" s="157" t="str">
        <f ca="1">IF(AND(base_de_datos[[#This Row],[Bioelectrónica]]&lt;&gt;"",base_de_datos[[#This Row],[Misma o no]]=1),base_de_datos[[#This Row],[Índice]],"")</f>
        <v/>
      </c>
      <c r="AW210" s="158"/>
      <c r="AX210" s="231">
        <v>3</v>
      </c>
    </row>
    <row r="211" spans="1:221" ht="15">
      <c r="B211" s="148" t="s">
        <v>421</v>
      </c>
      <c r="C211" s="149" t="s">
        <v>422</v>
      </c>
      <c r="D211" s="150">
        <v>1</v>
      </c>
      <c r="E211" s="151">
        <v>0.70833333333333304</v>
      </c>
      <c r="F211" s="151">
        <v>0.77083333333332604</v>
      </c>
      <c r="G211" s="218" t="s">
        <v>111</v>
      </c>
      <c r="H211" s="150" t="s">
        <v>78</v>
      </c>
      <c r="I211" s="150">
        <f>INDEX(Aulas_capacidad,MATCH(base_de_datos[[#This Row],[Aula]],Aulas,0),2)</f>
        <v>25</v>
      </c>
      <c r="J211" s="152">
        <v>20</v>
      </c>
      <c r="K211" s="150">
        <f>INDEX(Aulas_capacidad,MATCH(base_de_datos[[#This Row],[Aula]],Aulas,0),4)</f>
        <v>12</v>
      </c>
      <c r="L211" s="153">
        <f>base_de_datos[[#This Row],[Cap 1.5]]-base_de_datos[[#This Row],[Inscritos]]</f>
        <v>-8</v>
      </c>
      <c r="M211" s="153">
        <f>INDEX(Aulas_capacidad,MATCH(base_de_datos[[#This Row],[Aula]],Aulas,0),5)</f>
        <v>15</v>
      </c>
      <c r="N211" s="153">
        <f>base_de_datos[[#This Row],[Cap .90]]-base_de_datos[[#This Row],[Inscritos]]</f>
        <v>-5</v>
      </c>
      <c r="O211" s="150">
        <v>1570</v>
      </c>
      <c r="P211" s="154" t="s">
        <v>67</v>
      </c>
      <c r="Q211" s="154"/>
      <c r="R211" s="154"/>
      <c r="S211" s="154"/>
      <c r="T211" s="154"/>
      <c r="U211" s="154"/>
      <c r="V211" s="154"/>
      <c r="W211" s="154" t="s">
        <v>1655</v>
      </c>
      <c r="X211" s="155">
        <f>_xlfn.XLOOKUP(base_de_datos[[#This Row],[Materia]],Materias,Horas)/16</f>
        <v>3</v>
      </c>
      <c r="Y211" s="155">
        <f>ROUND(((base_de_datos[[#This Row],[Hora fin]]-base_de_datos[[#This Row],[Hora inicio]])*24)*(COUNTA(base_de_datos[[#This Row],[Lunes]:[Sábado]])),1)</f>
        <v>1.5</v>
      </c>
      <c r="Z21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1" s="155">
        <f ca="1">IF(base_de_datos[[#This Row],[No clase]]=OFFSET(base_de_datos[[#This Row],[No clase]],-1,0),0,1)</f>
        <v>1</v>
      </c>
      <c r="AB211" s="155">
        <f ca="1">IF(NOT(OR(base_de_datos[[#This Row],[Horas totales]]=base_de_datos[[#This Row],[HT Plan]],base_de_datos[[#This Row],[Horas totales]]="N/A")),1,0)</f>
        <v>0</v>
      </c>
      <c r="AC211" s="155" t="str">
        <f>_xlfn.XLOOKUP(base_de_datos[[#This Row],[Profesor]],Nombre,Grado)</f>
        <v>M</v>
      </c>
      <c r="AD211" s="156" t="str">
        <f>_xlfn.XLOOKUP(base_de_datos[[#This Row],[Profesor]],Nombre,Tipo)</f>
        <v>TC</v>
      </c>
      <c r="AE211" s="155">
        <f>IF(IFERROR(VLOOKUP($C211,Planes_de_estudio[],MATCH($AE$2,Carreras,0)+2,0),"")&gt;0,IFERROR(VLOOKUP($C211,Planes_de_estudio[],MATCH($AE$2,Carreras,0)+2,0),""),"")</f>
        <v>5</v>
      </c>
      <c r="AF211" s="155" t="str">
        <f>IF(IFERROR(VLOOKUP($C211,Planes_de_estudio[],MATCH($AF$2,Carreras,0)+2,0),"")&gt;0,IFERROR(VLOOKUP($C211,Planes_de_estudio[],MATCH($AF$2,Carreras,0)+2,0),""),"")</f>
        <v/>
      </c>
      <c r="AG211" s="155" t="str">
        <f>IF(IFERROR(VLOOKUP($C211,Planes_de_estudio[],MATCH($AG$2,Carreras,0)+2,0),"")&gt;0,IFERROR(VLOOKUP($C211,Planes_de_estudio[],MATCH($AG$2,Carreras,0)+2,0),""),"")</f>
        <v/>
      </c>
      <c r="AH211" s="155" t="str">
        <f>IF(IFERROR(VLOOKUP($C211,Planes_de_estudio[],MATCH($AH$2,Carreras,0)+2,0),"")&gt;0,IFERROR(VLOOKUP($C211,Planes_de_estudio[],MATCH($AH$2,Carreras,0)+2,0),""),"")</f>
        <v/>
      </c>
      <c r="AI211" s="155" t="str">
        <f>IF(IFERROR(VLOOKUP($C211,Planes_de_estudio[],MATCH($AI$2,Carreras,0)+2,0),"")&gt;0,IFERROR(VLOOKUP($C211,Planes_de_estudio[],MATCH($AI$2,Carreras,0)+2,0),""),"")</f>
        <v/>
      </c>
      <c r="AJ211" s="155" t="str">
        <f>IF(IFERROR(VLOOKUP($C211,Planes_de_estudio[],MATCH($AJ$2,Carreras,0)+2,0),"")&gt;0,IFERROR(VLOOKUP($C211,Planes_de_estudio[],MATCH($AJ$2,Carreras,0)+2,0),""),"")</f>
        <v/>
      </c>
      <c r="AK211" s="155" t="str">
        <f>IF(IFERROR(VLOOKUP($C211,Planes_de_estudio[],MATCH($AK$2,Carreras,0)+2,0),"")&gt;0,IFERROR(VLOOKUP($C211,Planes_de_estudio[],MATCH($AK$2,Carreras,0)+2,0),""),"")</f>
        <v/>
      </c>
      <c r="AL21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211" s="155">
        <f>base_de_datos[[#This Row],[Pronóstico]]/25</f>
        <v>0.76</v>
      </c>
      <c r="AO211" s="155" t="str">
        <f>VLOOKUP($C211,Planes_de_estudio[],2)</f>
        <v>EMP</v>
      </c>
      <c r="AP211" s="157">
        <f ca="1">IF(AND(base_de_datos[[#This Row],[Industrial]]&lt;&gt;"",base_de_datos[[#This Row],[Misma o no]]=1),base_de_datos[[#This Row],[Índice]],"")</f>
        <v>4</v>
      </c>
      <c r="AQ211" s="157" t="str">
        <f ca="1">IF(AND(base_de_datos[[#This Row],[Mecatrónica]]&lt;&gt;"",base_de_datos[[#This Row],[Misma o no]]=1),base_de_datos[[#This Row],[Índice]],"")</f>
        <v/>
      </c>
      <c r="AR211" s="157" t="str">
        <f ca="1">IF(AND(base_de_datos[[#This Row],[Innovación y Diseño]]&lt;&gt;"",base_de_datos[[#This Row],[Misma o no]]=1),base_de_datos[[#This Row],[Índice]],"")</f>
        <v/>
      </c>
      <c r="AS211" s="157" t="str">
        <f ca="1">IF(AND(base_de_datos[[#This Row],[Inteligencia Artificial]]&lt;&gt;"",base_de_datos[[#This Row],[Misma o no]]=1),base_de_datos[[#This Row],[Índice]],"")</f>
        <v/>
      </c>
      <c r="AT211" s="157" t="str">
        <f ca="1">IF(AND(base_de_datos[[#This Row],[Tecnologías Energéticas]]&lt;&gt;"",base_de_datos[[#This Row],[Misma o no]]=1),base_de_datos[[#This Row],[Índice]],"")</f>
        <v/>
      </c>
      <c r="AU211" s="157" t="str">
        <f ca="1">IF(AND(base_de_datos[[#This Row],[Civil y Administración]]&lt;&gt;"",base_de_datos[[#This Row],[Misma o no]]=1),base_de_datos[[#This Row],[Índice]],"")</f>
        <v/>
      </c>
      <c r="AV211" s="157" t="str">
        <f ca="1">IF(AND(base_de_datos[[#This Row],[Bioelectrónica]]&lt;&gt;"",base_de_datos[[#This Row],[Misma o no]]=1),base_de_datos[[#This Row],[Índice]],"")</f>
        <v/>
      </c>
      <c r="AW211" s="158"/>
      <c r="AX211" s="231">
        <v>2</v>
      </c>
    </row>
    <row r="212" spans="1:221" ht="15">
      <c r="B212" s="148" t="s">
        <v>421</v>
      </c>
      <c r="C212" s="149" t="s">
        <v>422</v>
      </c>
      <c r="D212" s="150">
        <v>1</v>
      </c>
      <c r="E212" s="151">
        <v>0.70833333333333304</v>
      </c>
      <c r="F212" s="151">
        <v>0.77083333333332604</v>
      </c>
      <c r="G212" s="218" t="s">
        <v>111</v>
      </c>
      <c r="H212" s="150" t="s">
        <v>206</v>
      </c>
      <c r="I212" s="150">
        <f>INDEX(Aulas_capacidad,MATCH(base_de_datos[[#This Row],[Aula]],Aulas,0),2)</f>
        <v>30</v>
      </c>
      <c r="J212" s="152">
        <v>20</v>
      </c>
      <c r="K212" s="150">
        <f>INDEX(Aulas_capacidad,MATCH(base_de_datos[[#This Row],[Aula]],Aulas,0),4)</f>
        <v>0</v>
      </c>
      <c r="L212" s="153">
        <f>base_de_datos[[#This Row],[Cap 1.5]]-base_de_datos[[#This Row],[Inscritos]]</f>
        <v>-20</v>
      </c>
      <c r="M212" s="153">
        <f>INDEX(Aulas_capacidad,MATCH(base_de_datos[[#This Row],[Aula]],Aulas,0),5)</f>
        <v>0</v>
      </c>
      <c r="N212" s="153">
        <f>base_de_datos[[#This Row],[Cap .90]]-base_de_datos[[#This Row],[Inscritos]]</f>
        <v>-20</v>
      </c>
      <c r="O212" s="150">
        <v>1570</v>
      </c>
      <c r="P212" s="154"/>
      <c r="Q212" s="154"/>
      <c r="R212" s="154" t="s">
        <v>67</v>
      </c>
      <c r="S212" s="154"/>
      <c r="T212" s="154"/>
      <c r="U212" s="154"/>
      <c r="V212" s="154"/>
      <c r="W212" s="154" t="s">
        <v>1655</v>
      </c>
      <c r="X212" s="174">
        <f>_xlfn.XLOOKUP(base_de_datos[[#This Row],[Materia]],Materias,Horas)/16</f>
        <v>3</v>
      </c>
      <c r="Y212" s="174">
        <f>ROUND(((base_de_datos[[#This Row],[Hora fin]]-base_de_datos[[#This Row],[Hora inicio]])*24)*(COUNTA(base_de_datos[[#This Row],[Lunes]:[Sábado]])),1)</f>
        <v>1.5</v>
      </c>
      <c r="Z212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2" s="155">
        <f ca="1">IF(base_de_datos[[#This Row],[No clase]]=OFFSET(base_de_datos[[#This Row],[No clase]],-1,0),0,1)</f>
        <v>0</v>
      </c>
      <c r="AB212" s="155">
        <f ca="1">IF(NOT(OR(base_de_datos[[#This Row],[Horas totales]]=base_de_datos[[#This Row],[HT Plan]],base_de_datos[[#This Row],[Horas totales]]="N/A")),1,0)</f>
        <v>0</v>
      </c>
      <c r="AC212" s="155" t="str">
        <f>_xlfn.XLOOKUP(base_de_datos[[#This Row],[Profesor]],Nombre,Grado)</f>
        <v>M</v>
      </c>
      <c r="AD212" s="156" t="str">
        <f>_xlfn.XLOOKUP(base_de_datos[[#This Row],[Profesor]],Nombre,Tipo)</f>
        <v>TC</v>
      </c>
      <c r="AE212" s="155">
        <f>IF(IFERROR(VLOOKUP($C212,Planes_de_estudio[],MATCH($AE$2,Carreras,0)+2,0),"")&gt;0,IFERROR(VLOOKUP($C212,Planes_de_estudio[],MATCH($AE$2,Carreras,0)+2,0),""),"")</f>
        <v>5</v>
      </c>
      <c r="AF212" s="155" t="str">
        <f>IF(IFERROR(VLOOKUP($C212,Planes_de_estudio[],MATCH($AF$2,Carreras,0)+2,0),"")&gt;0,IFERROR(VLOOKUP($C212,Planes_de_estudio[],MATCH($AF$2,Carreras,0)+2,0),""),"")</f>
        <v/>
      </c>
      <c r="AG212" s="155" t="str">
        <f>IF(IFERROR(VLOOKUP($C212,Planes_de_estudio[],MATCH($AG$2,Carreras,0)+2,0),"")&gt;0,IFERROR(VLOOKUP($C212,Planes_de_estudio[],MATCH($AG$2,Carreras,0)+2,0),""),"")</f>
        <v/>
      </c>
      <c r="AH212" s="155" t="str">
        <f>IF(IFERROR(VLOOKUP($C212,Planes_de_estudio[],MATCH($AH$2,Carreras,0)+2,0),"")&gt;0,IFERROR(VLOOKUP($C212,Planes_de_estudio[],MATCH($AH$2,Carreras,0)+2,0),""),"")</f>
        <v/>
      </c>
      <c r="AI212" s="155" t="str">
        <f>IF(IFERROR(VLOOKUP($C212,Planes_de_estudio[],MATCH($AI$2,Carreras,0)+2,0),"")&gt;0,IFERROR(VLOOKUP($C212,Planes_de_estudio[],MATCH($AI$2,Carreras,0)+2,0),""),"")</f>
        <v/>
      </c>
      <c r="AJ212" s="155" t="str">
        <f>IF(IFERROR(VLOOKUP($C212,Planes_de_estudio[],MATCH($AJ$2,Carreras,0)+2,0),"")&gt;0,IFERROR(VLOOKUP($C212,Planes_de_estudio[],MATCH($AJ$2,Carreras,0)+2,0),""),"")</f>
        <v/>
      </c>
      <c r="AK212" s="155" t="str">
        <f>IF(IFERROR(VLOOKUP($C212,Planes_de_estudio[],MATCH($AK$2,Carreras,0)+2,0),"")&gt;0,IFERROR(VLOOKUP($C212,Planes_de_estudio[],MATCH($AK$2,Carreras,0)+2,0),""),"")</f>
        <v/>
      </c>
      <c r="AL21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212" s="155">
        <f>base_de_datos[[#This Row],[Pronóstico]]/25</f>
        <v>0.76</v>
      </c>
      <c r="AO212" s="155" t="str">
        <f>VLOOKUP($C212,Planes_de_estudio[],2)</f>
        <v>EMP</v>
      </c>
      <c r="AP212" s="157" t="str">
        <f ca="1">IF(AND(base_de_datos[[#This Row],[Industrial]]&lt;&gt;"",base_de_datos[[#This Row],[Misma o no]]=1),base_de_datos[[#This Row],[Índice]],"")</f>
        <v/>
      </c>
      <c r="AQ212" s="157" t="str">
        <f ca="1">IF(AND(base_de_datos[[#This Row],[Mecatrónica]]&lt;&gt;"",base_de_datos[[#This Row],[Misma o no]]=1),base_de_datos[[#This Row],[Índice]],"")</f>
        <v/>
      </c>
      <c r="AR212" s="157" t="str">
        <f ca="1">IF(AND(base_de_datos[[#This Row],[Innovación y Diseño]]&lt;&gt;"",base_de_datos[[#This Row],[Misma o no]]=1),base_de_datos[[#This Row],[Índice]],"")</f>
        <v/>
      </c>
      <c r="AS212" s="157" t="str">
        <f ca="1">IF(AND(base_de_datos[[#This Row],[Inteligencia Artificial]]&lt;&gt;"",base_de_datos[[#This Row],[Misma o no]]=1),base_de_datos[[#This Row],[Índice]],"")</f>
        <v/>
      </c>
      <c r="AT212" s="157" t="str">
        <f ca="1">IF(AND(base_de_datos[[#This Row],[Tecnologías Energéticas]]&lt;&gt;"",base_de_datos[[#This Row],[Misma o no]]=1),base_de_datos[[#This Row],[Índice]],"")</f>
        <v/>
      </c>
      <c r="AU212" s="157" t="str">
        <f ca="1">IF(AND(base_de_datos[[#This Row],[Civil y Administración]]&lt;&gt;"",base_de_datos[[#This Row],[Misma o no]]=1),base_de_datos[[#This Row],[Índice]],"")</f>
        <v/>
      </c>
      <c r="AV212" s="157" t="str">
        <f ca="1">IF(AND(base_de_datos[[#This Row],[Bioelectrónica]]&lt;&gt;"",base_de_datos[[#This Row],[Misma o no]]=1),base_de_datos[[#This Row],[Índice]],"")</f>
        <v/>
      </c>
      <c r="AW212" s="158"/>
      <c r="AX212" s="231">
        <v>2</v>
      </c>
    </row>
    <row r="213" spans="1:221" s="164" customFormat="1" ht="15">
      <c r="A213" s="85"/>
      <c r="B213" s="148" t="s">
        <v>423</v>
      </c>
      <c r="C213" s="149" t="s">
        <v>424</v>
      </c>
      <c r="D213" s="150">
        <v>1</v>
      </c>
      <c r="E213" s="151">
        <v>0.29166666666666669</v>
      </c>
      <c r="F213" s="151">
        <v>0.374999999999999</v>
      </c>
      <c r="G213" s="150"/>
      <c r="H213" s="150" t="s">
        <v>1</v>
      </c>
      <c r="I213" s="150">
        <f>INDEX(Aulas_capacidad,MATCH(base_de_datos[[#This Row],[Aula]],Aulas,0),2)</f>
        <v>30</v>
      </c>
      <c r="J213" s="152">
        <v>4</v>
      </c>
      <c r="K213" s="150">
        <f>INDEX(Aulas_capacidad,MATCH(base_de_datos[[#This Row],[Aula]],Aulas,0),4)</f>
        <v>0</v>
      </c>
      <c r="L213" s="153">
        <f>base_de_datos[[#This Row],[Cap 1.5]]-base_de_datos[[#This Row],[Inscritos]]</f>
        <v>-4</v>
      </c>
      <c r="M213" s="153">
        <f>INDEX(Aulas_capacidad,MATCH(base_de_datos[[#This Row],[Aula]],Aulas,0),5)</f>
        <v>0</v>
      </c>
      <c r="N213" s="153">
        <f>base_de_datos[[#This Row],[Cap .90]]-base_de_datos[[#This Row],[Inscritos]]</f>
        <v>-4</v>
      </c>
      <c r="O213" s="150">
        <v>5821</v>
      </c>
      <c r="P213" s="154"/>
      <c r="Q213" s="154"/>
      <c r="R213" s="154"/>
      <c r="S213" s="154"/>
      <c r="T213" s="154" t="s">
        <v>67</v>
      </c>
      <c r="U213" s="154"/>
      <c r="V213" s="154"/>
      <c r="W213" s="154" t="s">
        <v>1652</v>
      </c>
      <c r="X213" s="155">
        <f>_xlfn.XLOOKUP(base_de_datos[[#This Row],[Materia]],Materias,Horas)/16</f>
        <v>2</v>
      </c>
      <c r="Y213" s="155">
        <f>ROUND(((base_de_datos[[#This Row],[Hora fin]]-base_de_datos[[#This Row],[Hora inicio]])*24)*(COUNTA(base_de_datos[[#This Row],[Lunes]:[Sábado]])),1)</f>
        <v>2</v>
      </c>
      <c r="Z213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3" s="155">
        <f ca="1">IF(base_de_datos[[#This Row],[No clase]]=OFFSET(base_de_datos[[#This Row],[No clase]],-1,0),0,1)</f>
        <v>1</v>
      </c>
      <c r="AB213" s="155">
        <f ca="1">IF(NOT(OR(base_de_datos[[#This Row],[Horas totales]]=base_de_datos[[#This Row],[HT Plan]],base_de_datos[[#This Row],[Horas totales]]="N/A")),1,0)</f>
        <v>0</v>
      </c>
      <c r="AC213" s="155" t="str">
        <f>_xlfn.XLOOKUP(base_de_datos[[#This Row],[Profesor]],Nombre,Grado)</f>
        <v>E</v>
      </c>
      <c r="AD213" s="156" t="str">
        <f>_xlfn.XLOOKUP(base_de_datos[[#This Row],[Profesor]],Nombre,Tipo)</f>
        <v>A</v>
      </c>
      <c r="AE213" s="155" t="str">
        <f>IF(IFERROR(VLOOKUP($C213,Planes_de_estudio[],MATCH($AE$2,Carreras,0)+2,0),"")&gt;0,IFERROR(VLOOKUP($C213,Planes_de_estudio[],MATCH($AE$2,Carreras,0)+2,0),""),"")</f>
        <v/>
      </c>
      <c r="AF213" s="155" t="str">
        <f>IF(IFERROR(VLOOKUP($C213,Planes_de_estudio[],MATCH($AF$2,Carreras,0)+2,0),"")&gt;0,IFERROR(VLOOKUP($C213,Planes_de_estudio[],MATCH($AF$2,Carreras,0)+2,0),""),"")</f>
        <v/>
      </c>
      <c r="AG213" s="155" t="str">
        <f>IF(IFERROR(VLOOKUP($C213,Planes_de_estudio[],MATCH($AG$2,Carreras,0)+2,0),"")&gt;0,IFERROR(VLOOKUP($C213,Planes_de_estudio[],MATCH($AG$2,Carreras,0)+2,0),""),"")</f>
        <v/>
      </c>
      <c r="AH213" s="155" t="str">
        <f>IF(IFERROR(VLOOKUP($C213,Planes_de_estudio[],MATCH($AH$2,Carreras,0)+2,0),"")&gt;0,IFERROR(VLOOKUP($C213,Planes_de_estudio[],MATCH($AH$2,Carreras,0)+2,0),""),"")</f>
        <v/>
      </c>
      <c r="AI213" s="155">
        <f>IF(IFERROR(VLOOKUP($C213,Planes_de_estudio[],MATCH($AI$2,Carreras,0)+2,0),"")&gt;0,IFERROR(VLOOKUP($C213,Planes_de_estudio[],MATCH($AI$2,Carreras,0)+2,0),""),"")</f>
        <v>1</v>
      </c>
      <c r="AJ213" s="155" t="str">
        <f>IF(IFERROR(VLOOKUP($C213,Planes_de_estudio[],MATCH($AJ$2,Carreras,0)+2,0),"")&gt;0,IFERROR(VLOOKUP($C213,Planes_de_estudio[],MATCH($AJ$2,Carreras,0)+2,0),""),"")</f>
        <v/>
      </c>
      <c r="AK213" s="155" t="str">
        <f>IF(IFERROR(VLOOKUP($C213,Planes_de_estudio[],MATCH($AK$2,Carreras,0)+2,0),"")&gt;0,IFERROR(VLOOKUP($C213,Planes_de_estudio[],MATCH($AK$2,Carreras,0)+2,0),""),"")</f>
        <v/>
      </c>
      <c r="AL21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</v>
      </c>
      <c r="AN213" s="155">
        <f>base_de_datos[[#This Row],[Pronóstico]]/25</f>
        <v>0.2</v>
      </c>
      <c r="AO213" s="155" t="str">
        <f>VLOOKUP($C213,Planes_de_estudio[],2)</f>
        <v>IID</v>
      </c>
      <c r="AP213" s="157" t="str">
        <f ca="1">IF(AND(base_de_datos[[#This Row],[Industrial]]&lt;&gt;"",base_de_datos[[#This Row],[Misma o no]]=1),base_de_datos[[#This Row],[Índice]],"")</f>
        <v/>
      </c>
      <c r="AQ213" s="157" t="str">
        <f ca="1">IF(AND(base_de_datos[[#This Row],[Mecatrónica]]&lt;&gt;"",base_de_datos[[#This Row],[Misma o no]]=1),base_de_datos[[#This Row],[Índice]],"")</f>
        <v/>
      </c>
      <c r="AR213" s="157" t="str">
        <f ca="1">IF(AND(base_de_datos[[#This Row],[Innovación y Diseño]]&lt;&gt;"",base_de_datos[[#This Row],[Misma o no]]=1),base_de_datos[[#This Row],[Índice]],"")</f>
        <v/>
      </c>
      <c r="AS213" s="157" t="str">
        <f ca="1">IF(AND(base_de_datos[[#This Row],[Inteligencia Artificial]]&lt;&gt;"",base_de_datos[[#This Row],[Misma o no]]=1),base_de_datos[[#This Row],[Índice]],"")</f>
        <v/>
      </c>
      <c r="AT213" s="157">
        <f ca="1">IF(AND(base_de_datos[[#This Row],[Tecnologías Energéticas]]&lt;&gt;"",base_de_datos[[#This Row],[Misma o no]]=1),base_de_datos[[#This Row],[Índice]],"")</f>
        <v>2</v>
      </c>
      <c r="AU213" s="157" t="str">
        <f ca="1">IF(AND(base_de_datos[[#This Row],[Civil y Administración]]&lt;&gt;"",base_de_datos[[#This Row],[Misma o no]]=1),base_de_datos[[#This Row],[Índice]],"")</f>
        <v/>
      </c>
      <c r="AV213" s="157" t="str">
        <f ca="1">IF(AND(base_de_datos[[#This Row],[Bioelectrónica]]&lt;&gt;"",base_de_datos[[#This Row],[Misma o no]]=1),base_de_datos[[#This Row],[Índice]],"")</f>
        <v/>
      </c>
      <c r="AW213" s="158"/>
      <c r="AX213" s="231">
        <v>2</v>
      </c>
      <c r="AY213" s="85"/>
      <c r="AZ213" s="85"/>
      <c r="BA213" s="85"/>
      <c r="BB213" s="85"/>
      <c r="BC213" s="85"/>
      <c r="BD213" s="85"/>
      <c r="BE213" s="85"/>
      <c r="BF213" s="85"/>
      <c r="BG213" s="85"/>
      <c r="BH213" s="85"/>
      <c r="BI213" s="85"/>
      <c r="BJ213" s="85"/>
      <c r="BK213" s="85"/>
      <c r="BL213" s="85"/>
      <c r="BM213" s="85"/>
      <c r="BN213" s="85"/>
      <c r="BO213" s="85"/>
      <c r="BP213" s="85"/>
      <c r="BQ213" s="85"/>
      <c r="BR213" s="85"/>
      <c r="BS213" s="85"/>
      <c r="BT213" s="85"/>
      <c r="BU213" s="85"/>
      <c r="BV213" s="85"/>
      <c r="BW213" s="85"/>
      <c r="BX213" s="85"/>
      <c r="BY213" s="85"/>
      <c r="BZ213" s="85"/>
      <c r="CA213" s="85"/>
      <c r="CB213" s="85"/>
      <c r="CC213" s="85"/>
      <c r="CD213" s="85"/>
      <c r="CE213" s="85"/>
      <c r="CF213" s="85"/>
      <c r="CG213" s="85"/>
      <c r="CH213" s="85"/>
      <c r="CI213" s="85"/>
      <c r="CJ213" s="85"/>
      <c r="CK213" s="85"/>
      <c r="CL213" s="85"/>
      <c r="CM213" s="85"/>
      <c r="CN213" s="85"/>
      <c r="CO213" s="85"/>
      <c r="CP213" s="85"/>
      <c r="CQ213" s="85"/>
      <c r="CR213" s="85"/>
      <c r="CS213" s="85"/>
      <c r="CT213" s="85"/>
      <c r="CU213" s="85"/>
      <c r="CV213" s="85"/>
      <c r="CW213" s="85"/>
      <c r="CX213" s="85"/>
      <c r="CY213" s="85"/>
      <c r="CZ213" s="85"/>
      <c r="DA213" s="85"/>
      <c r="DB213" s="85"/>
      <c r="DC213" s="85"/>
      <c r="DD213" s="85"/>
      <c r="DE213" s="85"/>
      <c r="DF213" s="85"/>
      <c r="DG213" s="85"/>
      <c r="DH213" s="85"/>
      <c r="DI213" s="85"/>
      <c r="DJ213" s="85"/>
      <c r="DK213" s="85"/>
      <c r="DL213" s="85"/>
      <c r="DM213" s="85"/>
      <c r="DN213" s="85"/>
      <c r="DO213" s="85"/>
      <c r="DP213" s="85"/>
      <c r="DQ213" s="85"/>
      <c r="DR213" s="85"/>
      <c r="DS213" s="85"/>
      <c r="DT213" s="85"/>
      <c r="DU213" s="85"/>
      <c r="DV213" s="85"/>
      <c r="DW213" s="85"/>
      <c r="DX213" s="85"/>
      <c r="DY213" s="85"/>
      <c r="DZ213" s="85"/>
      <c r="EA213" s="85"/>
      <c r="EB213" s="85"/>
      <c r="EC213" s="85"/>
      <c r="ED213" s="85"/>
      <c r="EE213" s="85"/>
      <c r="EF213" s="85"/>
      <c r="EG213" s="85"/>
      <c r="EH213" s="85"/>
      <c r="EI213" s="85"/>
      <c r="EJ213" s="85"/>
      <c r="EK213" s="85"/>
      <c r="EL213" s="85"/>
      <c r="EM213" s="85"/>
      <c r="EN213" s="85"/>
      <c r="EO213" s="85"/>
      <c r="EP213" s="85"/>
      <c r="EQ213" s="85"/>
      <c r="ER213" s="85"/>
      <c r="ES213" s="85"/>
      <c r="ET213" s="85"/>
      <c r="EU213" s="85"/>
      <c r="EV213" s="85"/>
      <c r="EW213" s="85"/>
      <c r="EX213" s="85"/>
      <c r="EY213" s="85"/>
      <c r="EZ213" s="85"/>
      <c r="FA213" s="85"/>
      <c r="FB213" s="85"/>
      <c r="FC213" s="85"/>
      <c r="FD213" s="85"/>
      <c r="FE213" s="85"/>
      <c r="FF213" s="85"/>
      <c r="FG213" s="85"/>
      <c r="FH213" s="85"/>
      <c r="FI213" s="85"/>
      <c r="FJ213" s="85"/>
      <c r="FK213" s="85"/>
      <c r="FL213" s="85"/>
      <c r="FM213" s="85"/>
      <c r="FN213" s="85"/>
      <c r="FO213" s="85"/>
      <c r="FP213" s="85"/>
      <c r="FQ213" s="85"/>
      <c r="FR213" s="85"/>
      <c r="FS213" s="85"/>
      <c r="FT213" s="85"/>
      <c r="FU213" s="85"/>
      <c r="FV213" s="85"/>
      <c r="FW213" s="85"/>
      <c r="FX213" s="85"/>
      <c r="FY213" s="85"/>
      <c r="FZ213" s="85"/>
      <c r="GA213" s="85"/>
      <c r="GB213" s="85"/>
      <c r="GC213" s="85"/>
      <c r="GD213" s="85"/>
      <c r="GE213" s="85"/>
      <c r="GF213" s="85"/>
      <c r="GG213" s="85"/>
      <c r="GH213" s="85"/>
      <c r="GI213" s="85"/>
      <c r="GJ213" s="85"/>
      <c r="GK213" s="85"/>
      <c r="GL213" s="85"/>
      <c r="GM213" s="85"/>
      <c r="GN213" s="85"/>
      <c r="GO213" s="85"/>
      <c r="GP213" s="85"/>
      <c r="GQ213" s="85"/>
      <c r="GR213" s="85"/>
      <c r="GS213" s="85"/>
      <c r="GT213" s="85"/>
      <c r="GU213" s="85"/>
      <c r="GV213" s="85"/>
      <c r="GW213" s="85"/>
      <c r="GX213" s="85"/>
      <c r="GY213" s="85"/>
      <c r="GZ213" s="85"/>
      <c r="HA213" s="85"/>
      <c r="HB213" s="85"/>
      <c r="HC213" s="85"/>
      <c r="HD213" s="85"/>
      <c r="HE213" s="85"/>
      <c r="HF213" s="85"/>
      <c r="HG213" s="85"/>
      <c r="HH213" s="85"/>
      <c r="HI213" s="85"/>
      <c r="HJ213" s="85"/>
      <c r="HK213" s="85"/>
      <c r="HL213" s="85"/>
      <c r="HM213" s="85"/>
    </row>
    <row r="214" spans="1:221" ht="15">
      <c r="B214" s="148" t="s">
        <v>425</v>
      </c>
      <c r="C214" s="149" t="s">
        <v>426</v>
      </c>
      <c r="D214" s="150">
        <v>1</v>
      </c>
      <c r="E214" s="151">
        <v>0.79166666666666696</v>
      </c>
      <c r="F214" s="151">
        <v>0.87499999999999001</v>
      </c>
      <c r="G214" s="150"/>
      <c r="H214" s="150" t="s">
        <v>325</v>
      </c>
      <c r="I214" s="150">
        <f>INDEX(Aulas_capacidad,MATCH(base_de_datos[[#This Row],[Aula]],Aulas,0),2)</f>
        <v>30</v>
      </c>
      <c r="J214" s="152">
        <v>6</v>
      </c>
      <c r="K214" s="150">
        <f>INDEX(Aulas_capacidad,MATCH(base_de_datos[[#This Row],[Aula]],Aulas,0),4)</f>
        <v>12</v>
      </c>
      <c r="L214" s="153">
        <f>base_de_datos[[#This Row],[Cap 1.5]]-base_de_datos[[#This Row],[Inscritos]]</f>
        <v>6</v>
      </c>
      <c r="M214" s="153">
        <f>INDEX(Aulas_capacidad,MATCH(base_de_datos[[#This Row],[Aula]],Aulas,0),5)</f>
        <v>18</v>
      </c>
      <c r="N214" s="153">
        <f>base_de_datos[[#This Row],[Cap .90]]-base_de_datos[[#This Row],[Inscritos]]</f>
        <v>12</v>
      </c>
      <c r="O214" s="150" t="s">
        <v>427</v>
      </c>
      <c r="P214" s="154"/>
      <c r="Q214" s="154" t="s">
        <v>67</v>
      </c>
      <c r="R214" s="154"/>
      <c r="S214" s="154"/>
      <c r="T214" s="154"/>
      <c r="U214" s="154"/>
      <c r="V214" s="154"/>
      <c r="W214" s="154" t="s">
        <v>1652</v>
      </c>
      <c r="X214" s="155">
        <f>_xlfn.XLOOKUP(base_de_datos[[#This Row],[Materia]],Materias,Horas)/16</f>
        <v>4</v>
      </c>
      <c r="Y214" s="155">
        <f>ROUND(((base_de_datos[[#This Row],[Hora fin]]-base_de_datos[[#This Row],[Hora inicio]])*24)*(COUNTA(base_de_datos[[#This Row],[Lunes]:[Sábado]])),1)</f>
        <v>2</v>
      </c>
      <c r="Z21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4" s="155">
        <f ca="1">IF(base_de_datos[[#This Row],[No clase]]=OFFSET(base_de_datos[[#This Row],[No clase]],-1,0),0,1)</f>
        <v>1</v>
      </c>
      <c r="AB214" s="155">
        <f ca="1">IF(NOT(OR(base_de_datos[[#This Row],[Horas totales]]=base_de_datos[[#This Row],[HT Plan]],base_de_datos[[#This Row],[Horas totales]]="N/A")),1,0)</f>
        <v>0</v>
      </c>
      <c r="AC214" s="155" t="str">
        <f>_xlfn.XLOOKUP(base_de_datos[[#This Row],[Profesor]],Nombre,Grado)</f>
        <v>D</v>
      </c>
      <c r="AD214" s="156" t="str">
        <f>_xlfn.XLOOKUP(base_de_datos[[#This Row],[Profesor]],Nombre,Tipo)</f>
        <v>A</v>
      </c>
      <c r="AE214" s="155" t="str">
        <f>IF(IFERROR(VLOOKUP($C214,Planes_de_estudio[],MATCH($AE$2,Carreras,0)+2,0),"")&gt;0,IFERROR(VLOOKUP($C214,Planes_de_estudio[],MATCH($AE$2,Carreras,0)+2,0),""),"")</f>
        <v/>
      </c>
      <c r="AF214" s="155">
        <f>IF(IFERROR(VLOOKUP($C214,Planes_de_estudio[],MATCH($AF$2,Carreras,0)+2,0),"")&gt;0,IFERROR(VLOOKUP($C214,Planes_de_estudio[],MATCH($AF$2,Carreras,0)+2,0),""),"")</f>
        <v>4</v>
      </c>
      <c r="AG214" s="155" t="str">
        <f>IF(IFERROR(VLOOKUP($C214,Planes_de_estudio[],MATCH($AG$2,Carreras,0)+2,0),"")&gt;0,IFERROR(VLOOKUP($C214,Planes_de_estudio[],MATCH($AG$2,Carreras,0)+2,0),""),"")</f>
        <v/>
      </c>
      <c r="AH214" s="155" t="str">
        <f>IF(IFERROR(VLOOKUP($C214,Planes_de_estudio[],MATCH($AH$2,Carreras,0)+2,0),"")&gt;0,IFERROR(VLOOKUP($C214,Planes_de_estudio[],MATCH($AH$2,Carreras,0)+2,0),""),"")</f>
        <v/>
      </c>
      <c r="AI214" s="155">
        <f>IF(IFERROR(VLOOKUP($C214,Planes_de_estudio[],MATCH($AI$2,Carreras,0)+2,0),"")&gt;0,IFERROR(VLOOKUP($C214,Planes_de_estudio[],MATCH($AI$2,Carreras,0)+2,0),""),"")</f>
        <v>5</v>
      </c>
      <c r="AJ214" s="155" t="str">
        <f>IF(IFERROR(VLOOKUP($C214,Planes_de_estudio[],MATCH($AJ$2,Carreras,0)+2,0),"")&gt;0,IFERROR(VLOOKUP($C214,Planes_de_estudio[],MATCH($AJ$2,Carreras,0)+2,0),""),"")</f>
        <v/>
      </c>
      <c r="AK214" s="155">
        <f>IF(IFERROR(VLOOKUP($C214,Planes_de_estudio[],MATCH($AK$2,Carreras,0)+2,0),"")&gt;0,IFERROR(VLOOKUP($C214,Planes_de_estudio[],MATCH($AK$2,Carreras,0)+2,0),""),"")</f>
        <v>4</v>
      </c>
      <c r="AL21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214" s="155">
        <f>base_de_datos[[#This Row],[Pronóstico]]/25</f>
        <v>0.24</v>
      </c>
      <c r="AO214" s="155" t="str">
        <f>VLOOKUP($C214,Planes_de_estudio[],2)</f>
        <v>EEC</v>
      </c>
      <c r="AP214" s="157" t="str">
        <f ca="1">IF(AND(base_de_datos[[#This Row],[Industrial]]&lt;&gt;"",base_de_datos[[#This Row],[Misma o no]]=1),base_de_datos[[#This Row],[Índice]],"")</f>
        <v/>
      </c>
      <c r="AQ214" s="157">
        <f ca="1">IF(AND(base_de_datos[[#This Row],[Mecatrónica]]&lt;&gt;"",base_de_datos[[#This Row],[Misma o no]]=1),base_de_datos[[#This Row],[Índice]],"")</f>
        <v>6</v>
      </c>
      <c r="AR214" s="157" t="str">
        <f ca="1">IF(AND(base_de_datos[[#This Row],[Innovación y Diseño]]&lt;&gt;"",base_de_datos[[#This Row],[Misma o no]]=1),base_de_datos[[#This Row],[Índice]],"")</f>
        <v/>
      </c>
      <c r="AS214" s="157" t="str">
        <f ca="1">IF(AND(base_de_datos[[#This Row],[Inteligencia Artificial]]&lt;&gt;"",base_de_datos[[#This Row],[Misma o no]]=1),base_de_datos[[#This Row],[Índice]],"")</f>
        <v/>
      </c>
      <c r="AT214" s="157">
        <f ca="1">IF(AND(base_de_datos[[#This Row],[Tecnologías Energéticas]]&lt;&gt;"",base_de_datos[[#This Row],[Misma o no]]=1),base_de_datos[[#This Row],[Índice]],"")</f>
        <v>6</v>
      </c>
      <c r="AU214" s="157" t="str">
        <f ca="1">IF(AND(base_de_datos[[#This Row],[Civil y Administración]]&lt;&gt;"",base_de_datos[[#This Row],[Misma o no]]=1),base_de_datos[[#This Row],[Índice]],"")</f>
        <v/>
      </c>
      <c r="AV214" s="157">
        <f ca="1">IF(AND(base_de_datos[[#This Row],[Bioelectrónica]]&lt;&gt;"",base_de_datos[[#This Row],[Misma o no]]=1),base_de_datos[[#This Row],[Índice]],"")</f>
        <v>6</v>
      </c>
      <c r="AW214" s="158"/>
      <c r="AX214" s="231">
        <v>2</v>
      </c>
    </row>
    <row r="215" spans="1:221" ht="15">
      <c r="B215" s="148" t="s">
        <v>425</v>
      </c>
      <c r="C215" s="149" t="s">
        <v>426</v>
      </c>
      <c r="D215" s="150"/>
      <c r="E215" s="151">
        <v>0.66666666666666696</v>
      </c>
      <c r="F215" s="151">
        <v>0.74999999999999301</v>
      </c>
      <c r="G215" s="150"/>
      <c r="H215" s="150" t="s">
        <v>319</v>
      </c>
      <c r="I215" s="150">
        <f>INDEX(Aulas_capacidad,MATCH(base_de_datos[[#This Row],[Aula]],Aulas,0),2)</f>
        <v>20</v>
      </c>
      <c r="J215" s="152">
        <v>6</v>
      </c>
      <c r="K215" s="150">
        <f>INDEX(Aulas_capacidad,MATCH(base_de_datos[[#This Row],[Aula]],Aulas,0),4)</f>
        <v>10</v>
      </c>
      <c r="L215" s="153">
        <f>base_de_datos[[#This Row],[Cap 1.5]]-base_de_datos[[#This Row],[Inscritos]]</f>
        <v>4</v>
      </c>
      <c r="M215" s="153">
        <f>INDEX(Aulas_capacidad,MATCH(base_de_datos[[#This Row],[Aula]],Aulas,0),5)</f>
        <v>15</v>
      </c>
      <c r="N215" s="153">
        <f>base_de_datos[[#This Row],[Cap .90]]-base_de_datos[[#This Row],[Inscritos]]</f>
        <v>9</v>
      </c>
      <c r="O215" s="150" t="s">
        <v>427</v>
      </c>
      <c r="P215" s="154"/>
      <c r="Q215" s="154"/>
      <c r="R215" s="154"/>
      <c r="S215" s="154"/>
      <c r="T215" s="154" t="s">
        <v>67</v>
      </c>
      <c r="U215" s="154"/>
      <c r="V215" s="154"/>
      <c r="W215" s="154" t="s">
        <v>1652</v>
      </c>
      <c r="X215" s="155">
        <f>_xlfn.XLOOKUP(base_de_datos[[#This Row],[Materia]],Materias,Horas)/16</f>
        <v>4</v>
      </c>
      <c r="Y215" s="155">
        <f>ROUND(((base_de_datos[[#This Row],[Hora fin]]-base_de_datos[[#This Row],[Hora inicio]])*24)*(COUNTA(base_de_datos[[#This Row],[Lunes]:[Sábado]])),1)</f>
        <v>2</v>
      </c>
      <c r="Z21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5" s="155">
        <f ca="1">IF(base_de_datos[[#This Row],[No clase]]=OFFSET(base_de_datos[[#This Row],[No clase]],-1,0),0,1)</f>
        <v>0</v>
      </c>
      <c r="AB215" s="155">
        <f ca="1">IF(NOT(OR(base_de_datos[[#This Row],[Horas totales]]=base_de_datos[[#This Row],[HT Plan]],base_de_datos[[#This Row],[Horas totales]]="N/A")),1,0)</f>
        <v>0</v>
      </c>
      <c r="AC215" s="155" t="str">
        <f>_xlfn.XLOOKUP(base_de_datos[[#This Row],[Profesor]],Nombre,Grado)</f>
        <v>D</v>
      </c>
      <c r="AD215" s="156" t="str">
        <f>_xlfn.XLOOKUP(base_de_datos[[#This Row],[Profesor]],Nombre,Tipo)</f>
        <v>A</v>
      </c>
      <c r="AE215" s="155" t="str">
        <f>IF(IFERROR(VLOOKUP($C215,Planes_de_estudio[],MATCH($AE$2,Carreras,0)+2,0),"")&gt;0,IFERROR(VLOOKUP($C215,Planes_de_estudio[],MATCH($AE$2,Carreras,0)+2,0),""),"")</f>
        <v/>
      </c>
      <c r="AF215" s="155">
        <f>IF(IFERROR(VLOOKUP($C215,Planes_de_estudio[],MATCH($AF$2,Carreras,0)+2,0),"")&gt;0,IFERROR(VLOOKUP($C215,Planes_de_estudio[],MATCH($AF$2,Carreras,0)+2,0),""),"")</f>
        <v>4</v>
      </c>
      <c r="AG215" s="155" t="str">
        <f>IF(IFERROR(VLOOKUP($C215,Planes_de_estudio[],MATCH($AG$2,Carreras,0)+2,0),"")&gt;0,IFERROR(VLOOKUP($C215,Planes_de_estudio[],MATCH($AG$2,Carreras,0)+2,0),""),"")</f>
        <v/>
      </c>
      <c r="AH215" s="155" t="str">
        <f>IF(IFERROR(VLOOKUP($C215,Planes_de_estudio[],MATCH($AH$2,Carreras,0)+2,0),"")&gt;0,IFERROR(VLOOKUP($C215,Planes_de_estudio[],MATCH($AH$2,Carreras,0)+2,0),""),"")</f>
        <v/>
      </c>
      <c r="AI215" s="155">
        <f>IF(IFERROR(VLOOKUP($C215,Planes_de_estudio[],MATCH($AI$2,Carreras,0)+2,0),"")&gt;0,IFERROR(VLOOKUP($C215,Planes_de_estudio[],MATCH($AI$2,Carreras,0)+2,0),""),"")</f>
        <v>5</v>
      </c>
      <c r="AJ215" s="155" t="str">
        <f>IF(IFERROR(VLOOKUP($C215,Planes_de_estudio[],MATCH($AJ$2,Carreras,0)+2,0),"")&gt;0,IFERROR(VLOOKUP($C215,Planes_de_estudio[],MATCH($AJ$2,Carreras,0)+2,0),""),"")</f>
        <v/>
      </c>
      <c r="AK215" s="155">
        <f>IF(IFERROR(VLOOKUP($C215,Planes_de_estudio[],MATCH($AK$2,Carreras,0)+2,0),"")&gt;0,IFERROR(VLOOKUP($C215,Planes_de_estudio[],MATCH($AK$2,Carreras,0)+2,0),""),"")</f>
        <v>4</v>
      </c>
      <c r="AL21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215" s="155">
        <f>base_de_datos[[#This Row],[Pronóstico]]/25</f>
        <v>0.24</v>
      </c>
      <c r="AO215" s="155" t="str">
        <f>VLOOKUP($C215,Planes_de_estudio[],2)</f>
        <v>EEC</v>
      </c>
      <c r="AP215" s="157" t="str">
        <f ca="1">IF(AND(base_de_datos[[#This Row],[Industrial]]&lt;&gt;"",base_de_datos[[#This Row],[Misma o no]]=1),base_de_datos[[#This Row],[Índice]],"")</f>
        <v/>
      </c>
      <c r="AQ215" s="157" t="str">
        <f ca="1">IF(AND(base_de_datos[[#This Row],[Mecatrónica]]&lt;&gt;"",base_de_datos[[#This Row],[Misma o no]]=1),base_de_datos[[#This Row],[Índice]],"")</f>
        <v/>
      </c>
      <c r="AR215" s="157" t="str">
        <f ca="1">IF(AND(base_de_datos[[#This Row],[Innovación y Diseño]]&lt;&gt;"",base_de_datos[[#This Row],[Misma o no]]=1),base_de_datos[[#This Row],[Índice]],"")</f>
        <v/>
      </c>
      <c r="AS215" s="157" t="str">
        <f ca="1">IF(AND(base_de_datos[[#This Row],[Inteligencia Artificial]]&lt;&gt;"",base_de_datos[[#This Row],[Misma o no]]=1),base_de_datos[[#This Row],[Índice]],"")</f>
        <v/>
      </c>
      <c r="AT215" s="157" t="str">
        <f ca="1">IF(AND(base_de_datos[[#This Row],[Tecnologías Energéticas]]&lt;&gt;"",base_de_datos[[#This Row],[Misma o no]]=1),base_de_datos[[#This Row],[Índice]],"")</f>
        <v/>
      </c>
      <c r="AU215" s="157" t="str">
        <f ca="1">IF(AND(base_de_datos[[#This Row],[Civil y Administración]]&lt;&gt;"",base_de_datos[[#This Row],[Misma o no]]=1),base_de_datos[[#This Row],[Índice]],"")</f>
        <v/>
      </c>
      <c r="AV215" s="157" t="str">
        <f ca="1">IF(AND(base_de_datos[[#This Row],[Bioelectrónica]]&lt;&gt;"",base_de_datos[[#This Row],[Misma o no]]=1),base_de_datos[[#This Row],[Índice]],"")</f>
        <v/>
      </c>
      <c r="AW215" s="158"/>
      <c r="AX215" s="231">
        <v>3</v>
      </c>
    </row>
    <row r="216" spans="1:221" ht="15">
      <c r="B216" s="148" t="s">
        <v>428</v>
      </c>
      <c r="C216" s="149" t="s">
        <v>429</v>
      </c>
      <c r="D216" s="150">
        <v>1</v>
      </c>
      <c r="E216" s="151">
        <v>0.39583333333333398</v>
      </c>
      <c r="F216" s="151">
        <v>0.45833333333333098</v>
      </c>
      <c r="G216" s="218" t="s">
        <v>111</v>
      </c>
      <c r="H216" s="150" t="s">
        <v>80</v>
      </c>
      <c r="I216" s="150">
        <f>INDEX(Aulas_capacidad,MATCH(base_de_datos[[#This Row],[Aula]],Aulas,0),2)</f>
        <v>30</v>
      </c>
      <c r="J216" s="152">
        <v>17</v>
      </c>
      <c r="K216" s="150">
        <f>INDEX(Aulas_capacidad,MATCH(base_de_datos[[#This Row],[Aula]],Aulas,0),4)</f>
        <v>0</v>
      </c>
      <c r="L216" s="153">
        <f>base_de_datos[[#This Row],[Cap 1.5]]-base_de_datos[[#This Row],[Inscritos]]</f>
        <v>-17</v>
      </c>
      <c r="M216" s="153">
        <f>INDEX(Aulas_capacidad,MATCH(base_de_datos[[#This Row],[Aula]],Aulas,0),5)</f>
        <v>0</v>
      </c>
      <c r="N216" s="153">
        <f>base_de_datos[[#This Row],[Cap .90]]-base_de_datos[[#This Row],[Inscritos]]</f>
        <v>-17</v>
      </c>
      <c r="O216" s="150">
        <v>1471</v>
      </c>
      <c r="P216" s="154" t="s">
        <v>67</v>
      </c>
      <c r="Q216" s="154"/>
      <c r="R216" s="154"/>
      <c r="S216" s="154"/>
      <c r="T216" s="154"/>
      <c r="U216" s="154"/>
      <c r="V216" s="154"/>
      <c r="W216" s="154" t="s">
        <v>1654</v>
      </c>
      <c r="X216" s="174">
        <f>_xlfn.XLOOKUP(base_de_datos[[#This Row],[Materia]],Materias,Horas)/16</f>
        <v>3</v>
      </c>
      <c r="Y216" s="174">
        <f>ROUND(((base_de_datos[[#This Row],[Hora fin]]-base_de_datos[[#This Row],[Hora inicio]])*24)*(COUNTA(base_de_datos[[#This Row],[Lunes]:[Sábado]])),1)</f>
        <v>1.5</v>
      </c>
      <c r="Z216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6" s="155">
        <f ca="1">IF(base_de_datos[[#This Row],[No clase]]=OFFSET(base_de_datos[[#This Row],[No clase]],-1,0),0,1)</f>
        <v>1</v>
      </c>
      <c r="AB216" s="155">
        <f ca="1">IF(NOT(OR(base_de_datos[[#This Row],[Horas totales]]=base_de_datos[[#This Row],[HT Plan]],base_de_datos[[#This Row],[Horas totales]]="N/A")),1,0)</f>
        <v>0</v>
      </c>
      <c r="AC216" s="155" t="str">
        <f>_xlfn.XLOOKUP(base_de_datos[[#This Row],[Profesor]],Nombre,Grado)</f>
        <v>L</v>
      </c>
      <c r="AD216" s="156" t="str">
        <f>_xlfn.XLOOKUP(base_de_datos[[#This Row],[Profesor]],Nombre,Tipo)</f>
        <v>TC</v>
      </c>
      <c r="AE216" s="155">
        <f>IF(IFERROR(VLOOKUP($C216,Planes_de_estudio[],MATCH($AE$2,Carreras,0)+2,0),"")&gt;0,IFERROR(VLOOKUP($C216,Planes_de_estudio[],MATCH($AE$2,Carreras,0)+2,0),""),"")</f>
        <v>3</v>
      </c>
      <c r="AF216" s="155" t="str">
        <f>IF(IFERROR(VLOOKUP($C216,Planes_de_estudio[],MATCH($AF$2,Carreras,0)+2,0),"")&gt;0,IFERROR(VLOOKUP($C216,Planes_de_estudio[],MATCH($AF$2,Carreras,0)+2,0),""),"")</f>
        <v/>
      </c>
      <c r="AG216" s="155" t="str">
        <f>IF(IFERROR(VLOOKUP($C216,Planes_de_estudio[],MATCH($AG$2,Carreras,0)+2,0),"")&gt;0,IFERROR(VLOOKUP($C216,Planes_de_estudio[],MATCH($AG$2,Carreras,0)+2,0),""),"")</f>
        <v/>
      </c>
      <c r="AH216" s="155" t="str">
        <f>IF(IFERROR(VLOOKUP($C216,Planes_de_estudio[],MATCH($AH$2,Carreras,0)+2,0),"")&gt;0,IFERROR(VLOOKUP($C216,Planes_de_estudio[],MATCH($AH$2,Carreras,0)+2,0),""),"")</f>
        <v/>
      </c>
      <c r="AI216" s="155" t="str">
        <f>IF(IFERROR(VLOOKUP($C216,Planes_de_estudio[],MATCH($AI$2,Carreras,0)+2,0),"")&gt;0,IFERROR(VLOOKUP($C216,Planes_de_estudio[],MATCH($AI$2,Carreras,0)+2,0),""),"")</f>
        <v/>
      </c>
      <c r="AJ216" s="155">
        <f>IF(IFERROR(VLOOKUP($C216,Planes_de_estudio[],MATCH($AJ$2,Carreras,0)+2,0),"")&gt;0,IFERROR(VLOOKUP($C216,Planes_de_estudio[],MATCH($AJ$2,Carreras,0)+2,0),""),"")</f>
        <v>3</v>
      </c>
      <c r="AK216" s="155" t="str">
        <f>IF(IFERROR(VLOOKUP($C216,Planes_de_estudio[],MATCH($AK$2,Carreras,0)+2,0),"")&gt;0,IFERROR(VLOOKUP($C216,Planes_de_estudio[],MATCH($AK$2,Carreras,0)+2,0),""),"")</f>
        <v/>
      </c>
      <c r="AL21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1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35</v>
      </c>
      <c r="AN216" s="155">
        <f>base_de_datos[[#This Row],[Pronóstico]]/25</f>
        <v>1.4</v>
      </c>
      <c r="AO216" s="155" t="str">
        <f>VLOOKUP($C216,Planes_de_estudio[],2)</f>
        <v>COM</v>
      </c>
      <c r="AP216" s="157">
        <f ca="1">IF(AND(base_de_datos[[#This Row],[Industrial]]&lt;&gt;"",base_de_datos[[#This Row],[Misma o no]]=1),base_de_datos[[#This Row],[Índice]],"")</f>
        <v>1</v>
      </c>
      <c r="AQ216" s="157" t="str">
        <f ca="1">IF(AND(base_de_datos[[#This Row],[Mecatrónica]]&lt;&gt;"",base_de_datos[[#This Row],[Misma o no]]=1),base_de_datos[[#This Row],[Índice]],"")</f>
        <v/>
      </c>
      <c r="AR216" s="157" t="str">
        <f ca="1">IF(AND(base_de_datos[[#This Row],[Innovación y Diseño]]&lt;&gt;"",base_de_datos[[#This Row],[Misma o no]]=1),base_de_datos[[#This Row],[Índice]],"")</f>
        <v/>
      </c>
      <c r="AS216" s="157" t="str">
        <f ca="1">IF(AND(base_de_datos[[#This Row],[Inteligencia Artificial]]&lt;&gt;"",base_de_datos[[#This Row],[Misma o no]]=1),base_de_datos[[#This Row],[Índice]],"")</f>
        <v/>
      </c>
      <c r="AT216" s="157" t="str">
        <f ca="1">IF(AND(base_de_datos[[#This Row],[Tecnologías Energéticas]]&lt;&gt;"",base_de_datos[[#This Row],[Misma o no]]=1),base_de_datos[[#This Row],[Índice]],"")</f>
        <v/>
      </c>
      <c r="AU216" s="157">
        <f ca="1">IF(AND(base_de_datos[[#This Row],[Civil y Administración]]&lt;&gt;"",base_de_datos[[#This Row],[Misma o no]]=1),base_de_datos[[#This Row],[Índice]],"")</f>
        <v>1</v>
      </c>
      <c r="AV216" s="157" t="str">
        <f ca="1">IF(AND(base_de_datos[[#This Row],[Bioelectrónica]]&lt;&gt;"",base_de_datos[[#This Row],[Misma o no]]=1),base_de_datos[[#This Row],[Índice]],"")</f>
        <v/>
      </c>
      <c r="AW216" s="158"/>
      <c r="AX216" s="231">
        <v>2</v>
      </c>
    </row>
    <row r="217" spans="1:221" ht="15">
      <c r="B217" s="148" t="s">
        <v>428</v>
      </c>
      <c r="C217" s="149" t="s">
        <v>429</v>
      </c>
      <c r="D217" s="150">
        <v>1</v>
      </c>
      <c r="E217" s="151">
        <v>0.39583333333333398</v>
      </c>
      <c r="F217" s="151">
        <v>0.45833333333333098</v>
      </c>
      <c r="G217" s="218" t="s">
        <v>111</v>
      </c>
      <c r="H217" s="150" t="s">
        <v>182</v>
      </c>
      <c r="I217" s="150">
        <f>INDEX(Aulas_capacidad,MATCH(base_de_datos[[#This Row],[Aula]],Aulas,0),2)</f>
        <v>30</v>
      </c>
      <c r="J217" s="152">
        <v>17</v>
      </c>
      <c r="K217" s="150">
        <f>INDEX(Aulas_capacidad,MATCH(base_de_datos[[#This Row],[Aula]],Aulas,0),4)</f>
        <v>12</v>
      </c>
      <c r="L217" s="153">
        <f>base_de_datos[[#This Row],[Cap 1.5]]-base_de_datos[[#This Row],[Inscritos]]</f>
        <v>-5</v>
      </c>
      <c r="M217" s="153">
        <f>INDEX(Aulas_capacidad,MATCH(base_de_datos[[#This Row],[Aula]],Aulas,0),5)</f>
        <v>18</v>
      </c>
      <c r="N217" s="153">
        <f>base_de_datos[[#This Row],[Cap .90]]-base_de_datos[[#This Row],[Inscritos]]</f>
        <v>1</v>
      </c>
      <c r="O217" s="150">
        <v>1471</v>
      </c>
      <c r="P217" s="154"/>
      <c r="Q217" s="154"/>
      <c r="R217" s="154" t="s">
        <v>67</v>
      </c>
      <c r="S217" s="154"/>
      <c r="T217" s="154"/>
      <c r="U217" s="154"/>
      <c r="V217" s="154"/>
      <c r="W217" s="154" t="s">
        <v>1654</v>
      </c>
      <c r="X217" s="174">
        <f>_xlfn.XLOOKUP(base_de_datos[[#This Row],[Materia]],Materias,Horas)/16</f>
        <v>3</v>
      </c>
      <c r="Y217" s="174">
        <f>ROUND(((base_de_datos[[#This Row],[Hora fin]]-base_de_datos[[#This Row],[Hora inicio]])*24)*(COUNTA(base_de_datos[[#This Row],[Lunes]:[Sábado]])),1)</f>
        <v>1.5</v>
      </c>
      <c r="Z217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7" s="155">
        <f ca="1">IF(base_de_datos[[#This Row],[No clase]]=OFFSET(base_de_datos[[#This Row],[No clase]],-1,0),0,1)</f>
        <v>0</v>
      </c>
      <c r="AB217" s="155">
        <f ca="1">IF(NOT(OR(base_de_datos[[#This Row],[Horas totales]]=base_de_datos[[#This Row],[HT Plan]],base_de_datos[[#This Row],[Horas totales]]="N/A")),1,0)</f>
        <v>0</v>
      </c>
      <c r="AC217" s="155" t="str">
        <f>_xlfn.XLOOKUP(base_de_datos[[#This Row],[Profesor]],Nombre,Grado)</f>
        <v>L</v>
      </c>
      <c r="AD217" s="156" t="str">
        <f>_xlfn.XLOOKUP(base_de_datos[[#This Row],[Profesor]],Nombre,Tipo)</f>
        <v>TC</v>
      </c>
      <c r="AE217" s="155">
        <f>IF(IFERROR(VLOOKUP($C217,Planes_de_estudio[],MATCH($AE$2,Carreras,0)+2,0),"")&gt;0,IFERROR(VLOOKUP($C217,Planes_de_estudio[],MATCH($AE$2,Carreras,0)+2,0),""),"")</f>
        <v>3</v>
      </c>
      <c r="AF217" s="155" t="str">
        <f>IF(IFERROR(VLOOKUP($C217,Planes_de_estudio[],MATCH($AF$2,Carreras,0)+2,0),"")&gt;0,IFERROR(VLOOKUP($C217,Planes_de_estudio[],MATCH($AF$2,Carreras,0)+2,0),""),"")</f>
        <v/>
      </c>
      <c r="AG217" s="155" t="str">
        <f>IF(IFERROR(VLOOKUP($C217,Planes_de_estudio[],MATCH($AG$2,Carreras,0)+2,0),"")&gt;0,IFERROR(VLOOKUP($C217,Planes_de_estudio[],MATCH($AG$2,Carreras,0)+2,0),""),"")</f>
        <v/>
      </c>
      <c r="AH217" s="155" t="str">
        <f>IF(IFERROR(VLOOKUP($C217,Planes_de_estudio[],MATCH($AH$2,Carreras,0)+2,0),"")&gt;0,IFERROR(VLOOKUP($C217,Planes_de_estudio[],MATCH($AH$2,Carreras,0)+2,0),""),"")</f>
        <v/>
      </c>
      <c r="AI217" s="155" t="str">
        <f>IF(IFERROR(VLOOKUP($C217,Planes_de_estudio[],MATCH($AI$2,Carreras,0)+2,0),"")&gt;0,IFERROR(VLOOKUP($C217,Planes_de_estudio[],MATCH($AI$2,Carreras,0)+2,0),""),"")</f>
        <v/>
      </c>
      <c r="AJ217" s="155">
        <f>IF(IFERROR(VLOOKUP($C217,Planes_de_estudio[],MATCH($AJ$2,Carreras,0)+2,0),"")&gt;0,IFERROR(VLOOKUP($C217,Planes_de_estudio[],MATCH($AJ$2,Carreras,0)+2,0),""),"")</f>
        <v>3</v>
      </c>
      <c r="AK217" s="155" t="str">
        <f>IF(IFERROR(VLOOKUP($C217,Planes_de_estudio[],MATCH($AK$2,Carreras,0)+2,0),"")&gt;0,IFERROR(VLOOKUP($C217,Planes_de_estudio[],MATCH($AK$2,Carreras,0)+2,0),""),"")</f>
        <v/>
      </c>
      <c r="AL21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1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35</v>
      </c>
      <c r="AN217" s="155">
        <f>base_de_datos[[#This Row],[Pronóstico]]/25</f>
        <v>1.4</v>
      </c>
      <c r="AO217" s="155" t="str">
        <f>VLOOKUP($C217,Planes_de_estudio[],2)</f>
        <v>COM</v>
      </c>
      <c r="AP217" s="157" t="str">
        <f ca="1">IF(AND(base_de_datos[[#This Row],[Industrial]]&lt;&gt;"",base_de_datos[[#This Row],[Misma o no]]=1),base_de_datos[[#This Row],[Índice]],"")</f>
        <v/>
      </c>
      <c r="AQ217" s="157" t="str">
        <f ca="1">IF(AND(base_de_datos[[#This Row],[Mecatrónica]]&lt;&gt;"",base_de_datos[[#This Row],[Misma o no]]=1),base_de_datos[[#This Row],[Índice]],"")</f>
        <v/>
      </c>
      <c r="AR217" s="157" t="str">
        <f ca="1">IF(AND(base_de_datos[[#This Row],[Innovación y Diseño]]&lt;&gt;"",base_de_datos[[#This Row],[Misma o no]]=1),base_de_datos[[#This Row],[Índice]],"")</f>
        <v/>
      </c>
      <c r="AS217" s="157" t="str">
        <f ca="1">IF(AND(base_de_datos[[#This Row],[Inteligencia Artificial]]&lt;&gt;"",base_de_datos[[#This Row],[Misma o no]]=1),base_de_datos[[#This Row],[Índice]],"")</f>
        <v/>
      </c>
      <c r="AT217" s="157" t="str">
        <f ca="1">IF(AND(base_de_datos[[#This Row],[Tecnologías Energéticas]]&lt;&gt;"",base_de_datos[[#This Row],[Misma o no]]=1),base_de_datos[[#This Row],[Índice]],"")</f>
        <v/>
      </c>
      <c r="AU217" s="157" t="str">
        <f ca="1">IF(AND(base_de_datos[[#This Row],[Civil y Administración]]&lt;&gt;"",base_de_datos[[#This Row],[Misma o no]]=1),base_de_datos[[#This Row],[Índice]],"")</f>
        <v/>
      </c>
      <c r="AV217" s="157" t="str">
        <f ca="1">IF(AND(base_de_datos[[#This Row],[Bioelectrónica]]&lt;&gt;"",base_de_datos[[#This Row],[Misma o no]]=1),base_de_datos[[#This Row],[Índice]],"")</f>
        <v/>
      </c>
      <c r="AW217" s="158"/>
      <c r="AX217" s="231">
        <v>1</v>
      </c>
    </row>
    <row r="218" spans="1:221" ht="15">
      <c r="B218" s="148" t="s">
        <v>428</v>
      </c>
      <c r="C218" s="149" t="s">
        <v>429</v>
      </c>
      <c r="D218" s="150">
        <v>2</v>
      </c>
      <c r="E218" s="151">
        <v>0.5</v>
      </c>
      <c r="F218" s="151">
        <v>0.562499999999996</v>
      </c>
      <c r="G218" s="218" t="s">
        <v>65</v>
      </c>
      <c r="H218" s="150" t="s">
        <v>108</v>
      </c>
      <c r="I218" s="150">
        <f>INDEX(Aulas_capacidad,MATCH(base_de_datos[[#This Row],[Aula]],Aulas,0),2)</f>
        <v>30</v>
      </c>
      <c r="J218" s="152">
        <v>7</v>
      </c>
      <c r="K218" s="150">
        <f>INDEX(Aulas_capacidad,MATCH(base_de_datos[[#This Row],[Aula]],Aulas,0),4)</f>
        <v>12</v>
      </c>
      <c r="L218" s="153">
        <f>base_de_datos[[#This Row],[Cap 1.5]]-base_de_datos[[#This Row],[Inscritos]]</f>
        <v>5</v>
      </c>
      <c r="M218" s="153">
        <f>INDEX(Aulas_capacidad,MATCH(base_de_datos[[#This Row],[Aula]],Aulas,0),5)</f>
        <v>18</v>
      </c>
      <c r="N218" s="153">
        <f>base_de_datos[[#This Row],[Cap .90]]-base_de_datos[[#This Row],[Inscritos]]</f>
        <v>11</v>
      </c>
      <c r="O218" s="150">
        <v>1472</v>
      </c>
      <c r="P218" s="154"/>
      <c r="Q218" s="154" t="s">
        <v>67</v>
      </c>
      <c r="R218" s="154"/>
      <c r="S218" s="154" t="s">
        <v>67</v>
      </c>
      <c r="T218" s="154"/>
      <c r="U218" s="154"/>
      <c r="V218" s="154"/>
      <c r="W218" s="154" t="s">
        <v>1654</v>
      </c>
      <c r="X218" s="174">
        <f>_xlfn.XLOOKUP(base_de_datos[[#This Row],[Materia]],Materias,Horas)/16</f>
        <v>3</v>
      </c>
      <c r="Y218" s="174">
        <f>ROUND(((base_de_datos[[#This Row],[Hora fin]]-base_de_datos[[#This Row],[Hora inicio]])*24)*(COUNTA(base_de_datos[[#This Row],[Lunes]:[Sábado]])),1)</f>
        <v>3</v>
      </c>
      <c r="Z218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8" s="155">
        <f ca="1">IF(base_de_datos[[#This Row],[No clase]]=OFFSET(base_de_datos[[#This Row],[No clase]],-1,0),0,1)</f>
        <v>1</v>
      </c>
      <c r="AB218" s="155">
        <f ca="1">IF(NOT(OR(base_de_datos[[#This Row],[Horas totales]]=base_de_datos[[#This Row],[HT Plan]],base_de_datos[[#This Row],[Horas totales]]="N/A")),1,0)</f>
        <v>0</v>
      </c>
      <c r="AC218" s="155" t="str">
        <f>_xlfn.XLOOKUP(base_de_datos[[#This Row],[Profesor]],Nombre,Grado)</f>
        <v>L</v>
      </c>
      <c r="AD218" s="156" t="str">
        <f>_xlfn.XLOOKUP(base_de_datos[[#This Row],[Profesor]],Nombre,Tipo)</f>
        <v>TC</v>
      </c>
      <c r="AE218" s="155">
        <f>IF(IFERROR(VLOOKUP($C218,Planes_de_estudio[],MATCH($AE$2,Carreras,0)+2,0),"")&gt;0,IFERROR(VLOOKUP($C218,Planes_de_estudio[],MATCH($AE$2,Carreras,0)+2,0),""),"")</f>
        <v>3</v>
      </c>
      <c r="AF218" s="155" t="str">
        <f>IF(IFERROR(VLOOKUP($C218,Planes_de_estudio[],MATCH($AF$2,Carreras,0)+2,0),"")&gt;0,IFERROR(VLOOKUP($C218,Planes_de_estudio[],MATCH($AF$2,Carreras,0)+2,0),""),"")</f>
        <v/>
      </c>
      <c r="AG218" s="155" t="str">
        <f>IF(IFERROR(VLOOKUP($C218,Planes_de_estudio[],MATCH($AG$2,Carreras,0)+2,0),"")&gt;0,IFERROR(VLOOKUP($C218,Planes_de_estudio[],MATCH($AG$2,Carreras,0)+2,0),""),"")</f>
        <v/>
      </c>
      <c r="AH218" s="155" t="str">
        <f>IF(IFERROR(VLOOKUP($C218,Planes_de_estudio[],MATCH($AH$2,Carreras,0)+2,0),"")&gt;0,IFERROR(VLOOKUP($C218,Planes_de_estudio[],MATCH($AH$2,Carreras,0)+2,0),""),"")</f>
        <v/>
      </c>
      <c r="AI218" s="155" t="str">
        <f>IF(IFERROR(VLOOKUP($C218,Planes_de_estudio[],MATCH($AI$2,Carreras,0)+2,0),"")&gt;0,IFERROR(VLOOKUP($C218,Planes_de_estudio[],MATCH($AI$2,Carreras,0)+2,0),""),"")</f>
        <v/>
      </c>
      <c r="AJ218" s="155">
        <f>IF(IFERROR(VLOOKUP($C218,Planes_de_estudio[],MATCH($AJ$2,Carreras,0)+2,0),"")&gt;0,IFERROR(VLOOKUP($C218,Planes_de_estudio[],MATCH($AJ$2,Carreras,0)+2,0),""),"")</f>
        <v>3</v>
      </c>
      <c r="AK218" s="155" t="str">
        <f>IF(IFERROR(VLOOKUP($C218,Planes_de_estudio[],MATCH($AK$2,Carreras,0)+2,0),"")&gt;0,IFERROR(VLOOKUP($C218,Planes_de_estudio[],MATCH($AK$2,Carreras,0)+2,0),""),"")</f>
        <v/>
      </c>
      <c r="AL21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1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35</v>
      </c>
      <c r="AN218" s="155">
        <f>base_de_datos[[#This Row],[Pronóstico]]/25</f>
        <v>1.4</v>
      </c>
      <c r="AO218" s="155" t="str">
        <f>VLOOKUP($C218,Planes_de_estudio[],2)</f>
        <v>COM</v>
      </c>
      <c r="AP218" s="157">
        <f ca="1">IF(AND(base_de_datos[[#This Row],[Industrial]]&lt;&gt;"",base_de_datos[[#This Row],[Misma o no]]=1),base_de_datos[[#This Row],[Índice]],"")</f>
        <v>1</v>
      </c>
      <c r="AQ218" s="157" t="str">
        <f ca="1">IF(AND(base_de_datos[[#This Row],[Mecatrónica]]&lt;&gt;"",base_de_datos[[#This Row],[Misma o no]]=1),base_de_datos[[#This Row],[Índice]],"")</f>
        <v/>
      </c>
      <c r="AR218" s="157" t="str">
        <f ca="1">IF(AND(base_de_datos[[#This Row],[Innovación y Diseño]]&lt;&gt;"",base_de_datos[[#This Row],[Misma o no]]=1),base_de_datos[[#This Row],[Índice]],"")</f>
        <v/>
      </c>
      <c r="AS218" s="157" t="str">
        <f ca="1">IF(AND(base_de_datos[[#This Row],[Inteligencia Artificial]]&lt;&gt;"",base_de_datos[[#This Row],[Misma o no]]=1),base_de_datos[[#This Row],[Índice]],"")</f>
        <v/>
      </c>
      <c r="AT218" s="157" t="str">
        <f ca="1">IF(AND(base_de_datos[[#This Row],[Tecnologías Energéticas]]&lt;&gt;"",base_de_datos[[#This Row],[Misma o no]]=1),base_de_datos[[#This Row],[Índice]],"")</f>
        <v/>
      </c>
      <c r="AU218" s="157">
        <f ca="1">IF(AND(base_de_datos[[#This Row],[Civil y Administración]]&lt;&gt;"",base_de_datos[[#This Row],[Misma o no]]=1),base_de_datos[[#This Row],[Índice]],"")</f>
        <v>1</v>
      </c>
      <c r="AV218" s="157" t="str">
        <f ca="1">IF(AND(base_de_datos[[#This Row],[Bioelectrónica]]&lt;&gt;"",base_de_datos[[#This Row],[Misma o no]]=1),base_de_datos[[#This Row],[Índice]],"")</f>
        <v/>
      </c>
      <c r="AW218" s="158"/>
      <c r="AX218" s="231">
        <v>1</v>
      </c>
    </row>
    <row r="219" spans="1:221" ht="15">
      <c r="B219" s="148" t="s">
        <v>430</v>
      </c>
      <c r="C219" s="149" t="s">
        <v>431</v>
      </c>
      <c r="D219" s="150">
        <v>1</v>
      </c>
      <c r="E219" s="151">
        <v>0.8125</v>
      </c>
      <c r="F219" s="151">
        <v>0.89583333333332305</v>
      </c>
      <c r="G219" s="150"/>
      <c r="H219" s="150" t="s">
        <v>182</v>
      </c>
      <c r="I219" s="150">
        <f>INDEX(Aulas_capacidad,MATCH(base_de_datos[[#This Row],[Aula]],Aulas,0),2)</f>
        <v>30</v>
      </c>
      <c r="J219" s="152">
        <v>5</v>
      </c>
      <c r="K219" s="150">
        <f>INDEX(Aulas_capacidad,MATCH(base_de_datos[[#This Row],[Aula]],Aulas,0),4)</f>
        <v>12</v>
      </c>
      <c r="L219" s="153">
        <f>base_de_datos[[#This Row],[Cap 1.5]]-base_de_datos[[#This Row],[Inscritos]]</f>
        <v>7</v>
      </c>
      <c r="M219" s="153">
        <f>INDEX(Aulas_capacidad,MATCH(base_de_datos[[#This Row],[Aula]],Aulas,0),5)</f>
        <v>18</v>
      </c>
      <c r="N219" s="153">
        <f>base_de_datos[[#This Row],[Cap .90]]-base_de_datos[[#This Row],[Inscritos]]</f>
        <v>13</v>
      </c>
      <c r="O219" s="150">
        <v>1833</v>
      </c>
      <c r="P219" s="154" t="s">
        <v>67</v>
      </c>
      <c r="Q219" s="154"/>
      <c r="R219" s="154"/>
      <c r="S219" s="154"/>
      <c r="T219" s="154"/>
      <c r="U219" s="154"/>
      <c r="V219" s="154" t="s">
        <v>67</v>
      </c>
      <c r="W219" s="154" t="s">
        <v>1653</v>
      </c>
      <c r="X219" s="155">
        <f>_xlfn.XLOOKUP(base_de_datos[[#This Row],[Materia]],Materias,Horas)/16</f>
        <v>4</v>
      </c>
      <c r="Y219" s="155">
        <f>ROUND(((base_de_datos[[#This Row],[Hora fin]]-base_de_datos[[#This Row],[Hora inicio]])*24)*(COUNTA(base_de_datos[[#This Row],[Lunes]:[Sábado]])),1)</f>
        <v>2</v>
      </c>
      <c r="Z21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9" s="155">
        <f ca="1">IF(base_de_datos[[#This Row],[No clase]]=OFFSET(base_de_datos[[#This Row],[No clase]],-1,0),0,1)</f>
        <v>1</v>
      </c>
      <c r="AB219" s="155">
        <f ca="1">IF(NOT(OR(base_de_datos[[#This Row],[Horas totales]]=base_de_datos[[#This Row],[HT Plan]],base_de_datos[[#This Row],[Horas totales]]="N/A")),1,0)</f>
        <v>0</v>
      </c>
      <c r="AC219" s="155" t="str">
        <f>_xlfn.XLOOKUP(base_de_datos[[#This Row],[Profesor]],Nombre,Grado)</f>
        <v>M</v>
      </c>
      <c r="AD219" s="156" t="str">
        <f>_xlfn.XLOOKUP(base_de_datos[[#This Row],[Profesor]],Nombre,Tipo)</f>
        <v>A</v>
      </c>
      <c r="AE219" s="155" t="str">
        <f>IF(IFERROR(VLOOKUP($C219,Planes_de_estudio[],MATCH($AE$2,Carreras,0)+2,0),"")&gt;0,IFERROR(VLOOKUP($C219,Planes_de_estudio[],MATCH($AE$2,Carreras,0)+2,0),""),"")</f>
        <v/>
      </c>
      <c r="AF219" s="155" t="str">
        <f>IF(IFERROR(VLOOKUP($C219,Planes_de_estudio[],MATCH($AF$2,Carreras,0)+2,0),"")&gt;0,IFERROR(VLOOKUP($C219,Planes_de_estudio[],MATCH($AF$2,Carreras,0)+2,0),""),"")</f>
        <v/>
      </c>
      <c r="AG219" s="155" t="str">
        <f>IF(IFERROR(VLOOKUP($C219,Planes_de_estudio[],MATCH($AG$2,Carreras,0)+2,0),"")&gt;0,IFERROR(VLOOKUP($C219,Planes_de_estudio[],MATCH($AG$2,Carreras,0)+2,0),""),"")</f>
        <v/>
      </c>
      <c r="AH219" s="155" t="str">
        <f>IF(IFERROR(VLOOKUP($C219,Planes_de_estudio[],MATCH($AH$2,Carreras,0)+2,0),"")&gt;0,IFERROR(VLOOKUP($C219,Planes_de_estudio[],MATCH($AH$2,Carreras,0)+2,0),""),"")</f>
        <v/>
      </c>
      <c r="AI219" s="155">
        <f>IF(IFERROR(VLOOKUP($C219,Planes_de_estudio[],MATCH($AI$2,Carreras,0)+2,0),"")&gt;0,IFERROR(VLOOKUP($C219,Planes_de_estudio[],MATCH($AI$2,Carreras,0)+2,0),""),"")</f>
        <v>5</v>
      </c>
      <c r="AJ219" s="155" t="str">
        <f>IF(IFERROR(VLOOKUP($C219,Planes_de_estudio[],MATCH($AJ$2,Carreras,0)+2,0),"")&gt;0,IFERROR(VLOOKUP($C219,Planes_de_estudio[],MATCH($AJ$2,Carreras,0)+2,0),""),"")</f>
        <v/>
      </c>
      <c r="AK219" s="155" t="str">
        <f>IF(IFERROR(VLOOKUP($C219,Planes_de_estudio[],MATCH($AK$2,Carreras,0)+2,0),"")&gt;0,IFERROR(VLOOKUP($C219,Planes_de_estudio[],MATCH($AK$2,Carreras,0)+2,0),""),"")</f>
        <v/>
      </c>
      <c r="AL21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219" s="155">
        <f>base_de_datos[[#This Row],[Pronóstico]]/25</f>
        <v>0.16</v>
      </c>
      <c r="AO219" s="155" t="str">
        <f>VLOOKUP($C219,Planes_de_estudio[],2)</f>
        <v>ETF</v>
      </c>
      <c r="AP219" s="157" t="str">
        <f ca="1">IF(AND(base_de_datos[[#This Row],[Industrial]]&lt;&gt;"",base_de_datos[[#This Row],[Misma o no]]=1),base_de_datos[[#This Row],[Índice]],"")</f>
        <v/>
      </c>
      <c r="AQ219" s="157" t="str">
        <f ca="1">IF(AND(base_de_datos[[#This Row],[Mecatrónica]]&lt;&gt;"",base_de_datos[[#This Row],[Misma o no]]=1),base_de_datos[[#This Row],[Índice]],"")</f>
        <v/>
      </c>
      <c r="AR219" s="157" t="str">
        <f ca="1">IF(AND(base_de_datos[[#This Row],[Innovación y Diseño]]&lt;&gt;"",base_de_datos[[#This Row],[Misma o no]]=1),base_de_datos[[#This Row],[Índice]],"")</f>
        <v/>
      </c>
      <c r="AS219" s="157" t="str">
        <f ca="1">IF(AND(base_de_datos[[#This Row],[Inteligencia Artificial]]&lt;&gt;"",base_de_datos[[#This Row],[Misma o no]]=1),base_de_datos[[#This Row],[Índice]],"")</f>
        <v/>
      </c>
      <c r="AT219" s="157">
        <f ca="1">IF(AND(base_de_datos[[#This Row],[Tecnologías Energéticas]]&lt;&gt;"",base_de_datos[[#This Row],[Misma o no]]=1),base_de_datos[[#This Row],[Índice]],"")</f>
        <v>4</v>
      </c>
      <c r="AU219" s="157" t="str">
        <f ca="1">IF(AND(base_de_datos[[#This Row],[Civil y Administración]]&lt;&gt;"",base_de_datos[[#This Row],[Misma o no]]=1),base_de_datos[[#This Row],[Índice]],"")</f>
        <v/>
      </c>
      <c r="AV219" s="157" t="str">
        <f ca="1">IF(AND(base_de_datos[[#This Row],[Bioelectrónica]]&lt;&gt;"",base_de_datos[[#This Row],[Misma o no]]=1),base_de_datos[[#This Row],[Índice]],"")</f>
        <v/>
      </c>
      <c r="AW219" s="158"/>
      <c r="AX219" s="231">
        <v>1</v>
      </c>
    </row>
    <row r="220" spans="1:221" ht="15">
      <c r="B220" s="148" t="s">
        <v>430</v>
      </c>
      <c r="C220" s="149" t="s">
        <v>431</v>
      </c>
      <c r="D220" s="150"/>
      <c r="E220" s="151">
        <v>0.8125</v>
      </c>
      <c r="F220" s="151">
        <v>0.89583333333332305</v>
      </c>
      <c r="G220" s="150"/>
      <c r="H220" s="150" t="s">
        <v>1</v>
      </c>
      <c r="I220" s="150">
        <f>INDEX(Aulas_capacidad,MATCH(base_de_datos[[#This Row],[Aula]],Aulas,0),2)</f>
        <v>30</v>
      </c>
      <c r="J220" s="152">
        <v>5</v>
      </c>
      <c r="K220" s="150">
        <f>INDEX(Aulas_capacidad,MATCH(base_de_datos[[#This Row],[Aula]],Aulas,0),4)</f>
        <v>0</v>
      </c>
      <c r="L220" s="153">
        <f>base_de_datos[[#This Row],[Cap 1.5]]-base_de_datos[[#This Row],[Inscritos]]</f>
        <v>-5</v>
      </c>
      <c r="M220" s="153">
        <f>INDEX(Aulas_capacidad,MATCH(base_de_datos[[#This Row],[Aula]],Aulas,0),5)</f>
        <v>0</v>
      </c>
      <c r="N220" s="153">
        <f>base_de_datos[[#This Row],[Cap .90]]-base_de_datos[[#This Row],[Inscritos]]</f>
        <v>-5</v>
      </c>
      <c r="O220" s="150">
        <v>1833</v>
      </c>
      <c r="P220" s="154"/>
      <c r="Q220" s="154"/>
      <c r="R220" s="154" t="s">
        <v>67</v>
      </c>
      <c r="S220" s="154"/>
      <c r="T220" s="154"/>
      <c r="U220" s="154"/>
      <c r="V220" s="154" t="s">
        <v>67</v>
      </c>
      <c r="W220" s="154" t="s">
        <v>1653</v>
      </c>
      <c r="X220" s="155">
        <f>_xlfn.XLOOKUP(base_de_datos[[#This Row],[Materia]],Materias,Horas)/16</f>
        <v>4</v>
      </c>
      <c r="Y220" s="155">
        <f>ROUND(((base_de_datos[[#This Row],[Hora fin]]-base_de_datos[[#This Row],[Hora inicio]])*24)*(COUNTA(base_de_datos[[#This Row],[Lunes]:[Sábado]])),1)</f>
        <v>2</v>
      </c>
      <c r="Z22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0" s="155">
        <f ca="1">IF(base_de_datos[[#This Row],[No clase]]=OFFSET(base_de_datos[[#This Row],[No clase]],-1,0),0,1)</f>
        <v>0</v>
      </c>
      <c r="AB220" s="155">
        <f ca="1">IF(NOT(OR(base_de_datos[[#This Row],[Horas totales]]=base_de_datos[[#This Row],[HT Plan]],base_de_datos[[#This Row],[Horas totales]]="N/A")),1,0)</f>
        <v>0</v>
      </c>
      <c r="AC220" s="155" t="str">
        <f>_xlfn.XLOOKUP(base_de_datos[[#This Row],[Profesor]],Nombre,Grado)</f>
        <v>M</v>
      </c>
      <c r="AD220" s="156" t="str">
        <f>_xlfn.XLOOKUP(base_de_datos[[#This Row],[Profesor]],Nombre,Tipo)</f>
        <v>A</v>
      </c>
      <c r="AE220" s="155" t="str">
        <f>IF(IFERROR(VLOOKUP($C220,Planes_de_estudio[],MATCH($AE$2,Carreras,0)+2,0),"")&gt;0,IFERROR(VLOOKUP($C220,Planes_de_estudio[],MATCH($AE$2,Carreras,0)+2,0),""),"")</f>
        <v/>
      </c>
      <c r="AF220" s="155" t="str">
        <f>IF(IFERROR(VLOOKUP($C220,Planes_de_estudio[],MATCH($AF$2,Carreras,0)+2,0),"")&gt;0,IFERROR(VLOOKUP($C220,Planes_de_estudio[],MATCH($AF$2,Carreras,0)+2,0),""),"")</f>
        <v/>
      </c>
      <c r="AG220" s="155" t="str">
        <f>IF(IFERROR(VLOOKUP($C220,Planes_de_estudio[],MATCH($AG$2,Carreras,0)+2,0),"")&gt;0,IFERROR(VLOOKUP($C220,Planes_de_estudio[],MATCH($AG$2,Carreras,0)+2,0),""),"")</f>
        <v/>
      </c>
      <c r="AH220" s="155" t="str">
        <f>IF(IFERROR(VLOOKUP($C220,Planes_de_estudio[],MATCH($AH$2,Carreras,0)+2,0),"")&gt;0,IFERROR(VLOOKUP($C220,Planes_de_estudio[],MATCH($AH$2,Carreras,0)+2,0),""),"")</f>
        <v/>
      </c>
      <c r="AI220" s="155">
        <f>IF(IFERROR(VLOOKUP($C220,Planes_de_estudio[],MATCH($AI$2,Carreras,0)+2,0),"")&gt;0,IFERROR(VLOOKUP($C220,Planes_de_estudio[],MATCH($AI$2,Carreras,0)+2,0),""),"")</f>
        <v>5</v>
      </c>
      <c r="AJ220" s="155" t="str">
        <f>IF(IFERROR(VLOOKUP($C220,Planes_de_estudio[],MATCH($AJ$2,Carreras,0)+2,0),"")&gt;0,IFERROR(VLOOKUP($C220,Planes_de_estudio[],MATCH($AJ$2,Carreras,0)+2,0),""),"")</f>
        <v/>
      </c>
      <c r="AK220" s="155" t="str">
        <f>IF(IFERROR(VLOOKUP($C220,Planes_de_estudio[],MATCH($AK$2,Carreras,0)+2,0),"")&gt;0,IFERROR(VLOOKUP($C220,Planes_de_estudio[],MATCH($AK$2,Carreras,0)+2,0),""),"")</f>
        <v/>
      </c>
      <c r="AL22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220" s="155">
        <f>base_de_datos[[#This Row],[Pronóstico]]/25</f>
        <v>0.16</v>
      </c>
      <c r="AO220" s="155" t="str">
        <f>VLOOKUP($C220,Planes_de_estudio[],2)</f>
        <v>ETF</v>
      </c>
      <c r="AP220" s="157" t="str">
        <f ca="1">IF(AND(base_de_datos[[#This Row],[Industrial]]&lt;&gt;"",base_de_datos[[#This Row],[Misma o no]]=1),base_de_datos[[#This Row],[Índice]],"")</f>
        <v/>
      </c>
      <c r="AQ220" s="157" t="str">
        <f ca="1">IF(AND(base_de_datos[[#This Row],[Mecatrónica]]&lt;&gt;"",base_de_datos[[#This Row],[Misma o no]]=1),base_de_datos[[#This Row],[Índice]],"")</f>
        <v/>
      </c>
      <c r="AR220" s="157" t="str">
        <f ca="1">IF(AND(base_de_datos[[#This Row],[Innovación y Diseño]]&lt;&gt;"",base_de_datos[[#This Row],[Misma o no]]=1),base_de_datos[[#This Row],[Índice]],"")</f>
        <v/>
      </c>
      <c r="AS220" s="157" t="str">
        <f ca="1">IF(AND(base_de_datos[[#This Row],[Inteligencia Artificial]]&lt;&gt;"",base_de_datos[[#This Row],[Misma o no]]=1),base_de_datos[[#This Row],[Índice]],"")</f>
        <v/>
      </c>
      <c r="AT220" s="157" t="str">
        <f ca="1">IF(AND(base_de_datos[[#This Row],[Tecnologías Energéticas]]&lt;&gt;"",base_de_datos[[#This Row],[Misma o no]]=1),base_de_datos[[#This Row],[Índice]],"")</f>
        <v/>
      </c>
      <c r="AU220" s="157" t="str">
        <f ca="1">IF(AND(base_de_datos[[#This Row],[Civil y Administración]]&lt;&gt;"",base_de_datos[[#This Row],[Misma o no]]=1),base_de_datos[[#This Row],[Índice]],"")</f>
        <v/>
      </c>
      <c r="AV220" s="157" t="str">
        <f ca="1">IF(AND(base_de_datos[[#This Row],[Bioelectrónica]]&lt;&gt;"",base_de_datos[[#This Row],[Misma o no]]=1),base_de_datos[[#This Row],[Índice]],"")</f>
        <v/>
      </c>
      <c r="AW220" s="158"/>
      <c r="AX220" s="231">
        <v>1</v>
      </c>
    </row>
    <row r="221" spans="1:221" ht="15">
      <c r="B221" s="148" t="s">
        <v>432</v>
      </c>
      <c r="C221" s="149" t="s">
        <v>433</v>
      </c>
      <c r="D221" s="150">
        <v>1</v>
      </c>
      <c r="E221" s="151">
        <v>0.79166666666666696</v>
      </c>
      <c r="F221" s="151">
        <v>0.91666666666665697</v>
      </c>
      <c r="G221" s="150"/>
      <c r="H221" s="150" t="s">
        <v>225</v>
      </c>
      <c r="I221" s="150">
        <f>INDEX(Aulas_capacidad,MATCH(base_de_datos[[#This Row],[Aula]],Aulas,0),2)</f>
        <v>36</v>
      </c>
      <c r="J221" s="152">
        <v>30</v>
      </c>
      <c r="K221" s="150">
        <f>INDEX(Aulas_capacidad,MATCH(base_de_datos[[#This Row],[Aula]],Aulas,0),4)</f>
        <v>18</v>
      </c>
      <c r="L221" s="153">
        <f>base_de_datos[[#This Row],[Cap 1.5]]-base_de_datos[[#This Row],[Inscritos]]</f>
        <v>-12</v>
      </c>
      <c r="M221" s="153">
        <f>INDEX(Aulas_capacidad,MATCH(base_de_datos[[#This Row],[Aula]],Aulas,0),5)</f>
        <v>18</v>
      </c>
      <c r="N221" s="153">
        <f>base_de_datos[[#This Row],[Cap .90]]-base_de_datos[[#This Row],[Inscritos]]</f>
        <v>-12</v>
      </c>
      <c r="O221" s="150">
        <v>1560</v>
      </c>
      <c r="P221" s="154"/>
      <c r="Q221" s="154"/>
      <c r="R221" s="154"/>
      <c r="S221" s="154"/>
      <c r="T221" s="154" t="s">
        <v>67</v>
      </c>
      <c r="U221" s="154"/>
      <c r="V221" s="154"/>
      <c r="W221" s="154" t="s">
        <v>1657</v>
      </c>
      <c r="X221" s="155">
        <f>_xlfn.XLOOKUP(base_de_datos[[#This Row],[Materia]],Materias,Horas)/16</f>
        <v>3</v>
      </c>
      <c r="Y221" s="155">
        <f>ROUND(((base_de_datos[[#This Row],[Hora fin]]-base_de_datos[[#This Row],[Hora inicio]])*24)*(COUNTA(base_de_datos[[#This Row],[Lunes]:[Sábado]])),1)</f>
        <v>3</v>
      </c>
      <c r="Z22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1" s="155">
        <f ca="1">IF(base_de_datos[[#This Row],[No clase]]=OFFSET(base_de_datos[[#This Row],[No clase]],-1,0),0,1)</f>
        <v>1</v>
      </c>
      <c r="AB221" s="155">
        <f ca="1">IF(NOT(OR(base_de_datos[[#This Row],[Horas totales]]=base_de_datos[[#This Row],[HT Plan]],base_de_datos[[#This Row],[Horas totales]]="N/A")),1,0)</f>
        <v>0</v>
      </c>
      <c r="AC221" s="155" t="str">
        <f>_xlfn.XLOOKUP(base_de_datos[[#This Row],[Profesor]],Nombre,Grado)</f>
        <v>E</v>
      </c>
      <c r="AD221" s="156" t="str">
        <f>_xlfn.XLOOKUP(base_de_datos[[#This Row],[Profesor]],Nombre,Tipo)</f>
        <v>A</v>
      </c>
      <c r="AE221" s="155" t="str">
        <f>IF(IFERROR(VLOOKUP($C221,Planes_de_estudio[],MATCH($AE$2,Carreras,0)+2,0),"")&gt;0,IFERROR(VLOOKUP($C221,Planes_de_estudio[],MATCH($AE$2,Carreras,0)+2,0),""),"")</f>
        <v/>
      </c>
      <c r="AF221" s="155" t="str">
        <f>IF(IFERROR(VLOOKUP($C221,Planes_de_estudio[],MATCH($AF$2,Carreras,0)+2,0),"")&gt;0,IFERROR(VLOOKUP($C221,Planes_de_estudio[],MATCH($AF$2,Carreras,0)+2,0),""),"")</f>
        <v/>
      </c>
      <c r="AG221" s="155" t="str">
        <f>IF(IFERROR(VLOOKUP($C221,Planes_de_estudio[],MATCH($AG$2,Carreras,0)+2,0),"")&gt;0,IFERROR(VLOOKUP($C221,Planes_de_estudio[],MATCH($AG$2,Carreras,0)+2,0),""),"")</f>
        <v/>
      </c>
      <c r="AH221" s="155">
        <f>IF(IFERROR(VLOOKUP($C221,Planes_de_estudio[],MATCH($AH$2,Carreras,0)+2,0),"")&gt;0,IFERROR(VLOOKUP($C221,Planes_de_estudio[],MATCH($AH$2,Carreras,0)+2,0),""),"")</f>
        <v>5</v>
      </c>
      <c r="AI221" s="155" t="str">
        <f>IF(IFERROR(VLOOKUP($C221,Planes_de_estudio[],MATCH($AI$2,Carreras,0)+2,0),"")&gt;0,IFERROR(VLOOKUP($C221,Planes_de_estudio[],MATCH($AI$2,Carreras,0)+2,0),""),"")</f>
        <v/>
      </c>
      <c r="AJ221" s="155" t="str">
        <f>IF(IFERROR(VLOOKUP($C221,Planes_de_estudio[],MATCH($AJ$2,Carreras,0)+2,0),"")&gt;0,IFERROR(VLOOKUP($C221,Planes_de_estudio[],MATCH($AJ$2,Carreras,0)+2,0),""),"")</f>
        <v/>
      </c>
      <c r="AK221" s="155">
        <f>IF(IFERROR(VLOOKUP($C221,Planes_de_estudio[],MATCH($AK$2,Carreras,0)+2,0),"")&gt;0,IFERROR(VLOOKUP($C221,Planes_de_estudio[],MATCH($AK$2,Carreras,0)+2,0),""),"")</f>
        <v>5</v>
      </c>
      <c r="AL22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2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33</v>
      </c>
      <c r="AN221" s="155">
        <f>base_de_datos[[#This Row],[Pronóstico]]/25</f>
        <v>1.32</v>
      </c>
      <c r="AO221" s="155" t="str">
        <f>VLOOKUP($C221,Planes_de_estudio[],2)</f>
        <v>COM</v>
      </c>
      <c r="AP221" s="157" t="str">
        <f ca="1">IF(AND(base_de_datos[[#This Row],[Industrial]]&lt;&gt;"",base_de_datos[[#This Row],[Misma o no]]=1),base_de_datos[[#This Row],[Índice]],"")</f>
        <v/>
      </c>
      <c r="AQ221" s="157" t="str">
        <f ca="1">IF(AND(base_de_datos[[#This Row],[Mecatrónica]]&lt;&gt;"",base_de_datos[[#This Row],[Misma o no]]=1),base_de_datos[[#This Row],[Índice]],"")</f>
        <v/>
      </c>
      <c r="AR221" s="157" t="str">
        <f ca="1">IF(AND(base_de_datos[[#This Row],[Innovación y Diseño]]&lt;&gt;"",base_de_datos[[#This Row],[Misma o no]]=1),base_de_datos[[#This Row],[Índice]],"")</f>
        <v/>
      </c>
      <c r="AS221" s="157">
        <f ca="1">IF(AND(base_de_datos[[#This Row],[Inteligencia Artificial]]&lt;&gt;"",base_de_datos[[#This Row],[Misma o no]]=1),base_de_datos[[#This Row],[Índice]],"")</f>
        <v>2</v>
      </c>
      <c r="AT221" s="157" t="str">
        <f ca="1">IF(AND(base_de_datos[[#This Row],[Tecnologías Energéticas]]&lt;&gt;"",base_de_datos[[#This Row],[Misma o no]]=1),base_de_datos[[#This Row],[Índice]],"")</f>
        <v/>
      </c>
      <c r="AU221" s="157" t="str">
        <f ca="1">IF(AND(base_de_datos[[#This Row],[Civil y Administración]]&lt;&gt;"",base_de_datos[[#This Row],[Misma o no]]=1),base_de_datos[[#This Row],[Índice]],"")</f>
        <v/>
      </c>
      <c r="AV221" s="157">
        <f ca="1">IF(AND(base_de_datos[[#This Row],[Bioelectrónica]]&lt;&gt;"",base_de_datos[[#This Row],[Misma o no]]=1),base_de_datos[[#This Row],[Índice]],"")</f>
        <v>2</v>
      </c>
      <c r="AW221" s="158"/>
      <c r="AX221" s="231">
        <v>2</v>
      </c>
    </row>
    <row r="222" spans="1:221" ht="15">
      <c r="B222" s="148" t="s">
        <v>434</v>
      </c>
      <c r="C222" s="149" t="s">
        <v>342</v>
      </c>
      <c r="D222" s="150">
        <v>2</v>
      </c>
      <c r="E222" s="151">
        <v>0.29166666666666669</v>
      </c>
      <c r="F222" s="151">
        <v>0.374999999999999</v>
      </c>
      <c r="G222" s="150"/>
      <c r="H222" s="150" t="s">
        <v>108</v>
      </c>
      <c r="I222" s="150">
        <f>INDEX(Aulas_capacidad,MATCH(base_de_datos[[#This Row],[Aula]],Aulas,0),2)</f>
        <v>30</v>
      </c>
      <c r="J222" s="152">
        <v>11</v>
      </c>
      <c r="K222" s="150">
        <f>INDEX(Aulas_capacidad,MATCH(base_de_datos[[#This Row],[Aula]],Aulas,0),4)</f>
        <v>12</v>
      </c>
      <c r="L222" s="153">
        <f>base_de_datos[[#This Row],[Cap 1.5]]-base_de_datos[[#This Row],[Inscritos]]</f>
        <v>1</v>
      </c>
      <c r="M222" s="153">
        <f>INDEX(Aulas_capacidad,MATCH(base_de_datos[[#This Row],[Aula]],Aulas,0),5)</f>
        <v>18</v>
      </c>
      <c r="N222" s="153">
        <f>base_de_datos[[#This Row],[Cap .90]]-base_de_datos[[#This Row],[Inscritos]]</f>
        <v>7</v>
      </c>
      <c r="O222" s="150" t="s">
        <v>435</v>
      </c>
      <c r="P222" s="154"/>
      <c r="Q222" s="154" t="s">
        <v>67</v>
      </c>
      <c r="R222" s="154"/>
      <c r="S222" s="154"/>
      <c r="T222" s="154"/>
      <c r="U222" s="154"/>
      <c r="V222" s="154"/>
      <c r="W222" s="154" t="s">
        <v>1651</v>
      </c>
      <c r="X222" s="155">
        <f>_xlfn.XLOOKUP(base_de_datos[[#This Row],[Materia]],Materias,Horas)/16</f>
        <v>4</v>
      </c>
      <c r="Y222" s="155">
        <f>ROUND(((base_de_datos[[#This Row],[Hora fin]]-base_de_datos[[#This Row],[Hora inicio]])*24)*(COUNTA(base_de_datos[[#This Row],[Lunes]:[Sábado]])),1)</f>
        <v>2</v>
      </c>
      <c r="Z22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2" s="155">
        <f ca="1">IF(base_de_datos[[#This Row],[No clase]]=OFFSET(base_de_datos[[#This Row],[No clase]],-1,0),0,1)</f>
        <v>1</v>
      </c>
      <c r="AB222" s="155">
        <f ca="1">IF(NOT(OR(base_de_datos[[#This Row],[Horas totales]]=base_de_datos[[#This Row],[HT Plan]],base_de_datos[[#This Row],[Horas totales]]="N/A")),1,0)</f>
        <v>0</v>
      </c>
      <c r="AC222" s="155" t="str">
        <f>_xlfn.XLOOKUP(base_de_datos[[#This Row],[Profesor]],Nombre,Grado)</f>
        <v>L</v>
      </c>
      <c r="AD222" s="156" t="str">
        <f>_xlfn.XLOOKUP(base_de_datos[[#This Row],[Profesor]],Nombre,Tipo)</f>
        <v>A</v>
      </c>
      <c r="AE222" s="155">
        <f>IF(IFERROR(VLOOKUP($C222,Planes_de_estudio[],MATCH($AE$2,Carreras,0)+2,0),"")&gt;0,IFERROR(VLOOKUP($C222,Planes_de_estudio[],MATCH($AE$2,Carreras,0)+2,0),""),"")</f>
        <v>3</v>
      </c>
      <c r="AF222" s="155">
        <f>IF(IFERROR(VLOOKUP($C222,Planes_de_estudio[],MATCH($AF$2,Carreras,0)+2,0),"")&gt;0,IFERROR(VLOOKUP($C222,Planes_de_estudio[],MATCH($AF$2,Carreras,0)+2,0),""),"")</f>
        <v>3</v>
      </c>
      <c r="AG222" s="155">
        <f>IF(IFERROR(VLOOKUP($C222,Planes_de_estudio[],MATCH($AG$2,Carreras,0)+2,0),"")&gt;0,IFERROR(VLOOKUP($C222,Planes_de_estudio[],MATCH($AG$2,Carreras,0)+2,0),""),"")</f>
        <v>5</v>
      </c>
      <c r="AH222" s="155">
        <f>IF(IFERROR(VLOOKUP($C222,Planes_de_estudio[],MATCH($AH$2,Carreras,0)+2,0),"")&gt;0,IFERROR(VLOOKUP($C222,Planes_de_estudio[],MATCH($AH$2,Carreras,0)+2,0),""),"")</f>
        <v>3</v>
      </c>
      <c r="AI222" s="155">
        <f>IF(IFERROR(VLOOKUP($C222,Planes_de_estudio[],MATCH($AI$2,Carreras,0)+2,0),"")&gt;0,IFERROR(VLOOKUP($C222,Planes_de_estudio[],MATCH($AI$2,Carreras,0)+2,0),""),"")</f>
        <v>3</v>
      </c>
      <c r="AJ222" s="155">
        <f>IF(IFERROR(VLOOKUP($C222,Planes_de_estudio[],MATCH($AJ$2,Carreras,0)+2,0),"")&gt;0,IFERROR(VLOOKUP($C222,Planes_de_estudio[],MATCH($AJ$2,Carreras,0)+2,0),""),"")</f>
        <v>3</v>
      </c>
      <c r="AK222" s="155">
        <f>IF(IFERROR(VLOOKUP($C222,Planes_de_estudio[],MATCH($AK$2,Carreras,0)+2,0),"")&gt;0,IFERROR(VLOOKUP($C222,Planes_de_estudio[],MATCH($AK$2,Carreras,0)+2,0),""),"")</f>
        <v>3</v>
      </c>
      <c r="AL22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2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22" s="155">
        <f>base_de_datos[[#This Row],[Pronóstico]]/25</f>
        <v>4.32</v>
      </c>
      <c r="AO222" s="155" t="str">
        <f>VLOOKUP($C222,Planes_de_estudio[],2)</f>
        <v>MAT</v>
      </c>
      <c r="AP222" s="157">
        <f ca="1">IF(AND(base_de_datos[[#This Row],[Industrial]]&lt;&gt;"",base_de_datos[[#This Row],[Misma o no]]=1),base_de_datos[[#This Row],[Índice]],"")</f>
        <v>1</v>
      </c>
      <c r="AQ222" s="157">
        <f ca="1">IF(AND(base_de_datos[[#This Row],[Mecatrónica]]&lt;&gt;"",base_de_datos[[#This Row],[Misma o no]]=1),base_de_datos[[#This Row],[Índice]],"")</f>
        <v>1</v>
      </c>
      <c r="AR222" s="157">
        <f ca="1">IF(AND(base_de_datos[[#This Row],[Innovación y Diseño]]&lt;&gt;"",base_de_datos[[#This Row],[Misma o no]]=1),base_de_datos[[#This Row],[Índice]],"")</f>
        <v>1</v>
      </c>
      <c r="AS222" s="157">
        <f ca="1">IF(AND(base_de_datos[[#This Row],[Inteligencia Artificial]]&lt;&gt;"",base_de_datos[[#This Row],[Misma o no]]=1),base_de_datos[[#This Row],[Índice]],"")</f>
        <v>1</v>
      </c>
      <c r="AT222" s="157">
        <f ca="1">IF(AND(base_de_datos[[#This Row],[Tecnologías Energéticas]]&lt;&gt;"",base_de_datos[[#This Row],[Misma o no]]=1),base_de_datos[[#This Row],[Índice]],"")</f>
        <v>1</v>
      </c>
      <c r="AU222" s="157">
        <f ca="1">IF(AND(base_de_datos[[#This Row],[Civil y Administración]]&lt;&gt;"",base_de_datos[[#This Row],[Misma o no]]=1),base_de_datos[[#This Row],[Índice]],"")</f>
        <v>1</v>
      </c>
      <c r="AV222" s="157">
        <f ca="1">IF(AND(base_de_datos[[#This Row],[Bioelectrónica]]&lt;&gt;"",base_de_datos[[#This Row],[Misma o no]]=1),base_de_datos[[#This Row],[Índice]],"")</f>
        <v>1</v>
      </c>
      <c r="AW222" s="158"/>
      <c r="AX222" s="231">
        <v>2</v>
      </c>
    </row>
    <row r="223" spans="1:221" ht="15">
      <c r="B223" s="148" t="s">
        <v>434</v>
      </c>
      <c r="C223" s="149" t="s">
        <v>342</v>
      </c>
      <c r="D223" s="150">
        <v>2</v>
      </c>
      <c r="E223" s="151">
        <v>0.29166666666666669</v>
      </c>
      <c r="F223" s="151">
        <v>0.374999999999999</v>
      </c>
      <c r="G223" s="150"/>
      <c r="H223" s="150" t="s">
        <v>234</v>
      </c>
      <c r="I223" s="150">
        <f>INDEX(Aulas_capacidad,MATCH(base_de_datos[[#This Row],[Aula]],Aulas,0),2)</f>
        <v>30</v>
      </c>
      <c r="J223" s="152">
        <v>11</v>
      </c>
      <c r="K223" s="150">
        <f>INDEX(Aulas_capacidad,MATCH(base_de_datos[[#This Row],[Aula]],Aulas,0),4)</f>
        <v>0</v>
      </c>
      <c r="L223" s="153">
        <f>base_de_datos[[#This Row],[Cap 1.5]]-base_de_datos[[#This Row],[Inscritos]]</f>
        <v>-11</v>
      </c>
      <c r="M223" s="153">
        <f>INDEX(Aulas_capacidad,MATCH(base_de_datos[[#This Row],[Aula]],Aulas,0),5)</f>
        <v>0</v>
      </c>
      <c r="N223" s="153">
        <f>base_de_datos[[#This Row],[Cap .90]]-base_de_datos[[#This Row],[Inscritos]]</f>
        <v>-11</v>
      </c>
      <c r="O223" s="150" t="s">
        <v>435</v>
      </c>
      <c r="P223" s="154"/>
      <c r="Q223" s="154"/>
      <c r="R223" s="154"/>
      <c r="S223" s="154"/>
      <c r="T223" s="154" t="s">
        <v>67</v>
      </c>
      <c r="U223" s="154"/>
      <c r="V223" s="154"/>
      <c r="W223" s="154" t="s">
        <v>1651</v>
      </c>
      <c r="X223" s="155">
        <f>_xlfn.XLOOKUP(base_de_datos[[#This Row],[Materia]],Materias,Horas)/16</f>
        <v>4</v>
      </c>
      <c r="Y223" s="155">
        <f>ROUND(((base_de_datos[[#This Row],[Hora fin]]-base_de_datos[[#This Row],[Hora inicio]])*24)*(COUNTA(base_de_datos[[#This Row],[Lunes]:[Sábado]])),1)</f>
        <v>2</v>
      </c>
      <c r="Z22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3" s="155">
        <f ca="1">IF(base_de_datos[[#This Row],[No clase]]=OFFSET(base_de_datos[[#This Row],[No clase]],-1,0),0,1)</f>
        <v>0</v>
      </c>
      <c r="AB223" s="155">
        <f ca="1">IF(NOT(OR(base_de_datos[[#This Row],[Horas totales]]=base_de_datos[[#This Row],[HT Plan]],base_de_datos[[#This Row],[Horas totales]]="N/A")),1,0)</f>
        <v>0</v>
      </c>
      <c r="AC223" s="155" t="str">
        <f>_xlfn.XLOOKUP(base_de_datos[[#This Row],[Profesor]],Nombre,Grado)</f>
        <v>L</v>
      </c>
      <c r="AD223" s="156" t="str">
        <f>_xlfn.XLOOKUP(base_de_datos[[#This Row],[Profesor]],Nombre,Tipo)</f>
        <v>A</v>
      </c>
      <c r="AE223" s="155">
        <f>IF(IFERROR(VLOOKUP($C223,Planes_de_estudio[],MATCH($AE$2,Carreras,0)+2,0),"")&gt;0,IFERROR(VLOOKUP($C223,Planes_de_estudio[],MATCH($AE$2,Carreras,0)+2,0),""),"")</f>
        <v>3</v>
      </c>
      <c r="AF223" s="155">
        <f>IF(IFERROR(VLOOKUP($C223,Planes_de_estudio[],MATCH($AF$2,Carreras,0)+2,0),"")&gt;0,IFERROR(VLOOKUP($C223,Planes_de_estudio[],MATCH($AF$2,Carreras,0)+2,0),""),"")</f>
        <v>3</v>
      </c>
      <c r="AG223" s="155">
        <f>IF(IFERROR(VLOOKUP($C223,Planes_de_estudio[],MATCH($AG$2,Carreras,0)+2,0),"")&gt;0,IFERROR(VLOOKUP($C223,Planes_de_estudio[],MATCH($AG$2,Carreras,0)+2,0),""),"")</f>
        <v>5</v>
      </c>
      <c r="AH223" s="155">
        <f>IF(IFERROR(VLOOKUP($C223,Planes_de_estudio[],MATCH($AH$2,Carreras,0)+2,0),"")&gt;0,IFERROR(VLOOKUP($C223,Planes_de_estudio[],MATCH($AH$2,Carreras,0)+2,0),""),"")</f>
        <v>3</v>
      </c>
      <c r="AI223" s="155">
        <f>IF(IFERROR(VLOOKUP($C223,Planes_de_estudio[],MATCH($AI$2,Carreras,0)+2,0),"")&gt;0,IFERROR(VLOOKUP($C223,Planes_de_estudio[],MATCH($AI$2,Carreras,0)+2,0),""),"")</f>
        <v>3</v>
      </c>
      <c r="AJ223" s="155">
        <f>IF(IFERROR(VLOOKUP($C223,Planes_de_estudio[],MATCH($AJ$2,Carreras,0)+2,0),"")&gt;0,IFERROR(VLOOKUP($C223,Planes_de_estudio[],MATCH($AJ$2,Carreras,0)+2,0),""),"")</f>
        <v>3</v>
      </c>
      <c r="AK223" s="155">
        <f>IF(IFERROR(VLOOKUP($C223,Planes_de_estudio[],MATCH($AK$2,Carreras,0)+2,0),"")&gt;0,IFERROR(VLOOKUP($C223,Planes_de_estudio[],MATCH($AK$2,Carreras,0)+2,0),""),"")</f>
        <v>3</v>
      </c>
      <c r="AL22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2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23" s="155">
        <f>base_de_datos[[#This Row],[Pronóstico]]/25</f>
        <v>4.32</v>
      </c>
      <c r="AO223" s="155" t="str">
        <f>VLOOKUP($C223,Planes_de_estudio[],2)</f>
        <v>MAT</v>
      </c>
      <c r="AP223" s="157" t="str">
        <f ca="1">IF(AND(base_de_datos[[#This Row],[Industrial]]&lt;&gt;"",base_de_datos[[#This Row],[Misma o no]]=1),base_de_datos[[#This Row],[Índice]],"")</f>
        <v/>
      </c>
      <c r="AQ223" s="157" t="str">
        <f ca="1">IF(AND(base_de_datos[[#This Row],[Mecatrónica]]&lt;&gt;"",base_de_datos[[#This Row],[Misma o no]]=1),base_de_datos[[#This Row],[Índice]],"")</f>
        <v/>
      </c>
      <c r="AR223" s="157" t="str">
        <f ca="1">IF(AND(base_de_datos[[#This Row],[Innovación y Diseño]]&lt;&gt;"",base_de_datos[[#This Row],[Misma o no]]=1),base_de_datos[[#This Row],[Índice]],"")</f>
        <v/>
      </c>
      <c r="AS223" s="157" t="str">
        <f ca="1">IF(AND(base_de_datos[[#This Row],[Inteligencia Artificial]]&lt;&gt;"",base_de_datos[[#This Row],[Misma o no]]=1),base_de_datos[[#This Row],[Índice]],"")</f>
        <v/>
      </c>
      <c r="AT223" s="157" t="str">
        <f ca="1">IF(AND(base_de_datos[[#This Row],[Tecnologías Energéticas]]&lt;&gt;"",base_de_datos[[#This Row],[Misma o no]]=1),base_de_datos[[#This Row],[Índice]],"")</f>
        <v/>
      </c>
      <c r="AU223" s="157" t="str">
        <f ca="1">IF(AND(base_de_datos[[#This Row],[Civil y Administración]]&lt;&gt;"",base_de_datos[[#This Row],[Misma o no]]=1),base_de_datos[[#This Row],[Índice]],"")</f>
        <v/>
      </c>
      <c r="AV223" s="157" t="str">
        <f ca="1">IF(AND(base_de_datos[[#This Row],[Bioelectrónica]]&lt;&gt;"",base_de_datos[[#This Row],[Misma o no]]=1),base_de_datos[[#This Row],[Índice]],"")</f>
        <v/>
      </c>
      <c r="AW223" s="158"/>
      <c r="AX223" s="231">
        <v>1</v>
      </c>
    </row>
    <row r="224" spans="1:221" ht="15">
      <c r="B224" s="148" t="s">
        <v>434</v>
      </c>
      <c r="C224" s="149" t="s">
        <v>248</v>
      </c>
      <c r="D224" s="150">
        <v>2</v>
      </c>
      <c r="E224" s="151">
        <v>0.5</v>
      </c>
      <c r="F224" s="151">
        <v>0.562499999999996</v>
      </c>
      <c r="G224" s="150"/>
      <c r="H224" s="150" t="s">
        <v>80</v>
      </c>
      <c r="I224" s="150">
        <f>INDEX(Aulas_capacidad,MATCH(base_de_datos[[#This Row],[Aula]],Aulas,0),2)</f>
        <v>30</v>
      </c>
      <c r="J224" s="152">
        <v>14</v>
      </c>
      <c r="K224" s="150">
        <f>INDEX(Aulas_capacidad,MATCH(base_de_datos[[#This Row],[Aula]],Aulas,0),4)</f>
        <v>0</v>
      </c>
      <c r="L224" s="153">
        <f>base_de_datos[[#This Row],[Cap 1.5]]-base_de_datos[[#This Row],[Inscritos]]</f>
        <v>-14</v>
      </c>
      <c r="M224" s="153">
        <f>INDEX(Aulas_capacidad,MATCH(base_de_datos[[#This Row],[Aula]],Aulas,0),5)</f>
        <v>0</v>
      </c>
      <c r="N224" s="153">
        <f>base_de_datos[[#This Row],[Cap .90]]-base_de_datos[[#This Row],[Inscritos]]</f>
        <v>-14</v>
      </c>
      <c r="O224" s="150" t="s">
        <v>436</v>
      </c>
      <c r="P224" s="154"/>
      <c r="Q224" s="154" t="s">
        <v>67</v>
      </c>
      <c r="R224" s="154"/>
      <c r="S224" s="154" t="s">
        <v>67</v>
      </c>
      <c r="T224" s="154"/>
      <c r="U224" s="154"/>
      <c r="V224" s="154"/>
      <c r="W224" s="154" t="s">
        <v>1650</v>
      </c>
      <c r="X224" s="155">
        <f>_xlfn.XLOOKUP(base_de_datos[[#This Row],[Materia]],Materias,Horas)/16</f>
        <v>3</v>
      </c>
      <c r="Y224" s="155">
        <f>ROUND(((base_de_datos[[#This Row],[Hora fin]]-base_de_datos[[#This Row],[Hora inicio]])*24)*(COUNTA(base_de_datos[[#This Row],[Lunes]:[Sábado]])),1)</f>
        <v>3</v>
      </c>
      <c r="Z22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4" s="155">
        <f ca="1">IF(base_de_datos[[#This Row],[No clase]]=OFFSET(base_de_datos[[#This Row],[No clase]],-1,0),0,1)</f>
        <v>1</v>
      </c>
      <c r="AB224" s="155">
        <f ca="1">IF(NOT(OR(base_de_datos[[#This Row],[Horas totales]]=base_de_datos[[#This Row],[HT Plan]],base_de_datos[[#This Row],[Horas totales]]="N/A")),1,0)</f>
        <v>0</v>
      </c>
      <c r="AC224" s="155" t="str">
        <f>_xlfn.XLOOKUP(base_de_datos[[#This Row],[Profesor]],Nombre,Grado)</f>
        <v>L</v>
      </c>
      <c r="AD224" s="156" t="str">
        <f>_xlfn.XLOOKUP(base_de_datos[[#This Row],[Profesor]],Nombre,Tipo)</f>
        <v>A</v>
      </c>
      <c r="AE224" s="155">
        <f>IF(IFERROR(VLOOKUP($C224,Planes_de_estudio[],MATCH($AE$2,Carreras,0)+2,0),"")&gt;0,IFERROR(VLOOKUP($C224,Planes_de_estudio[],MATCH($AE$2,Carreras,0)+2,0),""),"")</f>
        <v>3</v>
      </c>
      <c r="AF224" s="155">
        <f>IF(IFERROR(VLOOKUP($C224,Planes_de_estudio[],MATCH($AF$2,Carreras,0)+2,0),"")&gt;0,IFERROR(VLOOKUP($C224,Planes_de_estudio[],MATCH($AF$2,Carreras,0)+2,0),""),"")</f>
        <v>3</v>
      </c>
      <c r="AG224" s="155" t="str">
        <f>IF(IFERROR(VLOOKUP($C224,Planes_de_estudio[],MATCH($AG$2,Carreras,0)+2,0),"")&gt;0,IFERROR(VLOOKUP($C224,Planes_de_estudio[],MATCH($AG$2,Carreras,0)+2,0),""),"")</f>
        <v/>
      </c>
      <c r="AH224" s="155">
        <f>IF(IFERROR(VLOOKUP($C224,Planes_de_estudio[],MATCH($AH$2,Carreras,0)+2,0),"")&gt;0,IFERROR(VLOOKUP($C224,Planes_de_estudio[],MATCH($AH$2,Carreras,0)+2,0),""),"")</f>
        <v>4</v>
      </c>
      <c r="AI224" s="155">
        <f>IF(IFERROR(VLOOKUP($C224,Planes_de_estudio[],MATCH($AI$2,Carreras,0)+2,0),"")&gt;0,IFERROR(VLOOKUP($C224,Planes_de_estudio[],MATCH($AI$2,Carreras,0)+2,0),""),"")</f>
        <v>4</v>
      </c>
      <c r="AJ224" s="155">
        <f>IF(IFERROR(VLOOKUP($C224,Planes_de_estudio[],MATCH($AJ$2,Carreras,0)+2,0),"")&gt;0,IFERROR(VLOOKUP($C224,Planes_de_estudio[],MATCH($AJ$2,Carreras,0)+2,0),""),"")</f>
        <v>4</v>
      </c>
      <c r="AK224" s="155">
        <f>IF(IFERROR(VLOOKUP($C224,Planes_de_estudio[],MATCH($AK$2,Carreras,0)+2,0),"")&gt;0,IFERROR(VLOOKUP($C224,Planes_de_estudio[],MATCH($AK$2,Carreras,0)+2,0),""),"")</f>
        <v>3</v>
      </c>
      <c r="AL22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2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57</v>
      </c>
      <c r="AN224" s="155">
        <f>base_de_datos[[#This Row],[Pronóstico]]/25</f>
        <v>2.2799999999999998</v>
      </c>
      <c r="AO224" s="155" t="str">
        <f>VLOOKUP($C224,Planes_de_estudio[],2)</f>
        <v>MAT</v>
      </c>
      <c r="AP224" s="157">
        <f ca="1">IF(AND(base_de_datos[[#This Row],[Industrial]]&lt;&gt;"",base_de_datos[[#This Row],[Misma o no]]=1),base_de_datos[[#This Row],[Índice]],"")</f>
        <v>1</v>
      </c>
      <c r="AQ224" s="157">
        <f ca="1">IF(AND(base_de_datos[[#This Row],[Mecatrónica]]&lt;&gt;"",base_de_datos[[#This Row],[Misma o no]]=1),base_de_datos[[#This Row],[Índice]],"")</f>
        <v>1</v>
      </c>
      <c r="AR224" s="157" t="str">
        <f ca="1">IF(AND(base_de_datos[[#This Row],[Innovación y Diseño]]&lt;&gt;"",base_de_datos[[#This Row],[Misma o no]]=1),base_de_datos[[#This Row],[Índice]],"")</f>
        <v/>
      </c>
      <c r="AS224" s="157">
        <f ca="1">IF(AND(base_de_datos[[#This Row],[Inteligencia Artificial]]&lt;&gt;"",base_de_datos[[#This Row],[Misma o no]]=1),base_de_datos[[#This Row],[Índice]],"")</f>
        <v>1</v>
      </c>
      <c r="AT224" s="157">
        <f ca="1">IF(AND(base_de_datos[[#This Row],[Tecnologías Energéticas]]&lt;&gt;"",base_de_datos[[#This Row],[Misma o no]]=1),base_de_datos[[#This Row],[Índice]],"")</f>
        <v>1</v>
      </c>
      <c r="AU224" s="157">
        <f ca="1">IF(AND(base_de_datos[[#This Row],[Civil y Administración]]&lt;&gt;"",base_de_datos[[#This Row],[Misma o no]]=1),base_de_datos[[#This Row],[Índice]],"")</f>
        <v>1</v>
      </c>
      <c r="AV224" s="157">
        <f ca="1">IF(AND(base_de_datos[[#This Row],[Bioelectrónica]]&lt;&gt;"",base_de_datos[[#This Row],[Misma o no]]=1),base_de_datos[[#This Row],[Índice]],"")</f>
        <v>1</v>
      </c>
      <c r="AW224" s="158"/>
      <c r="AX224" s="231">
        <v>1</v>
      </c>
    </row>
    <row r="225" spans="1:221" ht="15">
      <c r="B225" s="148" t="s">
        <v>437</v>
      </c>
      <c r="C225" s="149" t="s">
        <v>438</v>
      </c>
      <c r="D225" s="150">
        <v>1</v>
      </c>
      <c r="E225" s="151">
        <v>0.70833333333333304</v>
      </c>
      <c r="F225" s="151">
        <v>0.77083333333332604</v>
      </c>
      <c r="G225" s="218" t="s">
        <v>65</v>
      </c>
      <c r="H225" s="150" t="s">
        <v>93</v>
      </c>
      <c r="I225" s="150">
        <f>INDEX(Aulas_capacidad,MATCH(base_de_datos[[#This Row],[Aula]],Aulas,0),2)</f>
        <v>40</v>
      </c>
      <c r="J225" s="152">
        <v>24</v>
      </c>
      <c r="K225" s="150">
        <f>INDEX(Aulas_capacidad,MATCH(base_de_datos[[#This Row],[Aula]],Aulas,0),4)</f>
        <v>11</v>
      </c>
      <c r="L225" s="153">
        <f>base_de_datos[[#This Row],[Cap 1.5]]-base_de_datos[[#This Row],[Inscritos]]</f>
        <v>-13</v>
      </c>
      <c r="M225" s="153">
        <f>INDEX(Aulas_capacidad,MATCH(base_de_datos[[#This Row],[Aula]],Aulas,0),5)</f>
        <v>19</v>
      </c>
      <c r="N225" s="153">
        <f>base_de_datos[[#This Row],[Cap .90]]-base_de_datos[[#This Row],[Inscritos]]</f>
        <v>-5</v>
      </c>
      <c r="O225" s="150">
        <v>1468</v>
      </c>
      <c r="P225" s="154"/>
      <c r="Q225" s="154" t="s">
        <v>67</v>
      </c>
      <c r="R225" s="154" t="s">
        <v>67</v>
      </c>
      <c r="S225" s="154"/>
      <c r="T225" s="154"/>
      <c r="U225" s="154"/>
      <c r="V225" s="154" t="s">
        <v>67</v>
      </c>
      <c r="W225" s="154" t="s">
        <v>1654</v>
      </c>
      <c r="X225" s="155">
        <f>_xlfn.XLOOKUP(base_de_datos[[#This Row],[Materia]],Materias,Horas)/16</f>
        <v>3</v>
      </c>
      <c r="Y225" s="155">
        <f>ROUND(((base_de_datos[[#This Row],[Hora fin]]-base_de_datos[[#This Row],[Hora inicio]])*24)*(COUNTA(base_de_datos[[#This Row],[Lunes]:[Sábado]])),1)</f>
        <v>3</v>
      </c>
      <c r="Z22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5" s="155">
        <f ca="1">IF(base_de_datos[[#This Row],[No clase]]=OFFSET(base_de_datos[[#This Row],[No clase]],-1,0),0,1)</f>
        <v>1</v>
      </c>
      <c r="AB225" s="155">
        <f ca="1">IF(NOT(OR(base_de_datos[[#This Row],[Horas totales]]=base_de_datos[[#This Row],[HT Plan]],base_de_datos[[#This Row],[Horas totales]]="N/A")),1,0)</f>
        <v>0</v>
      </c>
      <c r="AC225" s="155" t="str">
        <f>_xlfn.XLOOKUP(base_de_datos[[#This Row],[Profesor]],Nombre,Grado)</f>
        <v>D</v>
      </c>
      <c r="AD225" s="156" t="str">
        <f>_xlfn.XLOOKUP(base_de_datos[[#This Row],[Profesor]],Nombre,Tipo)</f>
        <v>TC</v>
      </c>
      <c r="AE225" s="155" t="str">
        <f>IF(IFERROR(VLOOKUP($C225,Planes_de_estudio[],MATCH($AE$2,Carreras,0)+2,0),"")&gt;0,IFERROR(VLOOKUP($C225,Planes_de_estudio[],MATCH($AE$2,Carreras,0)+2,0),""),"")</f>
        <v/>
      </c>
      <c r="AF225" s="155" t="str">
        <f>IF(IFERROR(VLOOKUP($C225,Planes_de_estudio[],MATCH($AF$2,Carreras,0)+2,0),"")&gt;0,IFERROR(VLOOKUP($C225,Planes_de_estudio[],MATCH($AF$2,Carreras,0)+2,0),""),"")</f>
        <v/>
      </c>
      <c r="AG225" s="155" t="str">
        <f>IF(IFERROR(VLOOKUP($C225,Planes_de_estudio[],MATCH($AG$2,Carreras,0)+2,0),"")&gt;0,IFERROR(VLOOKUP($C225,Planes_de_estudio[],MATCH($AG$2,Carreras,0)+2,0),""),"")</f>
        <v/>
      </c>
      <c r="AH225" s="155">
        <f>IF(IFERROR(VLOOKUP($C225,Planes_de_estudio[],MATCH($AH$2,Carreras,0)+2,0),"")&gt;0,IFERROR(VLOOKUP($C225,Planes_de_estudio[],MATCH($AH$2,Carreras,0)+2,0),""),"")</f>
        <v>5</v>
      </c>
      <c r="AI225" s="155" t="str">
        <f>IF(IFERROR(VLOOKUP($C225,Planes_de_estudio[],MATCH($AI$2,Carreras,0)+2,0),"")&gt;0,IFERROR(VLOOKUP($C225,Planes_de_estudio[],MATCH($AI$2,Carreras,0)+2,0),""),"")</f>
        <v/>
      </c>
      <c r="AJ225" s="155" t="str">
        <f>IF(IFERROR(VLOOKUP($C225,Planes_de_estudio[],MATCH($AJ$2,Carreras,0)+2,0),"")&gt;0,IFERROR(VLOOKUP($C225,Planes_de_estudio[],MATCH($AJ$2,Carreras,0)+2,0),""),"")</f>
        <v/>
      </c>
      <c r="AK225" s="155" t="str">
        <f>IF(IFERROR(VLOOKUP($C225,Planes_de_estudio[],MATCH($AK$2,Carreras,0)+2,0),"")&gt;0,IFERROR(VLOOKUP($C225,Planes_de_estudio[],MATCH($AK$2,Carreras,0)+2,0),""),"")</f>
        <v/>
      </c>
      <c r="AL22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25</v>
      </c>
      <c r="AN225" s="155">
        <f>base_de_datos[[#This Row],[Pronóstico]]/25</f>
        <v>1</v>
      </c>
      <c r="AO225" s="155" t="str">
        <f>VLOOKUP($C225,Planes_de_estudio[],2)</f>
        <v>COM</v>
      </c>
      <c r="AP225" s="157" t="str">
        <f ca="1">IF(AND(base_de_datos[[#This Row],[Industrial]]&lt;&gt;"",base_de_datos[[#This Row],[Misma o no]]=1),base_de_datos[[#This Row],[Índice]],"")</f>
        <v/>
      </c>
      <c r="AQ225" s="157" t="str">
        <f ca="1">IF(AND(base_de_datos[[#This Row],[Mecatrónica]]&lt;&gt;"",base_de_datos[[#This Row],[Misma o no]]=1),base_de_datos[[#This Row],[Índice]],"")</f>
        <v/>
      </c>
      <c r="AR225" s="157" t="str">
        <f ca="1">IF(AND(base_de_datos[[#This Row],[Innovación y Diseño]]&lt;&gt;"",base_de_datos[[#This Row],[Misma o no]]=1),base_de_datos[[#This Row],[Índice]],"")</f>
        <v/>
      </c>
      <c r="AS225" s="157">
        <f ca="1">IF(AND(base_de_datos[[#This Row],[Inteligencia Artificial]]&lt;&gt;"",base_de_datos[[#This Row],[Misma o no]]=1),base_de_datos[[#This Row],[Índice]],"")</f>
        <v>6</v>
      </c>
      <c r="AT225" s="157" t="str">
        <f ca="1">IF(AND(base_de_datos[[#This Row],[Tecnologías Energéticas]]&lt;&gt;"",base_de_datos[[#This Row],[Misma o no]]=1),base_de_datos[[#This Row],[Índice]],"")</f>
        <v/>
      </c>
      <c r="AU225" s="157" t="str">
        <f ca="1">IF(AND(base_de_datos[[#This Row],[Civil y Administración]]&lt;&gt;"",base_de_datos[[#This Row],[Misma o no]]=1),base_de_datos[[#This Row],[Índice]],"")</f>
        <v/>
      </c>
      <c r="AV225" s="157" t="str">
        <f ca="1">IF(AND(base_de_datos[[#This Row],[Bioelectrónica]]&lt;&gt;"",base_de_datos[[#This Row],[Misma o no]]=1),base_de_datos[[#This Row],[Índice]],"")</f>
        <v/>
      </c>
      <c r="AW225" s="158"/>
      <c r="AX225" s="159">
        <v>1</v>
      </c>
    </row>
    <row r="226" spans="1:221" ht="14">
      <c r="B226" s="112"/>
      <c r="C226" s="113"/>
      <c r="D226" s="109"/>
      <c r="E226" s="209">
        <v>0.375</v>
      </c>
      <c r="F226" s="209">
        <v>0.54166666666666297</v>
      </c>
      <c r="G226" s="210"/>
      <c r="H226" s="210" t="s">
        <v>1</v>
      </c>
      <c r="I226" s="109"/>
      <c r="J226" s="107"/>
      <c r="K226" s="109"/>
      <c r="L226" s="115"/>
      <c r="M226" s="115"/>
      <c r="N226" s="115"/>
      <c r="O226" s="210" t="s">
        <v>439</v>
      </c>
      <c r="P226" s="116"/>
      <c r="Q226" s="116"/>
      <c r="R226" s="116"/>
      <c r="S226" s="116"/>
      <c r="T226" s="116"/>
      <c r="U226" s="211" t="s">
        <v>67</v>
      </c>
      <c r="V226" s="116"/>
      <c r="W226" s="116"/>
      <c r="X226" s="110"/>
      <c r="Y226" s="110"/>
      <c r="Z226" s="110"/>
      <c r="AA226" s="110"/>
      <c r="AB226" s="110"/>
      <c r="AC226" s="110"/>
      <c r="AD226" s="111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83"/>
      <c r="AQ226" s="83"/>
      <c r="AR226" s="83"/>
      <c r="AS226" s="83"/>
      <c r="AT226" s="83"/>
      <c r="AU226" s="83"/>
      <c r="AV226" s="83"/>
      <c r="AW226" s="108"/>
      <c r="AX226" s="91"/>
    </row>
    <row r="227" spans="1:221" ht="14">
      <c r="B227" s="112"/>
      <c r="C227" s="113"/>
      <c r="D227" s="109"/>
      <c r="E227" s="209">
        <v>0.70833333333333304</v>
      </c>
      <c r="F227" s="209">
        <v>0.79166666666665897</v>
      </c>
      <c r="G227" s="210"/>
      <c r="H227" s="210" t="s">
        <v>1</v>
      </c>
      <c r="I227" s="109"/>
      <c r="J227" s="107"/>
      <c r="K227" s="109"/>
      <c r="L227" s="115"/>
      <c r="M227" s="115"/>
      <c r="N227" s="115"/>
      <c r="O227" s="210" t="s">
        <v>440</v>
      </c>
      <c r="P227" s="116"/>
      <c r="Q227" s="116"/>
      <c r="R227" s="116"/>
      <c r="S227" s="211" t="s">
        <v>67</v>
      </c>
      <c r="T227" s="116"/>
      <c r="U227" s="116"/>
      <c r="V227" s="116"/>
      <c r="W227" s="116"/>
      <c r="X227" s="110"/>
      <c r="Y227" s="110"/>
      <c r="Z227" s="110"/>
      <c r="AA227" s="110"/>
      <c r="AB227" s="110"/>
      <c r="AC227" s="110"/>
      <c r="AD227" s="111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83"/>
      <c r="AQ227" s="83"/>
      <c r="AR227" s="83"/>
      <c r="AS227" s="83"/>
      <c r="AT227" s="83"/>
      <c r="AU227" s="83"/>
      <c r="AV227" s="83"/>
      <c r="AW227" s="108"/>
      <c r="AX227" s="91"/>
    </row>
    <row r="228" spans="1:221" ht="14">
      <c r="B228" s="112"/>
      <c r="C228" s="113"/>
      <c r="D228" s="109"/>
      <c r="E228" s="209">
        <v>0.375</v>
      </c>
      <c r="F228" s="209">
        <v>0.54166666666666297</v>
      </c>
      <c r="G228" s="210"/>
      <c r="H228" s="210" t="s">
        <v>178</v>
      </c>
      <c r="I228" s="109"/>
      <c r="J228" s="107"/>
      <c r="K228" s="109"/>
      <c r="L228" s="115"/>
      <c r="M228" s="115"/>
      <c r="N228" s="115"/>
      <c r="O228" s="210" t="s">
        <v>441</v>
      </c>
      <c r="P228" s="116"/>
      <c r="Q228" s="116"/>
      <c r="R228" s="116"/>
      <c r="S228" s="116"/>
      <c r="T228" s="116"/>
      <c r="U228" s="211" t="s">
        <v>67</v>
      </c>
      <c r="V228" s="116"/>
      <c r="W228" s="116"/>
      <c r="X228" s="110"/>
      <c r="Y228" s="110"/>
      <c r="Z228" s="110"/>
      <c r="AA228" s="110"/>
      <c r="AB228" s="110"/>
      <c r="AC228" s="110"/>
      <c r="AD228" s="111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83"/>
      <c r="AQ228" s="83"/>
      <c r="AR228" s="83"/>
      <c r="AS228" s="83"/>
      <c r="AT228" s="83"/>
      <c r="AU228" s="83"/>
      <c r="AV228" s="83"/>
      <c r="AW228" s="108"/>
      <c r="AX228" s="91"/>
    </row>
    <row r="229" spans="1:221" ht="14">
      <c r="B229" s="112"/>
      <c r="C229" s="113"/>
      <c r="D229" s="109"/>
      <c r="E229" s="209">
        <v>0.41666666666666702</v>
      </c>
      <c r="F229" s="209">
        <v>0.58333333333332904</v>
      </c>
      <c r="G229" s="210"/>
      <c r="H229" s="210" t="s">
        <v>225</v>
      </c>
      <c r="I229" s="109"/>
      <c r="J229" s="107"/>
      <c r="K229" s="109"/>
      <c r="L229" s="115"/>
      <c r="M229" s="115"/>
      <c r="N229" s="115"/>
      <c r="O229" s="210" t="s">
        <v>442</v>
      </c>
      <c r="P229" s="116"/>
      <c r="Q229" s="116"/>
      <c r="R229" s="116"/>
      <c r="S229" s="116"/>
      <c r="T229" s="116"/>
      <c r="U229" s="211" t="s">
        <v>67</v>
      </c>
      <c r="V229" s="116"/>
      <c r="W229" s="116"/>
      <c r="X229" s="110"/>
      <c r="Y229" s="110"/>
      <c r="Z229" s="110"/>
      <c r="AA229" s="110"/>
      <c r="AB229" s="110"/>
      <c r="AC229" s="110"/>
      <c r="AD229" s="111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83"/>
      <c r="AQ229" s="83"/>
      <c r="AR229" s="83"/>
      <c r="AS229" s="83"/>
      <c r="AT229" s="83"/>
      <c r="AU229" s="83"/>
      <c r="AV229" s="83"/>
      <c r="AW229" s="108"/>
      <c r="AX229" s="91"/>
    </row>
    <row r="230" spans="1:221" s="164" customFormat="1" ht="14">
      <c r="A230" s="85"/>
      <c r="B230" s="112"/>
      <c r="C230" s="113"/>
      <c r="D230" s="109"/>
      <c r="E230" s="209">
        <v>0.58333333333333304</v>
      </c>
      <c r="F230" s="209">
        <v>0.66666666666666097</v>
      </c>
      <c r="G230" s="210"/>
      <c r="H230" s="210" t="s">
        <v>319</v>
      </c>
      <c r="I230" s="109"/>
      <c r="J230" s="107"/>
      <c r="K230" s="109"/>
      <c r="L230" s="115"/>
      <c r="M230" s="115"/>
      <c r="N230" s="115"/>
      <c r="O230" s="210" t="s">
        <v>443</v>
      </c>
      <c r="P230" s="211" t="s">
        <v>67</v>
      </c>
      <c r="Q230" s="211" t="s">
        <v>67</v>
      </c>
      <c r="R230" s="211" t="s">
        <v>67</v>
      </c>
      <c r="S230" s="211" t="s">
        <v>67</v>
      </c>
      <c r="T230" s="116"/>
      <c r="U230" s="116"/>
      <c r="V230" s="116"/>
      <c r="W230" s="116"/>
      <c r="X230" s="110"/>
      <c r="Y230" s="110"/>
      <c r="Z230" s="110"/>
      <c r="AA230" s="110"/>
      <c r="AB230" s="110"/>
      <c r="AC230" s="110"/>
      <c r="AD230" s="111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83"/>
      <c r="AQ230" s="83"/>
      <c r="AR230" s="83"/>
      <c r="AS230" s="83"/>
      <c r="AT230" s="83"/>
      <c r="AU230" s="83"/>
      <c r="AV230" s="83"/>
      <c r="AW230" s="108"/>
      <c r="AX230" s="91"/>
      <c r="AY230" s="85"/>
      <c r="AZ230" s="85"/>
      <c r="BA230" s="85"/>
      <c r="BB230" s="85"/>
      <c r="BC230" s="85"/>
      <c r="BD230" s="85"/>
      <c r="BE230" s="85"/>
      <c r="BF230" s="85"/>
      <c r="BG230" s="85"/>
      <c r="BH230" s="85"/>
      <c r="BI230" s="85"/>
      <c r="BJ230" s="85"/>
      <c r="BK230" s="85"/>
      <c r="BL230" s="85"/>
      <c r="BM230" s="85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  <c r="DF230" s="85"/>
      <c r="DG230" s="85"/>
      <c r="DH230" s="85"/>
      <c r="DI230" s="85"/>
      <c r="DJ230" s="85"/>
      <c r="DK230" s="85"/>
      <c r="DL230" s="85"/>
      <c r="DM230" s="85"/>
      <c r="DN230" s="85"/>
      <c r="DO230" s="85"/>
      <c r="DP230" s="85"/>
      <c r="DQ230" s="85"/>
      <c r="DR230" s="85"/>
      <c r="DS230" s="85"/>
      <c r="DT230" s="85"/>
      <c r="DU230" s="85"/>
      <c r="DV230" s="85"/>
      <c r="DW230" s="85"/>
      <c r="DX230" s="85"/>
      <c r="DY230" s="85"/>
      <c r="DZ230" s="85"/>
      <c r="EA230" s="85"/>
      <c r="EB230" s="85"/>
      <c r="EC230" s="85"/>
      <c r="ED230" s="85"/>
      <c r="EE230" s="85"/>
      <c r="EF230" s="85"/>
      <c r="EG230" s="85"/>
      <c r="EH230" s="85"/>
      <c r="EI230" s="85"/>
      <c r="EJ230" s="85"/>
      <c r="EK230" s="85"/>
      <c r="EL230" s="85"/>
      <c r="EM230" s="85"/>
      <c r="EN230" s="85"/>
      <c r="EO230" s="85"/>
      <c r="EP230" s="85"/>
      <c r="EQ230" s="85"/>
      <c r="ER230" s="85"/>
      <c r="ES230" s="85"/>
      <c r="ET230" s="85"/>
      <c r="EU230" s="85"/>
      <c r="EV230" s="85"/>
      <c r="EW230" s="85"/>
      <c r="EX230" s="85"/>
      <c r="EY230" s="85"/>
      <c r="EZ230" s="85"/>
      <c r="FA230" s="85"/>
      <c r="FB230" s="85"/>
      <c r="FC230" s="85"/>
      <c r="FD230" s="85"/>
      <c r="FE230" s="85"/>
      <c r="FF230" s="85"/>
      <c r="FG230" s="85"/>
      <c r="FH230" s="85"/>
      <c r="FI230" s="85"/>
      <c r="FJ230" s="85"/>
      <c r="FK230" s="85"/>
      <c r="FL230" s="85"/>
      <c r="FM230" s="85"/>
      <c r="FN230" s="85"/>
      <c r="FO230" s="85"/>
      <c r="FP230" s="85"/>
      <c r="FQ230" s="85"/>
      <c r="FR230" s="85"/>
      <c r="FS230" s="85"/>
      <c r="FT230" s="85"/>
      <c r="FU230" s="85"/>
      <c r="FV230" s="85"/>
      <c r="FW230" s="85"/>
      <c r="FX230" s="85"/>
      <c r="FY230" s="85"/>
      <c r="FZ230" s="85"/>
      <c r="GA230" s="85"/>
      <c r="GB230" s="85"/>
      <c r="GC230" s="85"/>
      <c r="GD230" s="85"/>
      <c r="GE230" s="85"/>
      <c r="GF230" s="85"/>
      <c r="GG230" s="85"/>
      <c r="GH230" s="85"/>
      <c r="GI230" s="85"/>
      <c r="GJ230" s="85"/>
      <c r="GK230" s="85"/>
      <c r="GL230" s="85"/>
      <c r="GM230" s="85"/>
      <c r="GN230" s="85"/>
      <c r="GO230" s="85"/>
      <c r="GP230" s="85"/>
      <c r="GQ230" s="85"/>
      <c r="GR230" s="85"/>
      <c r="GS230" s="85"/>
      <c r="GT230" s="85"/>
      <c r="GU230" s="85"/>
      <c r="GV230" s="85"/>
      <c r="GW230" s="85"/>
      <c r="GX230" s="85"/>
      <c r="GY230" s="85"/>
      <c r="GZ230" s="85"/>
      <c r="HA230" s="85"/>
      <c r="HB230" s="85"/>
      <c r="HC230" s="85"/>
      <c r="HD230" s="85"/>
      <c r="HE230" s="85"/>
      <c r="HF230" s="85"/>
      <c r="HG230" s="85"/>
      <c r="HH230" s="85"/>
      <c r="HI230" s="85"/>
      <c r="HJ230" s="85"/>
      <c r="HK230" s="85"/>
      <c r="HL230" s="85"/>
      <c r="HM230" s="85"/>
    </row>
    <row r="231" spans="1:221" ht="14">
      <c r="B231" s="112"/>
      <c r="C231" s="113"/>
      <c r="D231" s="109"/>
      <c r="E231" s="114"/>
      <c r="F231" s="114"/>
      <c r="G231" s="109"/>
      <c r="H231" s="109"/>
      <c r="I231" s="109"/>
      <c r="J231" s="107"/>
      <c r="K231" s="109"/>
      <c r="L231" s="115"/>
      <c r="M231" s="115"/>
      <c r="N231" s="115"/>
      <c r="O231" s="109"/>
      <c r="P231" s="116"/>
      <c r="Q231" s="116"/>
      <c r="R231" s="116" t="s">
        <v>67</v>
      </c>
      <c r="S231" s="116"/>
      <c r="T231" s="116"/>
      <c r="U231" s="116"/>
      <c r="V231" s="116"/>
      <c r="W231" s="116"/>
      <c r="X231" s="110"/>
      <c r="Y231" s="110"/>
      <c r="Z231" s="110"/>
      <c r="AA231" s="110"/>
      <c r="AB231" s="110"/>
      <c r="AC231" s="110"/>
      <c r="AD231" s="111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83"/>
      <c r="AQ231" s="83"/>
      <c r="AR231" s="83"/>
      <c r="AS231" s="83"/>
      <c r="AT231" s="83"/>
      <c r="AU231" s="83"/>
      <c r="AV231" s="83"/>
      <c r="AW231" s="108"/>
      <c r="AX231" s="91"/>
    </row>
    <row r="232" spans="1:221" ht="14">
      <c r="B232" s="112"/>
      <c r="C232" s="113"/>
      <c r="D232" s="109"/>
      <c r="E232" s="114"/>
      <c r="F232" s="114"/>
      <c r="G232" s="109"/>
      <c r="H232" s="109"/>
      <c r="I232" s="109"/>
      <c r="J232" s="107"/>
      <c r="K232" s="109"/>
      <c r="L232" s="115"/>
      <c r="M232" s="115"/>
      <c r="N232" s="115"/>
      <c r="O232" s="109"/>
      <c r="P232" s="116"/>
      <c r="Q232" s="116"/>
      <c r="R232" s="116"/>
      <c r="S232" s="116"/>
      <c r="T232" s="116"/>
      <c r="U232" s="116"/>
      <c r="V232" s="116"/>
      <c r="W232" s="116"/>
      <c r="X232" s="110"/>
      <c r="Y232" s="110"/>
      <c r="Z232" s="110"/>
      <c r="AA232" s="110"/>
      <c r="AB232" s="110"/>
      <c r="AC232" s="110"/>
      <c r="AD232" s="111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83"/>
      <c r="AQ232" s="83"/>
      <c r="AR232" s="83"/>
      <c r="AS232" s="83"/>
      <c r="AT232" s="83"/>
      <c r="AU232" s="83"/>
      <c r="AV232" s="83"/>
      <c r="AW232" s="108"/>
      <c r="AX232" s="91"/>
    </row>
    <row r="233" spans="1:221" ht="14">
      <c r="B233" s="112"/>
      <c r="C233" s="113"/>
      <c r="D233" s="109"/>
      <c r="E233" s="114"/>
      <c r="F233" s="114"/>
      <c r="G233" s="109"/>
      <c r="H233" s="109"/>
      <c r="I233" s="109"/>
      <c r="J233" s="107"/>
      <c r="K233" s="109"/>
      <c r="L233" s="115"/>
      <c r="M233" s="115"/>
      <c r="N233" s="115"/>
      <c r="O233" s="109"/>
      <c r="P233" s="116"/>
      <c r="Q233" s="116"/>
      <c r="R233" s="116"/>
      <c r="S233" s="116"/>
      <c r="T233" s="116"/>
      <c r="U233" s="116"/>
      <c r="V233" s="116"/>
      <c r="W233" s="116"/>
      <c r="X233" s="110"/>
      <c r="Y233" s="110"/>
      <c r="Z233" s="110"/>
      <c r="AA233" s="110"/>
      <c r="AB233" s="110"/>
      <c r="AC233" s="110"/>
      <c r="AD233" s="111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83"/>
      <c r="AQ233" s="83"/>
      <c r="AR233" s="83"/>
      <c r="AS233" s="83"/>
      <c r="AT233" s="83"/>
      <c r="AU233" s="83"/>
      <c r="AV233" s="83"/>
      <c r="AW233" s="108"/>
      <c r="AX233" s="91"/>
    </row>
    <row r="234" spans="1:221" ht="14">
      <c r="B234" s="112"/>
      <c r="C234" s="113"/>
      <c r="D234" s="109"/>
      <c r="E234" s="114"/>
      <c r="F234" s="114"/>
      <c r="G234" s="109"/>
      <c r="H234" s="109"/>
      <c r="I234" s="109"/>
      <c r="J234" s="107"/>
      <c r="K234" s="109"/>
      <c r="L234" s="115"/>
      <c r="M234" s="115"/>
      <c r="N234" s="115"/>
      <c r="O234" s="109"/>
      <c r="P234" s="116"/>
      <c r="Q234" s="116"/>
      <c r="R234" s="116"/>
      <c r="S234" s="116"/>
      <c r="T234" s="116"/>
      <c r="U234" s="116"/>
      <c r="V234" s="116"/>
      <c r="W234" s="116"/>
      <c r="X234" s="110"/>
      <c r="Y234" s="110"/>
      <c r="Z234" s="110"/>
      <c r="AA234" s="110"/>
      <c r="AB234" s="110"/>
      <c r="AC234" s="110"/>
      <c r="AD234" s="111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83"/>
      <c r="AQ234" s="83"/>
      <c r="AR234" s="83"/>
      <c r="AS234" s="83"/>
      <c r="AT234" s="83"/>
      <c r="AU234" s="83"/>
      <c r="AV234" s="83"/>
      <c r="AW234" s="108"/>
      <c r="AX234" s="91"/>
    </row>
    <row r="235" spans="1:221" ht="14">
      <c r="B235" s="112"/>
      <c r="C235" s="113"/>
      <c r="D235" s="109"/>
      <c r="E235" s="114"/>
      <c r="F235" s="114"/>
      <c r="G235" s="109"/>
      <c r="H235" s="109"/>
      <c r="I235" s="109"/>
      <c r="J235" s="107"/>
      <c r="K235" s="109"/>
      <c r="L235" s="115"/>
      <c r="M235" s="115"/>
      <c r="N235" s="115"/>
      <c r="O235" s="109"/>
      <c r="P235" s="116"/>
      <c r="Q235" s="116"/>
      <c r="R235" s="116"/>
      <c r="S235" s="116"/>
      <c r="T235" s="116"/>
      <c r="U235" s="116"/>
      <c r="V235" s="116"/>
      <c r="W235" s="116"/>
      <c r="X235" s="110"/>
      <c r="Y235" s="110"/>
      <c r="Z235" s="110"/>
      <c r="AA235" s="110"/>
      <c r="AB235" s="110"/>
      <c r="AC235" s="110"/>
      <c r="AD235" s="111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83"/>
      <c r="AQ235" s="83"/>
      <c r="AR235" s="83"/>
      <c r="AS235" s="83"/>
      <c r="AT235" s="83"/>
      <c r="AU235" s="83"/>
      <c r="AV235" s="83"/>
      <c r="AW235" s="108"/>
      <c r="AX235" s="91"/>
    </row>
    <row r="236" spans="1:221" s="161" customFormat="1" ht="14">
      <c r="A236" s="85"/>
      <c r="B236" s="112"/>
      <c r="C236" s="113"/>
      <c r="D236" s="109"/>
      <c r="E236" s="114"/>
      <c r="F236" s="114"/>
      <c r="G236" s="109"/>
      <c r="H236" s="109"/>
      <c r="I236" s="109"/>
      <c r="J236" s="107"/>
      <c r="K236" s="109"/>
      <c r="L236" s="115"/>
      <c r="M236" s="115"/>
      <c r="N236" s="115"/>
      <c r="O236" s="109"/>
      <c r="P236" s="116"/>
      <c r="Q236" s="116"/>
      <c r="R236" s="116"/>
      <c r="S236" s="116"/>
      <c r="T236" s="116"/>
      <c r="U236" s="116"/>
      <c r="V236" s="116"/>
      <c r="W236" s="116"/>
      <c r="X236" s="110"/>
      <c r="Y236" s="110"/>
      <c r="Z236" s="110"/>
      <c r="AA236" s="110"/>
      <c r="AB236" s="110"/>
      <c r="AC236" s="110"/>
      <c r="AD236" s="111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83"/>
      <c r="AQ236" s="83"/>
      <c r="AR236" s="83"/>
      <c r="AS236" s="83"/>
      <c r="AT236" s="83"/>
      <c r="AU236" s="83"/>
      <c r="AV236" s="83"/>
      <c r="AW236" s="108"/>
      <c r="AX236" s="91"/>
      <c r="AY236" s="85"/>
      <c r="AZ236" s="85"/>
      <c r="BA236" s="85"/>
      <c r="BB236" s="85"/>
      <c r="BC236" s="85"/>
      <c r="BD236" s="85"/>
      <c r="BE236" s="85"/>
      <c r="BF236" s="85"/>
      <c r="BG236" s="85"/>
      <c r="BH236" s="85"/>
      <c r="BI236" s="85"/>
      <c r="BJ236" s="85"/>
      <c r="BK236" s="85"/>
      <c r="BL236" s="85"/>
      <c r="BM236" s="85"/>
      <c r="BN236" s="85"/>
      <c r="BO236" s="85"/>
      <c r="BP236" s="85"/>
      <c r="BQ236" s="85"/>
      <c r="BR236" s="85"/>
      <c r="BS236" s="85"/>
      <c r="BT236" s="85"/>
      <c r="BU236" s="85"/>
      <c r="BV236" s="85"/>
      <c r="BW236" s="85"/>
      <c r="BX236" s="85"/>
      <c r="BY236" s="85"/>
      <c r="BZ236" s="85"/>
      <c r="CA236" s="85"/>
      <c r="CB236" s="85"/>
      <c r="CC236" s="85"/>
      <c r="CD236" s="85"/>
      <c r="CE236" s="85"/>
      <c r="CF236" s="85"/>
      <c r="CG236" s="85"/>
      <c r="CH236" s="85"/>
      <c r="CI236" s="85"/>
      <c r="CJ236" s="85"/>
      <c r="CK236" s="85"/>
      <c r="CL236" s="85"/>
      <c r="CM236" s="85"/>
      <c r="CN236" s="85"/>
      <c r="CO236" s="85"/>
      <c r="CP236" s="85"/>
      <c r="CQ236" s="85"/>
      <c r="CR236" s="85"/>
      <c r="CS236" s="85"/>
      <c r="CT236" s="85"/>
      <c r="CU236" s="85"/>
      <c r="CV236" s="85"/>
      <c r="CW236" s="85"/>
      <c r="CX236" s="85"/>
      <c r="CY236" s="85"/>
      <c r="CZ236" s="85"/>
      <c r="DA236" s="85"/>
      <c r="DB236" s="85"/>
      <c r="DC236" s="85"/>
      <c r="DD236" s="85"/>
      <c r="DE236" s="85"/>
      <c r="DF236" s="85"/>
      <c r="DG236" s="85"/>
      <c r="DH236" s="85"/>
      <c r="DI236" s="85"/>
      <c r="DJ236" s="85"/>
      <c r="DK236" s="85"/>
      <c r="DL236" s="85"/>
      <c r="DM236" s="85"/>
      <c r="DN236" s="85"/>
      <c r="DO236" s="85"/>
      <c r="DP236" s="85"/>
      <c r="DQ236" s="85"/>
      <c r="DR236" s="85"/>
      <c r="DS236" s="85"/>
      <c r="DT236" s="85"/>
      <c r="DU236" s="85"/>
      <c r="DV236" s="85"/>
      <c r="DW236" s="85"/>
      <c r="DX236" s="85"/>
      <c r="DY236" s="85"/>
      <c r="DZ236" s="85"/>
      <c r="EA236" s="85"/>
      <c r="EB236" s="85"/>
      <c r="EC236" s="85"/>
      <c r="ED236" s="85"/>
      <c r="EE236" s="85"/>
      <c r="EF236" s="85"/>
      <c r="EG236" s="85"/>
      <c r="EH236" s="85"/>
      <c r="EI236" s="85"/>
      <c r="EJ236" s="85"/>
      <c r="EK236" s="85"/>
      <c r="EL236" s="85"/>
      <c r="EM236" s="85"/>
      <c r="EN236" s="85"/>
      <c r="EO236" s="85"/>
      <c r="EP236" s="85"/>
      <c r="EQ236" s="85"/>
      <c r="ER236" s="85"/>
      <c r="ES236" s="85"/>
      <c r="ET236" s="85"/>
      <c r="EU236" s="85"/>
      <c r="EV236" s="85"/>
      <c r="EW236" s="85"/>
      <c r="EX236" s="85"/>
      <c r="EY236" s="85"/>
      <c r="EZ236" s="85"/>
      <c r="FA236" s="85"/>
      <c r="FB236" s="85"/>
      <c r="FC236" s="85"/>
      <c r="FD236" s="85"/>
      <c r="FE236" s="85"/>
      <c r="FF236" s="85"/>
      <c r="FG236" s="85"/>
      <c r="FH236" s="85"/>
      <c r="FI236" s="85"/>
      <c r="FJ236" s="85"/>
      <c r="FK236" s="85"/>
      <c r="FL236" s="85"/>
      <c r="FM236" s="85"/>
      <c r="FN236" s="85"/>
      <c r="FO236" s="85"/>
      <c r="FP236" s="85"/>
      <c r="FQ236" s="85"/>
      <c r="FR236" s="85"/>
      <c r="FS236" s="85"/>
      <c r="FT236" s="85"/>
      <c r="FU236" s="85"/>
      <c r="FV236" s="85"/>
      <c r="FW236" s="85"/>
      <c r="FX236" s="85"/>
      <c r="FY236" s="85"/>
      <c r="FZ236" s="85"/>
      <c r="GA236" s="85"/>
      <c r="GB236" s="85"/>
      <c r="GC236" s="85"/>
      <c r="GD236" s="85"/>
      <c r="GE236" s="85"/>
      <c r="GF236" s="85"/>
      <c r="GG236" s="85"/>
      <c r="GH236" s="85"/>
      <c r="GI236" s="85"/>
      <c r="GJ236" s="85"/>
      <c r="GK236" s="85"/>
      <c r="GL236" s="85"/>
      <c r="GM236" s="85"/>
      <c r="GN236" s="85"/>
      <c r="GO236" s="85"/>
      <c r="GP236" s="85"/>
      <c r="GQ236" s="85"/>
      <c r="GR236" s="85"/>
      <c r="GS236" s="85"/>
      <c r="GT236" s="85"/>
      <c r="GU236" s="85"/>
      <c r="GV236" s="85"/>
      <c r="GW236" s="85"/>
      <c r="GX236" s="85"/>
      <c r="GY236" s="85"/>
      <c r="GZ236" s="85"/>
      <c r="HA236" s="85"/>
      <c r="HB236" s="85"/>
      <c r="HC236" s="85"/>
      <c r="HD236" s="85"/>
      <c r="HE236" s="85"/>
      <c r="HF236" s="85"/>
      <c r="HG236" s="85"/>
      <c r="HH236" s="85"/>
      <c r="HI236" s="85"/>
      <c r="HJ236" s="85"/>
      <c r="HK236" s="85"/>
      <c r="HL236" s="85"/>
      <c r="HM236" s="85"/>
    </row>
    <row r="237" spans="1:221" s="161" customFormat="1" ht="14">
      <c r="A237" s="85"/>
      <c r="B237" s="112"/>
      <c r="C237" s="113"/>
      <c r="D237" s="109"/>
      <c r="E237" s="114"/>
      <c r="F237" s="114"/>
      <c r="G237" s="109"/>
      <c r="H237" s="109"/>
      <c r="I237" s="109"/>
      <c r="J237" s="107"/>
      <c r="K237" s="109"/>
      <c r="L237" s="115"/>
      <c r="M237" s="115"/>
      <c r="N237" s="115"/>
      <c r="O237" s="109"/>
      <c r="P237" s="116"/>
      <c r="Q237" s="116"/>
      <c r="R237" s="116"/>
      <c r="S237" s="116"/>
      <c r="T237" s="116"/>
      <c r="U237" s="116"/>
      <c r="V237" s="116"/>
      <c r="W237" s="116"/>
      <c r="X237" s="110"/>
      <c r="Y237" s="110"/>
      <c r="Z237" s="110"/>
      <c r="AA237" s="110"/>
      <c r="AB237" s="110"/>
      <c r="AC237" s="110"/>
      <c r="AD237" s="111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83"/>
      <c r="AQ237" s="83"/>
      <c r="AR237" s="83"/>
      <c r="AS237" s="83"/>
      <c r="AT237" s="83"/>
      <c r="AU237" s="83"/>
      <c r="AV237" s="83"/>
      <c r="AW237" s="108"/>
      <c r="AX237" s="91"/>
      <c r="AY237" s="85"/>
      <c r="AZ237" s="85"/>
      <c r="BA237" s="85"/>
      <c r="BB237" s="85"/>
      <c r="BC237" s="85"/>
      <c r="BD237" s="85"/>
      <c r="BE237" s="85"/>
      <c r="BF237" s="85"/>
      <c r="BG237" s="85"/>
      <c r="BH237" s="85"/>
      <c r="BI237" s="85"/>
      <c r="BJ237" s="85"/>
      <c r="BK237" s="85"/>
      <c r="BL237" s="85"/>
      <c r="BM237" s="85"/>
      <c r="BN237" s="85"/>
      <c r="BO237" s="85"/>
      <c r="BP237" s="85"/>
      <c r="BQ237" s="85"/>
      <c r="BR237" s="85"/>
      <c r="BS237" s="85"/>
      <c r="BT237" s="85"/>
      <c r="BU237" s="85"/>
      <c r="BV237" s="85"/>
      <c r="BW237" s="85"/>
      <c r="BX237" s="85"/>
      <c r="BY237" s="85"/>
      <c r="BZ237" s="85"/>
      <c r="CA237" s="85"/>
      <c r="CB237" s="85"/>
      <c r="CC237" s="85"/>
      <c r="CD237" s="85"/>
      <c r="CE237" s="85"/>
      <c r="CF237" s="85"/>
      <c r="CG237" s="85"/>
      <c r="CH237" s="85"/>
      <c r="CI237" s="85"/>
      <c r="CJ237" s="85"/>
      <c r="CK237" s="85"/>
      <c r="CL237" s="85"/>
      <c r="CM237" s="85"/>
      <c r="CN237" s="85"/>
      <c r="CO237" s="85"/>
      <c r="CP237" s="85"/>
      <c r="CQ237" s="85"/>
      <c r="CR237" s="85"/>
      <c r="CS237" s="85"/>
      <c r="CT237" s="85"/>
      <c r="CU237" s="85"/>
      <c r="CV237" s="85"/>
      <c r="CW237" s="85"/>
      <c r="CX237" s="85"/>
      <c r="CY237" s="85"/>
      <c r="CZ237" s="85"/>
      <c r="DA237" s="85"/>
      <c r="DB237" s="85"/>
      <c r="DC237" s="85"/>
      <c r="DD237" s="85"/>
      <c r="DE237" s="85"/>
      <c r="DF237" s="85"/>
      <c r="DG237" s="85"/>
      <c r="DH237" s="85"/>
      <c r="DI237" s="85"/>
      <c r="DJ237" s="85"/>
      <c r="DK237" s="85"/>
      <c r="DL237" s="85"/>
      <c r="DM237" s="85"/>
      <c r="DN237" s="85"/>
      <c r="DO237" s="85"/>
      <c r="DP237" s="85"/>
      <c r="DQ237" s="85"/>
      <c r="DR237" s="85"/>
      <c r="DS237" s="85"/>
      <c r="DT237" s="85"/>
      <c r="DU237" s="85"/>
      <c r="DV237" s="85"/>
      <c r="DW237" s="85"/>
      <c r="DX237" s="85"/>
      <c r="DY237" s="85"/>
      <c r="DZ237" s="85"/>
      <c r="EA237" s="85"/>
      <c r="EB237" s="85"/>
      <c r="EC237" s="85"/>
      <c r="ED237" s="85"/>
      <c r="EE237" s="85"/>
      <c r="EF237" s="85"/>
      <c r="EG237" s="85"/>
      <c r="EH237" s="85"/>
      <c r="EI237" s="85"/>
      <c r="EJ237" s="85"/>
      <c r="EK237" s="85"/>
      <c r="EL237" s="85"/>
      <c r="EM237" s="85"/>
      <c r="EN237" s="85"/>
      <c r="EO237" s="85"/>
      <c r="EP237" s="85"/>
      <c r="EQ237" s="85"/>
      <c r="ER237" s="85"/>
      <c r="ES237" s="85"/>
      <c r="ET237" s="85"/>
      <c r="EU237" s="85"/>
      <c r="EV237" s="85"/>
      <c r="EW237" s="85"/>
      <c r="EX237" s="85"/>
      <c r="EY237" s="85"/>
      <c r="EZ237" s="85"/>
      <c r="FA237" s="85"/>
      <c r="FB237" s="85"/>
      <c r="FC237" s="85"/>
      <c r="FD237" s="85"/>
      <c r="FE237" s="85"/>
      <c r="FF237" s="85"/>
      <c r="FG237" s="85"/>
      <c r="FH237" s="85"/>
      <c r="FI237" s="85"/>
      <c r="FJ237" s="85"/>
      <c r="FK237" s="85"/>
      <c r="FL237" s="85"/>
      <c r="FM237" s="85"/>
      <c r="FN237" s="85"/>
      <c r="FO237" s="85"/>
      <c r="FP237" s="85"/>
      <c r="FQ237" s="85"/>
      <c r="FR237" s="85"/>
      <c r="FS237" s="85"/>
      <c r="FT237" s="85"/>
      <c r="FU237" s="85"/>
      <c r="FV237" s="85"/>
      <c r="FW237" s="85"/>
      <c r="FX237" s="85"/>
      <c r="FY237" s="85"/>
      <c r="FZ237" s="85"/>
      <c r="GA237" s="85"/>
      <c r="GB237" s="85"/>
      <c r="GC237" s="85"/>
      <c r="GD237" s="85"/>
      <c r="GE237" s="85"/>
      <c r="GF237" s="85"/>
      <c r="GG237" s="85"/>
      <c r="GH237" s="85"/>
      <c r="GI237" s="85"/>
      <c r="GJ237" s="85"/>
      <c r="GK237" s="85"/>
      <c r="GL237" s="85"/>
      <c r="GM237" s="85"/>
      <c r="GN237" s="85"/>
      <c r="GO237" s="85"/>
      <c r="GP237" s="85"/>
      <c r="GQ237" s="85"/>
      <c r="GR237" s="85"/>
      <c r="GS237" s="85"/>
      <c r="GT237" s="85"/>
      <c r="GU237" s="85"/>
      <c r="GV237" s="85"/>
      <c r="GW237" s="85"/>
      <c r="GX237" s="85"/>
      <c r="GY237" s="85"/>
      <c r="GZ237" s="85"/>
      <c r="HA237" s="85"/>
      <c r="HB237" s="85"/>
      <c r="HC237" s="85"/>
      <c r="HD237" s="85"/>
      <c r="HE237" s="85"/>
      <c r="HF237" s="85"/>
      <c r="HG237" s="85"/>
      <c r="HH237" s="85"/>
      <c r="HI237" s="85"/>
      <c r="HJ237" s="85"/>
      <c r="HK237" s="85"/>
      <c r="HL237" s="85"/>
      <c r="HM237" s="85"/>
    </row>
    <row r="238" spans="1:221" ht="14">
      <c r="B238" s="112"/>
      <c r="C238" s="113"/>
      <c r="D238" s="109"/>
      <c r="E238" s="114"/>
      <c r="F238" s="114"/>
      <c r="G238" s="109"/>
      <c r="H238" s="109"/>
      <c r="I238" s="109"/>
      <c r="J238" s="107"/>
      <c r="K238" s="109"/>
      <c r="L238" s="115"/>
      <c r="M238" s="115"/>
      <c r="N238" s="115"/>
      <c r="O238" s="109"/>
      <c r="P238" s="116"/>
      <c r="Q238" s="116"/>
      <c r="R238" s="116"/>
      <c r="S238" s="116"/>
      <c r="T238" s="116"/>
      <c r="U238" s="116"/>
      <c r="V238" s="116"/>
      <c r="W238" s="116"/>
      <c r="X238" s="110"/>
      <c r="Y238" s="110"/>
      <c r="Z238" s="110"/>
      <c r="AA238" s="110"/>
      <c r="AB238" s="110"/>
      <c r="AC238" s="110"/>
      <c r="AD238" s="111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83"/>
      <c r="AQ238" s="83"/>
      <c r="AR238" s="83"/>
      <c r="AS238" s="83"/>
      <c r="AT238" s="83"/>
      <c r="AU238" s="83"/>
      <c r="AV238" s="83"/>
      <c r="AW238" s="108"/>
      <c r="AX238" s="91"/>
    </row>
    <row r="239" spans="1:221" s="161" customFormat="1" ht="14">
      <c r="A239" s="85"/>
      <c r="B239" s="112"/>
      <c r="C239" s="113"/>
      <c r="D239" s="109"/>
      <c r="E239" s="114"/>
      <c r="F239" s="114"/>
      <c r="G239" s="109"/>
      <c r="H239" s="109"/>
      <c r="I239" s="109"/>
      <c r="J239" s="107"/>
      <c r="K239" s="109"/>
      <c r="L239" s="115"/>
      <c r="M239" s="115"/>
      <c r="N239" s="115"/>
      <c r="O239" s="109"/>
      <c r="P239" s="116"/>
      <c r="Q239" s="116"/>
      <c r="R239" s="116"/>
      <c r="S239" s="116"/>
      <c r="T239" s="116"/>
      <c r="U239" s="116"/>
      <c r="V239" s="116"/>
      <c r="W239" s="116"/>
      <c r="X239" s="110"/>
      <c r="Y239" s="110"/>
      <c r="Z239" s="110"/>
      <c r="AA239" s="110"/>
      <c r="AB239" s="110"/>
      <c r="AC239" s="110"/>
      <c r="AD239" s="111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83"/>
      <c r="AQ239" s="83"/>
      <c r="AR239" s="83"/>
      <c r="AS239" s="83"/>
      <c r="AT239" s="83"/>
      <c r="AU239" s="83"/>
      <c r="AV239" s="83"/>
      <c r="AW239" s="108"/>
      <c r="AX239" s="91"/>
      <c r="AY239" s="85"/>
      <c r="AZ239" s="85"/>
      <c r="BA239" s="85"/>
      <c r="BB239" s="85"/>
      <c r="BC239" s="85"/>
      <c r="BD239" s="85"/>
      <c r="BE239" s="85"/>
      <c r="BF239" s="85"/>
      <c r="BG239" s="85"/>
      <c r="BH239" s="85"/>
      <c r="BI239" s="85"/>
      <c r="BJ239" s="85"/>
      <c r="BK239" s="85"/>
      <c r="BL239" s="85"/>
      <c r="BM239" s="85"/>
      <c r="BN239" s="85"/>
      <c r="BO239" s="85"/>
      <c r="BP239" s="85"/>
      <c r="BQ239" s="85"/>
      <c r="BR239" s="85"/>
      <c r="BS239" s="85"/>
      <c r="BT239" s="85"/>
      <c r="BU239" s="85"/>
      <c r="BV239" s="85"/>
      <c r="BW239" s="85"/>
      <c r="BX239" s="85"/>
      <c r="BY239" s="85"/>
      <c r="BZ239" s="85"/>
      <c r="CA239" s="85"/>
      <c r="CB239" s="85"/>
      <c r="CC239" s="85"/>
      <c r="CD239" s="85"/>
      <c r="CE239" s="85"/>
      <c r="CF239" s="85"/>
      <c r="CG239" s="85"/>
      <c r="CH239" s="85"/>
      <c r="CI239" s="85"/>
      <c r="CJ239" s="85"/>
      <c r="CK239" s="85"/>
      <c r="CL239" s="85"/>
      <c r="CM239" s="85"/>
      <c r="CN239" s="85"/>
      <c r="CO239" s="85"/>
      <c r="CP239" s="85"/>
      <c r="CQ239" s="85"/>
      <c r="CR239" s="85"/>
      <c r="CS239" s="85"/>
      <c r="CT239" s="85"/>
      <c r="CU239" s="85"/>
      <c r="CV239" s="85"/>
      <c r="CW239" s="85"/>
      <c r="CX239" s="85"/>
      <c r="CY239" s="85"/>
      <c r="CZ239" s="85"/>
      <c r="DA239" s="85"/>
      <c r="DB239" s="85"/>
      <c r="DC239" s="85"/>
      <c r="DD239" s="85"/>
      <c r="DE239" s="85"/>
      <c r="DF239" s="85"/>
      <c r="DG239" s="85"/>
      <c r="DH239" s="85"/>
      <c r="DI239" s="85"/>
      <c r="DJ239" s="85"/>
      <c r="DK239" s="85"/>
      <c r="DL239" s="85"/>
      <c r="DM239" s="85"/>
      <c r="DN239" s="85"/>
      <c r="DO239" s="85"/>
      <c r="DP239" s="85"/>
      <c r="DQ239" s="85"/>
      <c r="DR239" s="85"/>
      <c r="DS239" s="85"/>
      <c r="DT239" s="85"/>
      <c r="DU239" s="85"/>
      <c r="DV239" s="85"/>
      <c r="DW239" s="85"/>
      <c r="DX239" s="85"/>
      <c r="DY239" s="85"/>
      <c r="DZ239" s="85"/>
      <c r="EA239" s="85"/>
      <c r="EB239" s="85"/>
      <c r="EC239" s="85"/>
      <c r="ED239" s="85"/>
      <c r="EE239" s="85"/>
      <c r="EF239" s="85"/>
      <c r="EG239" s="85"/>
      <c r="EH239" s="85"/>
      <c r="EI239" s="85"/>
      <c r="EJ239" s="85"/>
      <c r="EK239" s="85"/>
      <c r="EL239" s="85"/>
      <c r="EM239" s="85"/>
      <c r="EN239" s="85"/>
      <c r="EO239" s="85"/>
      <c r="EP239" s="85"/>
      <c r="EQ239" s="85"/>
      <c r="ER239" s="85"/>
      <c r="ES239" s="85"/>
      <c r="ET239" s="85"/>
      <c r="EU239" s="85"/>
      <c r="EV239" s="85"/>
      <c r="EW239" s="85"/>
      <c r="EX239" s="85"/>
      <c r="EY239" s="85"/>
      <c r="EZ239" s="85"/>
      <c r="FA239" s="85"/>
      <c r="FB239" s="85"/>
      <c r="FC239" s="85"/>
      <c r="FD239" s="85"/>
      <c r="FE239" s="85"/>
      <c r="FF239" s="85"/>
      <c r="FG239" s="85"/>
      <c r="FH239" s="85"/>
      <c r="FI239" s="85"/>
      <c r="FJ239" s="85"/>
      <c r="FK239" s="85"/>
      <c r="FL239" s="85"/>
      <c r="FM239" s="85"/>
      <c r="FN239" s="85"/>
      <c r="FO239" s="85"/>
      <c r="FP239" s="85"/>
      <c r="FQ239" s="85"/>
      <c r="FR239" s="85"/>
      <c r="FS239" s="85"/>
      <c r="FT239" s="85"/>
      <c r="FU239" s="85"/>
      <c r="FV239" s="85"/>
      <c r="FW239" s="85"/>
      <c r="FX239" s="85"/>
      <c r="FY239" s="85"/>
      <c r="FZ239" s="85"/>
      <c r="GA239" s="85"/>
      <c r="GB239" s="85"/>
      <c r="GC239" s="85"/>
      <c r="GD239" s="85"/>
      <c r="GE239" s="85"/>
      <c r="GF239" s="85"/>
      <c r="GG239" s="85"/>
      <c r="GH239" s="85"/>
      <c r="GI239" s="85"/>
      <c r="GJ239" s="85"/>
      <c r="GK239" s="85"/>
      <c r="GL239" s="85"/>
      <c r="GM239" s="85"/>
      <c r="GN239" s="85"/>
      <c r="GO239" s="85"/>
      <c r="GP239" s="85"/>
      <c r="GQ239" s="85"/>
      <c r="GR239" s="85"/>
      <c r="GS239" s="85"/>
      <c r="GT239" s="85"/>
      <c r="GU239" s="85"/>
      <c r="GV239" s="85"/>
      <c r="GW239" s="85"/>
      <c r="GX239" s="85"/>
      <c r="GY239" s="85"/>
      <c r="GZ239" s="85"/>
      <c r="HA239" s="85"/>
      <c r="HB239" s="85"/>
      <c r="HC239" s="85"/>
      <c r="HD239" s="85"/>
      <c r="HE239" s="85"/>
      <c r="HF239" s="85"/>
      <c r="HG239" s="85"/>
      <c r="HH239" s="85"/>
      <c r="HI239" s="85"/>
      <c r="HJ239" s="85"/>
      <c r="HK239" s="85"/>
      <c r="HL239" s="85"/>
      <c r="HM239" s="85"/>
    </row>
    <row r="240" spans="1:221" s="164" customFormat="1" ht="14">
      <c r="A240" s="85"/>
      <c r="B240" s="112"/>
      <c r="C240" s="113"/>
      <c r="D240" s="109"/>
      <c r="E240" s="114"/>
      <c r="F240" s="114"/>
      <c r="G240" s="109"/>
      <c r="H240" s="109"/>
      <c r="I240" s="109"/>
      <c r="J240" s="107"/>
      <c r="K240" s="109"/>
      <c r="L240" s="115"/>
      <c r="M240" s="115"/>
      <c r="N240" s="115"/>
      <c r="O240" s="109"/>
      <c r="P240" s="116"/>
      <c r="Q240" s="116"/>
      <c r="R240" s="116"/>
      <c r="S240" s="116"/>
      <c r="T240" s="116"/>
      <c r="U240" s="116"/>
      <c r="V240" s="116"/>
      <c r="W240" s="116"/>
      <c r="X240" s="110"/>
      <c r="Y240" s="110"/>
      <c r="Z240" s="110"/>
      <c r="AA240" s="110"/>
      <c r="AB240" s="110"/>
      <c r="AC240" s="110"/>
      <c r="AD240" s="111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83"/>
      <c r="AQ240" s="83"/>
      <c r="AR240" s="83"/>
      <c r="AS240" s="83"/>
      <c r="AT240" s="83"/>
      <c r="AU240" s="83"/>
      <c r="AV240" s="83"/>
      <c r="AW240" s="108"/>
      <c r="AX240" s="91"/>
      <c r="AY240" s="85"/>
      <c r="AZ240" s="85"/>
      <c r="BA240" s="85"/>
      <c r="BB240" s="85"/>
      <c r="BC240" s="85"/>
      <c r="BD240" s="85"/>
      <c r="BE240" s="85"/>
      <c r="BF240" s="85"/>
      <c r="BG240" s="85"/>
      <c r="BH240" s="85"/>
      <c r="BI240" s="85"/>
      <c r="BJ240" s="85"/>
      <c r="BK240" s="85"/>
      <c r="BL240" s="85"/>
      <c r="BM240" s="85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  <c r="DF240" s="85"/>
      <c r="DG240" s="85"/>
      <c r="DH240" s="85"/>
      <c r="DI240" s="85"/>
      <c r="DJ240" s="85"/>
      <c r="DK240" s="85"/>
      <c r="DL240" s="85"/>
      <c r="DM240" s="85"/>
      <c r="DN240" s="85"/>
      <c r="DO240" s="85"/>
      <c r="DP240" s="85"/>
      <c r="DQ240" s="85"/>
      <c r="DR240" s="85"/>
      <c r="DS240" s="85"/>
      <c r="DT240" s="85"/>
      <c r="DU240" s="85"/>
      <c r="DV240" s="85"/>
      <c r="DW240" s="85"/>
      <c r="DX240" s="85"/>
      <c r="DY240" s="85"/>
      <c r="DZ240" s="85"/>
      <c r="EA240" s="85"/>
      <c r="EB240" s="85"/>
      <c r="EC240" s="85"/>
      <c r="ED240" s="85"/>
      <c r="EE240" s="85"/>
      <c r="EF240" s="85"/>
      <c r="EG240" s="85"/>
      <c r="EH240" s="85"/>
      <c r="EI240" s="85"/>
      <c r="EJ240" s="85"/>
      <c r="EK240" s="85"/>
      <c r="EL240" s="85"/>
      <c r="EM240" s="85"/>
      <c r="EN240" s="85"/>
      <c r="EO240" s="85"/>
      <c r="EP240" s="85"/>
      <c r="EQ240" s="85"/>
      <c r="ER240" s="85"/>
      <c r="ES240" s="85"/>
      <c r="ET240" s="85"/>
      <c r="EU240" s="85"/>
      <c r="EV240" s="85"/>
      <c r="EW240" s="85"/>
      <c r="EX240" s="85"/>
      <c r="EY240" s="85"/>
      <c r="EZ240" s="85"/>
      <c r="FA240" s="85"/>
      <c r="FB240" s="85"/>
      <c r="FC240" s="85"/>
      <c r="FD240" s="85"/>
      <c r="FE240" s="85"/>
      <c r="FF240" s="85"/>
      <c r="FG240" s="85"/>
      <c r="FH240" s="85"/>
      <c r="FI240" s="85"/>
      <c r="FJ240" s="85"/>
      <c r="FK240" s="85"/>
      <c r="FL240" s="85"/>
      <c r="FM240" s="85"/>
      <c r="FN240" s="85"/>
      <c r="FO240" s="85"/>
      <c r="FP240" s="85"/>
      <c r="FQ240" s="85"/>
      <c r="FR240" s="85"/>
      <c r="FS240" s="85"/>
      <c r="FT240" s="85"/>
      <c r="FU240" s="85"/>
      <c r="FV240" s="85"/>
      <c r="FW240" s="85"/>
      <c r="FX240" s="85"/>
      <c r="FY240" s="85"/>
      <c r="FZ240" s="85"/>
      <c r="GA240" s="85"/>
      <c r="GB240" s="85"/>
      <c r="GC240" s="85"/>
      <c r="GD240" s="85"/>
      <c r="GE240" s="85"/>
      <c r="GF240" s="85"/>
      <c r="GG240" s="85"/>
      <c r="GH240" s="85"/>
      <c r="GI240" s="85"/>
      <c r="GJ240" s="85"/>
      <c r="GK240" s="85"/>
      <c r="GL240" s="85"/>
      <c r="GM240" s="85"/>
      <c r="GN240" s="85"/>
      <c r="GO240" s="85"/>
      <c r="GP240" s="85"/>
      <c r="GQ240" s="85"/>
      <c r="GR240" s="85"/>
      <c r="GS240" s="85"/>
      <c r="GT240" s="85"/>
      <c r="GU240" s="85"/>
      <c r="GV240" s="85"/>
      <c r="GW240" s="85"/>
      <c r="GX240" s="85"/>
      <c r="GY240" s="85"/>
      <c r="GZ240" s="85"/>
      <c r="HA240" s="85"/>
      <c r="HB240" s="85"/>
      <c r="HC240" s="85"/>
      <c r="HD240" s="85"/>
      <c r="HE240" s="85"/>
      <c r="HF240" s="85"/>
      <c r="HG240" s="85"/>
      <c r="HH240" s="85"/>
      <c r="HI240" s="85"/>
      <c r="HJ240" s="85"/>
      <c r="HK240" s="85"/>
      <c r="HL240" s="85"/>
      <c r="HM240" s="85"/>
    </row>
    <row r="241" spans="1:221" s="161" customFormat="1" ht="14">
      <c r="A241" s="85"/>
      <c r="B241" s="112"/>
      <c r="C241" s="113"/>
      <c r="D241" s="109"/>
      <c r="E241" s="114"/>
      <c r="F241" s="114"/>
      <c r="G241" s="109"/>
      <c r="H241" s="109"/>
      <c r="I241" s="109"/>
      <c r="J241" s="107"/>
      <c r="K241" s="109"/>
      <c r="L241" s="115"/>
      <c r="M241" s="115"/>
      <c r="N241" s="115"/>
      <c r="O241" s="109"/>
      <c r="P241" s="116"/>
      <c r="Q241" s="116"/>
      <c r="R241" s="116"/>
      <c r="S241" s="116"/>
      <c r="T241" s="116"/>
      <c r="U241" s="116"/>
      <c r="V241" s="116"/>
      <c r="W241" s="116"/>
      <c r="X241" s="110"/>
      <c r="Y241" s="110"/>
      <c r="Z241" s="110"/>
      <c r="AA241" s="110"/>
      <c r="AB241" s="110"/>
      <c r="AC241" s="110"/>
      <c r="AD241" s="111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83"/>
      <c r="AQ241" s="83"/>
      <c r="AR241" s="83"/>
      <c r="AS241" s="83"/>
      <c r="AT241" s="83"/>
      <c r="AU241" s="83"/>
      <c r="AV241" s="83"/>
      <c r="AW241" s="108"/>
      <c r="AX241" s="91"/>
      <c r="AY241" s="85"/>
      <c r="AZ241" s="85"/>
      <c r="BA241" s="85"/>
      <c r="BB241" s="85"/>
      <c r="BC241" s="85"/>
      <c r="BD241" s="85"/>
      <c r="BE241" s="85"/>
      <c r="BF241" s="85"/>
      <c r="BG241" s="85"/>
      <c r="BH241" s="85"/>
      <c r="BI241" s="85"/>
      <c r="BJ241" s="85"/>
      <c r="BK241" s="85"/>
      <c r="BL241" s="85"/>
      <c r="BM241" s="85"/>
      <c r="BN241" s="85"/>
      <c r="BO241" s="85"/>
      <c r="BP241" s="85"/>
      <c r="BQ241" s="85"/>
      <c r="BR241" s="85"/>
      <c r="BS241" s="85"/>
      <c r="BT241" s="85"/>
      <c r="BU241" s="85"/>
      <c r="BV241" s="85"/>
      <c r="BW241" s="85"/>
      <c r="BX241" s="85"/>
      <c r="BY241" s="85"/>
      <c r="BZ241" s="85"/>
      <c r="CA241" s="85"/>
      <c r="CB241" s="85"/>
      <c r="CC241" s="85"/>
      <c r="CD241" s="85"/>
      <c r="CE241" s="85"/>
      <c r="CF241" s="85"/>
      <c r="CG241" s="85"/>
      <c r="CH241" s="85"/>
      <c r="CI241" s="85"/>
      <c r="CJ241" s="85"/>
      <c r="CK241" s="85"/>
      <c r="CL241" s="85"/>
      <c r="CM241" s="85"/>
      <c r="CN241" s="85"/>
      <c r="CO241" s="85"/>
      <c r="CP241" s="85"/>
      <c r="CQ241" s="85"/>
      <c r="CR241" s="85"/>
      <c r="CS241" s="85"/>
      <c r="CT241" s="85"/>
      <c r="CU241" s="85"/>
      <c r="CV241" s="85"/>
      <c r="CW241" s="85"/>
      <c r="CX241" s="85"/>
      <c r="CY241" s="85"/>
      <c r="CZ241" s="85"/>
      <c r="DA241" s="85"/>
      <c r="DB241" s="85"/>
      <c r="DC241" s="85"/>
      <c r="DD241" s="85"/>
      <c r="DE241" s="85"/>
      <c r="DF241" s="85"/>
      <c r="DG241" s="85"/>
      <c r="DH241" s="85"/>
      <c r="DI241" s="85"/>
      <c r="DJ241" s="85"/>
      <c r="DK241" s="85"/>
      <c r="DL241" s="85"/>
      <c r="DM241" s="85"/>
      <c r="DN241" s="85"/>
      <c r="DO241" s="85"/>
      <c r="DP241" s="85"/>
      <c r="DQ241" s="85"/>
      <c r="DR241" s="85"/>
      <c r="DS241" s="85"/>
      <c r="DT241" s="85"/>
      <c r="DU241" s="85"/>
      <c r="DV241" s="85"/>
      <c r="DW241" s="85"/>
      <c r="DX241" s="85"/>
      <c r="DY241" s="85"/>
      <c r="DZ241" s="85"/>
      <c r="EA241" s="85"/>
      <c r="EB241" s="85"/>
      <c r="EC241" s="85"/>
      <c r="ED241" s="85"/>
      <c r="EE241" s="85"/>
      <c r="EF241" s="85"/>
      <c r="EG241" s="85"/>
      <c r="EH241" s="85"/>
      <c r="EI241" s="85"/>
      <c r="EJ241" s="85"/>
      <c r="EK241" s="85"/>
      <c r="EL241" s="85"/>
      <c r="EM241" s="85"/>
      <c r="EN241" s="85"/>
      <c r="EO241" s="85"/>
      <c r="EP241" s="85"/>
      <c r="EQ241" s="85"/>
      <c r="ER241" s="85"/>
      <c r="ES241" s="85"/>
      <c r="ET241" s="85"/>
      <c r="EU241" s="85"/>
      <c r="EV241" s="85"/>
      <c r="EW241" s="85"/>
      <c r="EX241" s="85"/>
      <c r="EY241" s="85"/>
      <c r="EZ241" s="85"/>
      <c r="FA241" s="85"/>
      <c r="FB241" s="85"/>
      <c r="FC241" s="85"/>
      <c r="FD241" s="85"/>
      <c r="FE241" s="85"/>
      <c r="FF241" s="85"/>
      <c r="FG241" s="85"/>
      <c r="FH241" s="85"/>
      <c r="FI241" s="85"/>
      <c r="FJ241" s="85"/>
      <c r="FK241" s="85"/>
      <c r="FL241" s="85"/>
      <c r="FM241" s="85"/>
      <c r="FN241" s="85"/>
      <c r="FO241" s="85"/>
      <c r="FP241" s="85"/>
      <c r="FQ241" s="85"/>
      <c r="FR241" s="85"/>
      <c r="FS241" s="85"/>
      <c r="FT241" s="85"/>
      <c r="FU241" s="85"/>
      <c r="FV241" s="85"/>
      <c r="FW241" s="85"/>
      <c r="FX241" s="85"/>
      <c r="FY241" s="85"/>
      <c r="FZ241" s="85"/>
      <c r="GA241" s="85"/>
      <c r="GB241" s="85"/>
      <c r="GC241" s="85"/>
      <c r="GD241" s="85"/>
      <c r="GE241" s="85"/>
      <c r="GF241" s="85"/>
      <c r="GG241" s="85"/>
      <c r="GH241" s="85"/>
      <c r="GI241" s="85"/>
      <c r="GJ241" s="85"/>
      <c r="GK241" s="85"/>
      <c r="GL241" s="85"/>
      <c r="GM241" s="85"/>
      <c r="GN241" s="85"/>
      <c r="GO241" s="85"/>
      <c r="GP241" s="85"/>
      <c r="GQ241" s="85"/>
      <c r="GR241" s="85"/>
      <c r="GS241" s="85"/>
      <c r="GT241" s="85"/>
      <c r="GU241" s="85"/>
      <c r="GV241" s="85"/>
      <c r="GW241" s="85"/>
      <c r="GX241" s="85"/>
      <c r="GY241" s="85"/>
      <c r="GZ241" s="85"/>
      <c r="HA241" s="85"/>
      <c r="HB241" s="85"/>
      <c r="HC241" s="85"/>
      <c r="HD241" s="85"/>
      <c r="HE241" s="85"/>
      <c r="HF241" s="85"/>
      <c r="HG241" s="85"/>
      <c r="HH241" s="85"/>
      <c r="HI241" s="85"/>
      <c r="HJ241" s="85"/>
      <c r="HK241" s="85"/>
      <c r="HL241" s="85"/>
      <c r="HM241" s="85"/>
    </row>
    <row r="242" spans="1:221" s="161" customFormat="1" ht="14">
      <c r="A242" s="85"/>
      <c r="B242" s="112"/>
      <c r="C242" s="113"/>
      <c r="D242" s="109"/>
      <c r="E242" s="114"/>
      <c r="F242" s="114"/>
      <c r="G242" s="109"/>
      <c r="H242" s="109"/>
      <c r="I242" s="109"/>
      <c r="J242" s="107"/>
      <c r="K242" s="109"/>
      <c r="L242" s="115"/>
      <c r="M242" s="115"/>
      <c r="N242" s="115"/>
      <c r="O242" s="109"/>
      <c r="P242" s="116"/>
      <c r="Q242" s="116"/>
      <c r="R242" s="116"/>
      <c r="S242" s="116"/>
      <c r="T242" s="116"/>
      <c r="U242" s="116"/>
      <c r="V242" s="116"/>
      <c r="W242" s="116"/>
      <c r="X242" s="110"/>
      <c r="Y242" s="110"/>
      <c r="Z242" s="110"/>
      <c r="AA242" s="110"/>
      <c r="AB242" s="110"/>
      <c r="AC242" s="110"/>
      <c r="AD242" s="111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83"/>
      <c r="AQ242" s="83"/>
      <c r="AR242" s="83"/>
      <c r="AS242" s="83"/>
      <c r="AT242" s="83"/>
      <c r="AU242" s="83"/>
      <c r="AV242" s="83"/>
      <c r="AW242" s="108"/>
      <c r="AX242" s="91"/>
      <c r="AY242" s="85"/>
      <c r="AZ242" s="85"/>
      <c r="BA242" s="85"/>
      <c r="BB242" s="85"/>
      <c r="BC242" s="85"/>
      <c r="BD242" s="85"/>
      <c r="BE242" s="85"/>
      <c r="BF242" s="85"/>
      <c r="BG242" s="85"/>
      <c r="BH242" s="85"/>
      <c r="BI242" s="85"/>
      <c r="BJ242" s="85"/>
      <c r="BK242" s="85"/>
      <c r="BL242" s="85"/>
      <c r="BM242" s="85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  <c r="DF242" s="85"/>
      <c r="DG242" s="85"/>
      <c r="DH242" s="85"/>
      <c r="DI242" s="85"/>
      <c r="DJ242" s="85"/>
      <c r="DK242" s="85"/>
      <c r="DL242" s="85"/>
      <c r="DM242" s="85"/>
      <c r="DN242" s="85"/>
      <c r="DO242" s="85"/>
      <c r="DP242" s="85"/>
      <c r="DQ242" s="85"/>
      <c r="DR242" s="85"/>
      <c r="DS242" s="85"/>
      <c r="DT242" s="85"/>
      <c r="DU242" s="85"/>
      <c r="DV242" s="85"/>
      <c r="DW242" s="85"/>
      <c r="DX242" s="85"/>
      <c r="DY242" s="85"/>
      <c r="DZ242" s="85"/>
      <c r="EA242" s="85"/>
      <c r="EB242" s="85"/>
      <c r="EC242" s="85"/>
      <c r="ED242" s="85"/>
      <c r="EE242" s="85"/>
      <c r="EF242" s="85"/>
      <c r="EG242" s="85"/>
      <c r="EH242" s="85"/>
      <c r="EI242" s="85"/>
      <c r="EJ242" s="85"/>
      <c r="EK242" s="85"/>
      <c r="EL242" s="85"/>
      <c r="EM242" s="85"/>
      <c r="EN242" s="85"/>
      <c r="EO242" s="85"/>
      <c r="EP242" s="85"/>
      <c r="EQ242" s="85"/>
      <c r="ER242" s="85"/>
      <c r="ES242" s="85"/>
      <c r="ET242" s="85"/>
      <c r="EU242" s="85"/>
      <c r="EV242" s="85"/>
      <c r="EW242" s="85"/>
      <c r="EX242" s="85"/>
      <c r="EY242" s="85"/>
      <c r="EZ242" s="85"/>
      <c r="FA242" s="85"/>
      <c r="FB242" s="85"/>
      <c r="FC242" s="85"/>
      <c r="FD242" s="85"/>
      <c r="FE242" s="85"/>
      <c r="FF242" s="85"/>
      <c r="FG242" s="85"/>
      <c r="FH242" s="85"/>
      <c r="FI242" s="85"/>
      <c r="FJ242" s="85"/>
      <c r="FK242" s="85"/>
      <c r="FL242" s="85"/>
      <c r="FM242" s="85"/>
      <c r="FN242" s="85"/>
      <c r="FO242" s="85"/>
      <c r="FP242" s="85"/>
      <c r="FQ242" s="85"/>
      <c r="FR242" s="85"/>
      <c r="FS242" s="85"/>
      <c r="FT242" s="85"/>
      <c r="FU242" s="85"/>
      <c r="FV242" s="85"/>
      <c r="FW242" s="85"/>
      <c r="FX242" s="85"/>
      <c r="FY242" s="85"/>
      <c r="FZ242" s="85"/>
      <c r="GA242" s="85"/>
      <c r="GB242" s="85"/>
      <c r="GC242" s="85"/>
      <c r="GD242" s="85"/>
      <c r="GE242" s="85"/>
      <c r="GF242" s="85"/>
      <c r="GG242" s="85"/>
      <c r="GH242" s="85"/>
      <c r="GI242" s="85"/>
      <c r="GJ242" s="85"/>
      <c r="GK242" s="85"/>
      <c r="GL242" s="85"/>
      <c r="GM242" s="85"/>
      <c r="GN242" s="85"/>
      <c r="GO242" s="85"/>
      <c r="GP242" s="85"/>
      <c r="GQ242" s="85"/>
      <c r="GR242" s="85"/>
      <c r="GS242" s="85"/>
      <c r="GT242" s="85"/>
      <c r="GU242" s="85"/>
      <c r="GV242" s="85"/>
      <c r="GW242" s="85"/>
      <c r="GX242" s="85"/>
      <c r="GY242" s="85"/>
      <c r="GZ242" s="85"/>
      <c r="HA242" s="85"/>
      <c r="HB242" s="85"/>
      <c r="HC242" s="85"/>
      <c r="HD242" s="85"/>
      <c r="HE242" s="85"/>
      <c r="HF242" s="85"/>
      <c r="HG242" s="85"/>
      <c r="HH242" s="85"/>
      <c r="HI242" s="85"/>
      <c r="HJ242" s="85"/>
      <c r="HK242" s="85"/>
      <c r="HL242" s="85"/>
      <c r="HM242" s="85"/>
    </row>
    <row r="243" spans="1:221" s="161" customFormat="1" ht="14">
      <c r="A243" s="85"/>
      <c r="B243" s="112"/>
      <c r="C243" s="113"/>
      <c r="D243" s="109"/>
      <c r="E243" s="114"/>
      <c r="F243" s="114"/>
      <c r="G243" s="109"/>
      <c r="H243" s="109"/>
      <c r="I243" s="109"/>
      <c r="J243" s="107"/>
      <c r="K243" s="109"/>
      <c r="L243" s="115"/>
      <c r="M243" s="115"/>
      <c r="N243" s="115"/>
      <c r="O243" s="109"/>
      <c r="P243" s="116"/>
      <c r="Q243" s="116"/>
      <c r="R243" s="116"/>
      <c r="S243" s="116"/>
      <c r="T243" s="116"/>
      <c r="U243" s="116"/>
      <c r="V243" s="116"/>
      <c r="W243" s="116"/>
      <c r="X243" s="110"/>
      <c r="Y243" s="110"/>
      <c r="Z243" s="110"/>
      <c r="AA243" s="110"/>
      <c r="AB243" s="110"/>
      <c r="AC243" s="110"/>
      <c r="AD243" s="111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83"/>
      <c r="AQ243" s="83"/>
      <c r="AR243" s="83"/>
      <c r="AS243" s="83"/>
      <c r="AT243" s="83"/>
      <c r="AU243" s="83"/>
      <c r="AV243" s="83"/>
      <c r="AW243" s="108"/>
      <c r="AX243" s="91"/>
      <c r="AY243" s="85"/>
      <c r="AZ243" s="85"/>
      <c r="BA243" s="85"/>
      <c r="BB243" s="85"/>
      <c r="BC243" s="85"/>
      <c r="BD243" s="85"/>
      <c r="BE243" s="85"/>
      <c r="BF243" s="85"/>
      <c r="BG243" s="85"/>
      <c r="BH243" s="85"/>
      <c r="BI243" s="85"/>
      <c r="BJ243" s="85"/>
      <c r="BK243" s="85"/>
      <c r="BL243" s="85"/>
      <c r="BM243" s="85"/>
      <c r="BN243" s="85"/>
      <c r="BO243" s="85"/>
      <c r="BP243" s="85"/>
      <c r="BQ243" s="85"/>
      <c r="BR243" s="85"/>
      <c r="BS243" s="85"/>
      <c r="BT243" s="85"/>
      <c r="BU243" s="85"/>
      <c r="BV243" s="85"/>
      <c r="BW243" s="85"/>
      <c r="BX243" s="85"/>
      <c r="BY243" s="85"/>
      <c r="BZ243" s="85"/>
      <c r="CA243" s="85"/>
      <c r="CB243" s="85"/>
      <c r="CC243" s="85"/>
      <c r="CD243" s="85"/>
      <c r="CE243" s="85"/>
      <c r="CF243" s="85"/>
      <c r="CG243" s="85"/>
      <c r="CH243" s="85"/>
      <c r="CI243" s="85"/>
      <c r="CJ243" s="85"/>
      <c r="CK243" s="85"/>
      <c r="CL243" s="85"/>
      <c r="CM243" s="85"/>
      <c r="CN243" s="85"/>
      <c r="CO243" s="85"/>
      <c r="CP243" s="85"/>
      <c r="CQ243" s="85"/>
      <c r="CR243" s="85"/>
      <c r="CS243" s="85"/>
      <c r="CT243" s="85"/>
      <c r="CU243" s="85"/>
      <c r="CV243" s="85"/>
      <c r="CW243" s="85"/>
      <c r="CX243" s="85"/>
      <c r="CY243" s="85"/>
      <c r="CZ243" s="85"/>
      <c r="DA243" s="85"/>
      <c r="DB243" s="85"/>
      <c r="DC243" s="85"/>
      <c r="DD243" s="85"/>
      <c r="DE243" s="85"/>
      <c r="DF243" s="85"/>
      <c r="DG243" s="85"/>
      <c r="DH243" s="85"/>
      <c r="DI243" s="85"/>
      <c r="DJ243" s="85"/>
      <c r="DK243" s="85"/>
      <c r="DL243" s="85"/>
      <c r="DM243" s="85"/>
      <c r="DN243" s="85"/>
      <c r="DO243" s="85"/>
      <c r="DP243" s="85"/>
      <c r="DQ243" s="85"/>
      <c r="DR243" s="85"/>
      <c r="DS243" s="85"/>
      <c r="DT243" s="85"/>
      <c r="DU243" s="85"/>
      <c r="DV243" s="85"/>
      <c r="DW243" s="85"/>
      <c r="DX243" s="85"/>
      <c r="DY243" s="85"/>
      <c r="DZ243" s="85"/>
      <c r="EA243" s="85"/>
      <c r="EB243" s="85"/>
      <c r="EC243" s="85"/>
      <c r="ED243" s="85"/>
      <c r="EE243" s="85"/>
      <c r="EF243" s="85"/>
      <c r="EG243" s="85"/>
      <c r="EH243" s="85"/>
      <c r="EI243" s="85"/>
      <c r="EJ243" s="85"/>
      <c r="EK243" s="85"/>
      <c r="EL243" s="85"/>
      <c r="EM243" s="85"/>
      <c r="EN243" s="85"/>
      <c r="EO243" s="85"/>
      <c r="EP243" s="85"/>
      <c r="EQ243" s="85"/>
      <c r="ER243" s="85"/>
      <c r="ES243" s="85"/>
      <c r="ET243" s="85"/>
      <c r="EU243" s="85"/>
      <c r="EV243" s="85"/>
      <c r="EW243" s="85"/>
      <c r="EX243" s="85"/>
      <c r="EY243" s="85"/>
      <c r="EZ243" s="85"/>
      <c r="FA243" s="85"/>
      <c r="FB243" s="85"/>
      <c r="FC243" s="85"/>
      <c r="FD243" s="85"/>
      <c r="FE243" s="85"/>
      <c r="FF243" s="85"/>
      <c r="FG243" s="85"/>
      <c r="FH243" s="85"/>
      <c r="FI243" s="85"/>
      <c r="FJ243" s="85"/>
      <c r="FK243" s="85"/>
      <c r="FL243" s="85"/>
      <c r="FM243" s="85"/>
      <c r="FN243" s="85"/>
      <c r="FO243" s="85"/>
      <c r="FP243" s="85"/>
      <c r="FQ243" s="85"/>
      <c r="FR243" s="85"/>
      <c r="FS243" s="85"/>
      <c r="FT243" s="85"/>
      <c r="FU243" s="85"/>
      <c r="FV243" s="85"/>
      <c r="FW243" s="85"/>
      <c r="FX243" s="85"/>
      <c r="FY243" s="85"/>
      <c r="FZ243" s="85"/>
      <c r="GA243" s="85"/>
      <c r="GB243" s="85"/>
      <c r="GC243" s="85"/>
      <c r="GD243" s="85"/>
      <c r="GE243" s="85"/>
      <c r="GF243" s="85"/>
      <c r="GG243" s="85"/>
      <c r="GH243" s="85"/>
      <c r="GI243" s="85"/>
      <c r="GJ243" s="85"/>
      <c r="GK243" s="85"/>
      <c r="GL243" s="85"/>
      <c r="GM243" s="85"/>
      <c r="GN243" s="85"/>
      <c r="GO243" s="85"/>
      <c r="GP243" s="85"/>
      <c r="GQ243" s="85"/>
      <c r="GR243" s="85"/>
      <c r="GS243" s="85"/>
      <c r="GT243" s="85"/>
      <c r="GU243" s="85"/>
      <c r="GV243" s="85"/>
      <c r="GW243" s="85"/>
      <c r="GX243" s="85"/>
      <c r="GY243" s="85"/>
      <c r="GZ243" s="85"/>
      <c r="HA243" s="85"/>
      <c r="HB243" s="85"/>
      <c r="HC243" s="85"/>
      <c r="HD243" s="85"/>
      <c r="HE243" s="85"/>
      <c r="HF243" s="85"/>
      <c r="HG243" s="85"/>
      <c r="HH243" s="85"/>
      <c r="HI243" s="85"/>
      <c r="HJ243" s="85"/>
      <c r="HK243" s="85"/>
      <c r="HL243" s="85"/>
      <c r="HM243" s="85"/>
    </row>
    <row r="244" spans="1:221" s="161" customFormat="1" ht="10.5" customHeight="1">
      <c r="A244" s="85"/>
      <c r="B244" s="112"/>
      <c r="C244" s="113"/>
      <c r="D244" s="109"/>
      <c r="E244" s="114"/>
      <c r="F244" s="114"/>
      <c r="G244" s="109"/>
      <c r="H244" s="109"/>
      <c r="I244" s="109"/>
      <c r="J244" s="107"/>
      <c r="K244" s="109"/>
      <c r="L244" s="115"/>
      <c r="M244" s="115"/>
      <c r="N244" s="115"/>
      <c r="O244" s="109"/>
      <c r="P244" s="116"/>
      <c r="Q244" s="116"/>
      <c r="R244" s="116"/>
      <c r="S244" s="116"/>
      <c r="T244" s="116"/>
      <c r="U244" s="116"/>
      <c r="V244" s="116"/>
      <c r="W244" s="116"/>
      <c r="X244" s="110"/>
      <c r="Y244" s="110"/>
      <c r="Z244" s="110"/>
      <c r="AA244" s="110"/>
      <c r="AB244" s="110"/>
      <c r="AC244" s="110"/>
      <c r="AD244" s="111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83"/>
      <c r="AQ244" s="83"/>
      <c r="AR244" s="83"/>
      <c r="AS244" s="83"/>
      <c r="AT244" s="83"/>
      <c r="AU244" s="83"/>
      <c r="AV244" s="83"/>
      <c r="AW244" s="108"/>
      <c r="AX244" s="91"/>
      <c r="AY244" s="85"/>
      <c r="AZ244" s="85"/>
      <c r="BA244" s="85"/>
      <c r="BB244" s="85"/>
      <c r="BC244" s="85"/>
      <c r="BD244" s="85"/>
      <c r="BE244" s="85"/>
      <c r="BF244" s="85"/>
      <c r="BG244" s="85"/>
      <c r="BH244" s="85"/>
      <c r="BI244" s="85"/>
      <c r="BJ244" s="85"/>
      <c r="BK244" s="85"/>
      <c r="BL244" s="85"/>
      <c r="BM244" s="85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  <c r="DF244" s="85"/>
      <c r="DG244" s="85"/>
      <c r="DH244" s="85"/>
      <c r="DI244" s="85"/>
      <c r="DJ244" s="85"/>
      <c r="DK244" s="85"/>
      <c r="DL244" s="85"/>
      <c r="DM244" s="85"/>
      <c r="DN244" s="85"/>
      <c r="DO244" s="85"/>
      <c r="DP244" s="85"/>
      <c r="DQ244" s="85"/>
      <c r="DR244" s="85"/>
      <c r="DS244" s="85"/>
      <c r="DT244" s="85"/>
      <c r="DU244" s="85"/>
      <c r="DV244" s="85"/>
      <c r="DW244" s="85"/>
      <c r="DX244" s="85"/>
      <c r="DY244" s="85"/>
      <c r="DZ244" s="85"/>
      <c r="EA244" s="85"/>
      <c r="EB244" s="85"/>
      <c r="EC244" s="85"/>
      <c r="ED244" s="85"/>
      <c r="EE244" s="85"/>
      <c r="EF244" s="85"/>
      <c r="EG244" s="85"/>
      <c r="EH244" s="85"/>
      <c r="EI244" s="85"/>
      <c r="EJ244" s="85"/>
      <c r="EK244" s="85"/>
      <c r="EL244" s="85"/>
      <c r="EM244" s="85"/>
      <c r="EN244" s="85"/>
      <c r="EO244" s="85"/>
      <c r="EP244" s="85"/>
      <c r="EQ244" s="85"/>
      <c r="ER244" s="85"/>
      <c r="ES244" s="85"/>
      <c r="ET244" s="85"/>
      <c r="EU244" s="85"/>
      <c r="EV244" s="85"/>
      <c r="EW244" s="85"/>
      <c r="EX244" s="85"/>
      <c r="EY244" s="85"/>
      <c r="EZ244" s="85"/>
      <c r="FA244" s="85"/>
      <c r="FB244" s="85"/>
      <c r="FC244" s="85"/>
      <c r="FD244" s="85"/>
      <c r="FE244" s="85"/>
      <c r="FF244" s="85"/>
      <c r="FG244" s="85"/>
      <c r="FH244" s="85"/>
      <c r="FI244" s="85"/>
      <c r="FJ244" s="85"/>
      <c r="FK244" s="85"/>
      <c r="FL244" s="85"/>
      <c r="FM244" s="85"/>
      <c r="FN244" s="85"/>
      <c r="FO244" s="85"/>
      <c r="FP244" s="85"/>
      <c r="FQ244" s="85"/>
      <c r="FR244" s="85"/>
      <c r="FS244" s="85"/>
      <c r="FT244" s="85"/>
      <c r="FU244" s="85"/>
      <c r="FV244" s="85"/>
      <c r="FW244" s="85"/>
      <c r="FX244" s="85"/>
      <c r="FY244" s="85"/>
      <c r="FZ244" s="85"/>
      <c r="GA244" s="85"/>
      <c r="GB244" s="85"/>
      <c r="GC244" s="85"/>
      <c r="GD244" s="85"/>
      <c r="GE244" s="85"/>
      <c r="GF244" s="85"/>
      <c r="GG244" s="85"/>
      <c r="GH244" s="85"/>
      <c r="GI244" s="85"/>
      <c r="GJ244" s="85"/>
      <c r="GK244" s="85"/>
      <c r="GL244" s="85"/>
      <c r="GM244" s="85"/>
      <c r="GN244" s="85"/>
      <c r="GO244" s="85"/>
      <c r="GP244" s="85"/>
      <c r="GQ244" s="85"/>
      <c r="GR244" s="85"/>
      <c r="GS244" s="85"/>
      <c r="GT244" s="85"/>
      <c r="GU244" s="85"/>
      <c r="GV244" s="85"/>
      <c r="GW244" s="85"/>
      <c r="GX244" s="85"/>
      <c r="GY244" s="85"/>
      <c r="GZ244" s="85"/>
      <c r="HA244" s="85"/>
      <c r="HB244" s="85"/>
      <c r="HC244" s="85"/>
      <c r="HD244" s="85"/>
      <c r="HE244" s="85"/>
      <c r="HF244" s="85"/>
      <c r="HG244" s="85"/>
      <c r="HH244" s="85"/>
      <c r="HI244" s="85"/>
      <c r="HJ244" s="85"/>
      <c r="HK244" s="85"/>
      <c r="HL244" s="85"/>
      <c r="HM244" s="85"/>
    </row>
    <row r="245" spans="1:221" s="161" customFormat="1" ht="10.5" customHeight="1">
      <c r="A245" s="85"/>
      <c r="B245" s="112"/>
      <c r="C245" s="113"/>
      <c r="D245" s="109"/>
      <c r="E245" s="114"/>
      <c r="F245" s="114"/>
      <c r="G245" s="109"/>
      <c r="H245" s="109"/>
      <c r="I245" s="109"/>
      <c r="J245" s="107"/>
      <c r="K245" s="109"/>
      <c r="L245" s="115"/>
      <c r="M245" s="115"/>
      <c r="N245" s="115"/>
      <c r="O245" s="109"/>
      <c r="P245" s="116"/>
      <c r="Q245" s="116"/>
      <c r="R245" s="116"/>
      <c r="S245" s="116"/>
      <c r="T245" s="116"/>
      <c r="U245" s="116"/>
      <c r="V245" s="116"/>
      <c r="W245" s="116"/>
      <c r="X245" s="110"/>
      <c r="Y245" s="110"/>
      <c r="Z245" s="110"/>
      <c r="AA245" s="110"/>
      <c r="AB245" s="110"/>
      <c r="AC245" s="110"/>
      <c r="AD245" s="111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83"/>
      <c r="AQ245" s="83"/>
      <c r="AR245" s="83"/>
      <c r="AS245" s="83"/>
      <c r="AT245" s="83"/>
      <c r="AU245" s="83"/>
      <c r="AV245" s="83"/>
      <c r="AW245" s="108"/>
      <c r="AX245" s="91"/>
      <c r="AY245" s="85"/>
      <c r="AZ245" s="85"/>
      <c r="BA245" s="85"/>
      <c r="BB245" s="85"/>
      <c r="BC245" s="85"/>
      <c r="BD245" s="85"/>
      <c r="BE245" s="85"/>
      <c r="BF245" s="85"/>
      <c r="BG245" s="85"/>
      <c r="BH245" s="85"/>
      <c r="BI245" s="85"/>
      <c r="BJ245" s="85"/>
      <c r="BK245" s="85"/>
      <c r="BL245" s="85"/>
      <c r="BM245" s="85"/>
      <c r="BN245" s="85"/>
      <c r="BO245" s="85"/>
      <c r="BP245" s="85"/>
      <c r="BQ245" s="85"/>
      <c r="BR245" s="85"/>
      <c r="BS245" s="85"/>
      <c r="BT245" s="85"/>
      <c r="BU245" s="85"/>
      <c r="BV245" s="85"/>
      <c r="BW245" s="85"/>
      <c r="BX245" s="85"/>
      <c r="BY245" s="85"/>
      <c r="BZ245" s="85"/>
      <c r="CA245" s="85"/>
      <c r="CB245" s="85"/>
      <c r="CC245" s="85"/>
      <c r="CD245" s="85"/>
      <c r="CE245" s="85"/>
      <c r="CF245" s="85"/>
      <c r="CG245" s="85"/>
      <c r="CH245" s="85"/>
      <c r="CI245" s="85"/>
      <c r="CJ245" s="85"/>
      <c r="CK245" s="85"/>
      <c r="CL245" s="85"/>
      <c r="CM245" s="85"/>
      <c r="CN245" s="85"/>
      <c r="CO245" s="85"/>
      <c r="CP245" s="85"/>
      <c r="CQ245" s="85"/>
      <c r="CR245" s="85"/>
      <c r="CS245" s="85"/>
      <c r="CT245" s="85"/>
      <c r="CU245" s="85"/>
      <c r="CV245" s="85"/>
      <c r="CW245" s="85"/>
      <c r="CX245" s="85"/>
      <c r="CY245" s="85"/>
      <c r="CZ245" s="85"/>
      <c r="DA245" s="85"/>
      <c r="DB245" s="85"/>
      <c r="DC245" s="85"/>
      <c r="DD245" s="85"/>
      <c r="DE245" s="85"/>
      <c r="DF245" s="85"/>
      <c r="DG245" s="85"/>
      <c r="DH245" s="85"/>
      <c r="DI245" s="85"/>
      <c r="DJ245" s="85"/>
      <c r="DK245" s="85"/>
      <c r="DL245" s="85"/>
      <c r="DM245" s="85"/>
      <c r="DN245" s="85"/>
      <c r="DO245" s="85"/>
      <c r="DP245" s="85"/>
      <c r="DQ245" s="85"/>
      <c r="DR245" s="85"/>
      <c r="DS245" s="85"/>
      <c r="DT245" s="85"/>
      <c r="DU245" s="85"/>
      <c r="DV245" s="85"/>
      <c r="DW245" s="85"/>
      <c r="DX245" s="85"/>
      <c r="DY245" s="85"/>
      <c r="DZ245" s="85"/>
      <c r="EA245" s="85"/>
      <c r="EB245" s="85"/>
      <c r="EC245" s="85"/>
      <c r="ED245" s="85"/>
      <c r="EE245" s="85"/>
      <c r="EF245" s="85"/>
      <c r="EG245" s="85"/>
      <c r="EH245" s="85"/>
      <c r="EI245" s="85"/>
      <c r="EJ245" s="85"/>
      <c r="EK245" s="85"/>
      <c r="EL245" s="85"/>
      <c r="EM245" s="85"/>
      <c r="EN245" s="85"/>
      <c r="EO245" s="85"/>
      <c r="EP245" s="85"/>
      <c r="EQ245" s="85"/>
      <c r="ER245" s="85"/>
      <c r="ES245" s="85"/>
      <c r="ET245" s="85"/>
      <c r="EU245" s="85"/>
      <c r="EV245" s="85"/>
      <c r="EW245" s="85"/>
      <c r="EX245" s="85"/>
      <c r="EY245" s="85"/>
      <c r="EZ245" s="85"/>
      <c r="FA245" s="85"/>
      <c r="FB245" s="85"/>
      <c r="FC245" s="85"/>
      <c r="FD245" s="85"/>
      <c r="FE245" s="85"/>
      <c r="FF245" s="85"/>
      <c r="FG245" s="85"/>
      <c r="FH245" s="85"/>
      <c r="FI245" s="85"/>
      <c r="FJ245" s="85"/>
      <c r="FK245" s="85"/>
      <c r="FL245" s="85"/>
      <c r="FM245" s="85"/>
      <c r="FN245" s="85"/>
      <c r="FO245" s="85"/>
      <c r="FP245" s="85"/>
      <c r="FQ245" s="85"/>
      <c r="FR245" s="85"/>
      <c r="FS245" s="85"/>
      <c r="FT245" s="85"/>
      <c r="FU245" s="85"/>
      <c r="FV245" s="85"/>
      <c r="FW245" s="85"/>
      <c r="FX245" s="85"/>
      <c r="FY245" s="85"/>
      <c r="FZ245" s="85"/>
      <c r="GA245" s="85"/>
      <c r="GB245" s="85"/>
      <c r="GC245" s="85"/>
      <c r="GD245" s="85"/>
      <c r="GE245" s="85"/>
      <c r="GF245" s="85"/>
      <c r="GG245" s="85"/>
      <c r="GH245" s="85"/>
      <c r="GI245" s="85"/>
      <c r="GJ245" s="85"/>
      <c r="GK245" s="85"/>
      <c r="GL245" s="85"/>
      <c r="GM245" s="85"/>
      <c r="GN245" s="85"/>
      <c r="GO245" s="85"/>
      <c r="GP245" s="85"/>
      <c r="GQ245" s="85"/>
      <c r="GR245" s="85"/>
      <c r="GS245" s="85"/>
      <c r="GT245" s="85"/>
      <c r="GU245" s="85"/>
      <c r="GV245" s="85"/>
      <c r="GW245" s="85"/>
      <c r="GX245" s="85"/>
      <c r="GY245" s="85"/>
      <c r="GZ245" s="85"/>
      <c r="HA245" s="85"/>
      <c r="HB245" s="85"/>
      <c r="HC245" s="85"/>
      <c r="HD245" s="85"/>
      <c r="HE245" s="85"/>
      <c r="HF245" s="85"/>
      <c r="HG245" s="85"/>
      <c r="HH245" s="85"/>
      <c r="HI245" s="85"/>
      <c r="HJ245" s="85"/>
      <c r="HK245" s="85"/>
      <c r="HL245" s="85"/>
      <c r="HM245" s="85"/>
    </row>
    <row r="246" spans="1:221" s="161" customFormat="1" ht="10.5" customHeight="1">
      <c r="A246" s="85"/>
      <c r="B246" s="112"/>
      <c r="C246" s="113"/>
      <c r="D246" s="109"/>
      <c r="E246" s="114"/>
      <c r="F246" s="114"/>
      <c r="G246" s="109"/>
      <c r="H246" s="109"/>
      <c r="I246" s="109"/>
      <c r="J246" s="107"/>
      <c r="K246" s="109"/>
      <c r="L246" s="115"/>
      <c r="M246" s="115"/>
      <c r="N246" s="115"/>
      <c r="O246" s="109"/>
      <c r="P246" s="116"/>
      <c r="Q246" s="116"/>
      <c r="R246" s="116"/>
      <c r="S246" s="116"/>
      <c r="T246" s="116"/>
      <c r="U246" s="116"/>
      <c r="V246" s="116"/>
      <c r="W246" s="116"/>
      <c r="X246" s="110"/>
      <c r="Y246" s="110"/>
      <c r="Z246" s="110"/>
      <c r="AA246" s="110"/>
      <c r="AB246" s="110"/>
      <c r="AC246" s="110"/>
      <c r="AD246" s="111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83"/>
      <c r="AQ246" s="83"/>
      <c r="AR246" s="83"/>
      <c r="AS246" s="83"/>
      <c r="AT246" s="83"/>
      <c r="AU246" s="83"/>
      <c r="AV246" s="83"/>
      <c r="AW246" s="108"/>
      <c r="AX246" s="91"/>
      <c r="AY246" s="85"/>
      <c r="AZ246" s="85"/>
      <c r="BA246" s="85"/>
      <c r="BB246" s="85"/>
      <c r="BC246" s="85"/>
      <c r="BD246" s="85"/>
      <c r="BE246" s="85"/>
      <c r="BF246" s="85"/>
      <c r="BG246" s="85"/>
      <c r="BH246" s="85"/>
      <c r="BI246" s="85"/>
      <c r="BJ246" s="85"/>
      <c r="BK246" s="85"/>
      <c r="BL246" s="85"/>
      <c r="BM246" s="85"/>
      <c r="BN246" s="85"/>
      <c r="BO246" s="85"/>
      <c r="BP246" s="85"/>
      <c r="BQ246" s="85"/>
      <c r="BR246" s="85"/>
      <c r="BS246" s="85"/>
      <c r="BT246" s="85"/>
      <c r="BU246" s="85"/>
      <c r="BV246" s="85"/>
      <c r="BW246" s="85"/>
      <c r="BX246" s="85"/>
      <c r="BY246" s="85"/>
      <c r="BZ246" s="85"/>
      <c r="CA246" s="85"/>
      <c r="CB246" s="85"/>
      <c r="CC246" s="85"/>
      <c r="CD246" s="85"/>
      <c r="CE246" s="85"/>
      <c r="CF246" s="85"/>
      <c r="CG246" s="85"/>
      <c r="CH246" s="85"/>
      <c r="CI246" s="85"/>
      <c r="CJ246" s="85"/>
      <c r="CK246" s="85"/>
      <c r="CL246" s="85"/>
      <c r="CM246" s="85"/>
      <c r="CN246" s="85"/>
      <c r="CO246" s="85"/>
      <c r="CP246" s="85"/>
      <c r="CQ246" s="85"/>
      <c r="CR246" s="85"/>
      <c r="CS246" s="85"/>
      <c r="CT246" s="85"/>
      <c r="CU246" s="85"/>
      <c r="CV246" s="85"/>
      <c r="CW246" s="85"/>
      <c r="CX246" s="85"/>
      <c r="CY246" s="85"/>
      <c r="CZ246" s="85"/>
      <c r="DA246" s="85"/>
      <c r="DB246" s="85"/>
      <c r="DC246" s="85"/>
      <c r="DD246" s="85"/>
      <c r="DE246" s="85"/>
      <c r="DF246" s="85"/>
      <c r="DG246" s="85"/>
      <c r="DH246" s="85"/>
      <c r="DI246" s="85"/>
      <c r="DJ246" s="85"/>
      <c r="DK246" s="85"/>
      <c r="DL246" s="85"/>
      <c r="DM246" s="85"/>
      <c r="DN246" s="85"/>
      <c r="DO246" s="85"/>
      <c r="DP246" s="85"/>
      <c r="DQ246" s="85"/>
      <c r="DR246" s="85"/>
      <c r="DS246" s="85"/>
      <c r="DT246" s="85"/>
      <c r="DU246" s="85"/>
      <c r="DV246" s="85"/>
      <c r="DW246" s="85"/>
      <c r="DX246" s="85"/>
      <c r="DY246" s="85"/>
      <c r="DZ246" s="85"/>
      <c r="EA246" s="85"/>
      <c r="EB246" s="85"/>
      <c r="EC246" s="85"/>
      <c r="ED246" s="85"/>
      <c r="EE246" s="85"/>
      <c r="EF246" s="85"/>
      <c r="EG246" s="85"/>
      <c r="EH246" s="85"/>
      <c r="EI246" s="85"/>
      <c r="EJ246" s="85"/>
      <c r="EK246" s="85"/>
      <c r="EL246" s="85"/>
      <c r="EM246" s="85"/>
      <c r="EN246" s="85"/>
      <c r="EO246" s="85"/>
      <c r="EP246" s="85"/>
      <c r="EQ246" s="85"/>
      <c r="ER246" s="85"/>
      <c r="ES246" s="85"/>
      <c r="ET246" s="85"/>
      <c r="EU246" s="85"/>
      <c r="EV246" s="85"/>
      <c r="EW246" s="85"/>
      <c r="EX246" s="85"/>
      <c r="EY246" s="85"/>
      <c r="EZ246" s="85"/>
      <c r="FA246" s="85"/>
      <c r="FB246" s="85"/>
      <c r="FC246" s="85"/>
      <c r="FD246" s="85"/>
      <c r="FE246" s="85"/>
      <c r="FF246" s="85"/>
      <c r="FG246" s="85"/>
      <c r="FH246" s="85"/>
      <c r="FI246" s="85"/>
      <c r="FJ246" s="85"/>
      <c r="FK246" s="85"/>
      <c r="FL246" s="85"/>
      <c r="FM246" s="85"/>
      <c r="FN246" s="85"/>
      <c r="FO246" s="85"/>
      <c r="FP246" s="85"/>
      <c r="FQ246" s="85"/>
      <c r="FR246" s="85"/>
      <c r="FS246" s="85"/>
      <c r="FT246" s="85"/>
      <c r="FU246" s="85"/>
      <c r="FV246" s="85"/>
      <c r="FW246" s="85"/>
      <c r="FX246" s="85"/>
      <c r="FY246" s="85"/>
      <c r="FZ246" s="85"/>
      <c r="GA246" s="85"/>
      <c r="GB246" s="85"/>
      <c r="GC246" s="85"/>
      <c r="GD246" s="85"/>
      <c r="GE246" s="85"/>
      <c r="GF246" s="85"/>
      <c r="GG246" s="85"/>
      <c r="GH246" s="85"/>
      <c r="GI246" s="85"/>
      <c r="GJ246" s="85"/>
      <c r="GK246" s="85"/>
      <c r="GL246" s="85"/>
      <c r="GM246" s="85"/>
      <c r="GN246" s="85"/>
      <c r="GO246" s="85"/>
      <c r="GP246" s="85"/>
      <c r="GQ246" s="85"/>
      <c r="GR246" s="85"/>
      <c r="GS246" s="85"/>
      <c r="GT246" s="85"/>
      <c r="GU246" s="85"/>
      <c r="GV246" s="85"/>
      <c r="GW246" s="85"/>
      <c r="GX246" s="85"/>
      <c r="GY246" s="85"/>
      <c r="GZ246" s="85"/>
      <c r="HA246" s="85"/>
      <c r="HB246" s="85"/>
      <c r="HC246" s="85"/>
      <c r="HD246" s="85"/>
      <c r="HE246" s="85"/>
      <c r="HF246" s="85"/>
      <c r="HG246" s="85"/>
      <c r="HH246" s="85"/>
      <c r="HI246" s="85"/>
      <c r="HJ246" s="85"/>
      <c r="HK246" s="85"/>
      <c r="HL246" s="85"/>
      <c r="HM246" s="85"/>
    </row>
    <row r="247" spans="1:221" s="161" customFormat="1" ht="14">
      <c r="A247" s="85"/>
      <c r="B247" s="112"/>
      <c r="C247" s="113"/>
      <c r="D247" s="109"/>
      <c r="E247" s="114"/>
      <c r="F247" s="114"/>
      <c r="G247" s="109"/>
      <c r="H247" s="109"/>
      <c r="I247" s="109"/>
      <c r="J247" s="107"/>
      <c r="K247" s="109"/>
      <c r="L247" s="115"/>
      <c r="M247" s="115"/>
      <c r="N247" s="115"/>
      <c r="O247" s="109"/>
      <c r="P247" s="116"/>
      <c r="Q247" s="116"/>
      <c r="R247" s="116"/>
      <c r="S247" s="116"/>
      <c r="T247" s="116"/>
      <c r="U247" s="116"/>
      <c r="V247" s="116"/>
      <c r="W247" s="116"/>
      <c r="X247" s="110"/>
      <c r="Y247" s="110"/>
      <c r="Z247" s="110"/>
      <c r="AA247" s="110"/>
      <c r="AB247" s="110"/>
      <c r="AC247" s="110"/>
      <c r="AD247" s="111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83"/>
      <c r="AQ247" s="83"/>
      <c r="AR247" s="83"/>
      <c r="AS247" s="83"/>
      <c r="AT247" s="83"/>
      <c r="AU247" s="83"/>
      <c r="AV247" s="83"/>
      <c r="AW247" s="108"/>
      <c r="AX247" s="91"/>
      <c r="AY247" s="85"/>
      <c r="AZ247" s="85"/>
      <c r="BA247" s="85"/>
      <c r="BB247" s="85"/>
      <c r="BC247" s="85"/>
      <c r="BD247" s="85"/>
      <c r="BE247" s="85"/>
      <c r="BF247" s="85"/>
      <c r="BG247" s="85"/>
      <c r="BH247" s="85"/>
      <c r="BI247" s="85"/>
      <c r="BJ247" s="85"/>
      <c r="BK247" s="85"/>
      <c r="BL247" s="85"/>
      <c r="BM247" s="85"/>
      <c r="BN247" s="85"/>
      <c r="BO247" s="85"/>
      <c r="BP247" s="85"/>
      <c r="BQ247" s="85"/>
      <c r="BR247" s="85"/>
      <c r="BS247" s="85"/>
      <c r="BT247" s="85"/>
      <c r="BU247" s="85"/>
      <c r="BV247" s="85"/>
      <c r="BW247" s="85"/>
      <c r="BX247" s="85"/>
      <c r="BY247" s="85"/>
      <c r="BZ247" s="85"/>
      <c r="CA247" s="85"/>
      <c r="CB247" s="85"/>
      <c r="CC247" s="85"/>
      <c r="CD247" s="85"/>
      <c r="CE247" s="85"/>
      <c r="CF247" s="85"/>
      <c r="CG247" s="85"/>
      <c r="CH247" s="85"/>
      <c r="CI247" s="85"/>
      <c r="CJ247" s="85"/>
      <c r="CK247" s="85"/>
      <c r="CL247" s="85"/>
      <c r="CM247" s="85"/>
      <c r="CN247" s="85"/>
      <c r="CO247" s="85"/>
      <c r="CP247" s="85"/>
      <c r="CQ247" s="85"/>
      <c r="CR247" s="85"/>
      <c r="CS247" s="85"/>
      <c r="CT247" s="85"/>
      <c r="CU247" s="85"/>
      <c r="CV247" s="85"/>
      <c r="CW247" s="85"/>
      <c r="CX247" s="85"/>
      <c r="CY247" s="85"/>
      <c r="CZ247" s="85"/>
      <c r="DA247" s="85"/>
      <c r="DB247" s="85"/>
      <c r="DC247" s="85"/>
      <c r="DD247" s="85"/>
      <c r="DE247" s="85"/>
      <c r="DF247" s="85"/>
      <c r="DG247" s="85"/>
      <c r="DH247" s="85"/>
      <c r="DI247" s="85"/>
      <c r="DJ247" s="85"/>
      <c r="DK247" s="85"/>
      <c r="DL247" s="85"/>
      <c r="DM247" s="85"/>
      <c r="DN247" s="85"/>
      <c r="DO247" s="85"/>
      <c r="DP247" s="85"/>
      <c r="DQ247" s="85"/>
      <c r="DR247" s="85"/>
      <c r="DS247" s="85"/>
      <c r="DT247" s="85"/>
      <c r="DU247" s="85"/>
      <c r="DV247" s="85"/>
      <c r="DW247" s="85"/>
      <c r="DX247" s="85"/>
      <c r="DY247" s="85"/>
      <c r="DZ247" s="85"/>
      <c r="EA247" s="85"/>
      <c r="EB247" s="85"/>
      <c r="EC247" s="85"/>
      <c r="ED247" s="85"/>
      <c r="EE247" s="85"/>
      <c r="EF247" s="85"/>
      <c r="EG247" s="85"/>
      <c r="EH247" s="85"/>
      <c r="EI247" s="85"/>
      <c r="EJ247" s="85"/>
      <c r="EK247" s="85"/>
      <c r="EL247" s="85"/>
      <c r="EM247" s="85"/>
      <c r="EN247" s="85"/>
      <c r="EO247" s="85"/>
      <c r="EP247" s="85"/>
      <c r="EQ247" s="85"/>
      <c r="ER247" s="85"/>
      <c r="ES247" s="85"/>
      <c r="ET247" s="85"/>
      <c r="EU247" s="85"/>
      <c r="EV247" s="85"/>
      <c r="EW247" s="85"/>
      <c r="EX247" s="85"/>
      <c r="EY247" s="85"/>
      <c r="EZ247" s="85"/>
      <c r="FA247" s="85"/>
      <c r="FB247" s="85"/>
      <c r="FC247" s="85"/>
      <c r="FD247" s="85"/>
      <c r="FE247" s="85"/>
      <c r="FF247" s="85"/>
      <c r="FG247" s="85"/>
      <c r="FH247" s="85"/>
      <c r="FI247" s="85"/>
      <c r="FJ247" s="85"/>
      <c r="FK247" s="85"/>
      <c r="FL247" s="85"/>
      <c r="FM247" s="85"/>
      <c r="FN247" s="85"/>
      <c r="FO247" s="85"/>
      <c r="FP247" s="85"/>
      <c r="FQ247" s="85"/>
      <c r="FR247" s="85"/>
      <c r="FS247" s="85"/>
      <c r="FT247" s="85"/>
      <c r="FU247" s="85"/>
      <c r="FV247" s="85"/>
      <c r="FW247" s="85"/>
      <c r="FX247" s="85"/>
      <c r="FY247" s="85"/>
      <c r="FZ247" s="85"/>
      <c r="GA247" s="85"/>
      <c r="GB247" s="85"/>
      <c r="GC247" s="85"/>
      <c r="GD247" s="85"/>
      <c r="GE247" s="85"/>
      <c r="GF247" s="85"/>
      <c r="GG247" s="85"/>
      <c r="GH247" s="85"/>
      <c r="GI247" s="85"/>
      <c r="GJ247" s="85"/>
      <c r="GK247" s="85"/>
      <c r="GL247" s="85"/>
      <c r="GM247" s="85"/>
      <c r="GN247" s="85"/>
      <c r="GO247" s="85"/>
      <c r="GP247" s="85"/>
      <c r="GQ247" s="85"/>
      <c r="GR247" s="85"/>
      <c r="GS247" s="85"/>
      <c r="GT247" s="85"/>
      <c r="GU247" s="85"/>
      <c r="GV247" s="85"/>
      <c r="GW247" s="85"/>
      <c r="GX247" s="85"/>
      <c r="GY247" s="85"/>
      <c r="GZ247" s="85"/>
      <c r="HA247" s="85"/>
      <c r="HB247" s="85"/>
      <c r="HC247" s="85"/>
      <c r="HD247" s="85"/>
      <c r="HE247" s="85"/>
      <c r="HF247" s="85"/>
      <c r="HG247" s="85"/>
      <c r="HH247" s="85"/>
      <c r="HI247" s="85"/>
      <c r="HJ247" s="85"/>
      <c r="HK247" s="85"/>
      <c r="HL247" s="85"/>
      <c r="HM247" s="85"/>
    </row>
    <row r="248" spans="1:221" ht="14">
      <c r="B248" s="112"/>
      <c r="C248" s="113"/>
      <c r="D248" s="109"/>
      <c r="E248" s="114"/>
      <c r="F248" s="114"/>
      <c r="G248" s="109"/>
      <c r="H248" s="109"/>
      <c r="I248" s="109"/>
      <c r="J248" s="107"/>
      <c r="K248" s="109"/>
      <c r="L248" s="115"/>
      <c r="M248" s="115"/>
      <c r="N248" s="115"/>
      <c r="O248" s="109"/>
      <c r="P248" s="116"/>
      <c r="Q248" s="116"/>
      <c r="R248" s="116"/>
      <c r="S248" s="116"/>
      <c r="T248" s="116"/>
      <c r="U248" s="116"/>
      <c r="V248" s="116"/>
      <c r="W248" s="116"/>
      <c r="X248" s="110"/>
      <c r="Y248" s="110"/>
      <c r="Z248" s="110"/>
      <c r="AA248" s="110"/>
      <c r="AB248" s="110"/>
      <c r="AC248" s="110"/>
      <c r="AD248" s="111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83"/>
      <c r="AQ248" s="83"/>
      <c r="AR248" s="83"/>
      <c r="AS248" s="83"/>
      <c r="AT248" s="83"/>
      <c r="AU248" s="83"/>
      <c r="AV248" s="83"/>
      <c r="AW248" s="108"/>
      <c r="AX248" s="91"/>
    </row>
    <row r="249" spans="1:221" ht="14">
      <c r="B249" s="112"/>
      <c r="C249" s="113"/>
      <c r="D249" s="109"/>
      <c r="E249" s="114"/>
      <c r="F249" s="114"/>
      <c r="G249" s="109"/>
      <c r="H249" s="109"/>
      <c r="I249" s="109"/>
      <c r="J249" s="107"/>
      <c r="K249" s="109"/>
      <c r="L249" s="115"/>
      <c r="M249" s="115"/>
      <c r="N249" s="115"/>
      <c r="O249" s="109"/>
      <c r="P249" s="116"/>
      <c r="Q249" s="116"/>
      <c r="R249" s="116"/>
      <c r="S249" s="116"/>
      <c r="T249" s="116"/>
      <c r="U249" s="116"/>
      <c r="V249" s="116"/>
      <c r="W249" s="116"/>
      <c r="X249" s="110"/>
      <c r="Y249" s="110"/>
      <c r="Z249" s="110"/>
      <c r="AA249" s="110"/>
      <c r="AB249" s="110"/>
      <c r="AC249" s="110"/>
      <c r="AD249" s="111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83"/>
      <c r="AQ249" s="83"/>
      <c r="AR249" s="83"/>
      <c r="AS249" s="83"/>
      <c r="AT249" s="83"/>
      <c r="AU249" s="83"/>
      <c r="AV249" s="83"/>
      <c r="AW249" s="108"/>
      <c r="AX249" s="91"/>
    </row>
    <row r="250" spans="1:221" ht="14">
      <c r="B250" s="112"/>
      <c r="C250" s="113"/>
      <c r="D250" s="109"/>
      <c r="E250" s="114"/>
      <c r="F250" s="114"/>
      <c r="G250" s="109"/>
      <c r="H250" s="109"/>
      <c r="I250" s="109"/>
      <c r="J250" s="107"/>
      <c r="K250" s="109"/>
      <c r="L250" s="115"/>
      <c r="M250" s="115"/>
      <c r="N250" s="115"/>
      <c r="O250" s="109"/>
      <c r="P250" s="116"/>
      <c r="Q250" s="116"/>
      <c r="R250" s="116"/>
      <c r="S250" s="116"/>
      <c r="T250" s="116"/>
      <c r="U250" s="116"/>
      <c r="V250" s="116"/>
      <c r="W250" s="116"/>
      <c r="X250" s="110"/>
      <c r="Y250" s="110"/>
      <c r="Z250" s="110"/>
      <c r="AA250" s="110"/>
      <c r="AB250" s="110"/>
      <c r="AC250" s="110"/>
      <c r="AD250" s="111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83"/>
      <c r="AQ250" s="83"/>
      <c r="AR250" s="83"/>
      <c r="AS250" s="83"/>
      <c r="AT250" s="83"/>
      <c r="AU250" s="83"/>
      <c r="AV250" s="83"/>
      <c r="AW250" s="108"/>
      <c r="AX250" s="91"/>
    </row>
    <row r="251" spans="1:221" ht="14">
      <c r="B251" s="112"/>
      <c r="C251" s="113"/>
      <c r="D251" s="109"/>
      <c r="E251" s="114"/>
      <c r="F251" s="114"/>
      <c r="G251" s="109"/>
      <c r="H251" s="109"/>
      <c r="I251" s="109"/>
      <c r="J251" s="107"/>
      <c r="K251" s="109"/>
      <c r="L251" s="115"/>
      <c r="M251" s="115"/>
      <c r="N251" s="115"/>
      <c r="O251" s="109"/>
      <c r="P251" s="116"/>
      <c r="Q251" s="116"/>
      <c r="R251" s="116"/>
      <c r="S251" s="116"/>
      <c r="T251" s="116"/>
      <c r="U251" s="116"/>
      <c r="V251" s="116"/>
      <c r="W251" s="116"/>
      <c r="X251" s="110"/>
      <c r="Y251" s="110"/>
      <c r="Z251" s="110"/>
      <c r="AA251" s="110"/>
      <c r="AB251" s="110"/>
      <c r="AC251" s="110"/>
      <c r="AD251" s="111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83"/>
      <c r="AQ251" s="83"/>
      <c r="AR251" s="83"/>
      <c r="AS251" s="83"/>
      <c r="AT251" s="83"/>
      <c r="AU251" s="83"/>
      <c r="AV251" s="83"/>
      <c r="AW251" s="108"/>
      <c r="AX251" s="91"/>
    </row>
    <row r="252" spans="1:221" ht="14">
      <c r="B252" s="112"/>
      <c r="C252" s="113"/>
      <c r="D252" s="109"/>
      <c r="E252" s="114"/>
      <c r="F252" s="114"/>
      <c r="G252" s="109"/>
      <c r="H252" s="109"/>
      <c r="I252" s="109"/>
      <c r="J252" s="142"/>
      <c r="K252" s="109"/>
      <c r="L252" s="115"/>
      <c r="M252" s="115"/>
      <c r="N252" s="115"/>
      <c r="O252" s="109"/>
      <c r="P252" s="116"/>
      <c r="Q252" s="116"/>
      <c r="R252" s="116"/>
      <c r="S252" s="116"/>
      <c r="T252" s="116"/>
      <c r="U252" s="116"/>
      <c r="V252" s="116"/>
      <c r="W252" s="116"/>
      <c r="X252" s="117"/>
      <c r="Y252" s="117"/>
      <c r="Z252" s="117"/>
      <c r="AA252" s="117"/>
      <c r="AB252" s="117"/>
      <c r="AC252" s="117"/>
      <c r="AD252" s="111"/>
      <c r="AE252" s="117"/>
      <c r="AF252" s="117"/>
      <c r="AG252" s="117"/>
      <c r="AH252" s="117"/>
      <c r="AI252" s="117"/>
      <c r="AJ252" s="117"/>
      <c r="AK252" s="117"/>
      <c r="AL252" s="117"/>
      <c r="AM252" s="117"/>
      <c r="AN252" s="117"/>
      <c r="AO252" s="117"/>
      <c r="AP252" s="141"/>
      <c r="AQ252" s="141"/>
      <c r="AR252" s="141"/>
      <c r="AS252" s="141"/>
      <c r="AT252" s="141"/>
      <c r="AU252" s="141"/>
      <c r="AV252" s="141"/>
      <c r="AW252" s="140"/>
      <c r="AX252" s="139"/>
    </row>
    <row r="253" spans="1:221" ht="14">
      <c r="B253" s="112"/>
      <c r="C253" s="113"/>
      <c r="D253" s="109"/>
      <c r="E253" s="114"/>
      <c r="F253" s="114"/>
      <c r="G253" s="109"/>
      <c r="H253" s="109"/>
      <c r="I253" s="109"/>
      <c r="J253" s="142"/>
      <c r="K253" s="109"/>
      <c r="L253" s="115"/>
      <c r="M253" s="115"/>
      <c r="N253" s="115"/>
      <c r="O253" s="109"/>
      <c r="P253" s="116"/>
      <c r="Q253" s="116"/>
      <c r="R253" s="116"/>
      <c r="S253" s="116"/>
      <c r="T253" s="116"/>
      <c r="U253" s="116"/>
      <c r="V253" s="116"/>
      <c r="W253" s="116"/>
      <c r="X253" s="117"/>
      <c r="Y253" s="117"/>
      <c r="Z253" s="117"/>
      <c r="AA253" s="117"/>
      <c r="AB253" s="117"/>
      <c r="AC253" s="117"/>
      <c r="AD253" s="111"/>
      <c r="AE253" s="117"/>
      <c r="AF253" s="117"/>
      <c r="AG253" s="117"/>
      <c r="AH253" s="117"/>
      <c r="AI253" s="117"/>
      <c r="AJ253" s="117"/>
      <c r="AK253" s="117"/>
      <c r="AL253" s="117"/>
      <c r="AM253" s="117"/>
      <c r="AN253" s="117"/>
      <c r="AO253" s="117"/>
      <c r="AP253" s="141"/>
      <c r="AQ253" s="141"/>
      <c r="AR253" s="141"/>
      <c r="AS253" s="141"/>
      <c r="AT253" s="141"/>
      <c r="AU253" s="141"/>
      <c r="AV253" s="141"/>
      <c r="AW253" s="140"/>
      <c r="AX253" s="139"/>
    </row>
    <row r="254" spans="1:221" ht="14">
      <c r="B254" s="112"/>
      <c r="C254" s="113"/>
      <c r="D254" s="109"/>
      <c r="E254" s="114"/>
      <c r="F254" s="114"/>
      <c r="G254" s="109"/>
      <c r="H254" s="109"/>
      <c r="I254" s="109"/>
      <c r="J254" s="107"/>
      <c r="K254" s="109"/>
      <c r="L254" s="115"/>
      <c r="M254" s="115"/>
      <c r="N254" s="115"/>
      <c r="O254" s="109"/>
      <c r="P254" s="116"/>
      <c r="Q254" s="116"/>
      <c r="R254" s="116"/>
      <c r="S254" s="116"/>
      <c r="T254" s="116"/>
      <c r="U254" s="116"/>
      <c r="V254" s="116"/>
      <c r="W254" s="116"/>
      <c r="X254" s="110"/>
      <c r="Y254" s="110"/>
      <c r="Z254" s="110"/>
      <c r="AA254" s="110"/>
      <c r="AB254" s="110"/>
      <c r="AC254" s="110"/>
      <c r="AD254" s="111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83"/>
      <c r="AQ254" s="83"/>
      <c r="AR254" s="83"/>
      <c r="AS254" s="83"/>
      <c r="AT254" s="83"/>
      <c r="AU254" s="83"/>
      <c r="AV254" s="83"/>
      <c r="AW254" s="108"/>
      <c r="AX254" s="91"/>
    </row>
    <row r="255" spans="1:221" ht="14">
      <c r="B255" s="112"/>
      <c r="C255" s="113"/>
      <c r="D255" s="109"/>
      <c r="E255" s="114"/>
      <c r="F255" s="114"/>
      <c r="G255" s="109"/>
      <c r="H255" s="109"/>
      <c r="I255" s="109"/>
      <c r="J255" s="107"/>
      <c r="K255" s="109"/>
      <c r="L255" s="115"/>
      <c r="M255" s="115"/>
      <c r="N255" s="115"/>
      <c r="O255" s="109"/>
      <c r="P255" s="116"/>
      <c r="Q255" s="116"/>
      <c r="R255" s="116"/>
      <c r="S255" s="116"/>
      <c r="T255" s="116"/>
      <c r="U255" s="116"/>
      <c r="V255" s="116"/>
      <c r="W255" s="116"/>
      <c r="X255" s="110"/>
      <c r="Y255" s="110"/>
      <c r="Z255" s="110"/>
      <c r="AA255" s="110"/>
      <c r="AB255" s="110"/>
      <c r="AC255" s="110"/>
      <c r="AD255" s="111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83"/>
      <c r="AQ255" s="83"/>
      <c r="AR255" s="83"/>
      <c r="AS255" s="83"/>
      <c r="AT255" s="83"/>
      <c r="AU255" s="83"/>
      <c r="AV255" s="83"/>
      <c r="AW255" s="108"/>
      <c r="AX255" s="91"/>
    </row>
    <row r="256" spans="1:221" ht="14">
      <c r="B256" s="112"/>
      <c r="C256" s="113"/>
      <c r="D256" s="109"/>
      <c r="E256" s="114"/>
      <c r="F256" s="114"/>
      <c r="G256" s="109"/>
      <c r="H256" s="109"/>
      <c r="I256" s="109"/>
      <c r="J256" s="107"/>
      <c r="K256" s="109"/>
      <c r="L256" s="115"/>
      <c r="M256" s="115"/>
      <c r="N256" s="115"/>
      <c r="O256" s="109"/>
      <c r="P256" s="116"/>
      <c r="Q256" s="116"/>
      <c r="R256" s="116"/>
      <c r="S256" s="116"/>
      <c r="T256" s="116"/>
      <c r="U256" s="116"/>
      <c r="V256" s="116"/>
      <c r="W256" s="116"/>
      <c r="X256" s="110"/>
      <c r="Y256" s="110"/>
      <c r="Z256" s="110"/>
      <c r="AA256" s="110"/>
      <c r="AB256" s="110"/>
      <c r="AC256" s="110"/>
      <c r="AD256" s="111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83"/>
      <c r="AQ256" s="83"/>
      <c r="AR256" s="83"/>
      <c r="AS256" s="83"/>
      <c r="AT256" s="83"/>
      <c r="AU256" s="83"/>
      <c r="AV256" s="83"/>
      <c r="AW256" s="108"/>
      <c r="AX256" s="91"/>
    </row>
    <row r="257" spans="2:50" ht="14">
      <c r="B257" s="112"/>
      <c r="C257" s="113"/>
      <c r="D257" s="109"/>
      <c r="E257" s="114"/>
      <c r="F257" s="114"/>
      <c r="G257" s="109"/>
      <c r="H257" s="109"/>
      <c r="I257" s="109"/>
      <c r="J257" s="107"/>
      <c r="K257" s="109"/>
      <c r="L257" s="115"/>
      <c r="M257" s="115"/>
      <c r="N257" s="115"/>
      <c r="O257" s="109"/>
      <c r="P257" s="116"/>
      <c r="Q257" s="116"/>
      <c r="R257" s="116"/>
      <c r="S257" s="116"/>
      <c r="T257" s="116"/>
      <c r="U257" s="116"/>
      <c r="V257" s="116"/>
      <c r="W257" s="116"/>
      <c r="X257" s="110"/>
      <c r="Y257" s="110"/>
      <c r="Z257" s="110"/>
      <c r="AA257" s="110"/>
      <c r="AB257" s="110"/>
      <c r="AC257" s="110"/>
      <c r="AD257" s="111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83"/>
      <c r="AQ257" s="83"/>
      <c r="AR257" s="83"/>
      <c r="AS257" s="83"/>
      <c r="AT257" s="83"/>
      <c r="AU257" s="83"/>
      <c r="AV257" s="83"/>
      <c r="AW257" s="108"/>
      <c r="AX257" s="91"/>
    </row>
    <row r="258" spans="2:50" ht="14">
      <c r="B258" s="112"/>
      <c r="C258" s="113"/>
      <c r="D258" s="109"/>
      <c r="E258" s="114"/>
      <c r="F258" s="114"/>
      <c r="G258" s="109"/>
      <c r="H258" s="109"/>
      <c r="I258" s="109"/>
      <c r="J258" s="107"/>
      <c r="K258" s="109"/>
      <c r="L258" s="115"/>
      <c r="M258" s="115"/>
      <c r="N258" s="115"/>
      <c r="O258" s="109"/>
      <c r="P258" s="116"/>
      <c r="Q258" s="116"/>
      <c r="R258" s="116"/>
      <c r="S258" s="116"/>
      <c r="T258" s="116"/>
      <c r="U258" s="116"/>
      <c r="V258" s="116"/>
      <c r="W258" s="116"/>
      <c r="X258" s="110"/>
      <c r="Y258" s="110"/>
      <c r="Z258" s="110"/>
      <c r="AA258" s="110"/>
      <c r="AB258" s="110"/>
      <c r="AC258" s="110"/>
      <c r="AD258" s="111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83"/>
      <c r="AQ258" s="83"/>
      <c r="AR258" s="83"/>
      <c r="AS258" s="83"/>
      <c r="AT258" s="83"/>
      <c r="AU258" s="83"/>
      <c r="AV258" s="83"/>
      <c r="AW258" s="108"/>
      <c r="AX258" s="91"/>
    </row>
    <row r="259" spans="2:50" ht="14">
      <c r="B259" s="112"/>
      <c r="C259" s="113"/>
      <c r="D259" s="109"/>
      <c r="E259" s="114"/>
      <c r="F259" s="114"/>
      <c r="G259" s="109"/>
      <c r="H259" s="109"/>
      <c r="I259" s="109"/>
      <c r="J259" s="107"/>
      <c r="K259" s="109"/>
      <c r="L259" s="115"/>
      <c r="M259" s="115"/>
      <c r="N259" s="115"/>
      <c r="O259" s="109"/>
      <c r="P259" s="116"/>
      <c r="Q259" s="116"/>
      <c r="R259" s="116"/>
      <c r="S259" s="116"/>
      <c r="T259" s="116"/>
      <c r="U259" s="116"/>
      <c r="V259" s="116"/>
      <c r="W259" s="116"/>
      <c r="X259" s="110"/>
      <c r="Y259" s="110"/>
      <c r="Z259" s="110"/>
      <c r="AA259" s="110"/>
      <c r="AB259" s="110"/>
      <c r="AC259" s="110"/>
      <c r="AD259" s="111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83"/>
      <c r="AQ259" s="83"/>
      <c r="AR259" s="83"/>
      <c r="AS259" s="83"/>
      <c r="AT259" s="83"/>
      <c r="AU259" s="83"/>
      <c r="AV259" s="83"/>
      <c r="AW259" s="108"/>
      <c r="AX259" s="91"/>
    </row>
    <row r="260" spans="2:50" ht="14">
      <c r="B260" s="112"/>
      <c r="C260" s="113"/>
      <c r="D260" s="109"/>
      <c r="E260" s="114"/>
      <c r="F260" s="114"/>
      <c r="G260" s="109"/>
      <c r="H260" s="109"/>
      <c r="I260" s="109"/>
      <c r="J260" s="107"/>
      <c r="K260" s="109"/>
      <c r="L260" s="115"/>
      <c r="M260" s="115"/>
      <c r="N260" s="115"/>
      <c r="O260" s="109"/>
      <c r="P260" s="116"/>
      <c r="Q260" s="116"/>
      <c r="R260" s="116"/>
      <c r="S260" s="116"/>
      <c r="T260" s="116"/>
      <c r="U260" s="116"/>
      <c r="V260" s="116"/>
      <c r="W260" s="116"/>
      <c r="X260" s="110"/>
      <c r="Y260" s="110"/>
      <c r="Z260" s="110"/>
      <c r="AA260" s="110"/>
      <c r="AB260" s="110"/>
      <c r="AC260" s="110"/>
      <c r="AD260" s="111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83"/>
      <c r="AQ260" s="83"/>
      <c r="AR260" s="83"/>
      <c r="AS260" s="83"/>
      <c r="AT260" s="83"/>
      <c r="AU260" s="83"/>
      <c r="AV260" s="83"/>
      <c r="AW260" s="108"/>
      <c r="AX260" s="91"/>
    </row>
    <row r="261" spans="2:50" ht="14">
      <c r="B261" s="112"/>
      <c r="C261" s="113"/>
      <c r="D261" s="109"/>
      <c r="E261" s="114"/>
      <c r="F261" s="114"/>
      <c r="G261" s="109"/>
      <c r="H261" s="109"/>
      <c r="I261" s="109"/>
      <c r="J261" s="107"/>
      <c r="K261" s="109"/>
      <c r="L261" s="115"/>
      <c r="M261" s="115"/>
      <c r="N261" s="115"/>
      <c r="O261" s="109"/>
      <c r="P261" s="116"/>
      <c r="Q261" s="116"/>
      <c r="R261" s="116"/>
      <c r="S261" s="116"/>
      <c r="T261" s="116"/>
      <c r="U261" s="116"/>
      <c r="V261" s="116"/>
      <c r="W261" s="116"/>
      <c r="X261" s="110"/>
      <c r="Y261" s="110"/>
      <c r="Z261" s="110"/>
      <c r="AA261" s="110"/>
      <c r="AB261" s="110"/>
      <c r="AC261" s="110"/>
      <c r="AD261" s="111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83"/>
      <c r="AQ261" s="83"/>
      <c r="AR261" s="83"/>
      <c r="AS261" s="83"/>
      <c r="AT261" s="83"/>
      <c r="AU261" s="83"/>
      <c r="AV261" s="83"/>
      <c r="AW261" s="108"/>
      <c r="AX261" s="91"/>
    </row>
    <row r="262" spans="2:50" ht="14">
      <c r="B262" s="112"/>
      <c r="C262" s="113"/>
      <c r="D262" s="109"/>
      <c r="E262" s="114"/>
      <c r="F262" s="114"/>
      <c r="G262" s="109"/>
      <c r="H262" s="109"/>
      <c r="I262" s="109"/>
      <c r="J262" s="107"/>
      <c r="K262" s="109"/>
      <c r="L262" s="115"/>
      <c r="M262" s="115"/>
      <c r="N262" s="115"/>
      <c r="O262" s="109"/>
      <c r="P262" s="116"/>
      <c r="Q262" s="116"/>
      <c r="R262" s="116"/>
      <c r="S262" s="116"/>
      <c r="T262" s="116"/>
      <c r="U262" s="116"/>
      <c r="V262" s="116"/>
      <c r="W262" s="116"/>
      <c r="X262" s="110"/>
      <c r="Y262" s="110"/>
      <c r="Z262" s="110"/>
      <c r="AA262" s="110"/>
      <c r="AB262" s="110"/>
      <c r="AC262" s="110"/>
      <c r="AD262" s="111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83"/>
      <c r="AQ262" s="83"/>
      <c r="AR262" s="83"/>
      <c r="AS262" s="83"/>
      <c r="AT262" s="83"/>
      <c r="AU262" s="83"/>
      <c r="AV262" s="83"/>
      <c r="AW262" s="108"/>
      <c r="AX262" s="91"/>
    </row>
    <row r="263" spans="2:50" ht="14">
      <c r="B263" s="112"/>
      <c r="C263" s="113"/>
      <c r="D263" s="109"/>
      <c r="E263" s="114"/>
      <c r="F263" s="114"/>
      <c r="G263" s="109"/>
      <c r="H263" s="109"/>
      <c r="I263" s="109"/>
      <c r="J263" s="107"/>
      <c r="K263" s="109"/>
      <c r="L263" s="115"/>
      <c r="M263" s="115"/>
      <c r="N263" s="115"/>
      <c r="O263" s="109"/>
      <c r="P263" s="116"/>
      <c r="Q263" s="116"/>
      <c r="R263" s="116"/>
      <c r="S263" s="116"/>
      <c r="T263" s="116"/>
      <c r="U263" s="116"/>
      <c r="V263" s="116"/>
      <c r="W263" s="116"/>
      <c r="X263" s="110"/>
      <c r="Y263" s="110"/>
      <c r="Z263" s="110"/>
      <c r="AA263" s="110"/>
      <c r="AB263" s="110"/>
      <c r="AC263" s="110"/>
      <c r="AD263" s="111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83"/>
      <c r="AQ263" s="83"/>
      <c r="AR263" s="83"/>
      <c r="AS263" s="83"/>
      <c r="AT263" s="83"/>
      <c r="AU263" s="83"/>
      <c r="AV263" s="83"/>
      <c r="AW263" s="108"/>
      <c r="AX263" s="91"/>
    </row>
    <row r="264" spans="2:50" ht="14">
      <c r="B264" s="112"/>
      <c r="C264" s="113"/>
      <c r="D264" s="109"/>
      <c r="E264" s="114"/>
      <c r="F264" s="114"/>
      <c r="G264" s="109"/>
      <c r="H264" s="109"/>
      <c r="I264" s="109"/>
      <c r="J264" s="107"/>
      <c r="K264" s="109"/>
      <c r="L264" s="115"/>
      <c r="M264" s="115"/>
      <c r="N264" s="115"/>
      <c r="O264" s="109"/>
      <c r="P264" s="116"/>
      <c r="Q264" s="116"/>
      <c r="R264" s="116"/>
      <c r="S264" s="116"/>
      <c r="T264" s="116"/>
      <c r="U264" s="116"/>
      <c r="V264" s="116"/>
      <c r="W264" s="116"/>
      <c r="X264" s="110"/>
      <c r="Y264" s="110"/>
      <c r="Z264" s="110"/>
      <c r="AA264" s="110"/>
      <c r="AB264" s="110"/>
      <c r="AC264" s="110"/>
      <c r="AD264" s="111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83"/>
      <c r="AQ264" s="83"/>
      <c r="AR264" s="83"/>
      <c r="AS264" s="83"/>
      <c r="AT264" s="83"/>
      <c r="AU264" s="83"/>
      <c r="AV264" s="83"/>
      <c r="AW264" s="108"/>
      <c r="AX264" s="91"/>
    </row>
    <row r="265" spans="2:50" ht="14">
      <c r="B265" s="112"/>
      <c r="C265" s="113"/>
      <c r="D265" s="109"/>
      <c r="E265" s="114"/>
      <c r="F265" s="114"/>
      <c r="G265" s="109"/>
      <c r="H265" s="109"/>
      <c r="I265" s="109"/>
      <c r="J265" s="107"/>
      <c r="K265" s="109"/>
      <c r="L265" s="115"/>
      <c r="M265" s="115"/>
      <c r="N265" s="115"/>
      <c r="O265" s="109"/>
      <c r="P265" s="116"/>
      <c r="Q265" s="116"/>
      <c r="R265" s="116"/>
      <c r="S265" s="116"/>
      <c r="T265" s="116"/>
      <c r="U265" s="116"/>
      <c r="V265" s="116"/>
      <c r="W265" s="116"/>
      <c r="X265" s="110"/>
      <c r="Y265" s="110"/>
      <c r="Z265" s="110"/>
      <c r="AA265" s="110"/>
      <c r="AB265" s="110"/>
      <c r="AC265" s="110"/>
      <c r="AD265" s="111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83"/>
      <c r="AQ265" s="83"/>
      <c r="AR265" s="83"/>
      <c r="AS265" s="83"/>
      <c r="AT265" s="83"/>
      <c r="AU265" s="83"/>
      <c r="AV265" s="83"/>
      <c r="AW265" s="108"/>
      <c r="AX265" s="91"/>
    </row>
    <row r="266" spans="2:50" ht="14">
      <c r="B266" s="112"/>
      <c r="C266" s="113"/>
      <c r="D266" s="109"/>
      <c r="E266" s="114"/>
      <c r="F266" s="114"/>
      <c r="G266" s="109"/>
      <c r="H266" s="109"/>
      <c r="I266" s="109"/>
      <c r="J266" s="107"/>
      <c r="K266" s="109"/>
      <c r="L266" s="115"/>
      <c r="M266" s="115"/>
      <c r="N266" s="115"/>
      <c r="O266" s="109"/>
      <c r="P266" s="116"/>
      <c r="Q266" s="116"/>
      <c r="R266" s="116"/>
      <c r="S266" s="116"/>
      <c r="T266" s="116"/>
      <c r="U266" s="116"/>
      <c r="V266" s="116"/>
      <c r="W266" s="116"/>
      <c r="X266" s="110"/>
      <c r="Y266" s="110"/>
      <c r="Z266" s="110"/>
      <c r="AA266" s="110"/>
      <c r="AB266" s="110"/>
      <c r="AC266" s="110"/>
      <c r="AD266" s="111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83"/>
      <c r="AQ266" s="83"/>
      <c r="AR266" s="83"/>
      <c r="AS266" s="83"/>
      <c r="AT266" s="83"/>
      <c r="AU266" s="83"/>
      <c r="AV266" s="83"/>
      <c r="AW266" s="108"/>
      <c r="AX266" s="91"/>
    </row>
    <row r="267" spans="2:50" ht="14">
      <c r="B267" s="112"/>
      <c r="C267" s="113"/>
      <c r="D267" s="109"/>
      <c r="E267" s="114"/>
      <c r="F267" s="114"/>
      <c r="G267" s="109"/>
      <c r="H267" s="109"/>
      <c r="I267" s="109"/>
      <c r="J267" s="107"/>
      <c r="K267" s="109"/>
      <c r="L267" s="115"/>
      <c r="M267" s="115"/>
      <c r="N267" s="115"/>
      <c r="O267" s="109"/>
      <c r="P267" s="116"/>
      <c r="Q267" s="116"/>
      <c r="R267" s="116"/>
      <c r="S267" s="116"/>
      <c r="T267" s="116"/>
      <c r="U267" s="116"/>
      <c r="V267" s="116"/>
      <c r="W267" s="116"/>
      <c r="X267" s="110"/>
      <c r="Y267" s="110"/>
      <c r="Z267" s="110"/>
      <c r="AA267" s="110"/>
      <c r="AB267" s="110"/>
      <c r="AC267" s="110"/>
      <c r="AD267" s="111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83"/>
      <c r="AQ267" s="83"/>
      <c r="AR267" s="83"/>
      <c r="AS267" s="83"/>
      <c r="AT267" s="83"/>
      <c r="AU267" s="83"/>
      <c r="AV267" s="83"/>
      <c r="AW267" s="108"/>
      <c r="AX267" s="91"/>
    </row>
    <row r="268" spans="2:50" ht="14">
      <c r="B268" s="112"/>
      <c r="C268" s="113"/>
      <c r="D268" s="109"/>
      <c r="E268" s="114"/>
      <c r="F268" s="114"/>
      <c r="G268" s="109"/>
      <c r="H268" s="109"/>
      <c r="I268" s="109"/>
      <c r="J268" s="107"/>
      <c r="K268" s="109"/>
      <c r="L268" s="115"/>
      <c r="M268" s="115"/>
      <c r="N268" s="115"/>
      <c r="O268" s="109"/>
      <c r="P268" s="116"/>
      <c r="Q268" s="116"/>
      <c r="R268" s="116"/>
      <c r="S268" s="116"/>
      <c r="T268" s="116"/>
      <c r="U268" s="116"/>
      <c r="V268" s="116"/>
      <c r="W268" s="116"/>
      <c r="X268" s="110"/>
      <c r="Y268" s="110"/>
      <c r="Z268" s="110"/>
      <c r="AA268" s="110"/>
      <c r="AB268" s="110"/>
      <c r="AC268" s="110"/>
      <c r="AD268" s="111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83"/>
      <c r="AQ268" s="83"/>
      <c r="AR268" s="83"/>
      <c r="AS268" s="83"/>
      <c r="AT268" s="83"/>
      <c r="AU268" s="83"/>
      <c r="AV268" s="83"/>
      <c r="AW268" s="108"/>
      <c r="AX268" s="91"/>
    </row>
    <row r="269" spans="2:50" ht="14">
      <c r="B269" s="112"/>
      <c r="C269" s="113"/>
      <c r="D269" s="109"/>
      <c r="E269" s="114"/>
      <c r="F269" s="114"/>
      <c r="G269" s="109"/>
      <c r="H269" s="109"/>
      <c r="I269" s="109"/>
      <c r="J269" s="107"/>
      <c r="K269" s="109"/>
      <c r="L269" s="115"/>
      <c r="M269" s="115"/>
      <c r="N269" s="115"/>
      <c r="O269" s="109"/>
      <c r="P269" s="116"/>
      <c r="Q269" s="116"/>
      <c r="R269" s="116"/>
      <c r="S269" s="116"/>
      <c r="T269" s="116"/>
      <c r="U269" s="116"/>
      <c r="V269" s="116"/>
      <c r="W269" s="116"/>
      <c r="X269" s="110"/>
      <c r="Y269" s="110"/>
      <c r="Z269" s="110"/>
      <c r="AA269" s="110"/>
      <c r="AB269" s="110"/>
      <c r="AC269" s="110"/>
      <c r="AD269" s="111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83"/>
      <c r="AQ269" s="83"/>
      <c r="AR269" s="83"/>
      <c r="AS269" s="83"/>
      <c r="AT269" s="83"/>
      <c r="AU269" s="83"/>
      <c r="AV269" s="83"/>
      <c r="AW269" s="108"/>
      <c r="AX269" s="91"/>
    </row>
    <row r="270" spans="2:50" ht="14">
      <c r="B270" s="112"/>
      <c r="C270" s="113"/>
      <c r="D270" s="109"/>
      <c r="E270" s="114"/>
      <c r="F270" s="114"/>
      <c r="G270" s="109"/>
      <c r="H270" s="109"/>
      <c r="I270" s="109"/>
      <c r="J270" s="107"/>
      <c r="K270" s="109"/>
      <c r="L270" s="115"/>
      <c r="M270" s="115"/>
      <c r="N270" s="115"/>
      <c r="O270" s="109"/>
      <c r="P270" s="116"/>
      <c r="Q270" s="116"/>
      <c r="R270" s="116"/>
      <c r="S270" s="116"/>
      <c r="T270" s="116"/>
      <c r="U270" s="116"/>
      <c r="V270" s="116"/>
      <c r="W270" s="116"/>
      <c r="X270" s="110"/>
      <c r="Y270" s="110"/>
      <c r="Z270" s="110"/>
      <c r="AA270" s="110"/>
      <c r="AB270" s="110"/>
      <c r="AC270" s="110"/>
      <c r="AD270" s="111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83"/>
      <c r="AQ270" s="83"/>
      <c r="AR270" s="83"/>
      <c r="AS270" s="83"/>
      <c r="AT270" s="83"/>
      <c r="AU270" s="83"/>
      <c r="AV270" s="83"/>
      <c r="AW270" s="108"/>
      <c r="AX270" s="91"/>
    </row>
    <row r="271" spans="2:50" ht="14">
      <c r="B271" s="112"/>
      <c r="C271" s="113"/>
      <c r="D271" s="109"/>
      <c r="E271" s="114"/>
      <c r="F271" s="114"/>
      <c r="G271" s="109"/>
      <c r="H271" s="109"/>
      <c r="I271" s="109"/>
      <c r="J271" s="107"/>
      <c r="K271" s="109"/>
      <c r="L271" s="115"/>
      <c r="M271" s="115"/>
      <c r="N271" s="115"/>
      <c r="O271" s="109"/>
      <c r="P271" s="116"/>
      <c r="Q271" s="116"/>
      <c r="R271" s="116"/>
      <c r="S271" s="116"/>
      <c r="T271" s="116"/>
      <c r="U271" s="116"/>
      <c r="V271" s="116"/>
      <c r="W271" s="116"/>
      <c r="X271" s="110"/>
      <c r="Y271" s="110"/>
      <c r="Z271" s="110"/>
      <c r="AA271" s="110"/>
      <c r="AB271" s="110"/>
      <c r="AC271" s="110"/>
      <c r="AD271" s="111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83"/>
      <c r="AQ271" s="83"/>
      <c r="AR271" s="83"/>
      <c r="AS271" s="83"/>
      <c r="AT271" s="83"/>
      <c r="AU271" s="83"/>
      <c r="AV271" s="83"/>
      <c r="AW271" s="108"/>
      <c r="AX271" s="91"/>
    </row>
    <row r="272" spans="2:50" ht="14">
      <c r="B272" s="112"/>
      <c r="C272" s="113"/>
      <c r="D272" s="109"/>
      <c r="E272" s="114"/>
      <c r="F272" s="114"/>
      <c r="G272" s="109"/>
      <c r="H272" s="109"/>
      <c r="I272" s="109"/>
      <c r="J272" s="107"/>
      <c r="K272" s="109"/>
      <c r="L272" s="115"/>
      <c r="M272" s="115"/>
      <c r="N272" s="115"/>
      <c r="O272" s="109"/>
      <c r="P272" s="116"/>
      <c r="Q272" s="116"/>
      <c r="R272" s="116"/>
      <c r="S272" s="116"/>
      <c r="T272" s="116"/>
      <c r="U272" s="116"/>
      <c r="V272" s="116"/>
      <c r="W272" s="116"/>
      <c r="X272" s="110"/>
      <c r="Y272" s="110"/>
      <c r="Z272" s="110"/>
      <c r="AA272" s="110"/>
      <c r="AB272" s="110"/>
      <c r="AC272" s="110"/>
      <c r="AD272" s="111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83"/>
      <c r="AQ272" s="83"/>
      <c r="AR272" s="83"/>
      <c r="AS272" s="83"/>
      <c r="AT272" s="83"/>
      <c r="AU272" s="83"/>
      <c r="AV272" s="83"/>
      <c r="AW272" s="108"/>
      <c r="AX272" s="91"/>
    </row>
    <row r="273" spans="2:50" ht="14">
      <c r="B273" s="112"/>
      <c r="C273" s="113"/>
      <c r="D273" s="109"/>
      <c r="E273" s="114"/>
      <c r="F273" s="114"/>
      <c r="G273" s="109"/>
      <c r="H273" s="109"/>
      <c r="I273" s="109"/>
      <c r="J273" s="107"/>
      <c r="K273" s="109"/>
      <c r="L273" s="115"/>
      <c r="M273" s="115"/>
      <c r="N273" s="115"/>
      <c r="O273" s="109"/>
      <c r="P273" s="116"/>
      <c r="Q273" s="116"/>
      <c r="R273" s="116"/>
      <c r="S273" s="116"/>
      <c r="T273" s="116"/>
      <c r="U273" s="116"/>
      <c r="V273" s="116"/>
      <c r="W273" s="116"/>
      <c r="X273" s="110"/>
      <c r="Y273" s="110"/>
      <c r="Z273" s="110"/>
      <c r="AA273" s="110"/>
      <c r="AB273" s="110"/>
      <c r="AC273" s="110"/>
      <c r="AD273" s="111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83"/>
      <c r="AQ273" s="83"/>
      <c r="AR273" s="83"/>
      <c r="AS273" s="83"/>
      <c r="AT273" s="83"/>
      <c r="AU273" s="83"/>
      <c r="AV273" s="83"/>
      <c r="AW273" s="108"/>
      <c r="AX273" s="91"/>
    </row>
    <row r="274" spans="2:50" ht="14">
      <c r="B274" s="112"/>
      <c r="C274" s="113"/>
      <c r="D274" s="109"/>
      <c r="E274" s="114"/>
      <c r="F274" s="114"/>
      <c r="G274" s="109"/>
      <c r="H274" s="109"/>
      <c r="I274" s="109"/>
      <c r="J274" s="107"/>
      <c r="K274" s="109"/>
      <c r="L274" s="115"/>
      <c r="M274" s="115"/>
      <c r="N274" s="115"/>
      <c r="O274" s="109"/>
      <c r="P274" s="116"/>
      <c r="Q274" s="116"/>
      <c r="R274" s="116"/>
      <c r="S274" s="116"/>
      <c r="T274" s="116"/>
      <c r="U274" s="116"/>
      <c r="V274" s="116"/>
      <c r="W274" s="116"/>
      <c r="X274" s="110"/>
      <c r="Y274" s="110"/>
      <c r="Z274" s="110"/>
      <c r="AA274" s="110"/>
      <c r="AB274" s="110"/>
      <c r="AC274" s="110"/>
      <c r="AD274" s="111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83"/>
      <c r="AQ274" s="83"/>
      <c r="AR274" s="83"/>
      <c r="AS274" s="83"/>
      <c r="AT274" s="83"/>
      <c r="AU274" s="83"/>
      <c r="AV274" s="83"/>
      <c r="AW274" s="108"/>
      <c r="AX274" s="91"/>
    </row>
    <row r="275" spans="2:50" ht="16.5" customHeight="1">
      <c r="B275" s="112"/>
      <c r="C275" s="113"/>
      <c r="D275" s="109"/>
      <c r="E275" s="114"/>
      <c r="F275" s="114"/>
      <c r="G275" s="109"/>
      <c r="H275" s="109"/>
      <c r="I275" s="109"/>
      <c r="J275" s="107"/>
      <c r="K275" s="109"/>
      <c r="L275" s="115"/>
      <c r="M275" s="115"/>
      <c r="N275" s="115"/>
      <c r="O275" s="109"/>
      <c r="P275" s="116"/>
      <c r="Q275" s="116"/>
      <c r="R275" s="116"/>
      <c r="S275" s="116"/>
      <c r="T275" s="116"/>
      <c r="U275" s="116"/>
      <c r="V275" s="116"/>
      <c r="W275" s="116"/>
      <c r="X275" s="110"/>
      <c r="Y275" s="110"/>
      <c r="Z275" s="110"/>
      <c r="AA275" s="110"/>
      <c r="AB275" s="110"/>
      <c r="AC275" s="110"/>
      <c r="AD275" s="111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83"/>
      <c r="AQ275" s="83"/>
      <c r="AR275" s="83"/>
      <c r="AS275" s="83"/>
      <c r="AT275" s="83"/>
      <c r="AU275" s="83"/>
      <c r="AV275" s="83"/>
      <c r="AW275" s="108"/>
      <c r="AX275" s="91"/>
    </row>
    <row r="276" spans="2:50" ht="14">
      <c r="B276" s="112"/>
      <c r="C276" s="113"/>
      <c r="D276" s="109"/>
      <c r="E276" s="114"/>
      <c r="F276" s="114"/>
      <c r="G276" s="109"/>
      <c r="H276" s="109"/>
      <c r="I276" s="109"/>
      <c r="J276" s="107"/>
      <c r="K276" s="109"/>
      <c r="L276" s="115"/>
      <c r="M276" s="115"/>
      <c r="N276" s="115"/>
      <c r="O276" s="109"/>
      <c r="P276" s="116"/>
      <c r="Q276" s="116"/>
      <c r="R276" s="116"/>
      <c r="S276" s="116"/>
      <c r="T276" s="116"/>
      <c r="U276" s="116"/>
      <c r="V276" s="116"/>
      <c r="W276" s="116"/>
      <c r="X276" s="110"/>
      <c r="Y276" s="110"/>
      <c r="Z276" s="110"/>
      <c r="AA276" s="110"/>
      <c r="AB276" s="110"/>
      <c r="AC276" s="110"/>
      <c r="AD276" s="111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83"/>
      <c r="AQ276" s="83"/>
      <c r="AR276" s="83"/>
      <c r="AS276" s="83"/>
      <c r="AT276" s="83"/>
      <c r="AU276" s="83"/>
      <c r="AV276" s="83"/>
      <c r="AW276" s="108"/>
      <c r="AX276" s="91"/>
    </row>
    <row r="277" spans="2:50" ht="14">
      <c r="B277" s="112"/>
      <c r="C277" s="113"/>
      <c r="D277" s="109"/>
      <c r="E277" s="114"/>
      <c r="F277" s="114"/>
      <c r="G277" s="109"/>
      <c r="H277" s="109"/>
      <c r="I277" s="109"/>
      <c r="J277" s="107"/>
      <c r="K277" s="109"/>
      <c r="L277" s="115"/>
      <c r="M277" s="115"/>
      <c r="N277" s="115"/>
      <c r="O277" s="109"/>
      <c r="P277" s="116"/>
      <c r="Q277" s="116"/>
      <c r="R277" s="116"/>
      <c r="S277" s="116"/>
      <c r="T277" s="116"/>
      <c r="U277" s="116"/>
      <c r="V277" s="116"/>
      <c r="W277" s="116"/>
      <c r="X277" s="110"/>
      <c r="Y277" s="110"/>
      <c r="Z277" s="110"/>
      <c r="AA277" s="110"/>
      <c r="AB277" s="110"/>
      <c r="AC277" s="110"/>
      <c r="AD277" s="111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83"/>
      <c r="AQ277" s="83"/>
      <c r="AR277" s="83"/>
      <c r="AS277" s="83"/>
      <c r="AT277" s="83"/>
      <c r="AU277" s="83"/>
      <c r="AV277" s="83"/>
      <c r="AW277" s="108"/>
      <c r="AX277" s="91"/>
    </row>
    <row r="278" spans="2:50" ht="14">
      <c r="B278" s="112"/>
      <c r="C278" s="113"/>
      <c r="D278" s="109"/>
      <c r="E278" s="114"/>
      <c r="F278" s="114"/>
      <c r="G278" s="109"/>
      <c r="H278" s="109"/>
      <c r="I278" s="109"/>
      <c r="J278" s="107"/>
      <c r="K278" s="109"/>
      <c r="L278" s="115"/>
      <c r="M278" s="115"/>
      <c r="N278" s="115"/>
      <c r="O278" s="109"/>
      <c r="P278" s="116"/>
      <c r="Q278" s="116"/>
      <c r="R278" s="116"/>
      <c r="S278" s="116"/>
      <c r="T278" s="116"/>
      <c r="U278" s="116"/>
      <c r="V278" s="116"/>
      <c r="W278" s="116"/>
      <c r="X278" s="110"/>
      <c r="Y278" s="110"/>
      <c r="Z278" s="110"/>
      <c r="AA278" s="110"/>
      <c r="AB278" s="110"/>
      <c r="AC278" s="110"/>
      <c r="AD278" s="111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83"/>
      <c r="AQ278" s="83"/>
      <c r="AR278" s="83"/>
      <c r="AS278" s="83"/>
      <c r="AT278" s="83"/>
      <c r="AU278" s="83"/>
      <c r="AV278" s="83"/>
      <c r="AW278" s="108"/>
      <c r="AX278" s="91"/>
    </row>
    <row r="279" spans="2:50" ht="14">
      <c r="B279" s="112"/>
      <c r="C279" s="113"/>
      <c r="D279" s="109"/>
      <c r="E279" s="114"/>
      <c r="F279" s="114"/>
      <c r="G279" s="109"/>
      <c r="H279" s="109"/>
      <c r="I279" s="109"/>
      <c r="J279" s="107"/>
      <c r="K279" s="109"/>
      <c r="L279" s="115"/>
      <c r="M279" s="115"/>
      <c r="N279" s="115"/>
      <c r="O279" s="109"/>
      <c r="P279" s="116"/>
      <c r="Q279" s="116"/>
      <c r="R279" s="116"/>
      <c r="S279" s="116"/>
      <c r="T279" s="116"/>
      <c r="U279" s="116"/>
      <c r="V279" s="116"/>
      <c r="W279" s="116"/>
      <c r="X279" s="110"/>
      <c r="Y279" s="110"/>
      <c r="Z279" s="110"/>
      <c r="AA279" s="110"/>
      <c r="AB279" s="110"/>
      <c r="AC279" s="110"/>
      <c r="AD279" s="111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83"/>
      <c r="AQ279" s="83"/>
      <c r="AR279" s="83"/>
      <c r="AS279" s="83"/>
      <c r="AT279" s="83"/>
      <c r="AU279" s="83"/>
      <c r="AV279" s="83"/>
      <c r="AW279" s="108"/>
      <c r="AX279" s="91"/>
    </row>
    <row r="280" spans="2:50" ht="14">
      <c r="B280" s="112"/>
      <c r="C280" s="113"/>
      <c r="D280" s="109"/>
      <c r="E280" s="114"/>
      <c r="F280" s="114"/>
      <c r="G280" s="109"/>
      <c r="H280" s="109"/>
      <c r="I280" s="109"/>
      <c r="J280" s="107"/>
      <c r="K280" s="109"/>
      <c r="L280" s="115"/>
      <c r="M280" s="115"/>
      <c r="N280" s="115"/>
      <c r="O280" s="109"/>
      <c r="P280" s="116"/>
      <c r="Q280" s="116"/>
      <c r="R280" s="116"/>
      <c r="S280" s="116"/>
      <c r="T280" s="116"/>
      <c r="U280" s="116"/>
      <c r="V280" s="116"/>
      <c r="W280" s="116"/>
      <c r="X280" s="110"/>
      <c r="Y280" s="110"/>
      <c r="Z280" s="110"/>
      <c r="AA280" s="110"/>
      <c r="AB280" s="110"/>
      <c r="AC280" s="110"/>
      <c r="AD280" s="111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83"/>
      <c r="AQ280" s="83"/>
      <c r="AR280" s="83"/>
      <c r="AS280" s="83"/>
      <c r="AT280" s="83"/>
      <c r="AU280" s="83"/>
      <c r="AV280" s="83"/>
      <c r="AW280" s="108"/>
      <c r="AX280" s="91"/>
    </row>
    <row r="281" spans="2:50" ht="14">
      <c r="B281" s="112"/>
      <c r="C281" s="113"/>
      <c r="D281" s="109"/>
      <c r="E281" s="114"/>
      <c r="F281" s="114"/>
      <c r="G281" s="109"/>
      <c r="H281" s="109"/>
      <c r="I281" s="109"/>
      <c r="J281" s="107"/>
      <c r="K281" s="109"/>
      <c r="L281" s="115"/>
      <c r="M281" s="115"/>
      <c r="N281" s="115"/>
      <c r="O281" s="109"/>
      <c r="P281" s="116"/>
      <c r="Q281" s="116"/>
      <c r="R281" s="116"/>
      <c r="S281" s="116"/>
      <c r="T281" s="116"/>
      <c r="U281" s="116"/>
      <c r="V281" s="116"/>
      <c r="W281" s="116"/>
      <c r="X281" s="110"/>
      <c r="Y281" s="110"/>
      <c r="Z281" s="110"/>
      <c r="AA281" s="110"/>
      <c r="AB281" s="110"/>
      <c r="AC281" s="110"/>
      <c r="AD281" s="111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83"/>
      <c r="AQ281" s="83"/>
      <c r="AR281" s="83"/>
      <c r="AS281" s="83"/>
      <c r="AT281" s="83"/>
      <c r="AU281" s="83"/>
      <c r="AV281" s="83"/>
      <c r="AW281" s="108"/>
      <c r="AX281" s="91"/>
    </row>
    <row r="282" spans="2:50" ht="14">
      <c r="B282" s="112"/>
      <c r="C282" s="113"/>
      <c r="D282" s="109"/>
      <c r="E282" s="114"/>
      <c r="F282" s="114"/>
      <c r="G282" s="109"/>
      <c r="H282" s="109"/>
      <c r="I282" s="109"/>
      <c r="J282" s="107"/>
      <c r="K282" s="109"/>
      <c r="L282" s="115"/>
      <c r="M282" s="115"/>
      <c r="N282" s="115"/>
      <c r="O282" s="109"/>
      <c r="P282" s="116"/>
      <c r="Q282" s="116"/>
      <c r="R282" s="116"/>
      <c r="S282" s="116"/>
      <c r="T282" s="116"/>
      <c r="U282" s="116"/>
      <c r="V282" s="116"/>
      <c r="W282" s="116"/>
      <c r="X282" s="110"/>
      <c r="Y282" s="110"/>
      <c r="Z282" s="110"/>
      <c r="AA282" s="110"/>
      <c r="AB282" s="110"/>
      <c r="AC282" s="110"/>
      <c r="AD282" s="111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83"/>
      <c r="AQ282" s="83"/>
      <c r="AR282" s="83"/>
      <c r="AS282" s="83"/>
      <c r="AT282" s="83"/>
      <c r="AU282" s="83"/>
      <c r="AV282" s="83"/>
      <c r="AW282" s="108"/>
      <c r="AX282" s="91"/>
    </row>
    <row r="283" spans="2:50" ht="14">
      <c r="B283" s="112"/>
      <c r="C283" s="113"/>
      <c r="D283" s="109"/>
      <c r="E283" s="114"/>
      <c r="F283" s="114"/>
      <c r="G283" s="109"/>
      <c r="H283" s="109"/>
      <c r="I283" s="109"/>
      <c r="J283" s="107"/>
      <c r="K283" s="109"/>
      <c r="L283" s="115"/>
      <c r="M283" s="115"/>
      <c r="N283" s="115"/>
      <c r="O283" s="109"/>
      <c r="P283" s="116"/>
      <c r="Q283" s="116"/>
      <c r="R283" s="116"/>
      <c r="S283" s="116"/>
      <c r="T283" s="116"/>
      <c r="U283" s="116"/>
      <c r="V283" s="116"/>
      <c r="W283" s="116"/>
      <c r="X283" s="110"/>
      <c r="Y283" s="110"/>
      <c r="Z283" s="110"/>
      <c r="AA283" s="110"/>
      <c r="AB283" s="110"/>
      <c r="AC283" s="110"/>
      <c r="AD283" s="111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83"/>
      <c r="AQ283" s="83"/>
      <c r="AR283" s="83"/>
      <c r="AS283" s="83"/>
      <c r="AT283" s="83"/>
      <c r="AU283" s="83"/>
      <c r="AV283" s="83"/>
      <c r="AW283" s="108"/>
      <c r="AX283" s="91"/>
    </row>
    <row r="284" spans="2:50" ht="14">
      <c r="B284" s="112"/>
      <c r="C284" s="113"/>
      <c r="D284" s="109"/>
      <c r="E284" s="114"/>
      <c r="F284" s="114"/>
      <c r="G284" s="109"/>
      <c r="H284" s="109"/>
      <c r="I284" s="109"/>
      <c r="J284" s="107"/>
      <c r="K284" s="109"/>
      <c r="L284" s="115"/>
      <c r="M284" s="115"/>
      <c r="N284" s="115"/>
      <c r="O284" s="109"/>
      <c r="P284" s="116"/>
      <c r="Q284" s="116"/>
      <c r="R284" s="116"/>
      <c r="S284" s="116"/>
      <c r="T284" s="116"/>
      <c r="U284" s="116"/>
      <c r="V284" s="116"/>
      <c r="W284" s="116"/>
      <c r="X284" s="110"/>
      <c r="Y284" s="110"/>
      <c r="Z284" s="110"/>
      <c r="AA284" s="110"/>
      <c r="AB284" s="110"/>
      <c r="AC284" s="110"/>
      <c r="AD284" s="111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83"/>
      <c r="AQ284" s="83"/>
      <c r="AR284" s="83"/>
      <c r="AS284" s="83"/>
      <c r="AT284" s="83"/>
      <c r="AU284" s="83"/>
      <c r="AV284" s="83"/>
      <c r="AW284" s="108"/>
      <c r="AX284" s="91"/>
    </row>
    <row r="285" spans="2:50" ht="14">
      <c r="B285" s="112"/>
      <c r="C285" s="113"/>
      <c r="D285" s="109"/>
      <c r="E285" s="114"/>
      <c r="F285" s="114"/>
      <c r="G285" s="109"/>
      <c r="H285" s="109"/>
      <c r="I285" s="109"/>
      <c r="J285" s="107"/>
      <c r="K285" s="109"/>
      <c r="L285" s="115"/>
      <c r="M285" s="115"/>
      <c r="N285" s="115"/>
      <c r="O285" s="109"/>
      <c r="P285" s="116"/>
      <c r="Q285" s="116"/>
      <c r="R285" s="116"/>
      <c r="S285" s="116"/>
      <c r="T285" s="116"/>
      <c r="U285" s="116"/>
      <c r="V285" s="116"/>
      <c r="W285" s="116"/>
      <c r="X285" s="110"/>
      <c r="Y285" s="110"/>
      <c r="Z285" s="110"/>
      <c r="AA285" s="110"/>
      <c r="AB285" s="110"/>
      <c r="AC285" s="110"/>
      <c r="AD285" s="111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83"/>
      <c r="AQ285" s="83"/>
      <c r="AR285" s="83"/>
      <c r="AS285" s="83"/>
      <c r="AT285" s="83"/>
      <c r="AU285" s="83"/>
      <c r="AV285" s="83"/>
      <c r="AW285" s="108"/>
      <c r="AX285" s="91"/>
    </row>
    <row r="286" spans="2:50" ht="14">
      <c r="B286" s="112"/>
      <c r="C286" s="113"/>
      <c r="D286" s="109"/>
      <c r="E286" s="114"/>
      <c r="F286" s="114"/>
      <c r="G286" s="109"/>
      <c r="H286" s="109"/>
      <c r="I286" s="109"/>
      <c r="J286" s="107"/>
      <c r="K286" s="109"/>
      <c r="L286" s="115"/>
      <c r="M286" s="115"/>
      <c r="N286" s="115"/>
      <c r="O286" s="109"/>
      <c r="P286" s="116"/>
      <c r="Q286" s="116"/>
      <c r="R286" s="116"/>
      <c r="S286" s="116"/>
      <c r="T286" s="116"/>
      <c r="U286" s="116"/>
      <c r="V286" s="116"/>
      <c r="W286" s="116"/>
      <c r="X286" s="110"/>
      <c r="Y286" s="110"/>
      <c r="Z286" s="110"/>
      <c r="AA286" s="110"/>
      <c r="AB286" s="110"/>
      <c r="AC286" s="110"/>
      <c r="AD286" s="111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83"/>
      <c r="AQ286" s="83"/>
      <c r="AR286" s="83"/>
      <c r="AS286" s="83"/>
      <c r="AT286" s="83"/>
      <c r="AU286" s="83"/>
      <c r="AV286" s="83"/>
      <c r="AW286" s="108"/>
      <c r="AX286" s="91"/>
    </row>
    <row r="287" spans="2:50" ht="14">
      <c r="B287" s="112"/>
      <c r="C287" s="113"/>
      <c r="D287" s="109"/>
      <c r="E287" s="114"/>
      <c r="F287" s="114"/>
      <c r="G287" s="109"/>
      <c r="H287" s="109"/>
      <c r="I287" s="109"/>
      <c r="J287" s="107"/>
      <c r="K287" s="109"/>
      <c r="L287" s="115"/>
      <c r="M287" s="115"/>
      <c r="N287" s="115"/>
      <c r="O287" s="109"/>
      <c r="P287" s="116"/>
      <c r="Q287" s="116"/>
      <c r="R287" s="116"/>
      <c r="S287" s="116"/>
      <c r="T287" s="116"/>
      <c r="U287" s="116"/>
      <c r="V287" s="116"/>
      <c r="W287" s="116"/>
      <c r="X287" s="110"/>
      <c r="Y287" s="110"/>
      <c r="Z287" s="110"/>
      <c r="AA287" s="110"/>
      <c r="AB287" s="110"/>
      <c r="AC287" s="110"/>
      <c r="AD287" s="111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83"/>
      <c r="AQ287" s="83"/>
      <c r="AR287" s="83"/>
      <c r="AS287" s="83"/>
      <c r="AT287" s="83"/>
      <c r="AU287" s="83"/>
      <c r="AV287" s="83"/>
      <c r="AW287" s="108"/>
      <c r="AX287" s="91"/>
    </row>
    <row r="288" spans="2:50" ht="14">
      <c r="B288" s="112"/>
      <c r="C288" s="113"/>
      <c r="D288" s="109"/>
      <c r="E288" s="114"/>
      <c r="F288" s="114"/>
      <c r="G288" s="109"/>
      <c r="H288" s="109"/>
      <c r="I288" s="109"/>
      <c r="J288" s="107"/>
      <c r="K288" s="109"/>
      <c r="L288" s="115"/>
      <c r="M288" s="115"/>
      <c r="N288" s="115"/>
      <c r="O288" s="109"/>
      <c r="P288" s="116"/>
      <c r="Q288" s="116"/>
      <c r="R288" s="116"/>
      <c r="S288" s="116"/>
      <c r="T288" s="116"/>
      <c r="U288" s="116"/>
      <c r="V288" s="116"/>
      <c r="W288" s="116"/>
      <c r="X288" s="110"/>
      <c r="Y288" s="110"/>
      <c r="Z288" s="110"/>
      <c r="AA288" s="110"/>
      <c r="AB288" s="110"/>
      <c r="AC288" s="110"/>
      <c r="AD288" s="111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83"/>
      <c r="AQ288" s="83"/>
      <c r="AR288" s="83"/>
      <c r="AS288" s="83"/>
      <c r="AT288" s="83"/>
      <c r="AU288" s="83"/>
      <c r="AV288" s="83"/>
      <c r="AW288" s="108"/>
      <c r="AX288" s="91"/>
    </row>
    <row r="289" spans="1:50" ht="14">
      <c r="B289" s="112"/>
      <c r="C289" s="113"/>
      <c r="D289" s="109"/>
      <c r="E289" s="114"/>
      <c r="F289" s="114"/>
      <c r="G289" s="109"/>
      <c r="H289" s="109"/>
      <c r="I289" s="109"/>
      <c r="J289" s="107"/>
      <c r="K289" s="109"/>
      <c r="L289" s="115"/>
      <c r="M289" s="115"/>
      <c r="N289" s="115"/>
      <c r="O289" s="109"/>
      <c r="P289" s="116"/>
      <c r="Q289" s="116"/>
      <c r="R289" s="116"/>
      <c r="S289" s="116"/>
      <c r="T289" s="116"/>
      <c r="U289" s="116"/>
      <c r="V289" s="116"/>
      <c r="W289" s="116"/>
      <c r="X289" s="110"/>
      <c r="Y289" s="110"/>
      <c r="Z289" s="110"/>
      <c r="AA289" s="110"/>
      <c r="AB289" s="110"/>
      <c r="AC289" s="110"/>
      <c r="AD289" s="111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83"/>
      <c r="AQ289" s="83"/>
      <c r="AR289" s="83"/>
      <c r="AS289" s="83"/>
      <c r="AT289" s="83"/>
      <c r="AU289" s="83"/>
      <c r="AV289" s="83"/>
      <c r="AW289" s="108"/>
      <c r="AX289" s="91"/>
    </row>
    <row r="290" spans="1:50" ht="14">
      <c r="A290" s="84"/>
      <c r="B290" s="112"/>
      <c r="C290" s="113"/>
      <c r="D290" s="109"/>
      <c r="E290" s="114"/>
      <c r="F290" s="114"/>
      <c r="G290" s="109"/>
      <c r="H290" s="109"/>
      <c r="I290" s="109"/>
      <c r="J290" s="107"/>
      <c r="K290" s="109"/>
      <c r="L290" s="115"/>
      <c r="M290" s="115"/>
      <c r="N290" s="115"/>
      <c r="O290" s="109"/>
      <c r="P290" s="116"/>
      <c r="Q290" s="116"/>
      <c r="R290" s="116"/>
      <c r="S290" s="116"/>
      <c r="T290" s="116"/>
      <c r="U290" s="116"/>
      <c r="V290" s="116"/>
      <c r="W290" s="116"/>
      <c r="X290" s="110"/>
      <c r="Y290" s="110"/>
      <c r="Z290" s="110"/>
      <c r="AA290" s="110"/>
      <c r="AB290" s="110"/>
      <c r="AC290" s="110"/>
      <c r="AD290" s="111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83"/>
      <c r="AQ290" s="83"/>
      <c r="AR290" s="83"/>
      <c r="AS290" s="83"/>
      <c r="AT290" s="83"/>
      <c r="AU290" s="83"/>
      <c r="AV290" s="83"/>
      <c r="AW290" s="108"/>
      <c r="AX290" s="91"/>
    </row>
    <row r="291" spans="1:50" ht="14">
      <c r="A291" s="84"/>
      <c r="B291" s="112"/>
      <c r="C291" s="113"/>
      <c r="D291" s="109"/>
      <c r="E291" s="114"/>
      <c r="F291" s="114"/>
      <c r="G291" s="109"/>
      <c r="H291" s="109"/>
      <c r="I291" s="109"/>
      <c r="J291" s="107"/>
      <c r="K291" s="109"/>
      <c r="L291" s="115"/>
      <c r="M291" s="115"/>
      <c r="N291" s="115"/>
      <c r="O291" s="109"/>
      <c r="P291" s="116"/>
      <c r="Q291" s="116"/>
      <c r="R291" s="116"/>
      <c r="S291" s="116"/>
      <c r="T291" s="116"/>
      <c r="U291" s="116"/>
      <c r="V291" s="116"/>
      <c r="W291" s="116"/>
      <c r="X291" s="110"/>
      <c r="Y291" s="110"/>
      <c r="Z291" s="110"/>
      <c r="AA291" s="110"/>
      <c r="AB291" s="110"/>
      <c r="AC291" s="110"/>
      <c r="AD291" s="111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83"/>
      <c r="AQ291" s="83"/>
      <c r="AR291" s="83"/>
      <c r="AS291" s="83"/>
      <c r="AT291" s="83"/>
      <c r="AU291" s="83"/>
      <c r="AV291" s="83"/>
      <c r="AW291" s="108"/>
      <c r="AX291" s="91"/>
    </row>
    <row r="292" spans="1:50" ht="14">
      <c r="A292" s="84"/>
      <c r="B292" s="112"/>
      <c r="C292" s="113"/>
      <c r="D292" s="109"/>
      <c r="E292" s="114"/>
      <c r="F292" s="114"/>
      <c r="G292" s="109"/>
      <c r="H292" s="109"/>
      <c r="I292" s="109"/>
      <c r="J292" s="107"/>
      <c r="K292" s="109"/>
      <c r="L292" s="115"/>
      <c r="M292" s="115"/>
      <c r="N292" s="115"/>
      <c r="O292" s="109"/>
      <c r="P292" s="116"/>
      <c r="Q292" s="116"/>
      <c r="R292" s="116"/>
      <c r="S292" s="116"/>
      <c r="T292" s="116"/>
      <c r="U292" s="116"/>
      <c r="V292" s="116"/>
      <c r="W292" s="116"/>
      <c r="X292" s="110"/>
      <c r="Y292" s="110"/>
      <c r="Z292" s="110"/>
      <c r="AA292" s="110"/>
      <c r="AB292" s="110"/>
      <c r="AC292" s="110"/>
      <c r="AD292" s="111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83"/>
      <c r="AQ292" s="83"/>
      <c r="AR292" s="83"/>
      <c r="AS292" s="83"/>
      <c r="AT292" s="83"/>
      <c r="AU292" s="83"/>
      <c r="AV292" s="83"/>
      <c r="AW292" s="108"/>
      <c r="AX292" s="91"/>
    </row>
    <row r="293" spans="1:50" ht="14">
      <c r="A293" s="84"/>
      <c r="B293" s="112"/>
      <c r="C293" s="113"/>
      <c r="D293" s="109"/>
      <c r="E293" s="114"/>
      <c r="F293" s="114"/>
      <c r="G293" s="109"/>
      <c r="H293" s="109"/>
      <c r="I293" s="109"/>
      <c r="J293" s="107"/>
      <c r="K293" s="109"/>
      <c r="L293" s="115"/>
      <c r="M293" s="115"/>
      <c r="N293" s="115"/>
      <c r="O293" s="109"/>
      <c r="P293" s="116"/>
      <c r="Q293" s="116"/>
      <c r="R293" s="116"/>
      <c r="S293" s="116"/>
      <c r="T293" s="116"/>
      <c r="U293" s="116"/>
      <c r="V293" s="116"/>
      <c r="W293" s="116"/>
      <c r="X293" s="110"/>
      <c r="Y293" s="110"/>
      <c r="Z293" s="110"/>
      <c r="AA293" s="110"/>
      <c r="AB293" s="110"/>
      <c r="AC293" s="110"/>
      <c r="AD293" s="111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83"/>
      <c r="AQ293" s="83"/>
      <c r="AR293" s="83"/>
      <c r="AS293" s="83"/>
      <c r="AT293" s="83"/>
      <c r="AU293" s="83"/>
      <c r="AV293" s="83"/>
      <c r="AW293" s="108"/>
      <c r="AX293" s="91"/>
    </row>
    <row r="294" spans="1:50" ht="14">
      <c r="A294" s="84"/>
      <c r="B294" s="112"/>
      <c r="C294" s="113"/>
      <c r="D294" s="109"/>
      <c r="E294" s="114"/>
      <c r="F294" s="114"/>
      <c r="G294" s="109"/>
      <c r="H294" s="109"/>
      <c r="I294" s="109"/>
      <c r="J294" s="107"/>
      <c r="K294" s="109"/>
      <c r="L294" s="115"/>
      <c r="M294" s="115"/>
      <c r="N294" s="115"/>
      <c r="O294" s="109"/>
      <c r="P294" s="116"/>
      <c r="Q294" s="116"/>
      <c r="R294" s="116"/>
      <c r="S294" s="116"/>
      <c r="T294" s="116"/>
      <c r="U294" s="116"/>
      <c r="V294" s="116"/>
      <c r="W294" s="116"/>
      <c r="X294" s="110"/>
      <c r="Y294" s="110"/>
      <c r="Z294" s="110"/>
      <c r="AA294" s="110"/>
      <c r="AB294" s="110"/>
      <c r="AC294" s="110"/>
      <c r="AD294" s="111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83"/>
      <c r="AQ294" s="83"/>
      <c r="AR294" s="83"/>
      <c r="AS294" s="83"/>
      <c r="AT294" s="83"/>
      <c r="AU294" s="83"/>
      <c r="AV294" s="83"/>
      <c r="AW294" s="108"/>
      <c r="AX294" s="91"/>
    </row>
    <row r="295" spans="1:50" ht="14">
      <c r="A295" s="84"/>
      <c r="B295" s="112"/>
      <c r="C295" s="113"/>
      <c r="D295" s="109"/>
      <c r="E295" s="114"/>
      <c r="F295" s="114"/>
      <c r="G295" s="109"/>
      <c r="H295" s="109"/>
      <c r="I295" s="109"/>
      <c r="J295" s="107"/>
      <c r="K295" s="109"/>
      <c r="L295" s="115"/>
      <c r="M295" s="115"/>
      <c r="N295" s="115"/>
      <c r="O295" s="109"/>
      <c r="P295" s="116"/>
      <c r="Q295" s="116"/>
      <c r="R295" s="116"/>
      <c r="S295" s="116"/>
      <c r="T295" s="116"/>
      <c r="U295" s="116"/>
      <c r="V295" s="116"/>
      <c r="W295" s="116"/>
      <c r="X295" s="110"/>
      <c r="Y295" s="110"/>
      <c r="Z295" s="110"/>
      <c r="AA295" s="110"/>
      <c r="AB295" s="110"/>
      <c r="AC295" s="110"/>
      <c r="AD295" s="111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83"/>
      <c r="AQ295" s="83"/>
      <c r="AR295" s="83"/>
      <c r="AS295" s="83"/>
      <c r="AT295" s="83"/>
      <c r="AU295" s="83"/>
      <c r="AV295" s="83"/>
      <c r="AW295" s="108"/>
      <c r="AX295" s="91"/>
    </row>
    <row r="296" spans="1:50" ht="14">
      <c r="A296" s="84"/>
      <c r="B296" s="112"/>
      <c r="C296" s="113"/>
      <c r="D296" s="109"/>
      <c r="E296" s="114"/>
      <c r="F296" s="114"/>
      <c r="G296" s="109"/>
      <c r="H296" s="109"/>
      <c r="I296" s="109"/>
      <c r="J296" s="107"/>
      <c r="K296" s="109"/>
      <c r="L296" s="115"/>
      <c r="M296" s="115"/>
      <c r="N296" s="115"/>
      <c r="O296" s="109"/>
      <c r="P296" s="116"/>
      <c r="Q296" s="116"/>
      <c r="R296" s="116"/>
      <c r="S296" s="116"/>
      <c r="T296" s="116"/>
      <c r="U296" s="116"/>
      <c r="V296" s="116"/>
      <c r="W296" s="116"/>
      <c r="X296" s="110"/>
      <c r="Y296" s="110"/>
      <c r="Z296" s="110"/>
      <c r="AA296" s="110"/>
      <c r="AB296" s="110"/>
      <c r="AC296" s="110"/>
      <c r="AD296" s="111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83"/>
      <c r="AQ296" s="83"/>
      <c r="AR296" s="83"/>
      <c r="AS296" s="83"/>
      <c r="AT296" s="83"/>
      <c r="AU296" s="83"/>
      <c r="AV296" s="83"/>
      <c r="AW296" s="108"/>
      <c r="AX296" s="91"/>
    </row>
    <row r="297" spans="1:50" ht="14">
      <c r="B297" s="112"/>
      <c r="C297" s="113"/>
      <c r="D297" s="109"/>
      <c r="E297" s="114"/>
      <c r="F297" s="114"/>
      <c r="G297" s="109"/>
      <c r="H297" s="109"/>
      <c r="I297" s="109"/>
      <c r="J297" s="107"/>
      <c r="K297" s="109"/>
      <c r="L297" s="115"/>
      <c r="M297" s="115"/>
      <c r="N297" s="115"/>
      <c r="O297" s="109"/>
      <c r="P297" s="116"/>
      <c r="Q297" s="116"/>
      <c r="R297" s="116"/>
      <c r="S297" s="116"/>
      <c r="T297" s="116"/>
      <c r="U297" s="116"/>
      <c r="V297" s="116"/>
      <c r="W297" s="116"/>
      <c r="X297" s="110"/>
      <c r="Y297" s="110"/>
      <c r="Z297" s="110"/>
      <c r="AA297" s="110"/>
      <c r="AB297" s="110"/>
      <c r="AC297" s="110"/>
      <c r="AD297" s="111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83"/>
      <c r="AQ297" s="83"/>
      <c r="AR297" s="83"/>
      <c r="AS297" s="83"/>
      <c r="AT297" s="83"/>
      <c r="AU297" s="83"/>
      <c r="AV297" s="83"/>
      <c r="AW297" s="108"/>
      <c r="AX297" s="91"/>
    </row>
    <row r="298" spans="1:50" ht="14">
      <c r="B298" s="112"/>
      <c r="C298" s="113"/>
      <c r="D298" s="109"/>
      <c r="E298" s="114"/>
      <c r="F298" s="114"/>
      <c r="G298" s="109"/>
      <c r="H298" s="109"/>
      <c r="I298" s="109"/>
      <c r="J298" s="107"/>
      <c r="K298" s="109"/>
      <c r="L298" s="115"/>
      <c r="M298" s="115"/>
      <c r="N298" s="115"/>
      <c r="O298" s="109"/>
      <c r="P298" s="116"/>
      <c r="Q298" s="116"/>
      <c r="R298" s="116"/>
      <c r="S298" s="116"/>
      <c r="T298" s="116"/>
      <c r="U298" s="116"/>
      <c r="V298" s="116"/>
      <c r="W298" s="116"/>
      <c r="X298" s="110"/>
      <c r="Y298" s="110"/>
      <c r="Z298" s="110"/>
      <c r="AA298" s="110"/>
      <c r="AB298" s="110"/>
      <c r="AC298" s="110"/>
      <c r="AD298" s="111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83"/>
      <c r="AQ298" s="83"/>
      <c r="AR298" s="83"/>
      <c r="AS298" s="83"/>
      <c r="AT298" s="83"/>
      <c r="AU298" s="83"/>
      <c r="AV298" s="83"/>
      <c r="AW298" s="108"/>
      <c r="AX298" s="91"/>
    </row>
    <row r="299" spans="1:50" ht="14">
      <c r="B299" s="112"/>
      <c r="C299" s="113"/>
      <c r="D299" s="109"/>
      <c r="E299" s="114"/>
      <c r="F299" s="114"/>
      <c r="G299" s="109"/>
      <c r="H299" s="109"/>
      <c r="I299" s="109"/>
      <c r="J299" s="107"/>
      <c r="K299" s="109"/>
      <c r="L299" s="115"/>
      <c r="M299" s="115"/>
      <c r="N299" s="115"/>
      <c r="O299" s="109"/>
      <c r="P299" s="116"/>
      <c r="Q299" s="116"/>
      <c r="R299" s="116"/>
      <c r="S299" s="116"/>
      <c r="T299" s="116"/>
      <c r="U299" s="116"/>
      <c r="V299" s="116"/>
      <c r="W299" s="116"/>
      <c r="X299" s="110"/>
      <c r="Y299" s="110"/>
      <c r="Z299" s="110"/>
      <c r="AA299" s="110"/>
      <c r="AB299" s="110"/>
      <c r="AC299" s="110"/>
      <c r="AD299" s="111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83"/>
      <c r="AQ299" s="83"/>
      <c r="AR299" s="83"/>
      <c r="AS299" s="83"/>
      <c r="AT299" s="83"/>
      <c r="AU299" s="83"/>
      <c r="AV299" s="83"/>
      <c r="AW299" s="108"/>
      <c r="AX299" s="91"/>
    </row>
    <row r="300" spans="1:50" ht="14">
      <c r="B300" s="112"/>
      <c r="C300" s="113"/>
      <c r="D300" s="109"/>
      <c r="E300" s="114"/>
      <c r="F300" s="114"/>
      <c r="G300" s="109"/>
      <c r="H300" s="109"/>
      <c r="I300" s="109"/>
      <c r="J300" s="107"/>
      <c r="K300" s="109"/>
      <c r="L300" s="115"/>
      <c r="M300" s="115"/>
      <c r="N300" s="115"/>
      <c r="O300" s="109"/>
      <c r="P300" s="116"/>
      <c r="Q300" s="116"/>
      <c r="R300" s="116"/>
      <c r="S300" s="116"/>
      <c r="T300" s="116"/>
      <c r="U300" s="116"/>
      <c r="V300" s="116"/>
      <c r="W300" s="116"/>
      <c r="X300" s="110"/>
      <c r="Y300" s="110"/>
      <c r="Z300" s="110"/>
      <c r="AA300" s="110"/>
      <c r="AB300" s="110"/>
      <c r="AC300" s="110"/>
      <c r="AD300" s="111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83"/>
      <c r="AQ300" s="83"/>
      <c r="AR300" s="83"/>
      <c r="AS300" s="83"/>
      <c r="AT300" s="83"/>
      <c r="AU300" s="83"/>
      <c r="AV300" s="83"/>
      <c r="AW300" s="108"/>
      <c r="AX300" s="91"/>
    </row>
    <row r="301" spans="1:50" ht="14">
      <c r="B301" s="112"/>
      <c r="C301" s="113"/>
      <c r="D301" s="109"/>
      <c r="E301" s="114"/>
      <c r="F301" s="114"/>
      <c r="G301" s="109"/>
      <c r="H301" s="109"/>
      <c r="I301" s="109"/>
      <c r="J301" s="107"/>
      <c r="K301" s="109"/>
      <c r="L301" s="115"/>
      <c r="M301" s="115"/>
      <c r="N301" s="115"/>
      <c r="O301" s="109"/>
      <c r="P301" s="116"/>
      <c r="Q301" s="116"/>
      <c r="R301" s="116"/>
      <c r="S301" s="116"/>
      <c r="T301" s="116"/>
      <c r="U301" s="116"/>
      <c r="V301" s="116"/>
      <c r="W301" s="116"/>
      <c r="X301" s="110"/>
      <c r="Y301" s="110"/>
      <c r="Z301" s="110"/>
      <c r="AA301" s="110"/>
      <c r="AB301" s="110"/>
      <c r="AC301" s="110"/>
      <c r="AD301" s="111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83"/>
      <c r="AQ301" s="83"/>
      <c r="AR301" s="83"/>
      <c r="AS301" s="83"/>
      <c r="AT301" s="83"/>
      <c r="AU301" s="83"/>
      <c r="AV301" s="83"/>
      <c r="AW301" s="108"/>
      <c r="AX301" s="91"/>
    </row>
    <row r="302" spans="1:50" ht="14">
      <c r="B302" s="112"/>
      <c r="C302" s="113"/>
      <c r="D302" s="109"/>
      <c r="E302" s="114"/>
      <c r="F302" s="114"/>
      <c r="G302" s="109"/>
      <c r="H302" s="109"/>
      <c r="I302" s="109"/>
      <c r="J302" s="107"/>
      <c r="K302" s="109"/>
      <c r="L302" s="115"/>
      <c r="M302" s="115"/>
      <c r="N302" s="115"/>
      <c r="O302" s="109"/>
      <c r="P302" s="116"/>
      <c r="Q302" s="116"/>
      <c r="R302" s="116"/>
      <c r="S302" s="116"/>
      <c r="T302" s="116"/>
      <c r="U302" s="116"/>
      <c r="V302" s="116"/>
      <c r="W302" s="116"/>
      <c r="X302" s="110"/>
      <c r="Y302" s="110"/>
      <c r="Z302" s="110"/>
      <c r="AA302" s="110"/>
      <c r="AB302" s="110"/>
      <c r="AC302" s="110"/>
      <c r="AD302" s="111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83"/>
      <c r="AQ302" s="83"/>
      <c r="AR302" s="83"/>
      <c r="AS302" s="83"/>
      <c r="AT302" s="83"/>
      <c r="AU302" s="83"/>
      <c r="AV302" s="83"/>
      <c r="AW302" s="108"/>
      <c r="AX302" s="91"/>
    </row>
    <row r="303" spans="1:50" ht="14">
      <c r="B303" s="112"/>
      <c r="C303" s="113"/>
      <c r="D303" s="109"/>
      <c r="E303" s="114"/>
      <c r="F303" s="114"/>
      <c r="G303" s="109"/>
      <c r="H303" s="109"/>
      <c r="I303" s="109"/>
      <c r="J303" s="107"/>
      <c r="K303" s="109"/>
      <c r="L303" s="115"/>
      <c r="M303" s="115"/>
      <c r="N303" s="115"/>
      <c r="O303" s="109"/>
      <c r="P303" s="116"/>
      <c r="Q303" s="116"/>
      <c r="R303" s="116"/>
      <c r="S303" s="116"/>
      <c r="T303" s="116"/>
      <c r="U303" s="116"/>
      <c r="V303" s="116"/>
      <c r="W303" s="116"/>
      <c r="X303" s="110"/>
      <c r="Y303" s="110"/>
      <c r="Z303" s="110"/>
      <c r="AA303" s="110"/>
      <c r="AB303" s="110"/>
      <c r="AC303" s="110"/>
      <c r="AD303" s="111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83"/>
      <c r="AQ303" s="83"/>
      <c r="AR303" s="83"/>
      <c r="AS303" s="83"/>
      <c r="AT303" s="83"/>
      <c r="AU303" s="83"/>
      <c r="AV303" s="83"/>
      <c r="AW303" s="108"/>
      <c r="AX303" s="91"/>
    </row>
    <row r="304" spans="1:50" ht="14">
      <c r="B304" s="112"/>
      <c r="C304" s="113"/>
      <c r="D304" s="109"/>
      <c r="E304" s="114"/>
      <c r="F304" s="114"/>
      <c r="G304" s="109"/>
      <c r="H304" s="109"/>
      <c r="I304" s="109"/>
      <c r="J304" s="107"/>
      <c r="K304" s="109"/>
      <c r="L304" s="115"/>
      <c r="M304" s="115"/>
      <c r="N304" s="115"/>
      <c r="O304" s="109"/>
      <c r="P304" s="116"/>
      <c r="Q304" s="116"/>
      <c r="R304" s="116"/>
      <c r="S304" s="116"/>
      <c r="T304" s="116"/>
      <c r="U304" s="116"/>
      <c r="V304" s="116"/>
      <c r="W304" s="116"/>
      <c r="X304" s="110"/>
      <c r="Y304" s="110"/>
      <c r="Z304" s="110"/>
      <c r="AA304" s="110"/>
      <c r="AB304" s="110"/>
      <c r="AC304" s="110"/>
      <c r="AD304" s="111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83"/>
      <c r="AQ304" s="83"/>
      <c r="AR304" s="83"/>
      <c r="AS304" s="83"/>
      <c r="AT304" s="83"/>
      <c r="AU304" s="83"/>
      <c r="AV304" s="83"/>
      <c r="AW304" s="108"/>
      <c r="AX304" s="91"/>
    </row>
    <row r="305" spans="2:50" ht="14">
      <c r="B305" s="112"/>
      <c r="C305" s="113"/>
      <c r="D305" s="109"/>
      <c r="E305" s="114"/>
      <c r="F305" s="114"/>
      <c r="G305" s="109"/>
      <c r="H305" s="109"/>
      <c r="I305" s="109"/>
      <c r="J305" s="107"/>
      <c r="K305" s="109"/>
      <c r="L305" s="115"/>
      <c r="M305" s="115"/>
      <c r="N305" s="115"/>
      <c r="O305" s="109"/>
      <c r="P305" s="116"/>
      <c r="Q305" s="116"/>
      <c r="R305" s="116"/>
      <c r="S305" s="116"/>
      <c r="T305" s="116"/>
      <c r="U305" s="116"/>
      <c r="V305" s="116"/>
      <c r="W305" s="116"/>
      <c r="X305" s="110"/>
      <c r="Y305" s="110"/>
      <c r="Z305" s="110"/>
      <c r="AA305" s="110"/>
      <c r="AB305" s="110"/>
      <c r="AC305" s="110"/>
      <c r="AD305" s="111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83"/>
      <c r="AQ305" s="83"/>
      <c r="AR305" s="83"/>
      <c r="AS305" s="83"/>
      <c r="AT305" s="83"/>
      <c r="AU305" s="83"/>
      <c r="AV305" s="83"/>
      <c r="AW305" s="108"/>
      <c r="AX305" s="91"/>
    </row>
    <row r="306" spans="2:50" ht="14">
      <c r="B306" s="112"/>
      <c r="C306" s="113"/>
      <c r="D306" s="109"/>
      <c r="E306" s="114"/>
      <c r="F306" s="114"/>
      <c r="G306" s="109"/>
      <c r="H306" s="109"/>
      <c r="I306" s="109"/>
      <c r="J306" s="107"/>
      <c r="K306" s="109"/>
      <c r="L306" s="115"/>
      <c r="M306" s="115"/>
      <c r="N306" s="115"/>
      <c r="O306" s="109"/>
      <c r="P306" s="116"/>
      <c r="Q306" s="116"/>
      <c r="R306" s="116"/>
      <c r="S306" s="116"/>
      <c r="T306" s="116"/>
      <c r="U306" s="116"/>
      <c r="V306" s="116"/>
      <c r="W306" s="116"/>
      <c r="X306" s="110"/>
      <c r="Y306" s="110"/>
      <c r="Z306" s="110"/>
      <c r="AA306" s="110"/>
      <c r="AB306" s="110"/>
      <c r="AC306" s="110"/>
      <c r="AD306" s="111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83"/>
      <c r="AQ306" s="83"/>
      <c r="AR306" s="83"/>
      <c r="AS306" s="83"/>
      <c r="AT306" s="83"/>
      <c r="AU306" s="83"/>
      <c r="AV306" s="83"/>
      <c r="AW306" s="108"/>
      <c r="AX306" s="91"/>
    </row>
    <row r="307" spans="2:50" ht="14">
      <c r="B307" s="112"/>
      <c r="C307" s="113"/>
      <c r="D307" s="109"/>
      <c r="E307" s="114"/>
      <c r="F307" s="114"/>
      <c r="G307" s="109"/>
      <c r="H307" s="109"/>
      <c r="I307" s="109"/>
      <c r="J307" s="107"/>
      <c r="K307" s="109"/>
      <c r="L307" s="115"/>
      <c r="M307" s="115"/>
      <c r="N307" s="115"/>
      <c r="O307" s="109"/>
      <c r="P307" s="116"/>
      <c r="Q307" s="116"/>
      <c r="R307" s="116"/>
      <c r="S307" s="116"/>
      <c r="T307" s="116"/>
      <c r="U307" s="116"/>
      <c r="V307" s="116"/>
      <c r="W307" s="116"/>
      <c r="X307" s="110"/>
      <c r="Y307" s="110"/>
      <c r="Z307" s="110"/>
      <c r="AA307" s="110"/>
      <c r="AB307" s="110"/>
      <c r="AC307" s="110"/>
      <c r="AD307" s="111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83"/>
      <c r="AQ307" s="83"/>
      <c r="AR307" s="83"/>
      <c r="AS307" s="83"/>
      <c r="AT307" s="83"/>
      <c r="AU307" s="83"/>
      <c r="AV307" s="83"/>
      <c r="AW307" s="108"/>
      <c r="AX307" s="91"/>
    </row>
    <row r="308" spans="2:50" ht="14">
      <c r="B308" s="112"/>
      <c r="C308" s="113"/>
      <c r="D308" s="109"/>
      <c r="E308" s="114"/>
      <c r="F308" s="114"/>
      <c r="G308" s="109"/>
      <c r="H308" s="109"/>
      <c r="I308" s="109"/>
      <c r="J308" s="107"/>
      <c r="K308" s="109"/>
      <c r="L308" s="115"/>
      <c r="M308" s="115"/>
      <c r="N308" s="115"/>
      <c r="O308" s="109"/>
      <c r="P308" s="116"/>
      <c r="Q308" s="116"/>
      <c r="R308" s="116"/>
      <c r="S308" s="116"/>
      <c r="T308" s="116"/>
      <c r="U308" s="116"/>
      <c r="V308" s="116"/>
      <c r="W308" s="116"/>
      <c r="X308" s="110"/>
      <c r="Y308" s="110"/>
      <c r="Z308" s="110"/>
      <c r="AA308" s="110"/>
      <c r="AB308" s="110"/>
      <c r="AC308" s="110"/>
      <c r="AD308" s="111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83"/>
      <c r="AQ308" s="83"/>
      <c r="AR308" s="83"/>
      <c r="AS308" s="83"/>
      <c r="AT308" s="83"/>
      <c r="AU308" s="83"/>
      <c r="AV308" s="83"/>
      <c r="AW308" s="108"/>
      <c r="AX308" s="91"/>
    </row>
    <row r="309" spans="2:50" ht="14">
      <c r="B309" s="112"/>
      <c r="C309" s="113"/>
      <c r="D309" s="109"/>
      <c r="E309" s="114"/>
      <c r="F309" s="114"/>
      <c r="G309" s="109"/>
      <c r="H309" s="109"/>
      <c r="I309" s="109"/>
      <c r="J309" s="107"/>
      <c r="K309" s="109"/>
      <c r="L309" s="115"/>
      <c r="M309" s="115"/>
      <c r="N309" s="115"/>
      <c r="O309" s="109"/>
      <c r="P309" s="116"/>
      <c r="Q309" s="116"/>
      <c r="R309" s="116"/>
      <c r="S309" s="116"/>
      <c r="T309" s="116"/>
      <c r="U309" s="116"/>
      <c r="V309" s="116"/>
      <c r="W309" s="116"/>
      <c r="X309" s="110"/>
      <c r="Y309" s="110"/>
      <c r="Z309" s="110"/>
      <c r="AA309" s="110"/>
      <c r="AB309" s="110"/>
      <c r="AC309" s="110"/>
      <c r="AD309" s="111"/>
      <c r="AE309" s="110"/>
      <c r="AF309" s="110"/>
      <c r="AG309" s="110"/>
      <c r="AH309" s="110"/>
      <c r="AI309" s="110"/>
      <c r="AJ309" s="110"/>
      <c r="AK309" s="110"/>
      <c r="AL309" s="110"/>
      <c r="AM309" s="110"/>
      <c r="AN309" s="110"/>
      <c r="AO309" s="110"/>
      <c r="AP309" s="83"/>
      <c r="AQ309" s="83"/>
      <c r="AR309" s="83"/>
      <c r="AS309" s="83"/>
      <c r="AT309" s="83"/>
      <c r="AU309" s="83"/>
      <c r="AV309" s="83"/>
      <c r="AW309" s="108"/>
      <c r="AX309" s="91"/>
    </row>
    <row r="310" spans="2:50" ht="14">
      <c r="B310" s="112"/>
      <c r="C310" s="113"/>
      <c r="D310" s="109"/>
      <c r="E310" s="114"/>
      <c r="F310" s="114"/>
      <c r="G310" s="109"/>
      <c r="H310" s="109"/>
      <c r="I310" s="109"/>
      <c r="J310" s="107"/>
      <c r="K310" s="109"/>
      <c r="L310" s="115"/>
      <c r="M310" s="115"/>
      <c r="N310" s="115"/>
      <c r="O310" s="109"/>
      <c r="P310" s="116"/>
      <c r="Q310" s="116"/>
      <c r="R310" s="116"/>
      <c r="S310" s="116"/>
      <c r="T310" s="116"/>
      <c r="U310" s="116"/>
      <c r="V310" s="116"/>
      <c r="W310" s="116"/>
      <c r="X310" s="110"/>
      <c r="Y310" s="110"/>
      <c r="Z310" s="110"/>
      <c r="AA310" s="110"/>
      <c r="AB310" s="110"/>
      <c r="AC310" s="110"/>
      <c r="AD310" s="111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83"/>
      <c r="AQ310" s="83"/>
      <c r="AR310" s="83"/>
      <c r="AS310" s="83"/>
      <c r="AT310" s="83"/>
      <c r="AU310" s="83"/>
      <c r="AV310" s="83"/>
      <c r="AW310" s="108"/>
      <c r="AX310" s="91"/>
    </row>
    <row r="311" spans="2:50" ht="14">
      <c r="B311" s="112"/>
      <c r="C311" s="113"/>
      <c r="D311" s="109"/>
      <c r="E311" s="114"/>
      <c r="F311" s="114"/>
      <c r="G311" s="109"/>
      <c r="H311" s="109"/>
      <c r="I311" s="109"/>
      <c r="J311" s="107"/>
      <c r="K311" s="109"/>
      <c r="L311" s="115"/>
      <c r="M311" s="115"/>
      <c r="N311" s="115"/>
      <c r="O311" s="109"/>
      <c r="P311" s="116"/>
      <c r="Q311" s="116"/>
      <c r="R311" s="116"/>
      <c r="S311" s="116"/>
      <c r="T311" s="116"/>
      <c r="U311" s="116"/>
      <c r="V311" s="116"/>
      <c r="W311" s="116"/>
      <c r="X311" s="110"/>
      <c r="Y311" s="110"/>
      <c r="Z311" s="110"/>
      <c r="AA311" s="110"/>
      <c r="AB311" s="110"/>
      <c r="AC311" s="110"/>
      <c r="AD311" s="111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83"/>
      <c r="AQ311" s="83"/>
      <c r="AR311" s="83"/>
      <c r="AS311" s="83"/>
      <c r="AT311" s="83"/>
      <c r="AU311" s="83"/>
      <c r="AV311" s="83"/>
      <c r="AW311" s="108"/>
      <c r="AX311" s="91"/>
    </row>
    <row r="312" spans="2:50" ht="14">
      <c r="B312" s="112"/>
      <c r="C312" s="113"/>
      <c r="D312" s="109"/>
      <c r="E312" s="114"/>
      <c r="F312" s="114"/>
      <c r="G312" s="109"/>
      <c r="H312" s="109"/>
      <c r="I312" s="109"/>
      <c r="J312" s="107"/>
      <c r="K312" s="109"/>
      <c r="L312" s="115"/>
      <c r="M312" s="115"/>
      <c r="N312" s="115"/>
      <c r="O312" s="109"/>
      <c r="P312" s="116"/>
      <c r="Q312" s="116"/>
      <c r="R312" s="116"/>
      <c r="S312" s="116"/>
      <c r="T312" s="116"/>
      <c r="U312" s="116"/>
      <c r="V312" s="116"/>
      <c r="W312" s="116"/>
      <c r="X312" s="110"/>
      <c r="Y312" s="110"/>
      <c r="Z312" s="110"/>
      <c r="AA312" s="110"/>
      <c r="AB312" s="110"/>
      <c r="AC312" s="110"/>
      <c r="AD312" s="111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83"/>
      <c r="AQ312" s="83"/>
      <c r="AR312" s="83"/>
      <c r="AS312" s="83"/>
      <c r="AT312" s="83"/>
      <c r="AU312" s="83"/>
      <c r="AV312" s="83"/>
      <c r="AW312" s="108"/>
      <c r="AX312" s="91"/>
    </row>
    <row r="313" spans="2:50" ht="14">
      <c r="B313" s="112"/>
      <c r="C313" s="113"/>
      <c r="D313" s="109"/>
      <c r="E313" s="114"/>
      <c r="F313" s="114"/>
      <c r="G313" s="109"/>
      <c r="H313" s="109"/>
      <c r="I313" s="109"/>
      <c r="J313" s="107"/>
      <c r="K313" s="109"/>
      <c r="L313" s="115"/>
      <c r="M313" s="115"/>
      <c r="N313" s="115"/>
      <c r="O313" s="109"/>
      <c r="P313" s="116"/>
      <c r="Q313" s="116"/>
      <c r="R313" s="116"/>
      <c r="S313" s="116"/>
      <c r="T313" s="116"/>
      <c r="U313" s="116"/>
      <c r="V313" s="116"/>
      <c r="W313" s="116"/>
      <c r="X313" s="110"/>
      <c r="Y313" s="110"/>
      <c r="Z313" s="110"/>
      <c r="AA313" s="110"/>
      <c r="AB313" s="110"/>
      <c r="AC313" s="110"/>
      <c r="AD313" s="111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83"/>
      <c r="AQ313" s="83"/>
      <c r="AR313" s="83"/>
      <c r="AS313" s="83"/>
      <c r="AT313" s="83"/>
      <c r="AU313" s="83"/>
      <c r="AV313" s="83"/>
      <c r="AW313" s="108"/>
      <c r="AX313" s="91"/>
    </row>
    <row r="314" spans="2:50" ht="14">
      <c r="B314" s="112"/>
      <c r="C314" s="113"/>
      <c r="D314" s="109"/>
      <c r="E314" s="114"/>
      <c r="F314" s="114"/>
      <c r="G314" s="109"/>
      <c r="H314" s="109"/>
      <c r="I314" s="109"/>
      <c r="J314" s="107"/>
      <c r="K314" s="109"/>
      <c r="L314" s="115"/>
      <c r="M314" s="115"/>
      <c r="N314" s="115"/>
      <c r="O314" s="109"/>
      <c r="P314" s="116"/>
      <c r="Q314" s="116"/>
      <c r="R314" s="116"/>
      <c r="S314" s="116"/>
      <c r="T314" s="116"/>
      <c r="U314" s="116"/>
      <c r="V314" s="116"/>
      <c r="W314" s="116"/>
      <c r="X314" s="110"/>
      <c r="Y314" s="110"/>
      <c r="Z314" s="110"/>
      <c r="AA314" s="110"/>
      <c r="AB314" s="110"/>
      <c r="AC314" s="110"/>
      <c r="AD314" s="111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83"/>
      <c r="AQ314" s="83"/>
      <c r="AR314" s="83"/>
      <c r="AS314" s="83"/>
      <c r="AT314" s="83"/>
      <c r="AU314" s="83"/>
      <c r="AV314" s="83"/>
      <c r="AW314" s="108"/>
      <c r="AX314" s="91"/>
    </row>
    <row r="315" spans="2:50" ht="14">
      <c r="B315" s="112"/>
      <c r="C315" s="113"/>
      <c r="D315" s="109"/>
      <c r="E315" s="114"/>
      <c r="F315" s="114"/>
      <c r="G315" s="109"/>
      <c r="H315" s="109"/>
      <c r="I315" s="109"/>
      <c r="J315" s="107"/>
      <c r="K315" s="109"/>
      <c r="L315" s="115"/>
      <c r="M315" s="115"/>
      <c r="N315" s="115"/>
      <c r="O315" s="109"/>
      <c r="P315" s="116"/>
      <c r="Q315" s="116"/>
      <c r="R315" s="116"/>
      <c r="S315" s="116"/>
      <c r="T315" s="116"/>
      <c r="U315" s="116"/>
      <c r="V315" s="116"/>
      <c r="W315" s="116"/>
      <c r="X315" s="110"/>
      <c r="Y315" s="110"/>
      <c r="Z315" s="110"/>
      <c r="AA315" s="110"/>
      <c r="AB315" s="110"/>
      <c r="AC315" s="110"/>
      <c r="AD315" s="111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83"/>
      <c r="AQ315" s="83"/>
      <c r="AR315" s="83"/>
      <c r="AS315" s="83"/>
      <c r="AT315" s="83"/>
      <c r="AU315" s="83"/>
      <c r="AV315" s="83"/>
      <c r="AW315" s="108"/>
      <c r="AX315" s="91"/>
    </row>
    <row r="316" spans="2:50" ht="14">
      <c r="B316" s="112"/>
      <c r="C316" s="113"/>
      <c r="D316" s="109"/>
      <c r="E316" s="114"/>
      <c r="F316" s="114"/>
      <c r="G316" s="109"/>
      <c r="H316" s="109"/>
      <c r="I316" s="109"/>
      <c r="J316" s="107"/>
      <c r="K316" s="109"/>
      <c r="L316" s="115"/>
      <c r="M316" s="115"/>
      <c r="N316" s="115"/>
      <c r="O316"/>
      <c r="P316" s="116"/>
      <c r="Q316" s="116"/>
      <c r="R316" s="116"/>
      <c r="S316" s="116"/>
      <c r="T316" s="116"/>
      <c r="U316" s="116"/>
      <c r="V316" s="116"/>
      <c r="W316" s="116"/>
      <c r="X316" s="110"/>
      <c r="Y316" s="110"/>
      <c r="Z316" s="110"/>
      <c r="AA316" s="110"/>
      <c r="AB316" s="110"/>
      <c r="AC316" s="110"/>
      <c r="AD316" s="111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83"/>
      <c r="AQ316" s="83"/>
      <c r="AR316" s="83"/>
      <c r="AS316" s="83"/>
      <c r="AT316" s="83"/>
      <c r="AU316" s="83"/>
      <c r="AV316" s="83"/>
      <c r="AW316" s="108"/>
      <c r="AX316" s="91"/>
    </row>
    <row r="317" spans="2:50" ht="14">
      <c r="B317" s="112"/>
      <c r="C317" s="113"/>
      <c r="D317" s="109"/>
      <c r="E317" s="114"/>
      <c r="F317" s="114"/>
      <c r="G317" s="109"/>
      <c r="H317" s="109"/>
      <c r="I317" s="109"/>
      <c r="J317" s="107"/>
      <c r="K317" s="109"/>
      <c r="L317" s="115"/>
      <c r="M317" s="115"/>
      <c r="N317" s="115"/>
      <c r="O317" s="109"/>
      <c r="P317" s="116"/>
      <c r="Q317" s="116"/>
      <c r="R317" s="116"/>
      <c r="S317" s="116"/>
      <c r="T317" s="116"/>
      <c r="U317" s="116"/>
      <c r="V317" s="116"/>
      <c r="W317" s="116"/>
      <c r="X317" s="110"/>
      <c r="Y317" s="110"/>
      <c r="Z317" s="110"/>
      <c r="AA317" s="110"/>
      <c r="AB317" s="110"/>
      <c r="AC317" s="110"/>
      <c r="AD317" s="111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83"/>
      <c r="AQ317" s="83"/>
      <c r="AR317" s="83"/>
      <c r="AS317" s="83"/>
      <c r="AT317" s="83"/>
      <c r="AU317" s="83"/>
      <c r="AV317" s="83"/>
      <c r="AW317" s="108"/>
      <c r="AX317" s="91"/>
    </row>
    <row r="318" spans="2:50" ht="14">
      <c r="B318" s="112"/>
      <c r="C318" s="113"/>
      <c r="D318" s="109"/>
      <c r="E318" s="114"/>
      <c r="F318" s="114"/>
      <c r="G318" s="109"/>
      <c r="H318" s="109"/>
      <c r="I318" s="109"/>
      <c r="J318" s="107"/>
      <c r="K318" s="109"/>
      <c r="L318" s="115"/>
      <c r="M318" s="115"/>
      <c r="N318" s="115"/>
      <c r="O318" s="109"/>
      <c r="P318" s="116"/>
      <c r="Q318" s="116"/>
      <c r="R318" s="116"/>
      <c r="S318" s="116"/>
      <c r="T318" s="116"/>
      <c r="U318" s="116"/>
      <c r="V318" s="116"/>
      <c r="W318" s="116"/>
      <c r="X318" s="110"/>
      <c r="Y318" s="110"/>
      <c r="Z318" s="110"/>
      <c r="AA318" s="110"/>
      <c r="AB318" s="110"/>
      <c r="AC318" s="110"/>
      <c r="AD318" s="111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83"/>
      <c r="AQ318" s="83"/>
      <c r="AR318" s="83"/>
      <c r="AS318" s="83"/>
      <c r="AT318" s="83"/>
      <c r="AU318" s="83"/>
      <c r="AV318" s="83"/>
      <c r="AW318" s="108"/>
      <c r="AX318" s="91"/>
    </row>
    <row r="319" spans="2:50" ht="14">
      <c r="B319" s="112"/>
      <c r="C319" s="113"/>
      <c r="D319" s="109"/>
      <c r="E319" s="114"/>
      <c r="F319" s="114"/>
      <c r="G319" s="109"/>
      <c r="H319" s="109"/>
      <c r="I319" s="109"/>
      <c r="J319" s="107"/>
      <c r="K319" s="109"/>
      <c r="L319" s="115"/>
      <c r="M319" s="115"/>
      <c r="N319" s="115"/>
      <c r="O319" s="109"/>
      <c r="P319" s="116"/>
      <c r="Q319" s="116"/>
      <c r="R319" s="116"/>
      <c r="S319" s="116"/>
      <c r="T319" s="116"/>
      <c r="U319" s="116"/>
      <c r="V319" s="116"/>
      <c r="W319" s="116"/>
      <c r="X319" s="110"/>
      <c r="Y319" s="110"/>
      <c r="Z319" s="110"/>
      <c r="AA319" s="110"/>
      <c r="AB319" s="110"/>
      <c r="AC319" s="110"/>
      <c r="AD319" s="111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83"/>
      <c r="AQ319" s="83"/>
      <c r="AR319" s="83"/>
      <c r="AS319" s="83"/>
      <c r="AT319" s="83"/>
      <c r="AU319" s="83"/>
      <c r="AV319" s="83"/>
      <c r="AW319" s="108"/>
      <c r="AX319" s="91"/>
    </row>
    <row r="320" spans="2:50" ht="14">
      <c r="B320" s="112"/>
      <c r="C320" s="113"/>
      <c r="D320" s="109"/>
      <c r="E320" s="114"/>
      <c r="F320" s="114"/>
      <c r="G320" s="109"/>
      <c r="H320" s="109"/>
      <c r="I320" s="109"/>
      <c r="J320" s="107"/>
      <c r="K320" s="109"/>
      <c r="L320" s="115"/>
      <c r="M320" s="115"/>
      <c r="N320" s="115"/>
      <c r="O320" s="109"/>
      <c r="P320" s="116"/>
      <c r="Q320" s="116"/>
      <c r="R320" s="116"/>
      <c r="S320" s="116"/>
      <c r="T320" s="116"/>
      <c r="U320" s="116"/>
      <c r="V320" s="116"/>
      <c r="W320" s="116"/>
      <c r="X320" s="110"/>
      <c r="Y320" s="110"/>
      <c r="Z320" s="110"/>
      <c r="AA320" s="110"/>
      <c r="AB320" s="110"/>
      <c r="AC320" s="110"/>
      <c r="AD320" s="111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83"/>
      <c r="AQ320" s="83"/>
      <c r="AR320" s="83"/>
      <c r="AS320" s="83"/>
      <c r="AT320" s="83"/>
      <c r="AU320" s="83"/>
      <c r="AV320" s="83"/>
      <c r="AW320" s="108"/>
      <c r="AX320" s="91"/>
    </row>
    <row r="321" spans="2:50" ht="14">
      <c r="B321" s="112"/>
      <c r="C321" s="113"/>
      <c r="D321" s="109"/>
      <c r="E321" s="114"/>
      <c r="F321" s="114"/>
      <c r="G321" s="109"/>
      <c r="H321" s="109"/>
      <c r="I321" s="109"/>
      <c r="J321" s="107"/>
      <c r="K321" s="109"/>
      <c r="L321" s="115"/>
      <c r="M321" s="115"/>
      <c r="N321" s="115"/>
      <c r="O321" s="109"/>
      <c r="P321" s="116"/>
      <c r="Q321" s="116"/>
      <c r="R321" s="116"/>
      <c r="S321" s="116"/>
      <c r="T321" s="116"/>
      <c r="U321" s="116"/>
      <c r="V321" s="116"/>
      <c r="W321" s="116"/>
      <c r="X321" s="110"/>
      <c r="Y321" s="110"/>
      <c r="Z321" s="110"/>
      <c r="AA321" s="110"/>
      <c r="AB321" s="110"/>
      <c r="AC321" s="110"/>
      <c r="AD321" s="111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83"/>
      <c r="AQ321" s="83"/>
      <c r="AR321" s="83"/>
      <c r="AS321" s="83"/>
      <c r="AT321" s="83"/>
      <c r="AU321" s="83"/>
      <c r="AV321" s="83"/>
      <c r="AW321" s="108"/>
      <c r="AX321" s="91"/>
    </row>
    <row r="322" spans="2:50" ht="14">
      <c r="B322" s="112"/>
      <c r="C322" s="113"/>
      <c r="D322" s="109"/>
      <c r="E322" s="114"/>
      <c r="F322" s="114"/>
      <c r="G322" s="109"/>
      <c r="H322" s="109"/>
      <c r="I322" s="109"/>
      <c r="J322" s="107"/>
      <c r="K322" s="109"/>
      <c r="L322" s="115"/>
      <c r="M322" s="115"/>
      <c r="N322" s="115"/>
      <c r="O322" s="109"/>
      <c r="P322" s="116"/>
      <c r="Q322" s="116"/>
      <c r="R322" s="116"/>
      <c r="S322" s="116"/>
      <c r="T322" s="116"/>
      <c r="U322" s="116"/>
      <c r="V322" s="116"/>
      <c r="W322" s="116"/>
      <c r="X322" s="110"/>
      <c r="Y322" s="110"/>
      <c r="Z322" s="110"/>
      <c r="AA322" s="110"/>
      <c r="AB322" s="110"/>
      <c r="AC322" s="110"/>
      <c r="AD322" s="111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83"/>
      <c r="AQ322" s="83"/>
      <c r="AR322" s="83"/>
      <c r="AS322" s="83"/>
      <c r="AT322" s="83"/>
      <c r="AU322" s="83"/>
      <c r="AV322" s="83"/>
      <c r="AW322" s="108"/>
      <c r="AX322" s="91"/>
    </row>
    <row r="323" spans="2:50" ht="14">
      <c r="B323" s="112"/>
      <c r="C323" s="113"/>
      <c r="D323" s="109"/>
      <c r="E323" s="114"/>
      <c r="F323" s="114"/>
      <c r="G323" s="109"/>
      <c r="H323" s="109"/>
      <c r="I323" s="109"/>
      <c r="J323" s="107"/>
      <c r="K323" s="109"/>
      <c r="L323" s="115"/>
      <c r="M323" s="115"/>
      <c r="N323" s="115"/>
      <c r="O323" s="109"/>
      <c r="P323" s="116"/>
      <c r="Q323" s="116"/>
      <c r="R323" s="116"/>
      <c r="S323" s="116"/>
      <c r="T323" s="116"/>
      <c r="U323" s="116"/>
      <c r="V323" s="116"/>
      <c r="W323" s="116"/>
      <c r="X323" s="110"/>
      <c r="Y323" s="110"/>
      <c r="Z323" s="110"/>
      <c r="AA323" s="110"/>
      <c r="AB323" s="110"/>
      <c r="AC323" s="110"/>
      <c r="AD323" s="111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83"/>
      <c r="AQ323" s="83"/>
      <c r="AR323" s="83"/>
      <c r="AS323" s="83"/>
      <c r="AT323" s="83"/>
      <c r="AU323" s="83"/>
      <c r="AV323" s="83"/>
      <c r="AW323" s="108"/>
      <c r="AX323" s="91"/>
    </row>
    <row r="324" spans="2:50" ht="14">
      <c r="B324" s="112"/>
      <c r="C324" s="113"/>
      <c r="D324" s="109"/>
      <c r="E324" s="114"/>
      <c r="F324" s="114"/>
      <c r="G324" s="109"/>
      <c r="H324" s="109"/>
      <c r="I324" s="109"/>
      <c r="J324" s="107"/>
      <c r="K324" s="109"/>
      <c r="L324" s="115"/>
      <c r="M324" s="115"/>
      <c r="N324" s="115"/>
      <c r="O324" s="109"/>
      <c r="P324" s="116"/>
      <c r="Q324" s="116"/>
      <c r="R324" s="116"/>
      <c r="S324" s="116"/>
      <c r="T324" s="116"/>
      <c r="U324" s="116"/>
      <c r="V324" s="116"/>
      <c r="W324" s="116"/>
      <c r="X324" s="110"/>
      <c r="Y324" s="110"/>
      <c r="Z324" s="110"/>
      <c r="AA324" s="110"/>
      <c r="AB324" s="110"/>
      <c r="AC324" s="110"/>
      <c r="AD324" s="111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83"/>
      <c r="AQ324" s="83"/>
      <c r="AR324" s="83"/>
      <c r="AS324" s="83"/>
      <c r="AT324" s="83"/>
      <c r="AU324" s="83"/>
      <c r="AV324" s="83"/>
      <c r="AW324" s="108"/>
      <c r="AX324" s="91"/>
    </row>
    <row r="325" spans="2:50" ht="14">
      <c r="B325" s="112"/>
      <c r="C325" s="113"/>
      <c r="D325" s="109"/>
      <c r="E325" s="114"/>
      <c r="F325" s="114"/>
      <c r="G325" s="109"/>
      <c r="H325" s="109"/>
      <c r="I325" s="109"/>
      <c r="J325" s="107"/>
      <c r="K325" s="109"/>
      <c r="L325" s="115"/>
      <c r="M325" s="115"/>
      <c r="N325" s="115"/>
      <c r="O325" s="109"/>
      <c r="P325" s="116"/>
      <c r="Q325" s="116"/>
      <c r="R325" s="116"/>
      <c r="S325" s="116"/>
      <c r="T325" s="116"/>
      <c r="U325" s="116"/>
      <c r="V325" s="116"/>
      <c r="W325" s="116"/>
      <c r="X325" s="110"/>
      <c r="Y325" s="110"/>
      <c r="Z325" s="110"/>
      <c r="AA325" s="110"/>
      <c r="AB325" s="110"/>
      <c r="AC325" s="110"/>
      <c r="AD325" s="111"/>
      <c r="AE325" s="110"/>
      <c r="AF325" s="110"/>
      <c r="AG325" s="110"/>
      <c r="AH325" s="110"/>
      <c r="AI325" s="110"/>
      <c r="AJ325" s="110"/>
      <c r="AK325" s="110"/>
      <c r="AL325" s="110"/>
      <c r="AM325" s="147"/>
      <c r="AN325" s="110"/>
      <c r="AO325" s="110"/>
      <c r="AP325" s="83"/>
      <c r="AQ325" s="83"/>
      <c r="AR325" s="83"/>
      <c r="AS325" s="83"/>
      <c r="AT325" s="83"/>
      <c r="AU325" s="83"/>
      <c r="AV325" s="83"/>
      <c r="AW325" s="108"/>
      <c r="AX325" s="91"/>
    </row>
    <row r="326" spans="2:50" ht="14">
      <c r="B326" s="112"/>
      <c r="C326" s="113"/>
      <c r="D326" s="109"/>
      <c r="E326" s="114"/>
      <c r="F326" s="114"/>
      <c r="G326" s="109"/>
      <c r="H326" s="109"/>
      <c r="I326" s="109"/>
      <c r="J326" s="107"/>
      <c r="K326" s="109"/>
      <c r="L326" s="115"/>
      <c r="M326" s="115"/>
      <c r="N326" s="115"/>
      <c r="O326" s="109"/>
      <c r="P326" s="116"/>
      <c r="Q326" s="116"/>
      <c r="R326" s="116"/>
      <c r="S326" s="116"/>
      <c r="T326" s="116"/>
      <c r="U326" s="116"/>
      <c r="V326" s="116"/>
      <c r="W326" s="116"/>
      <c r="X326" s="110"/>
      <c r="Y326" s="110"/>
      <c r="Z326" s="110"/>
      <c r="AA326" s="110"/>
      <c r="AB326" s="110"/>
      <c r="AC326" s="110"/>
      <c r="AD326" s="111"/>
      <c r="AE326" s="110"/>
      <c r="AF326" s="110"/>
      <c r="AG326" s="110"/>
      <c r="AH326" s="110"/>
      <c r="AI326" s="110"/>
      <c r="AJ326" s="110"/>
      <c r="AK326" s="110"/>
      <c r="AL326" s="110"/>
      <c r="AM326" s="110"/>
      <c r="AN326" s="110"/>
      <c r="AO326" s="110"/>
      <c r="AP326" s="83"/>
      <c r="AQ326" s="83"/>
      <c r="AR326" s="83"/>
      <c r="AS326" s="83"/>
      <c r="AT326" s="83"/>
      <c r="AU326" s="83"/>
      <c r="AV326" s="83"/>
      <c r="AW326" s="108"/>
      <c r="AX326" s="91"/>
    </row>
    <row r="327" spans="2:50" ht="14">
      <c r="B327" s="112"/>
      <c r="C327" s="113"/>
      <c r="D327" s="109"/>
      <c r="E327" s="114"/>
      <c r="F327" s="114"/>
      <c r="G327" s="109"/>
      <c r="H327" s="109"/>
      <c r="I327" s="109"/>
      <c r="J327" s="107"/>
      <c r="K327" s="109"/>
      <c r="L327" s="115"/>
      <c r="M327" s="115"/>
      <c r="N327" s="115"/>
      <c r="O327" s="109"/>
      <c r="P327" s="116"/>
      <c r="Q327" s="116"/>
      <c r="R327" s="116"/>
      <c r="S327" s="116"/>
      <c r="T327" s="116"/>
      <c r="U327" s="116"/>
      <c r="V327" s="116"/>
      <c r="W327" s="116"/>
      <c r="X327" s="110"/>
      <c r="Y327" s="110"/>
      <c r="Z327" s="110"/>
      <c r="AA327" s="110"/>
      <c r="AB327" s="110"/>
      <c r="AC327" s="110"/>
      <c r="AD327" s="111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83"/>
      <c r="AQ327" s="83"/>
      <c r="AR327" s="83"/>
      <c r="AS327" s="83"/>
      <c r="AT327" s="83"/>
      <c r="AU327" s="83"/>
      <c r="AV327" s="83"/>
      <c r="AW327" s="108"/>
      <c r="AX327" s="91"/>
    </row>
    <row r="328" spans="2:50" ht="14">
      <c r="B328" s="112"/>
      <c r="C328" s="113"/>
      <c r="D328" s="109"/>
      <c r="E328" s="114"/>
      <c r="F328" s="114"/>
      <c r="G328" s="109"/>
      <c r="H328" s="109"/>
      <c r="I328" s="109"/>
      <c r="J328" s="107"/>
      <c r="K328" s="109"/>
      <c r="L328" s="115"/>
      <c r="M328" s="115"/>
      <c r="N328" s="115"/>
      <c r="O328" s="109"/>
      <c r="P328" s="116"/>
      <c r="Q328" s="116"/>
      <c r="R328" s="116"/>
      <c r="S328" s="116"/>
      <c r="T328" s="116"/>
      <c r="U328" s="116"/>
      <c r="V328" s="116"/>
      <c r="W328" s="116"/>
      <c r="X328" s="110"/>
      <c r="Y328" s="110"/>
      <c r="Z328" s="110"/>
      <c r="AA328" s="110"/>
      <c r="AB328" s="110"/>
      <c r="AC328" s="110"/>
      <c r="AD328" s="111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83"/>
      <c r="AQ328" s="83"/>
      <c r="AR328" s="83"/>
      <c r="AS328" s="83"/>
      <c r="AT328" s="83"/>
      <c r="AU328" s="83"/>
      <c r="AV328" s="83"/>
      <c r="AW328" s="108"/>
      <c r="AX328" s="91"/>
    </row>
    <row r="329" spans="2:50" ht="14">
      <c r="B329" s="112"/>
      <c r="C329" s="113"/>
      <c r="D329" s="109"/>
      <c r="E329" s="114"/>
      <c r="F329" s="114"/>
      <c r="G329" s="109"/>
      <c r="H329" s="109"/>
      <c r="I329" s="109"/>
      <c r="J329" s="107"/>
      <c r="K329" s="109"/>
      <c r="L329" s="115"/>
      <c r="M329" s="115"/>
      <c r="N329" s="115"/>
      <c r="O329" s="109"/>
      <c r="P329" s="116"/>
      <c r="Q329" s="116"/>
      <c r="R329" s="116"/>
      <c r="S329" s="116"/>
      <c r="T329" s="116"/>
      <c r="U329" s="116"/>
      <c r="V329" s="116"/>
      <c r="W329" s="116"/>
      <c r="X329" s="110"/>
      <c r="Y329" s="110"/>
      <c r="Z329" s="110"/>
      <c r="AA329" s="110"/>
      <c r="AB329" s="110"/>
      <c r="AC329" s="110"/>
      <c r="AD329" s="111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83"/>
      <c r="AQ329" s="83"/>
      <c r="AR329" s="83"/>
      <c r="AS329" s="83"/>
      <c r="AT329" s="83"/>
      <c r="AU329" s="83"/>
      <c r="AV329" s="83"/>
      <c r="AW329" s="108"/>
      <c r="AX329" s="91"/>
    </row>
    <row r="330" spans="2:50" ht="14">
      <c r="B330" s="112"/>
      <c r="C330" s="113"/>
      <c r="D330" s="109"/>
      <c r="E330" s="114"/>
      <c r="F330" s="114"/>
      <c r="G330" s="109"/>
      <c r="H330" s="109"/>
      <c r="I330" s="109"/>
      <c r="J330" s="107"/>
      <c r="K330" s="109"/>
      <c r="L330" s="115"/>
      <c r="M330" s="115"/>
      <c r="N330" s="115"/>
      <c r="O330" s="109"/>
      <c r="P330" s="116"/>
      <c r="Q330" s="116"/>
      <c r="R330" s="116"/>
      <c r="S330" s="116"/>
      <c r="T330" s="116"/>
      <c r="U330" s="116"/>
      <c r="V330" s="116"/>
      <c r="W330" s="116"/>
      <c r="X330" s="110"/>
      <c r="Y330" s="110"/>
      <c r="Z330" s="110"/>
      <c r="AA330" s="110"/>
      <c r="AB330" s="110"/>
      <c r="AC330" s="110"/>
      <c r="AD330" s="111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83"/>
      <c r="AQ330" s="83"/>
      <c r="AR330" s="83"/>
      <c r="AS330" s="83"/>
      <c r="AT330" s="83"/>
      <c r="AU330" s="83"/>
      <c r="AV330" s="83"/>
      <c r="AW330" s="108"/>
      <c r="AX330" s="91"/>
    </row>
    <row r="331" spans="2:50" ht="14">
      <c r="B331" s="112"/>
      <c r="C331" s="113"/>
      <c r="D331" s="109"/>
      <c r="E331" s="114"/>
      <c r="F331" s="114"/>
      <c r="G331" s="109"/>
      <c r="H331" s="109"/>
      <c r="I331" s="109"/>
      <c r="J331" s="107"/>
      <c r="K331" s="109"/>
      <c r="L331" s="115"/>
      <c r="M331" s="115"/>
      <c r="N331" s="115"/>
      <c r="O331" s="109"/>
      <c r="P331" s="116"/>
      <c r="Q331" s="116"/>
      <c r="R331" s="116"/>
      <c r="S331" s="116"/>
      <c r="T331" s="116"/>
      <c r="U331" s="116"/>
      <c r="V331" s="116"/>
      <c r="W331" s="116"/>
      <c r="X331" s="110"/>
      <c r="Y331" s="110"/>
      <c r="Z331" s="110"/>
      <c r="AA331" s="110"/>
      <c r="AB331" s="110"/>
      <c r="AC331" s="110"/>
      <c r="AD331" s="111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83"/>
      <c r="AQ331" s="83"/>
      <c r="AR331" s="83"/>
      <c r="AS331" s="83"/>
      <c r="AT331" s="83"/>
      <c r="AU331" s="83"/>
      <c r="AV331" s="83"/>
      <c r="AW331" s="108"/>
      <c r="AX331" s="91"/>
    </row>
    <row r="332" spans="2:50" ht="14">
      <c r="B332" s="112"/>
      <c r="C332" s="113"/>
      <c r="D332" s="109"/>
      <c r="E332" s="114"/>
      <c r="F332" s="114"/>
      <c r="G332" s="109"/>
      <c r="H332" s="109"/>
      <c r="I332" s="109"/>
      <c r="J332" s="107"/>
      <c r="K332" s="109"/>
      <c r="L332" s="115"/>
      <c r="M332" s="115"/>
      <c r="N332" s="115"/>
      <c r="O332" s="109"/>
      <c r="P332" s="116"/>
      <c r="Q332" s="116"/>
      <c r="R332" s="116"/>
      <c r="S332" s="116"/>
      <c r="T332" s="116"/>
      <c r="U332" s="116"/>
      <c r="V332" s="116"/>
      <c r="W332" s="116"/>
      <c r="X332" s="110"/>
      <c r="Y332" s="110"/>
      <c r="Z332" s="110"/>
      <c r="AA332" s="110"/>
      <c r="AB332" s="110"/>
      <c r="AC332" s="110"/>
      <c r="AD332" s="111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83"/>
      <c r="AQ332" s="83"/>
      <c r="AR332" s="83"/>
      <c r="AS332" s="83"/>
      <c r="AT332" s="83"/>
      <c r="AU332" s="83"/>
      <c r="AV332" s="83"/>
      <c r="AW332" s="108"/>
      <c r="AX332" s="91"/>
    </row>
    <row r="333" spans="2:50" ht="14">
      <c r="AX333" s="6"/>
    </row>
    <row r="334" spans="2:50" ht="14">
      <c r="AX334" s="6"/>
    </row>
    <row r="335" spans="2:50" ht="14">
      <c r="AX335" s="6"/>
    </row>
    <row r="336" spans="2:50" ht="14">
      <c r="B336" s="6"/>
      <c r="J336" s="84"/>
      <c r="AX336" s="6"/>
    </row>
    <row r="337" spans="2:50" ht="14">
      <c r="B337"/>
      <c r="AX337" s="6"/>
    </row>
    <row r="338" spans="2:50" ht="14">
      <c r="D338" s="84"/>
      <c r="AX338" s="6"/>
    </row>
    <row r="339" spans="2:50" ht="14">
      <c r="AX339" s="6"/>
    </row>
    <row r="340" spans="2:50" ht="14">
      <c r="AX340" s="6"/>
    </row>
    <row r="341" spans="2:50" ht="14">
      <c r="AX341" s="6"/>
    </row>
    <row r="342" spans="2:50" ht="14">
      <c r="B342" s="94"/>
      <c r="AX342" s="6"/>
    </row>
    <row r="343" spans="2:50" ht="14">
      <c r="AX343" s="6"/>
    </row>
    <row r="344" spans="2:50" ht="14">
      <c r="AX344" s="6"/>
    </row>
    <row r="345" spans="2:50" ht="14">
      <c r="AX345" s="6"/>
    </row>
    <row r="346" spans="2:50" ht="14">
      <c r="AX346" s="6"/>
    </row>
    <row r="347" spans="2:50" ht="14">
      <c r="AX347" s="6"/>
    </row>
    <row r="348" spans="2:50" ht="14">
      <c r="AX348" s="6"/>
    </row>
    <row r="349" spans="2:50" ht="14">
      <c r="AX349" s="6"/>
    </row>
    <row r="350" spans="2:50" ht="14">
      <c r="AX350" s="6"/>
    </row>
    <row r="351" spans="2:50" ht="14">
      <c r="AX351" s="6"/>
    </row>
    <row r="352" spans="2:50" ht="14">
      <c r="AX352" s="6"/>
    </row>
    <row r="353" spans="50:50" ht="14">
      <c r="AX353" s="6"/>
    </row>
    <row r="354" spans="50:50" ht="14">
      <c r="AX354" s="6"/>
    </row>
    <row r="355" spans="50:50" ht="14">
      <c r="AX355" s="6"/>
    </row>
    <row r="356" spans="50:50" ht="14">
      <c r="AX356" s="6"/>
    </row>
    <row r="357" spans="50:50" ht="14">
      <c r="AX357" s="6"/>
    </row>
    <row r="358" spans="50:50" ht="14">
      <c r="AX358" s="6"/>
    </row>
    <row r="359" spans="50:50" ht="14">
      <c r="AX359" s="6"/>
    </row>
    <row r="360" spans="50:50" ht="14">
      <c r="AX360" s="6"/>
    </row>
    <row r="361" spans="50:50" ht="14">
      <c r="AX361" s="6"/>
    </row>
    <row r="362" spans="50:50" ht="14">
      <c r="AX362" s="6"/>
    </row>
    <row r="363" spans="50:50" ht="14">
      <c r="AX363" s="6"/>
    </row>
    <row r="364" spans="50:50" ht="14">
      <c r="AX364" s="6"/>
    </row>
    <row r="365" spans="50:50" ht="14">
      <c r="AX365" s="6"/>
    </row>
    <row r="366" spans="50:50" ht="14">
      <c r="AX366" s="6"/>
    </row>
    <row r="367" spans="50:50" ht="14">
      <c r="AX367" s="6"/>
    </row>
    <row r="368" spans="50:50" ht="14">
      <c r="AX368" s="6"/>
    </row>
    <row r="369" spans="50:50" ht="14">
      <c r="AX369" s="6"/>
    </row>
    <row r="370" spans="50:50" ht="14">
      <c r="AX370" s="6"/>
    </row>
    <row r="371" spans="50:50" ht="14">
      <c r="AX371" s="6"/>
    </row>
    <row r="372" spans="50:50" ht="14">
      <c r="AX372" s="6"/>
    </row>
    <row r="373" spans="50:50" ht="14">
      <c r="AX373" s="6"/>
    </row>
    <row r="374" spans="50:50" ht="14">
      <c r="AX374" s="6"/>
    </row>
    <row r="375" spans="50:50" ht="14">
      <c r="AX375" s="6"/>
    </row>
    <row r="376" spans="50:50" ht="14">
      <c r="AX376" s="6"/>
    </row>
    <row r="377" spans="50:50" ht="14">
      <c r="AX377" s="6"/>
    </row>
    <row r="378" spans="50:50" ht="14">
      <c r="AX378" s="6"/>
    </row>
    <row r="379" spans="50:50" ht="14">
      <c r="AX379" s="6"/>
    </row>
    <row r="380" spans="50:50" ht="14">
      <c r="AX380" s="6"/>
    </row>
    <row r="381" spans="50:50" ht="14">
      <c r="AX381" s="6"/>
    </row>
    <row r="382" spans="50:50" ht="14">
      <c r="AX382" s="6"/>
    </row>
    <row r="383" spans="50:50" ht="14">
      <c r="AX383" s="6"/>
    </row>
    <row r="384" spans="50:50" ht="14">
      <c r="AX384" s="6"/>
    </row>
    <row r="385" spans="50:50" ht="14">
      <c r="AX385" s="6"/>
    </row>
    <row r="386" spans="50:50" ht="14">
      <c r="AX386" s="6"/>
    </row>
    <row r="387" spans="50:50" ht="14">
      <c r="AX387" s="6"/>
    </row>
    <row r="388" spans="50:50" ht="14">
      <c r="AX388" s="6"/>
    </row>
    <row r="389" spans="50:50" ht="14">
      <c r="AX389" s="6"/>
    </row>
    <row r="390" spans="50:50" ht="14">
      <c r="AX390" s="6"/>
    </row>
    <row r="391" spans="50:50" ht="14">
      <c r="AX391" s="6"/>
    </row>
    <row r="392" spans="50:50" ht="14">
      <c r="AX392" s="6"/>
    </row>
    <row r="393" spans="50:50" ht="14">
      <c r="AX393" s="6"/>
    </row>
    <row r="394" spans="50:50" ht="14">
      <c r="AX394" s="6"/>
    </row>
    <row r="395" spans="50:50" ht="14">
      <c r="AX395" s="6"/>
    </row>
    <row r="396" spans="50:50" ht="14">
      <c r="AX396" s="6"/>
    </row>
    <row r="397" spans="50:50" ht="14">
      <c r="AX397" s="6"/>
    </row>
    <row r="398" spans="50:50" ht="14">
      <c r="AX398" s="6"/>
    </row>
    <row r="399" spans="50:50" ht="14">
      <c r="AX399" s="6"/>
    </row>
    <row r="400" spans="50:50" ht="14">
      <c r="AX400" s="6"/>
    </row>
    <row r="401" spans="50:50" ht="14">
      <c r="AX401" s="6"/>
    </row>
    <row r="402" spans="50:50" ht="14">
      <c r="AX402" s="6"/>
    </row>
    <row r="403" spans="50:50" ht="14">
      <c r="AX403" s="6"/>
    </row>
    <row r="404" spans="50:50" ht="14">
      <c r="AX404" s="6"/>
    </row>
    <row r="405" spans="50:50" ht="14">
      <c r="AX405" s="6"/>
    </row>
    <row r="406" spans="50:50" ht="14">
      <c r="AX406" s="6"/>
    </row>
    <row r="407" spans="50:50" ht="14">
      <c r="AX407" s="6"/>
    </row>
    <row r="408" spans="50:50" ht="14">
      <c r="AX408" s="6"/>
    </row>
    <row r="409" spans="50:50" ht="14">
      <c r="AX409" s="6"/>
    </row>
    <row r="410" spans="50:50" ht="14">
      <c r="AX410" s="6"/>
    </row>
    <row r="411" spans="50:50" ht="14">
      <c r="AX411" s="6"/>
    </row>
    <row r="412" spans="50:50" ht="14">
      <c r="AX412" s="6"/>
    </row>
    <row r="413" spans="50:50" ht="14">
      <c r="AX413" s="6"/>
    </row>
    <row r="414" spans="50:50" ht="14">
      <c r="AX414" s="6"/>
    </row>
    <row r="415" spans="50:50" ht="14">
      <c r="AX415" s="6"/>
    </row>
    <row r="416" spans="50:50" ht="14">
      <c r="AX416" s="6"/>
    </row>
    <row r="417" spans="50:50" ht="14">
      <c r="AX417" s="6"/>
    </row>
    <row r="418" spans="50:50" ht="14">
      <c r="AX418" s="6"/>
    </row>
    <row r="419" spans="50:50" ht="14">
      <c r="AX419" s="6"/>
    </row>
    <row r="420" spans="50:50" ht="14">
      <c r="AX420" s="6"/>
    </row>
    <row r="421" spans="50:50" ht="14">
      <c r="AX421" s="6"/>
    </row>
    <row r="422" spans="50:50" ht="14">
      <c r="AX422" s="6"/>
    </row>
    <row r="423" spans="50:50" ht="14">
      <c r="AX423" s="6"/>
    </row>
    <row r="424" spans="50:50" ht="14">
      <c r="AX424" s="6"/>
    </row>
    <row r="425" spans="50:50" ht="14">
      <c r="AX425" s="6"/>
    </row>
    <row r="426" spans="50:50" ht="14">
      <c r="AX426" s="6"/>
    </row>
    <row r="427" spans="50:50" ht="14">
      <c r="AX427" s="6"/>
    </row>
    <row r="428" spans="50:50" ht="14">
      <c r="AX428" s="6"/>
    </row>
    <row r="429" spans="50:50" ht="14">
      <c r="AX429" s="6"/>
    </row>
    <row r="430" spans="50:50" ht="14">
      <c r="AX430" s="6"/>
    </row>
    <row r="431" spans="50:50" ht="14">
      <c r="AX431" s="6"/>
    </row>
    <row r="432" spans="50:50" ht="14">
      <c r="AX432" s="6"/>
    </row>
    <row r="433" spans="50:50" ht="14">
      <c r="AX433" s="6"/>
    </row>
    <row r="434" spans="50:50" ht="14">
      <c r="AX434" s="6"/>
    </row>
    <row r="435" spans="50:50" ht="14">
      <c r="AX435" s="6"/>
    </row>
    <row r="436" spans="50:50" ht="14">
      <c r="AX436" s="6"/>
    </row>
    <row r="437" spans="50:50" ht="14">
      <c r="AX437" s="6"/>
    </row>
    <row r="438" spans="50:50" ht="14">
      <c r="AX438" s="6"/>
    </row>
    <row r="439" spans="50:50" ht="14">
      <c r="AX439" s="6"/>
    </row>
    <row r="440" spans="50:50" ht="14">
      <c r="AX440" s="6"/>
    </row>
    <row r="441" spans="50:50" ht="14">
      <c r="AX441" s="6"/>
    </row>
    <row r="442" spans="50:50" ht="14">
      <c r="AX442" s="6"/>
    </row>
    <row r="443" spans="50:50" ht="14">
      <c r="AX443" s="6"/>
    </row>
    <row r="444" spans="50:50" ht="14">
      <c r="AX444" s="6"/>
    </row>
    <row r="445" spans="50:50" ht="14">
      <c r="AX445" s="6"/>
    </row>
    <row r="446" spans="50:50" ht="14">
      <c r="AX446" s="6"/>
    </row>
    <row r="447" spans="50:50" ht="14">
      <c r="AX447" s="6"/>
    </row>
    <row r="448" spans="50:50" ht="14">
      <c r="AX448" s="6"/>
    </row>
    <row r="449" spans="50:50" ht="14">
      <c r="AX449" s="6"/>
    </row>
    <row r="450" spans="50:50" ht="14">
      <c r="AX450" s="6"/>
    </row>
    <row r="451" spans="50:50" ht="14">
      <c r="AX451" s="6"/>
    </row>
    <row r="452" spans="50:50" ht="14">
      <c r="AX452" s="6"/>
    </row>
    <row r="453" spans="50:50" ht="14">
      <c r="AX453" s="6"/>
    </row>
    <row r="454" spans="50:50" ht="14">
      <c r="AX454" s="6"/>
    </row>
    <row r="455" spans="50:50" ht="14">
      <c r="AX455" s="6"/>
    </row>
    <row r="456" spans="50:50" ht="14">
      <c r="AX456" s="6"/>
    </row>
    <row r="457" spans="50:50" ht="14">
      <c r="AX457" s="6"/>
    </row>
    <row r="458" spans="50:50" ht="14">
      <c r="AX458" s="6"/>
    </row>
    <row r="459" spans="50:50" ht="14">
      <c r="AX459" s="6"/>
    </row>
    <row r="460" spans="50:50" ht="14">
      <c r="AX460" s="6"/>
    </row>
    <row r="461" spans="50:50" ht="14">
      <c r="AX461" s="6"/>
    </row>
    <row r="462" spans="50:50" ht="14">
      <c r="AX462" s="6"/>
    </row>
    <row r="463" spans="50:50" ht="14">
      <c r="AX463" s="6"/>
    </row>
    <row r="464" spans="50:50" ht="14">
      <c r="AX464" s="6"/>
    </row>
    <row r="465" spans="50:50" ht="14">
      <c r="AX465" s="6"/>
    </row>
    <row r="466" spans="50:50" ht="14">
      <c r="AX466" s="6"/>
    </row>
    <row r="467" spans="50:50" ht="14">
      <c r="AX467" s="6"/>
    </row>
    <row r="468" spans="50:50" ht="14">
      <c r="AX468" s="6"/>
    </row>
    <row r="469" spans="50:50" ht="14">
      <c r="AX469" s="6"/>
    </row>
    <row r="470" spans="50:50" ht="14">
      <c r="AX470" s="6"/>
    </row>
    <row r="471" spans="50:50" ht="14">
      <c r="AX471" s="6"/>
    </row>
    <row r="472" spans="50:50" ht="14">
      <c r="AX472" s="6"/>
    </row>
    <row r="473" spans="50:50" ht="14">
      <c r="AX473" s="6"/>
    </row>
    <row r="474" spans="50:50" ht="14">
      <c r="AX474" s="6"/>
    </row>
    <row r="475" spans="50:50" ht="14">
      <c r="AX475" s="6"/>
    </row>
    <row r="476" spans="50:50" ht="14">
      <c r="AX476" s="6"/>
    </row>
    <row r="477" spans="50:50" ht="14">
      <c r="AX477" s="6"/>
    </row>
    <row r="478" spans="50:50" ht="14">
      <c r="AX478" s="6"/>
    </row>
    <row r="479" spans="50:50" ht="14">
      <c r="AX479" s="6"/>
    </row>
    <row r="480" spans="50:50" ht="14">
      <c r="AX480" s="6"/>
    </row>
    <row r="481" spans="50:50" ht="14">
      <c r="AX481" s="6"/>
    </row>
    <row r="482" spans="50:50" ht="14">
      <c r="AX482" s="6"/>
    </row>
    <row r="483" spans="50:50" ht="14">
      <c r="AX483" s="6"/>
    </row>
    <row r="484" spans="50:50" ht="14">
      <c r="AX484" s="6"/>
    </row>
    <row r="485" spans="50:50" ht="14">
      <c r="AX485" s="6"/>
    </row>
    <row r="486" spans="50:50" ht="14">
      <c r="AX486" s="6"/>
    </row>
    <row r="487" spans="50:50" ht="14">
      <c r="AX487" s="6"/>
    </row>
    <row r="488" spans="50:50" ht="14">
      <c r="AX488" s="6"/>
    </row>
    <row r="489" spans="50:50" ht="14">
      <c r="AX489" s="6"/>
    </row>
    <row r="490" spans="50:50" ht="14">
      <c r="AX490" s="6"/>
    </row>
    <row r="491" spans="50:50" ht="14">
      <c r="AX491" s="6"/>
    </row>
    <row r="492" spans="50:50" ht="14">
      <c r="AX492" s="6"/>
    </row>
    <row r="493" spans="50:50" ht="14">
      <c r="AX493" s="6"/>
    </row>
    <row r="494" spans="50:50" ht="14">
      <c r="AX494" s="6"/>
    </row>
    <row r="495" spans="50:50" ht="14">
      <c r="AX495" s="6"/>
    </row>
    <row r="496" spans="50:50" ht="14">
      <c r="AX496" s="6"/>
    </row>
    <row r="497" spans="50:50" ht="14">
      <c r="AX497" s="6"/>
    </row>
    <row r="498" spans="50:50" ht="14">
      <c r="AX498" s="6"/>
    </row>
    <row r="499" spans="50:50" ht="14">
      <c r="AX499" s="6"/>
    </row>
    <row r="500" spans="50:50" ht="14">
      <c r="AX500" s="6"/>
    </row>
    <row r="501" spans="50:50" ht="14">
      <c r="AX501" s="6"/>
    </row>
    <row r="502" spans="50:50" ht="14">
      <c r="AX502" s="6"/>
    </row>
    <row r="503" spans="50:50" ht="14">
      <c r="AX503" s="6"/>
    </row>
    <row r="504" spans="50:50" ht="14">
      <c r="AX504" s="6"/>
    </row>
    <row r="505" spans="50:50" ht="14">
      <c r="AX505" s="6"/>
    </row>
    <row r="506" spans="50:50" ht="14">
      <c r="AX506" s="6"/>
    </row>
    <row r="507" spans="50:50" ht="14">
      <c r="AX507" s="6"/>
    </row>
    <row r="508" spans="50:50" ht="14">
      <c r="AX508" s="6"/>
    </row>
    <row r="509" spans="50:50" ht="14">
      <c r="AX509" s="6"/>
    </row>
    <row r="510" spans="50:50" ht="14">
      <c r="AX510" s="6"/>
    </row>
    <row r="511" spans="50:50" ht="14">
      <c r="AX511" s="6"/>
    </row>
    <row r="512" spans="50:50" ht="14">
      <c r="AX512" s="6"/>
    </row>
  </sheetData>
  <phoneticPr fontId="8" type="noConversion"/>
  <conditionalFormatting sqref="N12:V13 N316:N332 P316:W332 N3:W11 L3:L332 J3:J332 B3:H332 N14:W315">
    <cfRule type="expression" dxfId="8993" priority="84">
      <formula>$AB3=1</formula>
    </cfRule>
  </conditionalFormatting>
  <conditionalFormatting sqref="N3:N332 L3:L332">
    <cfRule type="cellIs" dxfId="8992" priority="7" operator="greaterThan">
      <formula>2</formula>
    </cfRule>
    <cfRule type="cellIs" dxfId="8991" priority="8" operator="lessThan">
      <formula>0</formula>
    </cfRule>
  </conditionalFormatting>
  <conditionalFormatting sqref="W12">
    <cfRule type="expression" dxfId="8990" priority="269">
      <formula>$AB13=1</formula>
    </cfRule>
  </conditionalFormatting>
  <dataValidations count="7">
    <dataValidation type="list" allowBlank="1" showInputMessage="1" showErrorMessage="1" sqref="E76:E332 E3:E71" xr:uid="{00000000-0002-0000-0200-000001000000}">
      <formula1>Hora_de_inicio</formula1>
    </dataValidation>
    <dataValidation type="list" allowBlank="1" showInputMessage="1" showErrorMessage="1" sqref="E72:E75 F3:F332" xr:uid="{00000000-0002-0000-0200-000002000000}">
      <formula1>Hora_de_fin</formula1>
    </dataValidation>
    <dataValidation type="list" allowBlank="1" showInputMessage="1" showErrorMessage="1" sqref="C3:C332" xr:uid="{00000000-0002-0000-0200-000000000000}">
      <formula1>Materias</formula1>
    </dataValidation>
    <dataValidation type="list" allowBlank="1" showInputMessage="1" showErrorMessage="1" sqref="B3:B332" xr:uid="{00000000-0002-0000-0200-000003000000}">
      <formula1>Nombre</formula1>
    </dataValidation>
    <dataValidation type="list" allowBlank="1" showInputMessage="1" showErrorMessage="1" sqref="G3:G332" xr:uid="{DDF96C4B-EC40-4C67-9088-68D9CAFEAB1C}">
      <formula1>"si, no"</formula1>
    </dataValidation>
    <dataValidation type="list" allowBlank="1" showInputMessage="1" showErrorMessage="1" sqref="P3:V332" xr:uid="{00000000-0002-0000-0200-000005000000}">
      <formula1>"x"</formula1>
    </dataValidation>
    <dataValidation type="list" allowBlank="1" showInputMessage="1" showErrorMessage="1" sqref="H3:H332" xr:uid="{D74DA713-C8A4-402E-86ED-EDBCA37C25D4}">
      <formula1>Aulas</formula1>
    </dataValidation>
  </dataValidations>
  <hyperlinks>
    <hyperlink ref="AW8" r:id="rId1" xr:uid="{B7F8267E-B4D4-4362-B298-B5A3E2AAD327}"/>
  </hyperlinks>
  <pageMargins left="0.25" right="0.25" top="0.75" bottom="0.75" header="0.3" footer="0.3"/>
  <pageSetup scale="48" fitToHeight="0" orientation="landscape"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X133"/>
  <sheetViews>
    <sheetView zoomScale="84" zoomScaleNormal="84" workbookViewId="0">
      <selection activeCell="I147" sqref="I147"/>
    </sheetView>
  </sheetViews>
  <sheetFormatPr baseColWidth="10" defaultColWidth="10.6640625" defaultRowHeight="12" customHeight="1"/>
  <cols>
    <col min="1" max="1" width="4.5" style="227" customWidth="1"/>
    <col min="2" max="2" width="6.6640625" style="6" customWidth="1"/>
    <col min="3" max="3" width="8.1640625" style="4" customWidth="1"/>
    <col min="4" max="4" width="5.6640625" style="4" customWidth="1"/>
    <col min="5" max="5" width="10.6640625" style="6" customWidth="1"/>
    <col min="6" max="6" width="36.1640625" style="6" customWidth="1"/>
    <col min="7" max="7" width="17.5" style="33" customWidth="1"/>
    <col min="8" max="10" width="13.1640625" style="33" customWidth="1"/>
    <col min="11" max="11" width="6.1640625" style="33" customWidth="1"/>
    <col min="12" max="12" width="7.6640625" style="4" customWidth="1"/>
    <col min="13" max="13" width="12.83203125" style="6" customWidth="1"/>
    <col min="14" max="14" width="34.1640625" style="6" customWidth="1"/>
    <col min="15" max="15" width="20.83203125" style="4" customWidth="1"/>
    <col min="16" max="17" width="13.6640625" style="4" customWidth="1"/>
    <col min="18" max="18" width="9.33203125" style="4" customWidth="1"/>
    <col min="19" max="19" width="13.6640625" style="4" customWidth="1"/>
    <col min="20" max="20" width="12.33203125" style="4" customWidth="1"/>
    <col min="21" max="21" width="9" style="2" customWidth="1"/>
    <col min="22" max="22" width="7.5" style="2" customWidth="1"/>
    <col min="23" max="27" width="6.6640625" style="4" customWidth="1"/>
    <col min="28" max="28" width="8.5" style="6" customWidth="1"/>
    <col min="29" max="29" width="7" style="6" customWidth="1"/>
    <col min="30" max="30" width="7" style="4" customWidth="1"/>
    <col min="31" max="31" width="6.6640625" style="6" customWidth="1"/>
    <col min="32" max="32" width="6.6640625" style="4" customWidth="1"/>
    <col min="33" max="33" width="6.6640625" style="6" customWidth="1"/>
    <col min="34" max="34" width="10.6640625" style="6" bestFit="1" customWidth="1"/>
    <col min="35" max="37" width="10.6640625" style="6"/>
    <col min="38" max="38" width="8.6640625" style="6" customWidth="1"/>
    <col min="39" max="42" width="10.6640625" style="6"/>
    <col min="43" max="43" width="18.5" style="6" customWidth="1"/>
    <col min="44" max="45" width="10.6640625" style="6"/>
    <col min="46" max="47" width="5.83203125" style="6" customWidth="1"/>
    <col min="48" max="16384" width="10.6640625" style="6"/>
  </cols>
  <sheetData>
    <row r="1" spans="1:50" s="1" customFormat="1" ht="12" customHeight="1">
      <c r="A1" s="226"/>
      <c r="C1" s="2"/>
      <c r="D1" s="2"/>
      <c r="K1" s="34"/>
      <c r="L1" s="2"/>
      <c r="O1" s="2"/>
      <c r="P1" s="2"/>
      <c r="Q1" s="2"/>
      <c r="R1" s="2"/>
      <c r="S1" s="2"/>
      <c r="T1" s="2"/>
      <c r="AD1" s="2"/>
      <c r="AF1" s="2"/>
      <c r="AI1" s="3"/>
      <c r="AJ1" s="3"/>
      <c r="AK1" s="3"/>
      <c r="AL1" s="1" t="s">
        <v>444</v>
      </c>
      <c r="AM1" s="1" t="s">
        <v>445</v>
      </c>
      <c r="AO1" s="1" t="s">
        <v>446</v>
      </c>
      <c r="AQ1" s="1" t="s">
        <v>447</v>
      </c>
      <c r="AR1" s="1" t="s">
        <v>25</v>
      </c>
      <c r="AS1" s="1" t="s">
        <v>448</v>
      </c>
      <c r="AT1" s="1" t="s">
        <v>449</v>
      </c>
      <c r="AU1" s="1" t="s">
        <v>450</v>
      </c>
      <c r="AW1" s="69" t="s">
        <v>119</v>
      </c>
      <c r="AX1" s="21">
        <v>8</v>
      </c>
    </row>
    <row r="2" spans="1:50" ht="12" customHeight="1">
      <c r="B2" s="3" t="s">
        <v>451</v>
      </c>
      <c r="C2" s="7" t="s">
        <v>444</v>
      </c>
      <c r="D2" s="7" t="s">
        <v>44</v>
      </c>
      <c r="E2" s="3" t="s">
        <v>452</v>
      </c>
      <c r="F2" s="3" t="s">
        <v>453</v>
      </c>
      <c r="G2" s="3" t="s">
        <v>454</v>
      </c>
      <c r="H2" s="3" t="s">
        <v>455</v>
      </c>
      <c r="I2" s="3" t="s">
        <v>456</v>
      </c>
      <c r="J2" s="3" t="s">
        <v>457</v>
      </c>
      <c r="K2" s="55" t="s">
        <v>458</v>
      </c>
      <c r="L2" s="3" t="s">
        <v>459</v>
      </c>
      <c r="M2" s="55" t="s">
        <v>460</v>
      </c>
      <c r="N2" s="3" t="s">
        <v>461</v>
      </c>
      <c r="O2" s="3" t="s">
        <v>462</v>
      </c>
      <c r="P2" s="3" t="s">
        <v>463</v>
      </c>
      <c r="Q2" s="3" t="s">
        <v>464</v>
      </c>
      <c r="R2" s="3" t="s">
        <v>465</v>
      </c>
      <c r="S2" s="3" t="s">
        <v>466</v>
      </c>
      <c r="T2" s="3" t="s">
        <v>467</v>
      </c>
      <c r="U2" s="3" t="s">
        <v>468</v>
      </c>
      <c r="V2" s="3" t="s">
        <v>469</v>
      </c>
      <c r="W2" s="3" t="s">
        <v>470</v>
      </c>
      <c r="X2" s="3" t="s">
        <v>471</v>
      </c>
      <c r="Y2" s="3" t="s">
        <v>472</v>
      </c>
      <c r="Z2" s="3" t="s">
        <v>473</v>
      </c>
      <c r="AA2" s="3" t="s">
        <v>474</v>
      </c>
      <c r="AB2" s="3" t="s">
        <v>475</v>
      </c>
      <c r="AC2" s="3" t="s">
        <v>476</v>
      </c>
      <c r="AD2" s="3" t="s">
        <v>477</v>
      </c>
      <c r="AE2" s="3" t="s">
        <v>478</v>
      </c>
      <c r="AF2" s="3" t="s">
        <v>226</v>
      </c>
      <c r="AG2" s="3" t="s">
        <v>479</v>
      </c>
      <c r="AH2" s="3" t="s">
        <v>480</v>
      </c>
      <c r="AI2" s="3" t="s">
        <v>481</v>
      </c>
      <c r="AJ2" s="3" t="s">
        <v>482</v>
      </c>
      <c r="AK2" s="3"/>
      <c r="AL2" s="6" t="s">
        <v>483</v>
      </c>
      <c r="AM2" s="6" t="s">
        <v>484</v>
      </c>
      <c r="AO2" s="6" t="s">
        <v>485</v>
      </c>
      <c r="AQ2" s="9" t="s">
        <v>70</v>
      </c>
      <c r="AR2" s="10">
        <v>20</v>
      </c>
      <c r="AS2" s="10"/>
      <c r="AT2" s="10">
        <v>8</v>
      </c>
      <c r="AU2" s="10">
        <v>10</v>
      </c>
      <c r="AV2" s="10"/>
      <c r="AW2" s="9" t="s">
        <v>121</v>
      </c>
      <c r="AX2" s="22">
        <v>8</v>
      </c>
    </row>
    <row r="3" spans="1:50" ht="12" hidden="1" customHeight="1">
      <c r="C3" s="4" t="s">
        <v>484</v>
      </c>
      <c r="D3" s="4" t="s">
        <v>485</v>
      </c>
      <c r="E3" s="56">
        <v>218083</v>
      </c>
      <c r="F3" s="133" t="s">
        <v>63</v>
      </c>
      <c r="G3" s="33" t="s">
        <v>486</v>
      </c>
      <c r="H3" s="33" t="s">
        <v>487</v>
      </c>
      <c r="I3" s="33" t="s">
        <v>487</v>
      </c>
      <c r="J3" s="58">
        <v>36742</v>
      </c>
      <c r="M3" s="53">
        <v>449200666</v>
      </c>
      <c r="N3" s="138" t="s">
        <v>488</v>
      </c>
      <c r="O3" s="53" t="s">
        <v>489</v>
      </c>
      <c r="P3" s="4">
        <v>923</v>
      </c>
      <c r="Q3" s="6" t="s">
        <v>490</v>
      </c>
      <c r="R3" s="6" t="s">
        <v>491</v>
      </c>
      <c r="S3" s="6" t="s">
        <v>491</v>
      </c>
      <c r="T3" s="6">
        <v>20120</v>
      </c>
      <c r="U3" s="4"/>
      <c r="V3" s="4" t="str">
        <f>IF((_xlfn.XLOOKUP(Profesores[[#This Row],[Nombre]],base_de_datos[Profesor],base_de_datos[Academia],1))=Profesores[[#Headers],[MEC]],"x","")</f>
        <v/>
      </c>
      <c r="W3" s="4" t="str">
        <f>IF((_xlfn.XLOOKUP(Profesores[[#This Row],[Nombre]],base_de_datos[Profesor],base_de_datos[Academia],1))=Profesores[[#Headers],[COM]],"x","")</f>
        <v/>
      </c>
      <c r="Y3" s="4" t="str">
        <f>IF((_xlfn.XLOOKUP(Profesores[[#This Row],[Nombre]],base_de_datos[Profesor],base_de_datos[Academia],1))=Profesores[[#Headers],[DOP]],"x","")</f>
        <v/>
      </c>
      <c r="Z3" s="4" t="str">
        <f>IF((_xlfn.XLOOKUP(Profesores[[#This Row],[Nombre]],base_de_datos[Profesor],base_de_datos[Academia],1))=Profesores[[#Headers],[ETF]],"x","")</f>
        <v/>
      </c>
      <c r="AA3" s="4" t="str">
        <f>IF((_xlfn.XLOOKUP(Profesores[[#This Row],[Nombre]],base_de_datos[Profesor],base_de_datos[Academia],1))=Profesores[[#Headers],[MAT]],"x","")</f>
        <v/>
      </c>
      <c r="AB3" s="4" t="str">
        <f>IF((_xlfn.XLOOKUP(Profesores[[#This Row],[Nombre]],base_de_datos[Profesor],base_de_datos[Academia],1))=Profesores[[#Headers],[EMP]],"x","")</f>
        <v/>
      </c>
      <c r="AC3" s="6" t="str">
        <f>IF((_xlfn.XLOOKUP(Profesores[[#This Row],[Nombre]],base_de_datos[Profesor],base_de_datos[Academia],1))=Profesores[[#Headers],[AIC]],"x","")</f>
        <v/>
      </c>
      <c r="AD3" s="4" t="str">
        <f>IF((_xlfn.XLOOKUP(Profesores[[#This Row],[Nombre]],base_de_datos[Profesor],base_de_datos[Academia],1))=Profesores[[#Headers],[ESC]],"x","")</f>
        <v>x</v>
      </c>
      <c r="AE3" s="6" t="str">
        <f>IF((_xlfn.XLOOKUP(Profesores[[#This Row],[Nombre]],base_de_datos[Profesor],base_de_datos[Academia],1))=Profesores[[#Headers],[HUM]],"x","")</f>
        <v/>
      </c>
      <c r="AF3" s="4" t="str">
        <f>IF((_xlfn.XLOOKUP(Profesores[[#This Row],[Nombre]],base_de_datos[Profesor],base_de_datos[Academia],1))=Profesores[[#Headers],[IID]],"x","")</f>
        <v/>
      </c>
      <c r="AG3" s="6" t="str">
        <f>IF((_xlfn.XLOOKUP(Profesores[[#This Row],[Nombre]],base_de_datos[Profesor],base_de_datos[Academia],1))=Profesores[[#Headers],[BIO]],"x","")</f>
        <v/>
      </c>
      <c r="AJ3" s="6">
        <f>TRUNC(IFERROR(Profesores[[#This Row],[Ex Inglés]]*677/100,0),0)</f>
        <v>0</v>
      </c>
      <c r="AL3" s="6" t="s">
        <v>492</v>
      </c>
      <c r="AM3" s="6" t="s">
        <v>493</v>
      </c>
      <c r="AO3" s="6" t="s">
        <v>494</v>
      </c>
      <c r="AQ3" s="9" t="s">
        <v>119</v>
      </c>
      <c r="AR3" s="10">
        <v>20</v>
      </c>
      <c r="AS3" s="10"/>
      <c r="AT3" s="10">
        <v>7</v>
      </c>
      <c r="AU3" s="10">
        <v>8</v>
      </c>
      <c r="AV3" s="10"/>
      <c r="AW3" s="69" t="s">
        <v>260</v>
      </c>
      <c r="AX3" s="21">
        <v>8</v>
      </c>
    </row>
    <row r="4" spans="1:50" ht="12" hidden="1" customHeight="1">
      <c r="B4" s="4" t="s">
        <v>475</v>
      </c>
      <c r="E4" s="56"/>
      <c r="F4" s="6" t="s">
        <v>495</v>
      </c>
      <c r="J4" s="4"/>
      <c r="M4" s="53"/>
      <c r="N4" s="53"/>
      <c r="O4" s="128"/>
      <c r="T4" s="6"/>
      <c r="U4" s="4">
        <v>0</v>
      </c>
      <c r="V4" s="4" t="str">
        <f>IF((_xlfn.XLOOKUP(Profesores[[#This Row],[Nombre]],base_de_datos[Profesor],base_de_datos[Academia],1))=Profesores[[#Headers],[MEC]],"x","")</f>
        <v/>
      </c>
      <c r="W4" s="4" t="str">
        <f>IF((_xlfn.XLOOKUP(Profesores[[#This Row],[Nombre]],base_de_datos[Profesor],base_de_datos[Academia],1))=Profesores[[#Headers],[COM]],"x","")</f>
        <v/>
      </c>
      <c r="Y4" s="4" t="str">
        <f>IF((_xlfn.XLOOKUP(Profesores[[#This Row],[Nombre]],base_de_datos[Profesor],base_de_datos[Academia],1))=Profesores[[#Headers],[DOP]],"x","")</f>
        <v/>
      </c>
      <c r="Z4" s="4" t="str">
        <f>IF((_xlfn.XLOOKUP(Profesores[[#This Row],[Nombre]],base_de_datos[Profesor],base_de_datos[Academia],1))=Profesores[[#Headers],[ETF]],"x","")</f>
        <v/>
      </c>
      <c r="AA4" s="4" t="str">
        <f>IF((_xlfn.XLOOKUP(Profesores[[#This Row],[Nombre]],base_de_datos[Profesor],base_de_datos[Academia],1))=Profesores[[#Headers],[MAT]],"x","")</f>
        <v/>
      </c>
      <c r="AB4" s="4" t="str">
        <f>IF((_xlfn.XLOOKUP(Profesores[[#This Row],[Nombre]],base_de_datos[Profesor],base_de_datos[Academia],1))=Profesores[[#Headers],[EMP]],"x","")</f>
        <v/>
      </c>
      <c r="AC4" s="6" t="str">
        <f>IF((_xlfn.XLOOKUP(Profesores[[#This Row],[Nombre]],base_de_datos[Profesor],base_de_datos[Academia],1))=Profesores[[#Headers],[AIC]],"x","")</f>
        <v/>
      </c>
      <c r="AD4" s="4" t="str">
        <f>IF((_xlfn.XLOOKUP(Profesores[[#This Row],[Nombre]],base_de_datos[Profesor],base_de_datos[Academia],1))=Profesores[[#Headers],[ESC]],"x","")</f>
        <v/>
      </c>
      <c r="AE4" s="6" t="str">
        <f>IF((_xlfn.XLOOKUP(Profesores[[#This Row],[Nombre]],base_de_datos[Profesor],base_de_datos[Academia],1))=Profesores[[#Headers],[HUM]],"x","")</f>
        <v/>
      </c>
      <c r="AF4" s="4" t="str">
        <f>IF((_xlfn.XLOOKUP(Profesores[[#This Row],[Nombre]],base_de_datos[Profesor],base_de_datos[Academia],1))=Profesores[[#Headers],[IID]],"x","")</f>
        <v/>
      </c>
      <c r="AG4" s="6" t="str">
        <f>IF((_xlfn.XLOOKUP(Profesores[[#This Row],[Nombre]],base_de_datos[Profesor],base_de_datos[Academia],1))=Profesores[[#Headers],[BIO]],"x","")</f>
        <v/>
      </c>
      <c r="AJ4" s="6">
        <f>TRUNC(IFERROR(Profesores[[#This Row],[Ex Inglés]]*677/100,0),0)</f>
        <v>0</v>
      </c>
      <c r="AL4" s="6" t="s">
        <v>496</v>
      </c>
      <c r="AM4" s="6" t="s">
        <v>497</v>
      </c>
      <c r="AO4" s="6" t="s">
        <v>498</v>
      </c>
      <c r="AQ4" s="9" t="s">
        <v>121</v>
      </c>
      <c r="AR4" s="10">
        <v>20</v>
      </c>
      <c r="AS4" s="10"/>
      <c r="AT4" s="10">
        <v>8</v>
      </c>
      <c r="AU4" s="10">
        <v>10</v>
      </c>
      <c r="AV4" s="10"/>
      <c r="AW4" s="9" t="s">
        <v>193</v>
      </c>
      <c r="AX4" s="22">
        <v>8</v>
      </c>
    </row>
    <row r="5" spans="1:50" s="11" customFormat="1" ht="12" hidden="1" customHeight="1">
      <c r="A5" s="227"/>
      <c r="B5" s="6"/>
      <c r="C5" s="4" t="s">
        <v>499</v>
      </c>
      <c r="D5" s="4" t="s">
        <v>498</v>
      </c>
      <c r="E5" s="86">
        <v>255184</v>
      </c>
      <c r="F5" s="133" t="s">
        <v>71</v>
      </c>
      <c r="G5" s="33" t="s">
        <v>500</v>
      </c>
      <c r="H5" s="33" t="s">
        <v>501</v>
      </c>
      <c r="I5" s="33" t="s">
        <v>502</v>
      </c>
      <c r="J5" s="58">
        <v>31544</v>
      </c>
      <c r="K5" s="33" t="s">
        <v>503</v>
      </c>
      <c r="L5" s="4" t="s">
        <v>504</v>
      </c>
      <c r="M5" s="53">
        <v>2223568433</v>
      </c>
      <c r="N5" s="137" t="s">
        <v>505</v>
      </c>
      <c r="O5" s="128" t="s">
        <v>506</v>
      </c>
      <c r="P5" s="4">
        <v>4</v>
      </c>
      <c r="Q5" s="4" t="s">
        <v>507</v>
      </c>
      <c r="R5" s="4" t="s">
        <v>508</v>
      </c>
      <c r="S5" s="4" t="s">
        <v>508</v>
      </c>
      <c r="T5" s="6">
        <v>36254</v>
      </c>
      <c r="U5" s="4"/>
      <c r="V5" s="4" t="str">
        <f>IF((_xlfn.XLOOKUP(Profesores[[#This Row],[Nombre]],base_de_datos[Profesor],base_de_datos[Academia],1))=Profesores[[#Headers],[MEC]],"x","")</f>
        <v/>
      </c>
      <c r="W5" s="4" t="str">
        <f>IF((_xlfn.XLOOKUP(Profesores[[#This Row],[Nombre]],base_de_datos[Profesor],base_de_datos[Academia],1))=Profesores[[#Headers],[COM]],"x","")</f>
        <v>x</v>
      </c>
      <c r="X5" s="4"/>
      <c r="Y5" s="4" t="str">
        <f>IF((_xlfn.XLOOKUP(Profesores[[#This Row],[Nombre]],base_de_datos[Profesor],base_de_datos[Academia],1))=Profesores[[#Headers],[DOP]],"x","")</f>
        <v/>
      </c>
      <c r="Z5" s="4" t="str">
        <f>IF((_xlfn.XLOOKUP(Profesores[[#This Row],[Nombre]],base_de_datos[Profesor],base_de_datos[Academia],1))=Profesores[[#Headers],[ETF]],"x","")</f>
        <v/>
      </c>
      <c r="AA5" s="4" t="str">
        <f>IF((_xlfn.XLOOKUP(Profesores[[#This Row],[Nombre]],base_de_datos[Profesor],base_de_datos[Academia],1))=Profesores[[#Headers],[MAT]],"x","")</f>
        <v/>
      </c>
      <c r="AB5" s="4" t="str">
        <f>IF((_xlfn.XLOOKUP(Profesores[[#This Row],[Nombre]],base_de_datos[Profesor],base_de_datos[Academia],1))=Profesores[[#Headers],[EMP]],"x","")</f>
        <v/>
      </c>
      <c r="AC5" s="6" t="str">
        <f>IF((_xlfn.XLOOKUP(Profesores[[#This Row],[Nombre]],base_de_datos[Profesor],base_de_datos[Academia],1))=Profesores[[#Headers],[AIC]],"x","")</f>
        <v/>
      </c>
      <c r="AD5" s="4" t="str">
        <f>IF((_xlfn.XLOOKUP(Profesores[[#This Row],[Nombre]],base_de_datos[Profesor],base_de_datos[Academia],1))=Profesores[[#Headers],[ESC]],"x","")</f>
        <v/>
      </c>
      <c r="AE5" s="6" t="str">
        <f>IF((_xlfn.XLOOKUP(Profesores[[#This Row],[Nombre]],base_de_datos[Profesor],base_de_datos[Academia],1))=Profesores[[#Headers],[HUM]],"x","")</f>
        <v/>
      </c>
      <c r="AF5" s="4" t="str">
        <f>IF((_xlfn.XLOOKUP(Profesores[[#This Row],[Nombre]],base_de_datos[Profesor],base_de_datos[Academia],1))=Profesores[[#Headers],[IID]],"x","")</f>
        <v/>
      </c>
      <c r="AG5" s="6" t="str">
        <f>IF((_xlfn.XLOOKUP(Profesores[[#This Row],[Nombre]],base_de_datos[Profesor],base_de_datos[Academia],1))=Profesores[[#Headers],[BIO]],"x","")</f>
        <v/>
      </c>
      <c r="AH5" s="6"/>
      <c r="AI5" s="6"/>
      <c r="AJ5" s="6">
        <f>TRUNC(IFERROR(Profesores[[#This Row],[Ex Inglés]]*677/100,0),0)</f>
        <v>0</v>
      </c>
      <c r="AK5" s="6"/>
      <c r="AL5" s="11" t="s">
        <v>509</v>
      </c>
      <c r="AM5" s="11" t="s">
        <v>510</v>
      </c>
      <c r="AO5" s="11" t="s">
        <v>511</v>
      </c>
      <c r="AQ5" s="70" t="s">
        <v>316</v>
      </c>
      <c r="AR5" s="68">
        <v>20</v>
      </c>
      <c r="AS5" s="68"/>
      <c r="AT5" s="68">
        <v>8</v>
      </c>
      <c r="AU5" s="10">
        <v>10</v>
      </c>
      <c r="AV5" s="68"/>
      <c r="AW5" s="71" t="s">
        <v>300</v>
      </c>
      <c r="AX5" s="72">
        <v>12</v>
      </c>
    </row>
    <row r="6" spans="1:50" ht="12" hidden="1" customHeight="1">
      <c r="A6" s="228"/>
      <c r="B6" s="6">
        <v>136</v>
      </c>
      <c r="C6" s="4" t="s">
        <v>484</v>
      </c>
      <c r="D6" s="4" t="s">
        <v>498</v>
      </c>
      <c r="E6" s="56">
        <v>177353</v>
      </c>
      <c r="F6" s="133" t="s">
        <v>76</v>
      </c>
      <c r="G6" s="33" t="s">
        <v>512</v>
      </c>
      <c r="H6" s="33" t="s">
        <v>513</v>
      </c>
      <c r="I6" s="33" t="s">
        <v>514</v>
      </c>
      <c r="J6" s="58">
        <v>34782</v>
      </c>
      <c r="K6" s="33" t="s">
        <v>515</v>
      </c>
      <c r="L6" s="4" t="s">
        <v>504</v>
      </c>
      <c r="M6" s="53">
        <v>4492113657</v>
      </c>
      <c r="N6" s="54" t="s">
        <v>516</v>
      </c>
      <c r="O6" s="128" t="s">
        <v>517</v>
      </c>
      <c r="P6" s="4">
        <v>116</v>
      </c>
      <c r="Q6" s="4" t="s">
        <v>518</v>
      </c>
      <c r="R6" s="4" t="s">
        <v>491</v>
      </c>
      <c r="S6" s="4" t="s">
        <v>491</v>
      </c>
      <c r="T6" s="6">
        <v>20118</v>
      </c>
      <c r="U6" s="4"/>
      <c r="V6" s="4" t="str">
        <f>IF((_xlfn.XLOOKUP(Profesores[[#This Row],[Nombre]],base_de_datos[Profesor],base_de_datos[Academia],1))=Profesores[[#Headers],[MEC]],"x","")</f>
        <v/>
      </c>
      <c r="W6" s="4" t="str">
        <f>IF((_xlfn.XLOOKUP(Profesores[[#This Row],[Nombre]],base_de_datos[Profesor],base_de_datos[Academia],1))=Profesores[[#Headers],[COM]],"x","")</f>
        <v/>
      </c>
      <c r="Y6" s="4" t="str">
        <f>IF((_xlfn.XLOOKUP(Profesores[[#This Row],[Nombre]],base_de_datos[Profesor],base_de_datos[Academia],1))=Profesores[[#Headers],[DOP]],"x","")</f>
        <v/>
      </c>
      <c r="Z6" s="4" t="str">
        <f>IF((_xlfn.XLOOKUP(Profesores[[#This Row],[Nombre]],base_de_datos[Profesor],base_de_datos[Academia],1))=Profesores[[#Headers],[ETF]],"x","")</f>
        <v/>
      </c>
      <c r="AA6" s="4" t="str">
        <f>IF((_xlfn.XLOOKUP(Profesores[[#This Row],[Nombre]],base_de_datos[Profesor],base_de_datos[Academia],1))=Profesores[[#Headers],[MAT]],"x","")</f>
        <v/>
      </c>
      <c r="AB6" s="4" t="str">
        <f>IF((_xlfn.XLOOKUP(Profesores[[#This Row],[Nombre]],base_de_datos[Profesor],base_de_datos[Academia],1))=Profesores[[#Headers],[EMP]],"x","")</f>
        <v>x</v>
      </c>
      <c r="AC6" s="6" t="str">
        <f>IF((_xlfn.XLOOKUP(Profesores[[#This Row],[Nombre]],base_de_datos[Profesor],base_de_datos[Academia],1))=Profesores[[#Headers],[AIC]],"x","")</f>
        <v/>
      </c>
      <c r="AD6" s="4" t="str">
        <f>IF((_xlfn.XLOOKUP(Profesores[[#This Row],[Nombre]],base_de_datos[Profesor],base_de_datos[Academia],1))=Profesores[[#Headers],[ESC]],"x","")</f>
        <v/>
      </c>
      <c r="AE6" s="6" t="str">
        <f>IF((_xlfn.XLOOKUP(Profesores[[#This Row],[Nombre]],base_de_datos[Profesor],base_de_datos[Academia],1))=Profesores[[#Headers],[HUM]],"x","")</f>
        <v/>
      </c>
      <c r="AF6" s="4" t="str">
        <f>IF((_xlfn.XLOOKUP(Profesores[[#This Row],[Nombre]],base_de_datos[Profesor],base_de_datos[Academia],1))=Profesores[[#Headers],[IID]],"x","")</f>
        <v/>
      </c>
      <c r="AG6" s="6" t="str">
        <f>IF((_xlfn.XLOOKUP(Profesores[[#This Row],[Nombre]],base_de_datos[Profesor],base_de_datos[Academia],1))=Profesores[[#Headers],[BIO]],"x","")</f>
        <v/>
      </c>
      <c r="AJ6" s="6">
        <f>TRUNC(IFERROR(Profesores[[#This Row],[Ex Inglés]]*677/100,0),0)</f>
        <v>0</v>
      </c>
      <c r="AL6" s="6" t="s">
        <v>499</v>
      </c>
      <c r="AM6" s="6" t="s">
        <v>499</v>
      </c>
      <c r="AO6" s="6" t="s">
        <v>519</v>
      </c>
      <c r="AQ6" s="9" t="s">
        <v>242</v>
      </c>
      <c r="AR6" s="10">
        <v>20</v>
      </c>
      <c r="AS6" s="10"/>
      <c r="AT6" s="10">
        <v>8</v>
      </c>
      <c r="AU6" s="10">
        <v>10</v>
      </c>
      <c r="AV6" s="10"/>
      <c r="AW6" s="9" t="s">
        <v>237</v>
      </c>
      <c r="AX6" s="22">
        <v>12</v>
      </c>
    </row>
    <row r="7" spans="1:50" ht="12" hidden="1" customHeight="1">
      <c r="C7" s="230" t="s">
        <v>497</v>
      </c>
      <c r="D7" s="2" t="s">
        <v>498</v>
      </c>
      <c r="E7" s="66">
        <v>242271</v>
      </c>
      <c r="F7" s="134" t="s">
        <v>88</v>
      </c>
      <c r="G7" s="34" t="s">
        <v>520</v>
      </c>
      <c r="H7" s="34" t="s">
        <v>521</v>
      </c>
      <c r="I7" s="34" t="s">
        <v>522</v>
      </c>
      <c r="J7" s="57">
        <v>26031</v>
      </c>
      <c r="K7" s="34"/>
      <c r="M7" s="53">
        <v>4491112356</v>
      </c>
      <c r="N7" s="54"/>
      <c r="O7" s="128" t="s">
        <v>523</v>
      </c>
      <c r="P7" s="4">
        <v>1113</v>
      </c>
      <c r="Q7" s="4" t="s">
        <v>524</v>
      </c>
      <c r="R7" s="4" t="s">
        <v>491</v>
      </c>
      <c r="S7" s="4" t="s">
        <v>491</v>
      </c>
      <c r="T7" s="6">
        <v>20278</v>
      </c>
      <c r="U7" s="4"/>
      <c r="V7" s="4"/>
      <c r="Y7" s="4" t="str">
        <f>IF((_xlfn.XLOOKUP(Profesores[[#This Row],[Nombre]],base_de_datos[Profesor],base_de_datos[Academia],1))=Profesores[[#Headers],[DOP]],"x","")</f>
        <v/>
      </c>
      <c r="Z7" s="4" t="str">
        <f>IF((_xlfn.XLOOKUP(Profesores[[#This Row],[Nombre]],base_de_datos[Profesor],base_de_datos[Academia],1))=Profesores[[#Headers],[ETF]],"x","")</f>
        <v>x</v>
      </c>
      <c r="AA7" s="4" t="str">
        <f>IF((_xlfn.XLOOKUP(Profesores[[#This Row],[Nombre]],base_de_datos[Profesor],base_de_datos[Academia],1))=Profesores[[#Headers],[MAT]],"x","")</f>
        <v/>
      </c>
      <c r="AB7" s="4" t="str">
        <f>IF((_xlfn.XLOOKUP(Profesores[[#This Row],[Nombre]],base_de_datos[Profesor],base_de_datos[Academia],1))=Profesores[[#Headers],[EMP]],"x","")</f>
        <v/>
      </c>
      <c r="AC7" s="6" t="str">
        <f>IF((_xlfn.XLOOKUP(Profesores[[#This Row],[Nombre]],base_de_datos[Profesor],base_de_datos[Academia],1))=Profesores[[#Headers],[AIC]],"x","")</f>
        <v/>
      </c>
      <c r="AD7" s="4" t="str">
        <f>IF((_xlfn.XLOOKUP(Profesores[[#This Row],[Nombre]],base_de_datos[Profesor],base_de_datos[Academia],1))=Profesores[[#Headers],[ESC]],"x","")</f>
        <v/>
      </c>
      <c r="AE7" s="6" t="str">
        <f>IF((_xlfn.XLOOKUP(Profesores[[#This Row],[Nombre]],base_de_datos[Profesor],base_de_datos[Academia],1))=Profesores[[#Headers],[HUM]],"x","")</f>
        <v/>
      </c>
      <c r="AF7" s="4" t="str">
        <f>IF((_xlfn.XLOOKUP(Profesores[[#This Row],[Nombre]],base_de_datos[Profesor],base_de_datos[Academia],1))=Profesores[[#Headers],[IID]],"x","")</f>
        <v/>
      </c>
      <c r="AG7" s="6" t="str">
        <f>IF((_xlfn.XLOOKUP(Profesores[[#This Row],[Nombre]],base_de_datos[Profesor],base_de_datos[Academia],1))=Profesores[[#Headers],[BIO]],"x","")</f>
        <v/>
      </c>
      <c r="AQ7" s="9" t="s">
        <v>260</v>
      </c>
      <c r="AR7" s="10">
        <v>20</v>
      </c>
      <c r="AS7" s="10"/>
      <c r="AT7" s="10">
        <v>8</v>
      </c>
      <c r="AU7" s="10">
        <v>10</v>
      </c>
      <c r="AV7" s="10"/>
      <c r="AW7" s="9"/>
      <c r="AX7" s="22"/>
    </row>
    <row r="8" spans="1:50" ht="12" hidden="1" customHeight="1">
      <c r="C8" s="4" t="s">
        <v>493</v>
      </c>
      <c r="D8" s="4" t="s">
        <v>498</v>
      </c>
      <c r="E8" s="56">
        <v>202808</v>
      </c>
      <c r="F8" s="133" t="s">
        <v>91</v>
      </c>
      <c r="G8" s="33" t="s">
        <v>520</v>
      </c>
      <c r="H8" s="33" t="s">
        <v>525</v>
      </c>
      <c r="I8" s="33" t="s">
        <v>526</v>
      </c>
      <c r="J8" s="58">
        <v>28942</v>
      </c>
      <c r="K8" s="33" t="s">
        <v>515</v>
      </c>
      <c r="L8" s="4" t="s">
        <v>504</v>
      </c>
      <c r="M8" s="53">
        <v>4491951883</v>
      </c>
      <c r="N8" s="54" t="s">
        <v>527</v>
      </c>
      <c r="O8" s="128" t="s">
        <v>528</v>
      </c>
      <c r="P8" s="4">
        <v>117</v>
      </c>
      <c r="Q8" s="4" t="s">
        <v>529</v>
      </c>
      <c r="R8" s="4" t="s">
        <v>491</v>
      </c>
      <c r="S8" s="4" t="s">
        <v>491</v>
      </c>
      <c r="T8" s="6">
        <v>20157</v>
      </c>
      <c r="U8" s="4">
        <v>1</v>
      </c>
      <c r="V8" s="4" t="str">
        <f>IF((_xlfn.XLOOKUP(Profesores[[#This Row],[Nombre]],base_de_datos[Profesor],base_de_datos[Academia],1))=Profesores[[#Headers],[MEC]],"x","")</f>
        <v/>
      </c>
      <c r="W8" s="4" t="str">
        <f>IF((_xlfn.XLOOKUP(Profesores[[#This Row],[Nombre]],base_de_datos[Profesor],base_de_datos[Academia],1))=Profesores[[#Headers],[COM]],"x","")</f>
        <v>x</v>
      </c>
      <c r="Y8" s="4" t="str">
        <f>IF((_xlfn.XLOOKUP(Profesores[[#This Row],[Nombre]],base_de_datos[Profesor],base_de_datos[Academia],1))=Profesores[[#Headers],[DOP]],"x","")</f>
        <v/>
      </c>
      <c r="Z8" s="4" t="str">
        <f>IF((_xlfn.XLOOKUP(Profesores[[#This Row],[Nombre]],base_de_datos[Profesor],base_de_datos[Academia],1))=Profesores[[#Headers],[ETF]],"x","")</f>
        <v/>
      </c>
      <c r="AA8" s="4" t="str">
        <f>IF((_xlfn.XLOOKUP(Profesores[[#This Row],[Nombre]],base_de_datos[Profesor],base_de_datos[Academia],1))=Profesores[[#Headers],[MAT]],"x","")</f>
        <v/>
      </c>
      <c r="AB8" s="4" t="str">
        <f>IF((_xlfn.XLOOKUP(Profesores[[#This Row],[Nombre]],base_de_datos[Profesor],base_de_datos[Academia],1))=Profesores[[#Headers],[EMP]],"x","")</f>
        <v/>
      </c>
      <c r="AC8" s="6" t="str">
        <f>IF((_xlfn.XLOOKUP(Profesores[[#This Row],[Nombre]],base_de_datos[Profesor],base_de_datos[Academia],1))=Profesores[[#Headers],[AIC]],"x","")</f>
        <v/>
      </c>
      <c r="AD8" s="4" t="str">
        <f>IF((_xlfn.XLOOKUP(Profesores[[#This Row],[Nombre]],base_de_datos[Profesor],base_de_datos[Academia],1))=Profesores[[#Headers],[ESC]],"x","")</f>
        <v/>
      </c>
      <c r="AE8" s="6" t="str">
        <f>IF((_xlfn.XLOOKUP(Profesores[[#This Row],[Nombre]],base_de_datos[Profesor],base_de_datos[Academia],1))=Profesores[[#Headers],[HUM]],"x","")</f>
        <v/>
      </c>
      <c r="AF8" s="4" t="str">
        <f>IF((_xlfn.XLOOKUP(Profesores[[#This Row],[Nombre]],base_de_datos[Profesor],base_de_datos[Academia],1))=Profesores[[#Headers],[IID]],"x","")</f>
        <v/>
      </c>
      <c r="AG8" s="6" t="str">
        <f>IF((_xlfn.XLOOKUP(Profesores[[#This Row],[Nombre]],base_de_datos[Profesor],base_de_datos[Academia],1))=Profesores[[#Headers],[BIO]],"x","")</f>
        <v/>
      </c>
      <c r="AH8" s="6">
        <v>90.76</v>
      </c>
      <c r="AI8" s="6" t="s">
        <v>504</v>
      </c>
      <c r="AJ8" s="6">
        <f>TRUNC(IFERROR(Profesores[[#This Row],[Ex Inglés]]*677/100,0),0)</f>
        <v>614</v>
      </c>
      <c r="AQ8" s="9" t="s">
        <v>193</v>
      </c>
      <c r="AR8" s="10">
        <v>20</v>
      </c>
      <c r="AS8" s="10"/>
      <c r="AT8" s="10">
        <v>8</v>
      </c>
      <c r="AU8" s="10">
        <v>10</v>
      </c>
      <c r="AV8" s="10"/>
      <c r="AW8" s="9"/>
      <c r="AX8" s="22"/>
    </row>
    <row r="9" spans="1:50" ht="12" hidden="1" customHeight="1">
      <c r="B9" s="6">
        <v>145</v>
      </c>
      <c r="C9" s="162" t="s">
        <v>498</v>
      </c>
      <c r="D9" s="4" t="s">
        <v>498</v>
      </c>
      <c r="E9" s="86">
        <v>259597</v>
      </c>
      <c r="F9" s="133" t="s">
        <v>103</v>
      </c>
      <c r="G9" s="33" t="s">
        <v>530</v>
      </c>
      <c r="H9" s="33" t="s">
        <v>531</v>
      </c>
      <c r="I9" s="33" t="s">
        <v>532</v>
      </c>
      <c r="J9" s="58">
        <v>33635</v>
      </c>
      <c r="M9" s="53">
        <v>4491574740</v>
      </c>
      <c r="N9" s="138" t="s">
        <v>533</v>
      </c>
      <c r="O9" s="128" t="s">
        <v>534</v>
      </c>
      <c r="P9" s="4">
        <v>504</v>
      </c>
      <c r="Q9" s="4" t="s">
        <v>535</v>
      </c>
      <c r="R9" s="4" t="s">
        <v>491</v>
      </c>
      <c r="S9" s="4" t="s">
        <v>491</v>
      </c>
      <c r="T9" s="6">
        <v>20030</v>
      </c>
      <c r="U9" s="4"/>
      <c r="V9" s="4" t="str">
        <f>IF((_xlfn.XLOOKUP(Profesores[[#This Row],[Nombre]],base_de_datos[Profesor],base_de_datos[Academia],1))=Profesores[[#Headers],[MEC]],"x","")</f>
        <v/>
      </c>
      <c r="W9" s="4" t="str">
        <f>IF((_xlfn.XLOOKUP(Profesores[[#This Row],[Nombre]],base_de_datos[Profesor],base_de_datos[Academia],1))=Profesores[[#Headers],[COM]],"x","")</f>
        <v/>
      </c>
      <c r="Y9" s="4" t="str">
        <f>IF((_xlfn.XLOOKUP(Profesores[[#This Row],[Nombre]],base_de_datos[Profesor],base_de_datos[Academia],1))=Profesores[[#Headers],[DOP]],"x","")</f>
        <v/>
      </c>
      <c r="Z9" s="4" t="str">
        <f>IF((_xlfn.XLOOKUP(Profesores[[#This Row],[Nombre]],base_de_datos[Profesor],base_de_datos[Academia],1))=Profesores[[#Headers],[ETF]],"x","")</f>
        <v/>
      </c>
      <c r="AA9" s="4" t="str">
        <f>IF((_xlfn.XLOOKUP(Profesores[[#This Row],[Nombre]],base_de_datos[Profesor],base_de_datos[Academia],1))=Profesores[[#Headers],[MAT]],"x","")</f>
        <v/>
      </c>
      <c r="AB9" s="4" t="str">
        <f>IF((_xlfn.XLOOKUP(Profesores[[#This Row],[Nombre]],base_de_datos[Profesor],base_de_datos[Academia],1))=Profesores[[#Headers],[EMP]],"x","")</f>
        <v/>
      </c>
      <c r="AC9" s="6" t="str">
        <f>IF((_xlfn.XLOOKUP(Profesores[[#This Row],[Nombre]],base_de_datos[Profesor],base_de_datos[Academia],1))=Profesores[[#Headers],[AIC]],"x","")</f>
        <v/>
      </c>
      <c r="AD9" s="4" t="str">
        <f>IF((_xlfn.XLOOKUP(Profesores[[#This Row],[Nombre]],base_de_datos[Profesor],base_de_datos[Academia],1))=Profesores[[#Headers],[ESC]],"x","")</f>
        <v/>
      </c>
      <c r="AE9" s="6" t="str">
        <f>IF((_xlfn.XLOOKUP(Profesores[[#This Row],[Nombre]],base_de_datos[Profesor],base_de_datos[Academia],1))=Profesores[[#Headers],[HUM]],"x","")</f>
        <v/>
      </c>
      <c r="AF9" s="4" t="str">
        <f>IF((_xlfn.XLOOKUP(Profesores[[#This Row],[Nombre]],base_de_datos[Profesor],base_de_datos[Academia],1))=Profesores[[#Headers],[IID]],"x","")</f>
        <v>x</v>
      </c>
      <c r="AG9" s="6" t="str">
        <f>IF((_xlfn.XLOOKUP(Profesores[[#This Row],[Nombre]],base_de_datos[Profesor],base_de_datos[Academia],1))=Profesores[[#Headers],[BIO]],"x","")</f>
        <v/>
      </c>
      <c r="AJ9" s="6">
        <f>TRUNC(IFERROR(Profesores[[#This Row],[Ex Inglés]]*677/100,0),0)</f>
        <v>0</v>
      </c>
      <c r="AQ9" s="9" t="s">
        <v>536</v>
      </c>
      <c r="AR9" s="10">
        <v>20</v>
      </c>
      <c r="AS9" s="10"/>
      <c r="AT9" s="10">
        <v>15</v>
      </c>
      <c r="AU9" s="10">
        <v>25</v>
      </c>
      <c r="AV9" s="10"/>
      <c r="AW9" s="9"/>
      <c r="AX9" s="22"/>
    </row>
    <row r="10" spans="1:50" ht="12" hidden="1" customHeight="1">
      <c r="C10" s="4" t="s">
        <v>497</v>
      </c>
      <c r="D10" s="4" t="s">
        <v>485</v>
      </c>
      <c r="E10" s="56">
        <v>151228</v>
      </c>
      <c r="F10" s="133" t="s">
        <v>106</v>
      </c>
      <c r="G10" s="33" t="s">
        <v>537</v>
      </c>
      <c r="H10" s="33" t="s">
        <v>538</v>
      </c>
      <c r="I10" s="33" t="s">
        <v>539</v>
      </c>
      <c r="J10" s="58">
        <v>33709</v>
      </c>
      <c r="M10" s="53">
        <v>4497699875</v>
      </c>
      <c r="N10" s="138" t="s">
        <v>540</v>
      </c>
      <c r="O10" s="128" t="s">
        <v>541</v>
      </c>
      <c r="P10" s="4">
        <v>125</v>
      </c>
      <c r="Q10" s="4" t="s">
        <v>542</v>
      </c>
      <c r="R10" s="4" t="s">
        <v>491</v>
      </c>
      <c r="S10" s="4" t="s">
        <v>491</v>
      </c>
      <c r="T10" s="6">
        <v>20196</v>
      </c>
      <c r="U10" s="4">
        <v>1</v>
      </c>
      <c r="V10" s="4" t="str">
        <f>IF((_xlfn.XLOOKUP(Profesores[[#This Row],[Nombre]],base_de_datos[Profesor],base_de_datos[Academia],1))=Profesores[[#Headers],[MEC]],"x","")</f>
        <v/>
      </c>
      <c r="W10" s="4" t="str">
        <f>IF((_xlfn.XLOOKUP(Profesores[[#This Row],[Nombre]],base_de_datos[Profesor],base_de_datos[Academia],1))=Profesores[[#Headers],[COM]],"x","")</f>
        <v/>
      </c>
      <c r="X10" s="4" t="s">
        <v>67</v>
      </c>
      <c r="Y10" s="4" t="str">
        <f>IF((_xlfn.XLOOKUP(Profesores[[#This Row],[Nombre]],base_de_datos[Profesor],base_de_datos[Academia],1))=Profesores[[#Headers],[DOP]],"x","")</f>
        <v/>
      </c>
      <c r="Z10" s="4" t="str">
        <f>IF((_xlfn.XLOOKUP(Profesores[[#This Row],[Nombre]],base_de_datos[Profesor],base_de_datos[Academia],1))=Profesores[[#Headers],[ETF]],"x","")</f>
        <v/>
      </c>
      <c r="AA10" s="4" t="str">
        <f>IF((_xlfn.XLOOKUP(Profesores[[#This Row],[Nombre]],base_de_datos[Profesor],base_de_datos[Academia],1))=Profesores[[#Headers],[MAT]],"x","")</f>
        <v/>
      </c>
      <c r="AB10" s="4" t="str">
        <f>IF((_xlfn.XLOOKUP(Profesores[[#This Row],[Nombre]],base_de_datos[Profesor],base_de_datos[Academia],1))=Profesores[[#Headers],[EMP]],"x","")</f>
        <v/>
      </c>
      <c r="AC10" s="6" t="str">
        <f>IF((_xlfn.XLOOKUP(Profesores[[#This Row],[Nombre]],base_de_datos[Profesor],base_de_datos[Academia],1))=Profesores[[#Headers],[AIC]],"x","")</f>
        <v/>
      </c>
      <c r="AD10" s="4" t="str">
        <f>IF((_xlfn.XLOOKUP(Profesores[[#This Row],[Nombre]],base_de_datos[Profesor],base_de_datos[Academia],1))=Profesores[[#Headers],[ESC]],"x","")</f>
        <v/>
      </c>
      <c r="AE10" s="6" t="str">
        <f>IF((_xlfn.XLOOKUP(Profesores[[#This Row],[Nombre]],base_de_datos[Profesor],base_de_datos[Academia],1))=Profesores[[#Headers],[HUM]],"x","")</f>
        <v/>
      </c>
      <c r="AF10" s="4" t="str">
        <f>IF((_xlfn.XLOOKUP(Profesores[[#This Row],[Nombre]],base_de_datos[Profesor],base_de_datos[Academia],1))=Profesores[[#Headers],[IID]],"x","")</f>
        <v/>
      </c>
      <c r="AG10" s="6" t="str">
        <f>IF((_xlfn.XLOOKUP(Profesores[[#This Row],[Nombre]],base_de_datos[Profesor],base_de_datos[Academia],1))=Profesores[[#Headers],[BIO]],"x","")</f>
        <v/>
      </c>
      <c r="AH10" s="6" t="s">
        <v>543</v>
      </c>
      <c r="AJ10" s="6">
        <f>TRUNC(IFERROR(Profesores[[#This Row],[Ex Inglés]]*677/100,0),0)</f>
        <v>0</v>
      </c>
      <c r="AQ10" s="9" t="s">
        <v>344</v>
      </c>
      <c r="AR10" s="10">
        <v>30</v>
      </c>
      <c r="AS10" s="10"/>
      <c r="AT10" s="10"/>
      <c r="AU10" s="10"/>
      <c r="AV10" s="10"/>
      <c r="AW10" s="9"/>
      <c r="AX10" s="22"/>
    </row>
    <row r="11" spans="1:50" ht="12" hidden="1" customHeight="1">
      <c r="C11" s="2" t="s">
        <v>497</v>
      </c>
      <c r="D11" s="2" t="s">
        <v>498</v>
      </c>
      <c r="E11" s="229"/>
      <c r="F11" s="191" t="s">
        <v>117</v>
      </c>
      <c r="G11" s="34"/>
      <c r="H11" s="34"/>
      <c r="I11" s="34"/>
      <c r="J11" s="58"/>
      <c r="M11" s="53"/>
      <c r="N11" s="137"/>
      <c r="O11" s="128"/>
      <c r="T11" s="6"/>
      <c r="U11" s="4"/>
      <c r="V11" s="4" t="str">
        <f>IF((_xlfn.XLOOKUP(Profesores[[#This Row],[Nombre]],base_de_datos[Profesor],base_de_datos[Academia],1))=Profesores[[#Headers],[MEC]],"x","")</f>
        <v>x</v>
      </c>
      <c r="W11" s="4" t="str">
        <f>IF((_xlfn.XLOOKUP(Profesores[[#This Row],[Nombre]],base_de_datos[Profesor],base_de_datos[Academia],1))=Profesores[[#Headers],[COM]],"x","")</f>
        <v/>
      </c>
      <c r="Y11" s="4" t="str">
        <f>IF((_xlfn.XLOOKUP(Profesores[[#This Row],[Nombre]],base_de_datos[Profesor],base_de_datos[Academia],1))=Profesores[[#Headers],[DOP]],"x","")</f>
        <v/>
      </c>
      <c r="Z11" s="4" t="str">
        <f>IF((_xlfn.XLOOKUP(Profesores[[#This Row],[Nombre]],base_de_datos[Profesor],base_de_datos[Academia],1))=Profesores[[#Headers],[ETF]],"x","")</f>
        <v/>
      </c>
      <c r="AA11" s="4" t="str">
        <f>IF((_xlfn.XLOOKUP(Profesores[[#This Row],[Nombre]],base_de_datos[Profesor],base_de_datos[Academia],1))=Profesores[[#Headers],[MAT]],"x","")</f>
        <v/>
      </c>
      <c r="AB11" s="4" t="str">
        <f>IF((_xlfn.XLOOKUP(Profesores[[#This Row],[Nombre]],base_de_datos[Profesor],base_de_datos[Academia],1))=Profesores[[#Headers],[EMP]],"x","")</f>
        <v/>
      </c>
      <c r="AC11" s="6" t="str">
        <f>IF((_xlfn.XLOOKUP(Profesores[[#This Row],[Nombre]],base_de_datos[Profesor],base_de_datos[Academia],1))=Profesores[[#Headers],[AIC]],"x","")</f>
        <v/>
      </c>
      <c r="AD11" s="4" t="str">
        <f>IF((_xlfn.XLOOKUP(Profesores[[#This Row],[Nombre]],base_de_datos[Profesor],base_de_datos[Academia],1))=Profesores[[#Headers],[ESC]],"x","")</f>
        <v/>
      </c>
      <c r="AE11" s="6" t="str">
        <f>IF((_xlfn.XLOOKUP(Profesores[[#This Row],[Nombre]],base_de_datos[Profesor],base_de_datos[Academia],1))=Profesores[[#Headers],[HUM]],"x","")</f>
        <v/>
      </c>
      <c r="AF11" s="4" t="str">
        <f>IF((_xlfn.XLOOKUP(Profesores[[#This Row],[Nombre]],base_de_datos[Profesor],base_de_datos[Academia],1))=Profesores[[#Headers],[IID]],"x","")</f>
        <v/>
      </c>
      <c r="AG11" s="6" t="str">
        <f>IF((_xlfn.XLOOKUP(Profesores[[#This Row],[Nombre]],base_de_datos[Profesor],base_de_datos[Academia],1))=Profesores[[#Headers],[BIO]],"x","")</f>
        <v/>
      </c>
      <c r="AJ11" s="6">
        <f>TRUNC(IFERROR(Profesores[[#This Row],[Ex Inglés]]*677/100,0),0)</f>
        <v>0</v>
      </c>
      <c r="AQ11" s="9" t="s">
        <v>300</v>
      </c>
      <c r="AR11" s="10">
        <v>30</v>
      </c>
      <c r="AS11" s="10"/>
      <c r="AT11" s="10"/>
      <c r="AU11" s="10"/>
      <c r="AV11" s="10"/>
      <c r="AW11" s="9"/>
      <c r="AX11" s="22"/>
    </row>
    <row r="12" spans="1:50" ht="12" hidden="1" customHeight="1">
      <c r="C12" s="6" t="s">
        <v>497</v>
      </c>
      <c r="D12" s="4" t="s">
        <v>494</v>
      </c>
      <c r="E12" s="56">
        <v>145872</v>
      </c>
      <c r="F12" s="133" t="s">
        <v>122</v>
      </c>
      <c r="G12" s="33" t="s">
        <v>544</v>
      </c>
      <c r="H12" s="33" t="s">
        <v>545</v>
      </c>
      <c r="I12" s="33" t="s">
        <v>546</v>
      </c>
      <c r="J12" s="58">
        <v>26903</v>
      </c>
      <c r="K12" s="33" t="s">
        <v>515</v>
      </c>
      <c r="L12" s="4" t="s">
        <v>504</v>
      </c>
      <c r="M12" s="53">
        <v>4491435710</v>
      </c>
      <c r="N12" s="54" t="s">
        <v>547</v>
      </c>
      <c r="O12" s="128" t="s">
        <v>548</v>
      </c>
      <c r="P12" s="4" t="s">
        <v>549</v>
      </c>
      <c r="Q12" s="4" t="s">
        <v>550</v>
      </c>
      <c r="R12" s="4" t="s">
        <v>491</v>
      </c>
      <c r="S12" s="4" t="s">
        <v>491</v>
      </c>
      <c r="T12" s="6">
        <v>20196</v>
      </c>
      <c r="U12" s="4"/>
      <c r="V12" s="4" t="str">
        <f>IF((_xlfn.XLOOKUP(Profesores[[#This Row],[Nombre]],base_de_datos[Profesor],base_de_datos[Academia],1))=Profesores[[#Headers],[MEC]],"x","")</f>
        <v/>
      </c>
      <c r="X12" s="4" t="s">
        <v>67</v>
      </c>
      <c r="Y12" s="4" t="str">
        <f>IF((_xlfn.XLOOKUP(Profesores[[#This Row],[Nombre]],base_de_datos[Profesor],base_de_datos[Academia],1))=Profesores[[#Headers],[DOP]],"x","")</f>
        <v/>
      </c>
      <c r="Z12" s="4" t="str">
        <f>IF((_xlfn.XLOOKUP(Profesores[[#This Row],[Nombre]],base_de_datos[Profesor],base_de_datos[Academia],1))=Profesores[[#Headers],[ETF]],"x","")</f>
        <v/>
      </c>
      <c r="AA12" s="4" t="str">
        <f>IF((_xlfn.XLOOKUP(Profesores[[#This Row],[Nombre]],base_de_datos[Profesor],base_de_datos[Academia],1))=Profesores[[#Headers],[MAT]],"x","")</f>
        <v/>
      </c>
      <c r="AB12" s="4" t="str">
        <f>IF((_xlfn.XLOOKUP(Profesores[[#This Row],[Nombre]],base_de_datos[Profesor],base_de_datos[Academia],1))=Profesores[[#Headers],[EMP]],"x","")</f>
        <v/>
      </c>
      <c r="AC12" s="6" t="str">
        <f>IF((_xlfn.XLOOKUP(Profesores[[#This Row],[Nombre]],base_de_datos[Profesor],base_de_datos[Academia],1))=Profesores[[#Headers],[AIC]],"x","")</f>
        <v/>
      </c>
      <c r="AD12" s="4" t="str">
        <f>IF((_xlfn.XLOOKUP(Profesores[[#This Row],[Nombre]],base_de_datos[Profesor],base_de_datos[Academia],1))=Profesores[[#Headers],[ESC]],"x","")</f>
        <v/>
      </c>
      <c r="AE12" s="6" t="str">
        <f>IF((_xlfn.XLOOKUP(Profesores[[#This Row],[Nombre]],base_de_datos[Profesor],base_de_datos[Academia],1))=Profesores[[#Headers],[HUM]],"x","")</f>
        <v/>
      </c>
      <c r="AF12" s="4" t="str">
        <f>IF((_xlfn.XLOOKUP(Profesores[[#This Row],[Nombre]],base_de_datos[Profesor],base_de_datos[Academia],1))=Profesores[[#Headers],[IID]],"x","")</f>
        <v/>
      </c>
      <c r="AG12" s="6" t="str">
        <f>IF((_xlfn.XLOOKUP(Profesores[[#This Row],[Nombre]],base_de_datos[Profesor],base_de_datos[Academia],1))=Profesores[[#Headers],[BIO]],"x","")</f>
        <v/>
      </c>
      <c r="AJ12" s="6">
        <f>TRUNC(IFERROR(Profesores[[#This Row],[Ex Inglés]]*677/100,0),0)</f>
        <v>0</v>
      </c>
      <c r="AQ12" s="9" t="s">
        <v>237</v>
      </c>
      <c r="AR12" s="10">
        <v>30</v>
      </c>
      <c r="AS12" s="10"/>
      <c r="AT12" s="10"/>
      <c r="AU12" s="10"/>
      <c r="AV12" s="10"/>
      <c r="AW12" s="9"/>
      <c r="AX12" s="22"/>
    </row>
    <row r="13" spans="1:50" ht="12" hidden="1" customHeight="1">
      <c r="B13" s="6">
        <v>1</v>
      </c>
      <c r="C13" s="2" t="s">
        <v>497</v>
      </c>
      <c r="D13" s="2" t="s">
        <v>494</v>
      </c>
      <c r="E13" s="66">
        <v>144749</v>
      </c>
      <c r="F13" s="134" t="s">
        <v>125</v>
      </c>
      <c r="G13" s="34" t="s">
        <v>551</v>
      </c>
      <c r="H13" s="34" t="s">
        <v>552</v>
      </c>
      <c r="I13" s="34" t="s">
        <v>553</v>
      </c>
      <c r="J13" s="57">
        <v>31153</v>
      </c>
      <c r="K13" s="188" t="s">
        <v>515</v>
      </c>
      <c r="L13" s="4" t="s">
        <v>504</v>
      </c>
      <c r="M13" s="53">
        <v>4492058598</v>
      </c>
      <c r="N13" s="189" t="s">
        <v>554</v>
      </c>
      <c r="O13" s="128" t="s">
        <v>555</v>
      </c>
      <c r="P13" s="4">
        <v>301</v>
      </c>
      <c r="Q13" s="4" t="s">
        <v>556</v>
      </c>
      <c r="R13" s="4" t="s">
        <v>491</v>
      </c>
      <c r="S13" s="4" t="s">
        <v>491</v>
      </c>
      <c r="T13" s="6">
        <v>20270</v>
      </c>
      <c r="U13" s="4"/>
      <c r="V13" s="4" t="str">
        <f>IF((_xlfn.XLOOKUP(Profesores[[#This Row],[Nombre]],base_de_datos[Profesor],base_de_datos[Academia],1))=Profesores[[#Headers],[MEC]],"x","")</f>
        <v/>
      </c>
      <c r="W13" s="4" t="str">
        <f>IF((_xlfn.XLOOKUP(Profesores[[#This Row],[Nombre]],base_de_datos[Profesor],base_de_datos[Academia],1))=Profesores[[#Headers],[COM]],"x","")</f>
        <v/>
      </c>
      <c r="Y13" s="4" t="str">
        <f>IF((_xlfn.XLOOKUP(Profesores[[#This Row],[Nombre]],base_de_datos[Profesor],base_de_datos[Academia],1))=Profesores[[#Headers],[DOP]],"x","")</f>
        <v>x</v>
      </c>
      <c r="Z13" s="4" t="str">
        <f>IF((_xlfn.XLOOKUP(Profesores[[#This Row],[Nombre]],base_de_datos[Profesor],base_de_datos[Academia],1))=Profesores[[#Headers],[ETF]],"x","")</f>
        <v/>
      </c>
      <c r="AA13" s="4" t="str">
        <f>IF((_xlfn.XLOOKUP(Profesores[[#This Row],[Nombre]],base_de_datos[Profesor],base_de_datos[Academia],1))=Profesores[[#Headers],[MAT]],"x","")</f>
        <v/>
      </c>
      <c r="AB13" s="4" t="str">
        <f>IF((_xlfn.XLOOKUP(Profesores[[#This Row],[Nombre]],base_de_datos[Profesor],base_de_datos[Academia],1))=Profesores[[#Headers],[EMP]],"x","")</f>
        <v/>
      </c>
      <c r="AC13" s="6" t="str">
        <f>IF((_xlfn.XLOOKUP(Profesores[[#This Row],[Nombre]],base_de_datos[Profesor],base_de_datos[Academia],1))=Profesores[[#Headers],[AIC]],"x","")</f>
        <v/>
      </c>
      <c r="AD13" s="4" t="str">
        <f>IF((_xlfn.XLOOKUP(Profesores[[#This Row],[Nombre]],base_de_datos[Profesor],base_de_datos[Academia],1))=Profesores[[#Headers],[ESC]],"x","")</f>
        <v/>
      </c>
      <c r="AE13" s="6" t="str">
        <f>IF((_xlfn.XLOOKUP(Profesores[[#This Row],[Nombre]],base_de_datos[Profesor],base_de_datos[Academia],1))=Profesores[[#Headers],[HUM]],"x","")</f>
        <v/>
      </c>
      <c r="AF13" s="4" t="str">
        <f>IF((_xlfn.XLOOKUP(Profesores[[#This Row],[Nombre]],base_de_datos[Profesor],base_de_datos[Academia],1))=Profesores[[#Headers],[IID]],"x","")</f>
        <v/>
      </c>
      <c r="AG13" s="6" t="str">
        <f>IF((_xlfn.XLOOKUP(Profesores[[#This Row],[Nombre]],base_de_datos[Profesor],base_de_datos[Academia],1))=Profesores[[#Headers],[BIO]],"x","")</f>
        <v/>
      </c>
      <c r="AJ13" s="6">
        <f>TRUNC(IFERROR(Profesores[[#This Row],[Ex Inglés]]*677/100,0),0)</f>
        <v>0</v>
      </c>
      <c r="AL13" s="67"/>
      <c r="AM13" s="67"/>
      <c r="AN13" s="67"/>
      <c r="AQ13" s="9" t="s">
        <v>234</v>
      </c>
      <c r="AR13" s="10">
        <v>30</v>
      </c>
      <c r="AS13" s="10"/>
      <c r="AT13" s="10"/>
      <c r="AU13" s="10"/>
      <c r="AV13" s="10"/>
      <c r="AW13" s="9"/>
      <c r="AX13" s="22"/>
    </row>
    <row r="14" spans="1:50" ht="12" hidden="1" customHeight="1">
      <c r="C14" s="4" t="s">
        <v>493</v>
      </c>
      <c r="D14" s="4" t="s">
        <v>498</v>
      </c>
      <c r="E14" s="56">
        <v>193285</v>
      </c>
      <c r="F14" s="133" t="s">
        <v>557</v>
      </c>
      <c r="G14" s="33" t="s">
        <v>558</v>
      </c>
      <c r="H14" s="33" t="s">
        <v>559</v>
      </c>
      <c r="I14" s="33" t="s">
        <v>560</v>
      </c>
      <c r="J14" s="58" t="s">
        <v>561</v>
      </c>
      <c r="M14" s="53">
        <v>4498942926</v>
      </c>
      <c r="N14" s="138" t="s">
        <v>562</v>
      </c>
      <c r="O14" s="53" t="s">
        <v>563</v>
      </c>
      <c r="P14" s="4">
        <v>207</v>
      </c>
      <c r="Q14" s="6" t="s">
        <v>564</v>
      </c>
      <c r="R14" s="6" t="s">
        <v>185</v>
      </c>
      <c r="S14" s="6" t="s">
        <v>491</v>
      </c>
      <c r="T14" s="6">
        <v>20909</v>
      </c>
      <c r="U14" s="4"/>
      <c r="V14" s="4"/>
      <c r="AB14" s="4"/>
      <c r="AL14" s="67"/>
      <c r="AM14" s="67"/>
      <c r="AN14" s="67"/>
      <c r="AQ14" s="9" t="s">
        <v>181</v>
      </c>
      <c r="AR14" s="10">
        <v>32</v>
      </c>
      <c r="AS14" s="10"/>
      <c r="AT14" s="10"/>
      <c r="AU14" s="10"/>
      <c r="AV14" s="10"/>
      <c r="AW14" s="9"/>
      <c r="AX14" s="22"/>
    </row>
    <row r="15" spans="1:50" ht="12" hidden="1" customHeight="1">
      <c r="B15" s="4" t="s">
        <v>479</v>
      </c>
      <c r="E15" s="56"/>
      <c r="F15" s="6" t="s">
        <v>13</v>
      </c>
      <c r="J15" s="4"/>
      <c r="M15" s="53"/>
      <c r="N15" s="53"/>
      <c r="O15" s="128"/>
      <c r="T15" s="6"/>
      <c r="U15" s="4"/>
      <c r="V15" s="4"/>
      <c r="AB15" s="4"/>
      <c r="AL15" s="67"/>
      <c r="AM15" s="67"/>
      <c r="AN15" s="67"/>
      <c r="AQ15" s="9" t="s">
        <v>270</v>
      </c>
      <c r="AR15" s="10">
        <v>60</v>
      </c>
      <c r="AS15" s="10"/>
      <c r="AT15" s="10">
        <v>36</v>
      </c>
      <c r="AU15" s="10">
        <v>36</v>
      </c>
      <c r="AV15" s="10"/>
      <c r="AW15" s="9"/>
      <c r="AX15" s="22"/>
    </row>
    <row r="16" spans="1:50" ht="12" hidden="1" customHeight="1">
      <c r="B16" s="6">
        <v>2</v>
      </c>
      <c r="C16" s="2" t="s">
        <v>497</v>
      </c>
      <c r="D16" s="2" t="s">
        <v>498</v>
      </c>
      <c r="E16" s="66">
        <v>144666</v>
      </c>
      <c r="F16" s="134" t="s">
        <v>130</v>
      </c>
      <c r="G16" s="34" t="s">
        <v>565</v>
      </c>
      <c r="H16" s="34" t="s">
        <v>566</v>
      </c>
      <c r="I16" s="34" t="s">
        <v>546</v>
      </c>
      <c r="J16" s="57">
        <v>33465</v>
      </c>
      <c r="K16" s="188" t="s">
        <v>515</v>
      </c>
      <c r="L16" s="4" t="s">
        <v>504</v>
      </c>
      <c r="M16" s="53">
        <v>4492058689</v>
      </c>
      <c r="N16" s="189" t="s">
        <v>567</v>
      </c>
      <c r="O16" s="128" t="s">
        <v>568</v>
      </c>
      <c r="P16" s="4">
        <v>615</v>
      </c>
      <c r="Q16" s="4" t="s">
        <v>524</v>
      </c>
      <c r="R16" s="4" t="s">
        <v>491</v>
      </c>
      <c r="S16" s="4" t="s">
        <v>491</v>
      </c>
      <c r="T16" s="6">
        <v>20278</v>
      </c>
      <c r="U16" s="4"/>
      <c r="V16" s="4"/>
      <c r="Y16" s="4" t="s">
        <v>67</v>
      </c>
      <c r="AB16" s="4"/>
      <c r="AF16" s="4" t="s">
        <v>67</v>
      </c>
      <c r="AL16" s="67" t="s">
        <v>569</v>
      </c>
      <c r="AM16" s="67" t="s">
        <v>323</v>
      </c>
      <c r="AN16" s="67">
        <v>16</v>
      </c>
      <c r="AQ16" s="9" t="s">
        <v>78</v>
      </c>
      <c r="AR16" s="10">
        <v>25</v>
      </c>
      <c r="AS16" s="10"/>
      <c r="AT16" s="10">
        <v>12</v>
      </c>
      <c r="AU16" s="10">
        <v>15</v>
      </c>
      <c r="AV16" s="10"/>
      <c r="AW16" s="9" t="s">
        <v>401</v>
      </c>
      <c r="AX16" s="22">
        <v>18</v>
      </c>
    </row>
    <row r="17" spans="2:50" ht="12" hidden="1" customHeight="1">
      <c r="B17" s="6">
        <v>119</v>
      </c>
      <c r="C17" s="4" t="s">
        <v>510</v>
      </c>
      <c r="D17" s="4" t="s">
        <v>511</v>
      </c>
      <c r="E17" s="56">
        <v>249413</v>
      </c>
      <c r="F17" s="202" t="s">
        <v>137</v>
      </c>
      <c r="G17" s="33" t="s">
        <v>570</v>
      </c>
      <c r="H17" s="33" t="s">
        <v>571</v>
      </c>
      <c r="I17" s="33" t="s">
        <v>572</v>
      </c>
      <c r="J17" s="58">
        <v>28918</v>
      </c>
      <c r="L17" s="4" t="s">
        <v>65</v>
      </c>
      <c r="M17" s="53"/>
      <c r="N17" s="89" t="s">
        <v>573</v>
      </c>
      <c r="O17" s="128" t="s">
        <v>574</v>
      </c>
      <c r="P17" s="4">
        <v>3772</v>
      </c>
      <c r="Q17" s="33" t="s">
        <v>575</v>
      </c>
      <c r="R17" s="4" t="s">
        <v>576</v>
      </c>
      <c r="S17" s="4" t="s">
        <v>577</v>
      </c>
      <c r="T17" s="6">
        <v>80059</v>
      </c>
      <c r="U17" s="4">
        <v>1</v>
      </c>
      <c r="V17" s="4" t="str">
        <f>IF((_xlfn.XLOOKUP(Profesores[[#This Row],[Nombre]],base_de_datos[Profesor],base_de_datos[Academia],1))=Profesores[[#Headers],[MEC]],"x","")</f>
        <v/>
      </c>
      <c r="W17" s="4" t="str">
        <f>IF((_xlfn.XLOOKUP(Profesores[[#This Row],[Nombre]],base_de_datos[Profesor],base_de_datos[Academia],1))=Profesores[[#Headers],[COM]],"x","")</f>
        <v/>
      </c>
      <c r="Y17" s="4" t="str">
        <f>IF((_xlfn.XLOOKUP(Profesores[[#This Row],[Nombre]],base_de_datos[Profesor],base_de_datos[Academia],1))=Profesores[[#Headers],[DOP]],"x","")</f>
        <v/>
      </c>
      <c r="Z17" s="4" t="str">
        <f>IF((_xlfn.XLOOKUP(Profesores[[#This Row],[Nombre]],base_de_datos[Profesor],base_de_datos[Academia],1))=Profesores[[#Headers],[ETF]],"x","")</f>
        <v/>
      </c>
      <c r="AA17" s="4" t="str">
        <f>IF((_xlfn.XLOOKUP(Profesores[[#This Row],[Nombre]],base_de_datos[Profesor],base_de_datos[Academia],1))=Profesores[[#Headers],[MAT]],"x","")</f>
        <v/>
      </c>
      <c r="AB17" s="4" t="str">
        <f>IF((_xlfn.XLOOKUP(Profesores[[#This Row],[Nombre]],base_de_datos[Profesor],base_de_datos[Academia],1))=Profesores[[#Headers],[EMP]],"x","")</f>
        <v/>
      </c>
      <c r="AC17" s="6" t="str">
        <f>IF((_xlfn.XLOOKUP(Profesores[[#This Row],[Nombre]],base_de_datos[Profesor],base_de_datos[Academia],1))=Profesores[[#Headers],[AIC]],"x","")</f>
        <v/>
      </c>
      <c r="AD17" s="4" t="str">
        <f>IF((_xlfn.XLOOKUP(Profesores[[#This Row],[Nombre]],base_de_datos[Profesor],base_de_datos[Academia],1))=Profesores[[#Headers],[ESC]],"x","")</f>
        <v/>
      </c>
      <c r="AE17" s="6" t="str">
        <f>IF((_xlfn.XLOOKUP(Profesores[[#This Row],[Nombre]],base_de_datos[Profesor],base_de_datos[Academia],1))=Profesores[[#Headers],[HUM]],"x","")</f>
        <v>x</v>
      </c>
      <c r="AF17" s="4" t="str">
        <f>IF((_xlfn.XLOOKUP(Profesores[[#This Row],[Nombre]],base_de_datos[Profesor],base_de_datos[Academia],1))=Profesores[[#Headers],[IID]],"x","")</f>
        <v/>
      </c>
      <c r="AG17" s="6" t="str">
        <f>IF((_xlfn.XLOOKUP(Profesores[[#This Row],[Nombre]],base_de_datos[Profesor],base_de_datos[Academia],1))=Profesores[[#Headers],[BIO]],"x","")</f>
        <v/>
      </c>
      <c r="AH17" s="6">
        <v>88.77</v>
      </c>
      <c r="AI17" s="6" t="s">
        <v>578</v>
      </c>
      <c r="AJ17" s="6">
        <f>TRUNC(IFERROR(Profesores[[#This Row],[Ex Inglés]]*677/100,0),0)</f>
        <v>600</v>
      </c>
      <c r="AL17" s="67" t="s">
        <v>569</v>
      </c>
      <c r="AM17" s="67" t="s">
        <v>579</v>
      </c>
      <c r="AN17" s="67">
        <v>16</v>
      </c>
      <c r="AQ17" s="190" t="s">
        <v>323</v>
      </c>
      <c r="AR17" s="10">
        <v>40</v>
      </c>
      <c r="AS17" s="10"/>
      <c r="AT17" s="10"/>
      <c r="AU17" s="10"/>
      <c r="AV17" s="10"/>
      <c r="AW17" s="9" t="s">
        <v>93</v>
      </c>
      <c r="AX17" s="22">
        <v>11</v>
      </c>
    </row>
    <row r="18" spans="2:50" ht="12" hidden="1" customHeight="1">
      <c r="B18" s="6">
        <v>38</v>
      </c>
      <c r="C18" s="4" t="s">
        <v>510</v>
      </c>
      <c r="D18" s="4" t="s">
        <v>498</v>
      </c>
      <c r="E18" s="56">
        <v>173225</v>
      </c>
      <c r="F18" s="6" t="s">
        <v>580</v>
      </c>
      <c r="G18" s="33" t="s">
        <v>581</v>
      </c>
      <c r="H18" s="33" t="s">
        <v>582</v>
      </c>
      <c r="I18" s="33" t="s">
        <v>583</v>
      </c>
      <c r="J18" s="58">
        <v>28518</v>
      </c>
      <c r="K18" s="33" t="s">
        <v>515</v>
      </c>
      <c r="L18" s="4" t="s">
        <v>504</v>
      </c>
      <c r="M18" s="53">
        <v>4491902825</v>
      </c>
      <c r="N18" s="89" t="s">
        <v>584</v>
      </c>
      <c r="O18" s="128" t="s">
        <v>585</v>
      </c>
      <c r="P18" s="4">
        <v>209</v>
      </c>
      <c r="Q18" s="4" t="s">
        <v>586</v>
      </c>
      <c r="R18" s="4" t="s">
        <v>491</v>
      </c>
      <c r="S18" s="4" t="s">
        <v>491</v>
      </c>
      <c r="T18" s="6">
        <v>20169</v>
      </c>
      <c r="U18" s="4"/>
      <c r="V18" s="4" t="str">
        <f>IF((_xlfn.XLOOKUP(Profesores[[#This Row],[Nombre]],base_de_datos[Profesor],base_de_datos[Academia],1))=Profesores[[#Headers],[MEC]],"x","")</f>
        <v/>
      </c>
      <c r="W18" s="4" t="str">
        <f>IF((_xlfn.XLOOKUP(Profesores[[#This Row],[Nombre]],base_de_datos[Profesor],base_de_datos[Academia],1))=Profesores[[#Headers],[COM]],"x","")</f>
        <v/>
      </c>
      <c r="Y18" s="4" t="str">
        <f>IF((_xlfn.XLOOKUP(Profesores[[#This Row],[Nombre]],base_de_datos[Profesor],base_de_datos[Academia],1))=Profesores[[#Headers],[DOP]],"x","")</f>
        <v/>
      </c>
      <c r="Z18" s="4" t="str">
        <f>IF((_xlfn.XLOOKUP(Profesores[[#This Row],[Nombre]],base_de_datos[Profesor],base_de_datos[Academia],1))=Profesores[[#Headers],[ETF]],"x","")</f>
        <v/>
      </c>
      <c r="AA18" s="4" t="str">
        <f>IF((_xlfn.XLOOKUP(Profesores[[#This Row],[Nombre]],base_de_datos[Profesor],base_de_datos[Academia],1))=Profesores[[#Headers],[MAT]],"x","")</f>
        <v/>
      </c>
      <c r="AB18" s="4" t="str">
        <f>IF((_xlfn.XLOOKUP(Profesores[[#This Row],[Nombre]],base_de_datos[Profesor],base_de_datos[Academia],1))=Profesores[[#Headers],[EMP]],"x","")</f>
        <v/>
      </c>
      <c r="AC18" s="6" t="str">
        <f>IF((_xlfn.XLOOKUP(Profesores[[#This Row],[Nombre]],base_de_datos[Profesor],base_de_datos[Academia],1))=Profesores[[#Headers],[AIC]],"x","")</f>
        <v/>
      </c>
      <c r="AD18" s="4" t="str">
        <f>IF((_xlfn.XLOOKUP(Profesores[[#This Row],[Nombre]],base_de_datos[Profesor],base_de_datos[Academia],1))=Profesores[[#Headers],[ESC]],"x","")</f>
        <v/>
      </c>
      <c r="AE18" s="6" t="str">
        <f>IF((_xlfn.XLOOKUP(Profesores[[#This Row],[Nombre]],base_de_datos[Profesor],base_de_datos[Academia],1))=Profesores[[#Headers],[HUM]],"x","")</f>
        <v/>
      </c>
      <c r="AF18" s="4" t="str">
        <f>IF((_xlfn.XLOOKUP(Profesores[[#This Row],[Nombre]],base_de_datos[Profesor],base_de_datos[Academia],1))=Profesores[[#Headers],[IID]],"x","")</f>
        <v/>
      </c>
      <c r="AG18" s="6" t="str">
        <f>IF((_xlfn.XLOOKUP(Profesores[[#This Row],[Nombre]],base_de_datos[Profesor],base_de_datos[Academia],1))=Profesores[[#Headers],[BIO]],"x","")</f>
        <v/>
      </c>
      <c r="AJ18" s="6">
        <f>TRUNC(IFERROR(Profesores[[#This Row],[Ex Inglés]]*677/100,0),0)</f>
        <v>0</v>
      </c>
      <c r="AL18" s="67" t="s">
        <v>569</v>
      </c>
      <c r="AM18" s="67" t="s">
        <v>587</v>
      </c>
      <c r="AN18" s="67">
        <v>16</v>
      </c>
      <c r="AQ18" s="190" t="s">
        <v>140</v>
      </c>
      <c r="AR18" s="190">
        <v>40</v>
      </c>
      <c r="AS18" s="10"/>
      <c r="AT18" s="10">
        <v>15</v>
      </c>
      <c r="AU18" s="10">
        <v>25</v>
      </c>
      <c r="AV18" s="10"/>
      <c r="AW18" s="9" t="s">
        <v>154</v>
      </c>
      <c r="AX18" s="9">
        <v>10</v>
      </c>
    </row>
    <row r="19" spans="2:50" ht="12" hidden="1" customHeight="1">
      <c r="C19" s="4" t="s">
        <v>497</v>
      </c>
      <c r="D19" s="4" t="s">
        <v>498</v>
      </c>
      <c r="E19" s="86" t="s">
        <v>588</v>
      </c>
      <c r="F19" s="133" t="s">
        <v>141</v>
      </c>
      <c r="G19" s="33" t="s">
        <v>589</v>
      </c>
      <c r="H19" s="33" t="s">
        <v>590</v>
      </c>
      <c r="I19" s="33" t="s">
        <v>526</v>
      </c>
      <c r="J19" s="58">
        <v>26624</v>
      </c>
      <c r="M19" s="53">
        <v>4491112588</v>
      </c>
      <c r="N19" s="136" t="s">
        <v>591</v>
      </c>
      <c r="O19" s="223" t="s">
        <v>592</v>
      </c>
      <c r="P19" s="4" t="s">
        <v>593</v>
      </c>
      <c r="Q19" s="4" t="s">
        <v>594</v>
      </c>
      <c r="R19" s="4" t="s">
        <v>491</v>
      </c>
      <c r="S19" s="4" t="s">
        <v>491</v>
      </c>
      <c r="T19" s="6">
        <v>20000</v>
      </c>
      <c r="U19" s="4">
        <v>1</v>
      </c>
      <c r="V19" s="4" t="str">
        <f>IF((_xlfn.XLOOKUP(Profesores[[#This Row],[Nombre]],base_de_datos[Profesor],base_de_datos[Academia],1))=Profesores[[#Headers],[MEC]],"x","")</f>
        <v/>
      </c>
      <c r="W19" s="4" t="str">
        <f>IF((_xlfn.XLOOKUP(Profesores[[#This Row],[Nombre]],base_de_datos[Profesor],base_de_datos[Academia],1))=Profesores[[#Headers],[COM]],"x","")</f>
        <v/>
      </c>
      <c r="Y19" s="4" t="str">
        <f>IF((_xlfn.XLOOKUP(Profesores[[#This Row],[Nombre]],base_de_datos[Profesor],base_de_datos[Academia],1))=Profesores[[#Headers],[DOP]],"x","")</f>
        <v/>
      </c>
      <c r="Z19" s="4" t="str">
        <f>IF((_xlfn.XLOOKUP(Profesores[[#This Row],[Nombre]],base_de_datos[Profesor],base_de_datos[Academia],1))=Profesores[[#Headers],[ETF]],"x","")</f>
        <v/>
      </c>
      <c r="AA19" s="4" t="str">
        <f>IF((_xlfn.XLOOKUP(Profesores[[#This Row],[Nombre]],base_de_datos[Profesor],base_de_datos[Academia],1))=Profesores[[#Headers],[MAT]],"x","")</f>
        <v/>
      </c>
      <c r="AB19" s="4" t="s">
        <v>595</v>
      </c>
      <c r="AC19" s="6" t="str">
        <f>IF((_xlfn.XLOOKUP(Profesores[[#This Row],[Nombre]],base_de_datos[Profesor],base_de_datos[Academia],1))=Profesores[[#Headers],[AIC]],"x","")</f>
        <v/>
      </c>
      <c r="AD19" s="4" t="str">
        <f>IF((_xlfn.XLOOKUP(Profesores[[#This Row],[Nombre]],base_de_datos[Profesor],base_de_datos[Academia],1))=Profesores[[#Headers],[ESC]],"x","")</f>
        <v/>
      </c>
      <c r="AE19" s="6" t="str">
        <f>IF((_xlfn.XLOOKUP(Profesores[[#This Row],[Nombre]],base_de_datos[Profesor],base_de_datos[Academia],1))=Profesores[[#Headers],[HUM]],"x","")</f>
        <v/>
      </c>
      <c r="AF19" s="4" t="s">
        <v>67</v>
      </c>
      <c r="AG19" s="6" t="str">
        <f>IF((_xlfn.XLOOKUP(Profesores[[#This Row],[Nombre]],base_de_datos[Profesor],base_de_datos[Academia],1))=Profesores[[#Headers],[BIO]],"x","")</f>
        <v/>
      </c>
      <c r="AH19" s="6" t="s">
        <v>596</v>
      </c>
      <c r="AI19" s="6" t="s">
        <v>597</v>
      </c>
      <c r="AJ19" s="6">
        <f>TRUNC(IFERROR(Profesores[[#This Row],[Ex Inglés]]*677/100,0),0)</f>
        <v>0</v>
      </c>
      <c r="AL19" s="67" t="s">
        <v>569</v>
      </c>
      <c r="AM19" s="67" t="s">
        <v>598</v>
      </c>
      <c r="AN19" s="67">
        <v>14</v>
      </c>
      <c r="AQ19" s="190" t="s">
        <v>366</v>
      </c>
      <c r="AR19" s="190">
        <v>40</v>
      </c>
      <c r="AS19" s="10"/>
      <c r="AT19" s="10">
        <v>15</v>
      </c>
      <c r="AU19" s="10">
        <v>25</v>
      </c>
      <c r="AV19" s="10"/>
      <c r="AW19" s="9" t="s">
        <v>599</v>
      </c>
      <c r="AX19" s="9">
        <v>25</v>
      </c>
    </row>
    <row r="20" spans="2:50" ht="12.75" hidden="1" customHeight="1">
      <c r="B20" s="6">
        <v>43</v>
      </c>
      <c r="C20" s="4" t="s">
        <v>497</v>
      </c>
      <c r="D20" s="4" t="s">
        <v>498</v>
      </c>
      <c r="E20" s="56">
        <v>211285</v>
      </c>
      <c r="F20" s="133" t="s">
        <v>143</v>
      </c>
      <c r="G20" s="33" t="s">
        <v>600</v>
      </c>
      <c r="H20" s="33" t="s">
        <v>582</v>
      </c>
      <c r="I20" s="33" t="s">
        <v>601</v>
      </c>
      <c r="J20" s="58">
        <v>27563</v>
      </c>
      <c r="K20" s="33" t="s">
        <v>515</v>
      </c>
      <c r="L20" s="4" t="s">
        <v>504</v>
      </c>
      <c r="M20" s="53">
        <v>4499286177</v>
      </c>
      <c r="N20" s="89" t="s">
        <v>602</v>
      </c>
      <c r="O20" s="128" t="s">
        <v>603</v>
      </c>
      <c r="P20" s="4">
        <v>226</v>
      </c>
      <c r="Q20" s="4" t="s">
        <v>604</v>
      </c>
      <c r="R20" s="4" t="s">
        <v>491</v>
      </c>
      <c r="S20" s="4" t="s">
        <v>491</v>
      </c>
      <c r="T20" s="6">
        <v>20200</v>
      </c>
      <c r="U20" s="4"/>
      <c r="V20" s="4"/>
      <c r="W20" s="4" t="s">
        <v>67</v>
      </c>
      <c r="AB20" s="4"/>
      <c r="AL20" s="67" t="s">
        <v>569</v>
      </c>
      <c r="AM20" s="67" t="s">
        <v>605</v>
      </c>
      <c r="AN20" s="67">
        <v>12</v>
      </c>
      <c r="AQ20" s="9" t="s">
        <v>87</v>
      </c>
      <c r="AR20" s="10">
        <v>40</v>
      </c>
      <c r="AS20" s="10"/>
      <c r="AT20" s="10"/>
      <c r="AU20" s="10"/>
      <c r="AV20" s="10"/>
      <c r="AW20" s="9" t="s">
        <v>124</v>
      </c>
      <c r="AX20" s="9">
        <v>20</v>
      </c>
    </row>
    <row r="21" spans="2:50" ht="12" hidden="1" customHeight="1">
      <c r="B21" s="6">
        <v>42</v>
      </c>
      <c r="C21" s="4" t="s">
        <v>484</v>
      </c>
      <c r="D21" s="4" t="s">
        <v>498</v>
      </c>
      <c r="E21" s="56">
        <v>240690</v>
      </c>
      <c r="F21" s="133" t="s">
        <v>148</v>
      </c>
      <c r="G21" s="33" t="s">
        <v>606</v>
      </c>
      <c r="H21" s="33" t="s">
        <v>501</v>
      </c>
      <c r="I21" s="33" t="s">
        <v>607</v>
      </c>
      <c r="J21" s="58">
        <v>34125</v>
      </c>
      <c r="K21" s="33" t="s">
        <v>515</v>
      </c>
      <c r="L21" s="4" t="s">
        <v>504</v>
      </c>
      <c r="M21" s="53">
        <v>4495501350</v>
      </c>
      <c r="N21" s="89" t="s">
        <v>608</v>
      </c>
      <c r="O21" s="128" t="s">
        <v>609</v>
      </c>
      <c r="P21" s="4">
        <v>153</v>
      </c>
      <c r="Q21" s="4" t="s">
        <v>550</v>
      </c>
      <c r="R21" s="4" t="s">
        <v>491</v>
      </c>
      <c r="S21" s="4" t="s">
        <v>491</v>
      </c>
      <c r="T21" s="6">
        <v>20196</v>
      </c>
      <c r="U21" s="4">
        <v>2</v>
      </c>
      <c r="V21" s="4" t="str">
        <f>IF((_xlfn.XLOOKUP(Profesores[[#This Row],[Nombre]],base_de_datos[Profesor],base_de_datos[Academia],1))=Profesores[[#Headers],[MEC]],"x","")</f>
        <v/>
      </c>
      <c r="W21" s="4" t="str">
        <f>IF((_xlfn.XLOOKUP(Profesores[[#This Row],[Nombre]],base_de_datos[Profesor],base_de_datos[Academia],1))=Profesores[[#Headers],[COM]],"x","")</f>
        <v>x</v>
      </c>
      <c r="Y21" s="4" t="str">
        <f>IF((_xlfn.XLOOKUP(Profesores[[#This Row],[Nombre]],base_de_datos[Profesor],base_de_datos[Academia],1))=Profesores[[#Headers],[DOP]],"x","")</f>
        <v/>
      </c>
      <c r="Z21" s="4" t="str">
        <f>IF((_xlfn.XLOOKUP(Profesores[[#This Row],[Nombre]],base_de_datos[Profesor],base_de_datos[Academia],1))=Profesores[[#Headers],[ETF]],"x","")</f>
        <v/>
      </c>
      <c r="AA21" s="4" t="str">
        <f>IF((_xlfn.XLOOKUP(Profesores[[#This Row],[Nombre]],base_de_datos[Profesor],base_de_datos[Academia],1))=Profesores[[#Headers],[MAT]],"x","")</f>
        <v/>
      </c>
      <c r="AB21" s="4" t="str">
        <f>IF((_xlfn.XLOOKUP(Profesores[[#This Row],[Nombre]],base_de_datos[Profesor],base_de_datos[Academia],1))=Profesores[[#Headers],[EMP]],"x","")</f>
        <v/>
      </c>
      <c r="AC21" s="6" t="str">
        <f>IF((_xlfn.XLOOKUP(Profesores[[#This Row],[Nombre]],base_de_datos[Profesor],base_de_datos[Academia],1))=Profesores[[#Headers],[AIC]],"x","")</f>
        <v/>
      </c>
      <c r="AD21" s="4" t="str">
        <f>IF((_xlfn.XLOOKUP(Profesores[[#This Row],[Nombre]],base_de_datos[Profesor],base_de_datos[Academia],1))=Profesores[[#Headers],[ESC]],"x","")</f>
        <v/>
      </c>
      <c r="AE21" s="6" t="str">
        <f>IF((_xlfn.XLOOKUP(Profesores[[#This Row],[Nombre]],base_de_datos[Profesor],base_de_datos[Academia],1))=Profesores[[#Headers],[HUM]],"x","")</f>
        <v/>
      </c>
      <c r="AF21" s="4" t="str">
        <f>IF((_xlfn.XLOOKUP(Profesores[[#This Row],[Nombre]],base_de_datos[Profesor],base_de_datos[Academia],1))=Profesores[[#Headers],[IID]],"x","")</f>
        <v/>
      </c>
      <c r="AG21" s="6" t="str">
        <f>IF((_xlfn.XLOOKUP(Profesores[[#This Row],[Nombre]],base_de_datos[Profesor],base_de_datos[Academia],1))=Profesores[[#Headers],[BIO]],"x","")</f>
        <v/>
      </c>
      <c r="AH21" s="6" t="s">
        <v>543</v>
      </c>
      <c r="AI21" s="6" t="s">
        <v>504</v>
      </c>
      <c r="AJ21" s="6">
        <f>TRUNC(IFERROR(Profesores[[#This Row],[Ex Inglés]]*677/100,0),0)</f>
        <v>0</v>
      </c>
      <c r="AL21" s="67"/>
      <c r="AM21" s="67"/>
      <c r="AN21" s="67"/>
      <c r="AQ21" s="190" t="s">
        <v>206</v>
      </c>
      <c r="AR21" s="10">
        <v>30</v>
      </c>
      <c r="AS21" s="10"/>
      <c r="AT21" s="10"/>
      <c r="AU21" s="10"/>
      <c r="AV21" s="10"/>
      <c r="AW21" s="9"/>
      <c r="AX21" s="9"/>
    </row>
    <row r="22" spans="2:50" ht="12" hidden="1" customHeight="1">
      <c r="B22" s="6">
        <v>63</v>
      </c>
      <c r="C22" s="4" t="s">
        <v>497</v>
      </c>
      <c r="D22" s="4" t="s">
        <v>498</v>
      </c>
      <c r="E22" s="56">
        <v>245137</v>
      </c>
      <c r="F22" s="133" t="s">
        <v>150</v>
      </c>
      <c r="G22" s="33" t="s">
        <v>610</v>
      </c>
      <c r="H22" s="33" t="s">
        <v>611</v>
      </c>
      <c r="I22" s="33" t="s">
        <v>612</v>
      </c>
      <c r="J22" s="58">
        <v>29992</v>
      </c>
      <c r="K22" s="33" t="s">
        <v>515</v>
      </c>
      <c r="L22" s="4" t="s">
        <v>504</v>
      </c>
      <c r="M22" s="53">
        <v>4498041302</v>
      </c>
      <c r="N22" s="89" t="s">
        <v>613</v>
      </c>
      <c r="O22" s="128" t="s">
        <v>614</v>
      </c>
      <c r="P22" s="4" t="s">
        <v>615</v>
      </c>
      <c r="Q22" s="4" t="s">
        <v>616</v>
      </c>
      <c r="R22" s="4" t="s">
        <v>491</v>
      </c>
      <c r="S22" s="4" t="s">
        <v>491</v>
      </c>
      <c r="T22" s="6">
        <v>20137</v>
      </c>
      <c r="U22" s="4">
        <v>2</v>
      </c>
      <c r="V22" s="4" t="str">
        <f>IF((_xlfn.XLOOKUP(Profesores[[#This Row],[Nombre]],base_de_datos[Profesor],base_de_datos[Academia],1))=Profesores[[#Headers],[MEC]],"x","")</f>
        <v/>
      </c>
      <c r="W22" s="4" t="str">
        <f>IF((_xlfn.XLOOKUP(Profesores[[#This Row],[Nombre]],base_de_datos[Profesor],base_de_datos[Academia],1))=Profesores[[#Headers],[COM]],"x","")</f>
        <v/>
      </c>
      <c r="Y22" s="4" t="str">
        <f>IF((_xlfn.XLOOKUP(Profesores[[#This Row],[Nombre]],base_de_datos[Profesor],base_de_datos[Academia],1))=Profesores[[#Headers],[DOP]],"x","")</f>
        <v/>
      </c>
      <c r="Z22" s="4" t="str">
        <f>IF((_xlfn.XLOOKUP(Profesores[[#This Row],[Nombre]],base_de_datos[Profesor],base_de_datos[Academia],1))=Profesores[[#Headers],[ETF]],"x","")</f>
        <v/>
      </c>
      <c r="AA22" s="4" t="str">
        <f>IF((_xlfn.XLOOKUP(Profesores[[#This Row],[Nombre]],base_de_datos[Profesor],base_de_datos[Academia],1))=Profesores[[#Headers],[MAT]],"x","")</f>
        <v/>
      </c>
      <c r="AB22" s="4" t="str">
        <f>IF((_xlfn.XLOOKUP(Profesores[[#This Row],[Nombre]],base_de_datos[Profesor],base_de_datos[Academia],1))=Profesores[[#Headers],[EMP]],"x","")</f>
        <v/>
      </c>
      <c r="AC22" s="6" t="str">
        <f>IF((_xlfn.XLOOKUP(Profesores[[#This Row],[Nombre]],base_de_datos[Profesor],base_de_datos[Academia],1))=Profesores[[#Headers],[AIC]],"x","")</f>
        <v/>
      </c>
      <c r="AD22" s="4" t="str">
        <f>IF((_xlfn.XLOOKUP(Profesores[[#This Row],[Nombre]],base_de_datos[Profesor],base_de_datos[Academia],1))=Profesores[[#Headers],[ESC]],"x","")</f>
        <v>x</v>
      </c>
      <c r="AE22" s="6" t="str">
        <f>IF((_xlfn.XLOOKUP(Profesores[[#This Row],[Nombre]],base_de_datos[Profesor],base_de_datos[Academia],1))=Profesores[[#Headers],[HUM]],"x","")</f>
        <v/>
      </c>
      <c r="AF22" s="4" t="str">
        <f>IF((_xlfn.XLOOKUP(Profesores[[#This Row],[Nombre]],base_de_datos[Profesor],base_de_datos[Academia],1))=Profesores[[#Headers],[IID]],"x","")</f>
        <v/>
      </c>
      <c r="AG22" s="6" t="str">
        <f>IF((_xlfn.XLOOKUP(Profesores[[#This Row],[Nombre]],base_de_datos[Profesor],base_de_datos[Academia],1))=Profesores[[#Headers],[BIO]],"x","")</f>
        <v/>
      </c>
      <c r="AH22" s="6" t="s">
        <v>543</v>
      </c>
      <c r="AI22" s="6" t="s">
        <v>504</v>
      </c>
      <c r="AJ22" s="6">
        <f>TRUNC(IFERROR(Profesores[[#This Row],[Ex Inglés]]*677/100,0),0)</f>
        <v>0</v>
      </c>
      <c r="AL22" s="67"/>
      <c r="AM22" s="67"/>
      <c r="AN22" s="67"/>
      <c r="AQ22" s="190" t="s">
        <v>112</v>
      </c>
      <c r="AR22" s="190">
        <v>30</v>
      </c>
      <c r="AS22" s="10"/>
      <c r="AT22" s="10"/>
      <c r="AU22" s="10"/>
      <c r="AV22" s="10"/>
      <c r="AW22" s="9"/>
      <c r="AX22" s="9"/>
    </row>
    <row r="23" spans="2:50" ht="12" hidden="1" customHeight="1">
      <c r="B23" s="4" t="s">
        <v>476</v>
      </c>
      <c r="E23" s="56"/>
      <c r="F23" s="6" t="s">
        <v>617</v>
      </c>
      <c r="J23" s="4"/>
      <c r="M23" s="53"/>
      <c r="N23" s="53"/>
      <c r="O23" s="128"/>
      <c r="T23" s="6"/>
      <c r="U23" s="4">
        <v>1</v>
      </c>
      <c r="V23" s="4" t="str">
        <f>IF((_xlfn.XLOOKUP(Profesores[[#This Row],[Nombre]],base_de_datos[Profesor],base_de_datos[Academia],1))=Profesores[[#Headers],[MEC]],"x","")</f>
        <v/>
      </c>
      <c r="W23" s="4" t="str">
        <f>IF((_xlfn.XLOOKUP(Profesores[[#This Row],[Nombre]],base_de_datos[Profesor],base_de_datos[Academia],1))=Profesores[[#Headers],[COM]],"x","")</f>
        <v/>
      </c>
      <c r="Y23" s="4" t="str">
        <f>IF((_xlfn.XLOOKUP(Profesores[[#This Row],[Nombre]],base_de_datos[Profesor],base_de_datos[Academia],1))=Profesores[[#Headers],[DOP]],"x","")</f>
        <v/>
      </c>
      <c r="Z23" s="4" t="str">
        <f>IF((_xlfn.XLOOKUP(Profesores[[#This Row],[Nombre]],base_de_datos[Profesor],base_de_datos[Academia],1))=Profesores[[#Headers],[ETF]],"x","")</f>
        <v/>
      </c>
      <c r="AA23" s="4" t="str">
        <f>IF((_xlfn.XLOOKUP(Profesores[[#This Row],[Nombre]],base_de_datos[Profesor],base_de_datos[Academia],1))=Profesores[[#Headers],[MAT]],"x","")</f>
        <v/>
      </c>
      <c r="AB23" s="4" t="str">
        <f>IF((_xlfn.XLOOKUP(Profesores[[#This Row],[Nombre]],base_de_datos[Profesor],base_de_datos[Academia],1))=Profesores[[#Headers],[EMP]],"x","")</f>
        <v/>
      </c>
      <c r="AC23" s="6" t="str">
        <f>IF((_xlfn.XLOOKUP(Profesores[[#This Row],[Nombre]],base_de_datos[Profesor],base_de_datos[Academia],1))=Profesores[[#Headers],[AIC]],"x","")</f>
        <v/>
      </c>
      <c r="AD23" s="4" t="str">
        <f>IF((_xlfn.XLOOKUP(Profesores[[#This Row],[Nombre]],base_de_datos[Profesor],base_de_datos[Academia],1))=Profesores[[#Headers],[ESC]],"x","")</f>
        <v/>
      </c>
      <c r="AE23" s="6" t="str">
        <f>IF((_xlfn.XLOOKUP(Profesores[[#This Row],[Nombre]],base_de_datos[Profesor],base_de_datos[Academia],1))=Profesores[[#Headers],[HUM]],"x","")</f>
        <v/>
      </c>
      <c r="AF23" s="4" t="str">
        <f>IF((_xlfn.XLOOKUP(Profesores[[#This Row],[Nombre]],base_de_datos[Profesor],base_de_datos[Academia],1))=Profesores[[#Headers],[IID]],"x","")</f>
        <v/>
      </c>
      <c r="AG23" s="6" t="str">
        <f>IF((_xlfn.XLOOKUP(Profesores[[#This Row],[Nombre]],base_de_datos[Profesor],base_de_datos[Academia],1))=Profesores[[#Headers],[BIO]],"x","")</f>
        <v/>
      </c>
      <c r="AH23" s="6" t="s">
        <v>543</v>
      </c>
      <c r="AJ23" s="6">
        <f>TRUNC(IFERROR(Profesores[[#This Row],[Ex Inglés]]*677/100,0),0)</f>
        <v>0</v>
      </c>
      <c r="AL23" s="67"/>
      <c r="AM23" s="67"/>
      <c r="AN23" s="67"/>
      <c r="AQ23" s="190" t="s">
        <v>127</v>
      </c>
      <c r="AR23" s="190">
        <v>30</v>
      </c>
      <c r="AS23" s="10"/>
      <c r="AT23" s="10">
        <v>12</v>
      </c>
      <c r="AU23" s="10">
        <v>18</v>
      </c>
      <c r="AV23" s="10"/>
      <c r="AW23" s="9"/>
      <c r="AX23" s="9"/>
    </row>
    <row r="24" spans="2:50" ht="12" hidden="1" customHeight="1">
      <c r="B24" s="6">
        <v>3</v>
      </c>
      <c r="C24" s="2" t="s">
        <v>499</v>
      </c>
      <c r="D24" s="2" t="s">
        <v>485</v>
      </c>
      <c r="E24" s="66">
        <v>171716</v>
      </c>
      <c r="F24" s="134" t="s">
        <v>156</v>
      </c>
      <c r="G24" s="34" t="s">
        <v>618</v>
      </c>
      <c r="H24" s="34" t="s">
        <v>619</v>
      </c>
      <c r="I24" s="34" t="s">
        <v>620</v>
      </c>
      <c r="J24" s="57">
        <v>31664</v>
      </c>
      <c r="K24" s="188" t="s">
        <v>515</v>
      </c>
      <c r="L24" s="4" t="s">
        <v>504</v>
      </c>
      <c r="M24" s="53">
        <v>4491488515</v>
      </c>
      <c r="N24" s="195" t="s">
        <v>621</v>
      </c>
      <c r="O24" s="128" t="s">
        <v>622</v>
      </c>
      <c r="P24" s="4" t="s">
        <v>623</v>
      </c>
      <c r="Q24" s="4" t="s">
        <v>624</v>
      </c>
      <c r="R24" s="4" t="s">
        <v>491</v>
      </c>
      <c r="S24" s="4" t="s">
        <v>491</v>
      </c>
      <c r="T24" s="6">
        <v>20196</v>
      </c>
      <c r="U24" s="4">
        <v>2</v>
      </c>
      <c r="V24" s="4" t="str">
        <f>IF((_xlfn.XLOOKUP(Profesores[[#This Row],[Nombre]],base_de_datos[Profesor],base_de_datos[Academia],1))=Profesores[[#Headers],[MEC]],"x","")</f>
        <v/>
      </c>
      <c r="W24" s="4" t="str">
        <f>IF((_xlfn.XLOOKUP(Profesores[[#This Row],[Nombre]],base_de_datos[Profesor],base_de_datos[Academia],1))=Profesores[[#Headers],[COM]],"x","")</f>
        <v>x</v>
      </c>
      <c r="Y24" s="4" t="str">
        <f>IF((_xlfn.XLOOKUP(Profesores[[#This Row],[Nombre]],base_de_datos[Profesor],base_de_datos[Academia],1))=Profesores[[#Headers],[DOP]],"x","")</f>
        <v/>
      </c>
      <c r="Z24" s="4" t="str">
        <f>IF((_xlfn.XLOOKUP(Profesores[[#This Row],[Nombre]],base_de_datos[Profesor],base_de_datos[Academia],1))=Profesores[[#Headers],[ETF]],"x","")</f>
        <v/>
      </c>
      <c r="AA24" s="4" t="str">
        <f>IF((_xlfn.XLOOKUP(Profesores[[#This Row],[Nombre]],base_de_datos[Profesor],base_de_datos[Academia],1))=Profesores[[#Headers],[MAT]],"x","")</f>
        <v/>
      </c>
      <c r="AB24" s="4" t="str">
        <f>IF((_xlfn.XLOOKUP(Profesores[[#This Row],[Nombre]],base_de_datos[Profesor],base_de_datos[Academia],1))=Profesores[[#Headers],[EMP]],"x","")</f>
        <v/>
      </c>
      <c r="AC24" s="6" t="str">
        <f>IF((_xlfn.XLOOKUP(Profesores[[#This Row],[Nombre]],base_de_datos[Profesor],base_de_datos[Academia],1))=Profesores[[#Headers],[AIC]],"x","")</f>
        <v/>
      </c>
      <c r="AD24" s="4" t="str">
        <f>IF((_xlfn.XLOOKUP(Profesores[[#This Row],[Nombre]],base_de_datos[Profesor],base_de_datos[Academia],1))=Profesores[[#Headers],[ESC]],"x","")</f>
        <v/>
      </c>
      <c r="AE24" s="6" t="str">
        <f>IF((_xlfn.XLOOKUP(Profesores[[#This Row],[Nombre]],base_de_datos[Profesor],base_de_datos[Academia],1))=Profesores[[#Headers],[HUM]],"x","")</f>
        <v/>
      </c>
      <c r="AF24" s="4" t="str">
        <f>IF((_xlfn.XLOOKUP(Profesores[[#This Row],[Nombre]],base_de_datos[Profesor],base_de_datos[Academia],1))=Profesores[[#Headers],[IID]],"x","")</f>
        <v/>
      </c>
      <c r="AG24" s="6" t="str">
        <f>IF((_xlfn.XLOOKUP(Profesores[[#This Row],[Nombre]],base_de_datos[Profesor],base_de_datos[Academia],1))=Profesores[[#Headers],[BIO]],"x","")</f>
        <v/>
      </c>
      <c r="AH24" s="6" t="s">
        <v>543</v>
      </c>
      <c r="AJ24" s="6">
        <f>TRUNC(IFERROR(Profesores[[#This Row],[Ex Inglés]]*677/100,0),0)</f>
        <v>0</v>
      </c>
      <c r="AL24" s="67" t="s">
        <v>569</v>
      </c>
      <c r="AM24" s="67" t="s">
        <v>625</v>
      </c>
      <c r="AN24" s="67">
        <v>11</v>
      </c>
      <c r="AQ24" s="190" t="s">
        <v>132</v>
      </c>
      <c r="AR24" s="190">
        <v>30</v>
      </c>
      <c r="AS24" s="10"/>
      <c r="AT24" s="10">
        <v>12</v>
      </c>
      <c r="AU24" s="10">
        <v>18</v>
      </c>
      <c r="AV24" s="10"/>
      <c r="AW24" s="9" t="s">
        <v>370</v>
      </c>
      <c r="AX24" s="9">
        <v>16</v>
      </c>
    </row>
    <row r="25" spans="2:50" ht="12" hidden="1" customHeight="1">
      <c r="B25" s="6">
        <v>110</v>
      </c>
      <c r="C25" s="4" t="s">
        <v>499</v>
      </c>
      <c r="D25" s="4" t="s">
        <v>511</v>
      </c>
      <c r="E25" s="56">
        <v>180007</v>
      </c>
      <c r="F25" s="202" t="s">
        <v>158</v>
      </c>
      <c r="G25" s="33" t="s">
        <v>626</v>
      </c>
      <c r="H25" s="33" t="s">
        <v>627</v>
      </c>
      <c r="J25" s="58">
        <v>21567</v>
      </c>
      <c r="K25" s="33" t="s">
        <v>515</v>
      </c>
      <c r="L25" s="4" t="s">
        <v>504</v>
      </c>
      <c r="M25" s="53">
        <v>4921450181</v>
      </c>
      <c r="N25" s="137" t="s">
        <v>628</v>
      </c>
      <c r="O25" s="128" t="s">
        <v>629</v>
      </c>
      <c r="P25" s="4">
        <v>315</v>
      </c>
      <c r="Q25" s="33" t="s">
        <v>630</v>
      </c>
      <c r="R25" s="4" t="s">
        <v>491</v>
      </c>
      <c r="S25" s="4" t="s">
        <v>491</v>
      </c>
      <c r="T25" s="6">
        <v>20296</v>
      </c>
      <c r="U25" s="4">
        <v>1</v>
      </c>
      <c r="V25" s="4" t="str">
        <f>IF((_xlfn.XLOOKUP(Profesores[[#This Row],[Nombre]],base_de_datos[Profesor],base_de_datos[Academia],1))=Profesores[[#Headers],[MEC]],"x","")</f>
        <v/>
      </c>
      <c r="W25" s="4" t="str">
        <f>IF((_xlfn.XLOOKUP(Profesores[[#This Row],[Nombre]],base_de_datos[Profesor],base_de_datos[Academia],1))=Profesores[[#Headers],[COM]],"x","")</f>
        <v/>
      </c>
      <c r="Y25" s="4" t="str">
        <f>IF((_xlfn.XLOOKUP(Profesores[[#This Row],[Nombre]],base_de_datos[Profesor],base_de_datos[Academia],1))=Profesores[[#Headers],[DOP]],"x","")</f>
        <v/>
      </c>
      <c r="Z25" s="4" t="str">
        <f>IF((_xlfn.XLOOKUP(Profesores[[#This Row],[Nombre]],base_de_datos[Profesor],base_de_datos[Academia],1))=Profesores[[#Headers],[ETF]],"x","")</f>
        <v/>
      </c>
      <c r="AA25" s="4" t="str">
        <f>IF((_xlfn.XLOOKUP(Profesores[[#This Row],[Nombre]],base_de_datos[Profesor],base_de_datos[Academia],1))=Profesores[[#Headers],[MAT]],"x","")</f>
        <v/>
      </c>
      <c r="AB25" s="4" t="str">
        <f>IF((_xlfn.XLOOKUP(Profesores[[#This Row],[Nombre]],base_de_datos[Profesor],base_de_datos[Academia],1))=Profesores[[#Headers],[EMP]],"x","")</f>
        <v/>
      </c>
      <c r="AC25" s="6" t="str">
        <f>IF((_xlfn.XLOOKUP(Profesores[[#This Row],[Nombre]],base_de_datos[Profesor],base_de_datos[Academia],1))=Profesores[[#Headers],[AIC]],"x","")</f>
        <v/>
      </c>
      <c r="AD25" s="4" t="str">
        <f>IF((_xlfn.XLOOKUP(Profesores[[#This Row],[Nombre]],base_de_datos[Profesor],base_de_datos[Academia],1))=Profesores[[#Headers],[ESC]],"x","")</f>
        <v/>
      </c>
      <c r="AE25" s="6" t="str">
        <f>IF((_xlfn.XLOOKUP(Profesores[[#This Row],[Nombre]],base_de_datos[Profesor],base_de_datos[Academia],1))=Profesores[[#Headers],[HUM]],"x","")</f>
        <v>x</v>
      </c>
      <c r="AF25" s="4" t="str">
        <f>IF((_xlfn.XLOOKUP(Profesores[[#This Row],[Nombre]],base_de_datos[Profesor],base_de_datos[Academia],1))=Profesores[[#Headers],[IID]],"x","")</f>
        <v/>
      </c>
      <c r="AG25" s="6" t="str">
        <f>IF((_xlfn.XLOOKUP(Profesores[[#This Row],[Nombre]],base_de_datos[Profesor],base_de_datos[Academia],1))=Profesores[[#Headers],[BIO]],"x","")</f>
        <v/>
      </c>
      <c r="AH25" s="6" t="s">
        <v>543</v>
      </c>
      <c r="AI25" s="6" t="s">
        <v>597</v>
      </c>
      <c r="AJ25" s="6">
        <f>TRUNC(IFERROR(Profesores[[#This Row],[Ex Inglés]]*677/100,0),0)</f>
        <v>0</v>
      </c>
      <c r="AL25" s="67" t="s">
        <v>569</v>
      </c>
      <c r="AM25" s="67" t="s">
        <v>631</v>
      </c>
      <c r="AN25" s="67">
        <v>10</v>
      </c>
      <c r="AQ25" s="190" t="s">
        <v>287</v>
      </c>
      <c r="AR25" s="190">
        <v>60</v>
      </c>
      <c r="AS25" s="10"/>
      <c r="AT25" s="10">
        <v>18</v>
      </c>
      <c r="AU25" s="10">
        <v>26</v>
      </c>
      <c r="AV25" s="10"/>
      <c r="AW25" s="9" t="s">
        <v>632</v>
      </c>
      <c r="AX25" s="9">
        <v>10</v>
      </c>
    </row>
    <row r="26" spans="2:50" ht="12" hidden="1" customHeight="1">
      <c r="B26" s="4" t="s">
        <v>633</v>
      </c>
      <c r="E26" s="56"/>
      <c r="F26" s="6" t="s">
        <v>634</v>
      </c>
      <c r="J26" s="4"/>
      <c r="M26" s="53"/>
      <c r="N26" s="53"/>
      <c r="O26" s="128"/>
      <c r="T26" s="6"/>
      <c r="U26" s="4">
        <v>1</v>
      </c>
      <c r="V26" s="4" t="str">
        <f>IF((_xlfn.XLOOKUP(Profesores[[#This Row],[Nombre]],base_de_datos[Profesor],base_de_datos[Academia],1))=Profesores[[#Headers],[MEC]],"x","")</f>
        <v/>
      </c>
      <c r="W26" s="4" t="str">
        <f>IF((_xlfn.XLOOKUP(Profesores[[#This Row],[Nombre]],base_de_datos[Profesor],base_de_datos[Academia],1))=Profesores[[#Headers],[COM]],"x","")</f>
        <v/>
      </c>
      <c r="Y26" s="4" t="str">
        <f>IF((_xlfn.XLOOKUP(Profesores[[#This Row],[Nombre]],base_de_datos[Profesor],base_de_datos[Academia],1))=Profesores[[#Headers],[DOP]],"x","")</f>
        <v/>
      </c>
      <c r="Z26" s="4" t="str">
        <f>IF((_xlfn.XLOOKUP(Profesores[[#This Row],[Nombre]],base_de_datos[Profesor],base_de_datos[Academia],1))=Profesores[[#Headers],[ETF]],"x","")</f>
        <v/>
      </c>
      <c r="AA26" s="4" t="str">
        <f>IF((_xlfn.XLOOKUP(Profesores[[#This Row],[Nombre]],base_de_datos[Profesor],base_de_datos[Academia],1))=Profesores[[#Headers],[MAT]],"x","")</f>
        <v/>
      </c>
      <c r="AB26" s="4" t="str">
        <f>IF((_xlfn.XLOOKUP(Profesores[[#This Row],[Nombre]],base_de_datos[Profesor],base_de_datos[Academia],1))=Profesores[[#Headers],[EMP]],"x","")</f>
        <v/>
      </c>
      <c r="AC26" s="6" t="str">
        <f>IF((_xlfn.XLOOKUP(Profesores[[#This Row],[Nombre]],base_de_datos[Profesor],base_de_datos[Academia],1))=Profesores[[#Headers],[AIC]],"x","")</f>
        <v/>
      </c>
      <c r="AD26" s="4" t="str">
        <f>IF((_xlfn.XLOOKUP(Profesores[[#This Row],[Nombre]],base_de_datos[Profesor],base_de_datos[Academia],1))=Profesores[[#Headers],[ESC]],"x","")</f>
        <v/>
      </c>
      <c r="AE26" s="6" t="str">
        <f>IF((_xlfn.XLOOKUP(Profesores[[#This Row],[Nombre]],base_de_datos[Profesor],base_de_datos[Academia],1))=Profesores[[#Headers],[HUM]],"x","")</f>
        <v/>
      </c>
      <c r="AF26" s="4" t="str">
        <f>IF((_xlfn.XLOOKUP(Profesores[[#This Row],[Nombre]],base_de_datos[Profesor],base_de_datos[Academia],1))=Profesores[[#Headers],[IID]],"x","")</f>
        <v/>
      </c>
      <c r="AG26" s="6" t="str">
        <f>IF((_xlfn.XLOOKUP(Profesores[[#This Row],[Nombre]],base_de_datos[Profesor],base_de_datos[Academia],1))=Profesores[[#Headers],[BIO]],"x","")</f>
        <v/>
      </c>
      <c r="AH26" s="6">
        <v>81.760000000000005</v>
      </c>
      <c r="AI26" s="6" t="s">
        <v>578</v>
      </c>
      <c r="AJ26" s="6">
        <f>TRUNC(IFERROR(Profesores[[#This Row],[Ex Inglés]]*677/100,0),0)</f>
        <v>553</v>
      </c>
      <c r="AL26" s="193" t="s">
        <v>569</v>
      </c>
      <c r="AM26" s="193" t="s">
        <v>635</v>
      </c>
      <c r="AN26" s="67">
        <v>8</v>
      </c>
      <c r="AQ26" s="190" t="s">
        <v>325</v>
      </c>
      <c r="AR26" s="190">
        <v>30</v>
      </c>
      <c r="AS26" s="10"/>
      <c r="AT26" s="10">
        <v>12</v>
      </c>
      <c r="AU26" s="10">
        <v>18</v>
      </c>
      <c r="AV26" s="10"/>
      <c r="AW26" s="9" t="s">
        <v>636</v>
      </c>
      <c r="AX26" s="9">
        <v>10</v>
      </c>
    </row>
    <row r="27" spans="2:50" ht="12" hidden="1" customHeight="1">
      <c r="B27" s="6">
        <v>4</v>
      </c>
      <c r="C27" s="2" t="s">
        <v>510</v>
      </c>
      <c r="D27" s="2" t="s">
        <v>485</v>
      </c>
      <c r="E27" s="66">
        <v>220296</v>
      </c>
      <c r="F27" s="219" t="s">
        <v>161</v>
      </c>
      <c r="G27" s="34" t="s">
        <v>637</v>
      </c>
      <c r="H27" s="34" t="s">
        <v>638</v>
      </c>
      <c r="I27" s="34" t="s">
        <v>639</v>
      </c>
      <c r="J27" s="57">
        <v>28425</v>
      </c>
      <c r="K27" s="188" t="s">
        <v>515</v>
      </c>
      <c r="L27" s="4" t="s">
        <v>504</v>
      </c>
      <c r="M27" s="53">
        <v>5544439655</v>
      </c>
      <c r="N27" s="195" t="s">
        <v>640</v>
      </c>
      <c r="O27" s="128" t="s">
        <v>641</v>
      </c>
      <c r="P27" s="4">
        <v>230</v>
      </c>
      <c r="Q27" s="4" t="s">
        <v>642</v>
      </c>
      <c r="R27" s="4" t="s">
        <v>491</v>
      </c>
      <c r="S27" s="4" t="s">
        <v>491</v>
      </c>
      <c r="T27" s="6">
        <v>20296</v>
      </c>
      <c r="U27" s="4">
        <v>1</v>
      </c>
      <c r="V27" s="4" t="str">
        <f>IF((_xlfn.XLOOKUP(Profesores[[#This Row],[Nombre]],base_de_datos[Profesor],base_de_datos[Academia],1))=Profesores[[#Headers],[MEC]],"x","")</f>
        <v/>
      </c>
      <c r="W27" s="4" t="str">
        <f>IF((_xlfn.XLOOKUP(Profesores[[#This Row],[Nombre]],base_de_datos[Profesor],base_de_datos[Academia],1))=Profesores[[#Headers],[COM]],"x","")</f>
        <v/>
      </c>
      <c r="Y27" s="4" t="str">
        <f>IF((_xlfn.XLOOKUP(Profesores[[#This Row],[Nombre]],base_de_datos[Profesor],base_de_datos[Academia],1))=Profesores[[#Headers],[DOP]],"x","")</f>
        <v>x</v>
      </c>
      <c r="Z27" s="4" t="str">
        <f>IF((_xlfn.XLOOKUP(Profesores[[#This Row],[Nombre]],base_de_datos[Profesor],base_de_datos[Academia],1))=Profesores[[#Headers],[ETF]],"x","")</f>
        <v/>
      </c>
      <c r="AA27" s="4" t="str">
        <f>IF((_xlfn.XLOOKUP(Profesores[[#This Row],[Nombre]],base_de_datos[Profesor],base_de_datos[Academia],1))=Profesores[[#Headers],[MAT]],"x","")</f>
        <v/>
      </c>
      <c r="AB27" s="4" t="str">
        <f>IF((_xlfn.XLOOKUP(Profesores[[#This Row],[Nombre]],base_de_datos[Profesor],base_de_datos[Academia],1))=Profesores[[#Headers],[EMP]],"x","")</f>
        <v/>
      </c>
      <c r="AC27" s="6" t="str">
        <f>IF((_xlfn.XLOOKUP(Profesores[[#This Row],[Nombre]],base_de_datos[Profesor],base_de_datos[Academia],1))=Profesores[[#Headers],[AIC]],"x","")</f>
        <v/>
      </c>
      <c r="AD27" s="4" t="str">
        <f>IF((_xlfn.XLOOKUP(Profesores[[#This Row],[Nombre]],base_de_datos[Profesor],base_de_datos[Academia],1))=Profesores[[#Headers],[ESC]],"x","")</f>
        <v/>
      </c>
      <c r="AE27" s="6" t="str">
        <f>IF((_xlfn.XLOOKUP(Profesores[[#This Row],[Nombre]],base_de_datos[Profesor],base_de_datos[Academia],1))=Profesores[[#Headers],[HUM]],"x","")</f>
        <v/>
      </c>
      <c r="AF27" s="4" t="str">
        <f>IF((_xlfn.XLOOKUP(Profesores[[#This Row],[Nombre]],base_de_datos[Profesor],base_de_datos[Academia],1))=Profesores[[#Headers],[IID]],"x","")</f>
        <v/>
      </c>
      <c r="AG27" s="6" t="str">
        <f>IF((_xlfn.XLOOKUP(Profesores[[#This Row],[Nombre]],base_de_datos[Profesor],base_de_datos[Academia],1))=Profesores[[#Headers],[BIO]],"x","")</f>
        <v/>
      </c>
      <c r="AH27" s="6">
        <v>76.66</v>
      </c>
      <c r="AI27" s="6" t="s">
        <v>597</v>
      </c>
      <c r="AJ27" s="6">
        <f>TRUNC(IFERROR(Profesores[[#This Row],[Ex Inglés]]*677/100,0),0)</f>
        <v>518</v>
      </c>
      <c r="AQ27" s="190" t="s">
        <v>80</v>
      </c>
      <c r="AR27" s="190">
        <v>30</v>
      </c>
      <c r="AS27" s="10"/>
      <c r="AT27" s="10"/>
      <c r="AU27" s="10"/>
      <c r="AV27" s="10"/>
      <c r="AW27"/>
      <c r="AX27"/>
    </row>
    <row r="28" spans="2:50" ht="12" hidden="1" customHeight="1">
      <c r="C28" s="6" t="s">
        <v>497</v>
      </c>
      <c r="D28" s="4" t="s">
        <v>498</v>
      </c>
      <c r="E28" s="56">
        <v>240670</v>
      </c>
      <c r="F28" s="133" t="s">
        <v>163</v>
      </c>
      <c r="G28" s="33" t="s">
        <v>643</v>
      </c>
      <c r="H28" s="33" t="s">
        <v>644</v>
      </c>
      <c r="I28" s="33" t="s">
        <v>607</v>
      </c>
      <c r="J28" s="58">
        <v>33283</v>
      </c>
      <c r="K28" s="33" t="s">
        <v>515</v>
      </c>
      <c r="L28" s="4" t="s">
        <v>504</v>
      </c>
      <c r="M28" s="53">
        <v>4491508058</v>
      </c>
      <c r="N28" s="54" t="s">
        <v>645</v>
      </c>
      <c r="O28" s="128" t="s">
        <v>646</v>
      </c>
      <c r="P28" s="4">
        <v>507</v>
      </c>
      <c r="Q28" s="4" t="s">
        <v>647</v>
      </c>
      <c r="R28" s="4" t="s">
        <v>491</v>
      </c>
      <c r="S28" s="4" t="s">
        <v>491</v>
      </c>
      <c r="T28" s="6">
        <v>20089</v>
      </c>
      <c r="U28" s="4">
        <v>1</v>
      </c>
      <c r="V28" s="4" t="str">
        <f>IF((_xlfn.XLOOKUP(Profesores[[#This Row],[Nombre]],base_de_datos[Profesor],base_de_datos[Academia],1))=Profesores[[#Headers],[MEC]],"x","")</f>
        <v/>
      </c>
      <c r="W28" s="4" t="str">
        <f>IF((_xlfn.XLOOKUP(Profesores[[#This Row],[Nombre]],base_de_datos[Profesor],base_de_datos[Academia],1))=Profesores[[#Headers],[COM]],"x","")</f>
        <v>x</v>
      </c>
      <c r="Y28" s="4" t="str">
        <f>IF((_xlfn.XLOOKUP(Profesores[[#This Row],[Nombre]],base_de_datos[Profesor],base_de_datos[Academia],1))=Profesores[[#Headers],[DOP]],"x","")</f>
        <v/>
      </c>
      <c r="Z28" s="4" t="str">
        <f>IF((_xlfn.XLOOKUP(Profesores[[#This Row],[Nombre]],base_de_datos[Profesor],base_de_datos[Academia],1))=Profesores[[#Headers],[ETF]],"x","")</f>
        <v/>
      </c>
      <c r="AA28" s="4" t="str">
        <f>IF((_xlfn.XLOOKUP(Profesores[[#This Row],[Nombre]],base_de_datos[Profesor],base_de_datos[Academia],1))=Profesores[[#Headers],[MAT]],"x","")</f>
        <v/>
      </c>
      <c r="AB28" s="4" t="str">
        <f>IF((_xlfn.XLOOKUP(Profesores[[#This Row],[Nombre]],base_de_datos[Profesor],base_de_datos[Academia],1))=Profesores[[#Headers],[EMP]],"x","")</f>
        <v/>
      </c>
      <c r="AC28" s="6" t="str">
        <f>IF((_xlfn.XLOOKUP(Profesores[[#This Row],[Nombre]],base_de_datos[Profesor],base_de_datos[Academia],1))=Profesores[[#Headers],[AIC]],"x","")</f>
        <v/>
      </c>
      <c r="AD28" s="4" t="str">
        <f>IF((_xlfn.XLOOKUP(Profesores[[#This Row],[Nombre]],base_de_datos[Profesor],base_de_datos[Academia],1))=Profesores[[#Headers],[ESC]],"x","")</f>
        <v/>
      </c>
      <c r="AE28" s="6" t="str">
        <f>IF((_xlfn.XLOOKUP(Profesores[[#This Row],[Nombre]],base_de_datos[Profesor],base_de_datos[Academia],1))=Profesores[[#Headers],[HUM]],"x","")</f>
        <v/>
      </c>
      <c r="AF28" s="4" t="s">
        <v>67</v>
      </c>
      <c r="AG28" s="6" t="str">
        <f>IF((_xlfn.XLOOKUP(Profesores[[#This Row],[Nombre]],base_de_datos[Profesor],base_de_datos[Academia],1))=Profesores[[#Headers],[BIO]],"x","")</f>
        <v/>
      </c>
      <c r="AH28" s="6" t="s">
        <v>648</v>
      </c>
      <c r="AJ28" s="6">
        <f>TRUNC(IFERROR(Profesores[[#This Row],[Ex Inglés]]*677/100,0),0)</f>
        <v>479</v>
      </c>
      <c r="AQ28" s="190" t="s">
        <v>182</v>
      </c>
      <c r="AR28" s="190">
        <v>30</v>
      </c>
      <c r="AS28" s="10"/>
      <c r="AT28" s="10">
        <v>12</v>
      </c>
      <c r="AU28" s="10">
        <v>18</v>
      </c>
      <c r="AV28" s="10"/>
      <c r="AW28"/>
      <c r="AX28"/>
    </row>
    <row r="29" spans="2:50" ht="12" hidden="1" customHeight="1">
      <c r="C29" s="2" t="s">
        <v>493</v>
      </c>
      <c r="D29" s="2" t="s">
        <v>485</v>
      </c>
      <c r="E29" s="66">
        <v>177529</v>
      </c>
      <c r="F29" s="134" t="s">
        <v>165</v>
      </c>
      <c r="G29" s="34" t="s">
        <v>649</v>
      </c>
      <c r="H29" s="34" t="s">
        <v>650</v>
      </c>
      <c r="I29" s="34" t="s">
        <v>651</v>
      </c>
      <c r="J29" s="57">
        <v>34990</v>
      </c>
      <c r="K29" s="188" t="s">
        <v>515</v>
      </c>
      <c r="L29" s="4" t="s">
        <v>504</v>
      </c>
      <c r="M29" s="53">
        <v>4441742125</v>
      </c>
      <c r="N29" s="195" t="s">
        <v>652</v>
      </c>
      <c r="O29" s="53" t="s">
        <v>653</v>
      </c>
      <c r="P29" s="4">
        <v>241</v>
      </c>
      <c r="Q29" s="6" t="s">
        <v>642</v>
      </c>
      <c r="R29" s="6" t="s">
        <v>491</v>
      </c>
      <c r="S29" s="6" t="s">
        <v>491</v>
      </c>
      <c r="T29" s="6">
        <v>20296</v>
      </c>
      <c r="U29" s="4">
        <v>1</v>
      </c>
      <c r="V29" s="4" t="str">
        <f>IF((_xlfn.XLOOKUP(Profesores[[#This Row],[Nombre]],base_de_datos[Profesor],base_de_datos[Academia],1))=Profesores[[#Headers],[MEC]],"x","")</f>
        <v>x</v>
      </c>
      <c r="W29" s="4" t="str">
        <f>IF((_xlfn.XLOOKUP(Profesores[[#This Row],[Nombre]],base_de_datos[Profesor],base_de_datos[Academia],1))=Profesores[[#Headers],[COM]],"x","")</f>
        <v/>
      </c>
      <c r="Y29" s="4" t="str">
        <f>IF((_xlfn.XLOOKUP(Profesores[[#This Row],[Nombre]],base_de_datos[Profesor],base_de_datos[Academia],1))=Profesores[[#Headers],[DOP]],"x","")</f>
        <v/>
      </c>
      <c r="Z29" s="4" t="str">
        <f>IF((_xlfn.XLOOKUP(Profesores[[#This Row],[Nombre]],base_de_datos[Profesor],base_de_datos[Academia],1))=Profesores[[#Headers],[ETF]],"x","")</f>
        <v/>
      </c>
      <c r="AA29" s="4" t="str">
        <f>IF((_xlfn.XLOOKUP(Profesores[[#This Row],[Nombre]],base_de_datos[Profesor],base_de_datos[Academia],1))=Profesores[[#Headers],[MAT]],"x","")</f>
        <v/>
      </c>
      <c r="AB29" s="4" t="str">
        <f>IF((_xlfn.XLOOKUP(Profesores[[#This Row],[Nombre]],base_de_datos[Profesor],base_de_datos[Academia],1))=Profesores[[#Headers],[EMP]],"x","")</f>
        <v/>
      </c>
      <c r="AC29" s="6" t="str">
        <f>IF((_xlfn.XLOOKUP(Profesores[[#This Row],[Nombre]],base_de_datos[Profesor],base_de_datos[Academia],1))=Profesores[[#Headers],[AIC]],"x","")</f>
        <v/>
      </c>
      <c r="AD29" s="4" t="str">
        <f>IF((_xlfn.XLOOKUP(Profesores[[#This Row],[Nombre]],base_de_datos[Profesor],base_de_datos[Academia],1))=Profesores[[#Headers],[ESC]],"x","")</f>
        <v/>
      </c>
      <c r="AE29" s="6" t="str">
        <f>IF((_xlfn.XLOOKUP(Profesores[[#This Row],[Nombre]],base_de_datos[Profesor],base_de_datos[Academia],1))=Profesores[[#Headers],[HUM]],"x","")</f>
        <v/>
      </c>
      <c r="AF29" s="4" t="str">
        <f>IF((_xlfn.XLOOKUP(Profesores[[#This Row],[Nombre]],base_de_datos[Profesor],base_de_datos[Academia],1))=Profesores[[#Headers],[IID]],"x","")</f>
        <v/>
      </c>
      <c r="AG29" s="6" t="str">
        <f>IF((_xlfn.XLOOKUP(Profesores[[#This Row],[Nombre]],base_de_datos[Profesor],base_de_datos[Academia],1))=Profesores[[#Headers],[BIO]],"x","")</f>
        <v/>
      </c>
      <c r="AH29" s="6" t="s">
        <v>543</v>
      </c>
      <c r="AI29" s="6" t="s">
        <v>597</v>
      </c>
      <c r="AJ29" s="6">
        <f>TRUNC(IFERROR(Profesores[[#This Row],[Ex Inglés]]*677/100,0),0)</f>
        <v>0</v>
      </c>
      <c r="AL29" s="67" t="s">
        <v>569</v>
      </c>
      <c r="AM29" s="67" t="s">
        <v>654</v>
      </c>
      <c r="AN29" s="67">
        <v>20</v>
      </c>
      <c r="AQ29" s="190" t="s">
        <v>108</v>
      </c>
      <c r="AR29" s="190">
        <v>30</v>
      </c>
      <c r="AS29" s="10"/>
      <c r="AT29" s="10">
        <v>12</v>
      </c>
      <c r="AU29" s="10">
        <v>18</v>
      </c>
      <c r="AV29" s="10"/>
      <c r="AW29"/>
      <c r="AX29"/>
    </row>
    <row r="30" spans="2:50" ht="12" hidden="1" customHeight="1">
      <c r="C30" s="4" t="s">
        <v>497</v>
      </c>
      <c r="D30" s="4" t="s">
        <v>498</v>
      </c>
      <c r="E30" s="56">
        <v>240680</v>
      </c>
      <c r="F30" s="133" t="s">
        <v>168</v>
      </c>
      <c r="G30" s="33" t="s">
        <v>655</v>
      </c>
      <c r="H30" s="33" t="s">
        <v>582</v>
      </c>
      <c r="I30" s="33" t="s">
        <v>501</v>
      </c>
      <c r="J30" s="58">
        <v>34998</v>
      </c>
      <c r="M30" s="53">
        <v>4494792677</v>
      </c>
      <c r="N30" s="138" t="s">
        <v>656</v>
      </c>
      <c r="O30" s="128" t="s">
        <v>657</v>
      </c>
      <c r="P30" s="4">
        <v>225</v>
      </c>
      <c r="Q30" s="4" t="s">
        <v>658</v>
      </c>
      <c r="R30" s="4" t="s">
        <v>491</v>
      </c>
      <c r="S30" s="4" t="s">
        <v>491</v>
      </c>
      <c r="T30" s="6">
        <v>20167</v>
      </c>
      <c r="U30" s="4">
        <v>1</v>
      </c>
      <c r="V30" s="4" t="str">
        <f>IF((_xlfn.XLOOKUP(Profesores[[#This Row],[Nombre]],base_de_datos[Profesor],base_de_datos[Academia],1))=Profesores[[#Headers],[MEC]],"x","")</f>
        <v/>
      </c>
      <c r="W30" s="4" t="str">
        <f>IF((_xlfn.XLOOKUP(Profesores[[#This Row],[Nombre]],base_de_datos[Profesor],base_de_datos[Academia],1))=Profesores[[#Headers],[COM]],"x","")</f>
        <v>x</v>
      </c>
      <c r="Y30" s="4" t="str">
        <f>IF((_xlfn.XLOOKUP(Profesores[[#This Row],[Nombre]],base_de_datos[Profesor],base_de_datos[Academia],1))=Profesores[[#Headers],[DOP]],"x","")</f>
        <v/>
      </c>
      <c r="Z30" s="4" t="str">
        <f>IF((_xlfn.XLOOKUP(Profesores[[#This Row],[Nombre]],base_de_datos[Profesor],base_de_datos[Academia],1))=Profesores[[#Headers],[ETF]],"x","")</f>
        <v/>
      </c>
      <c r="AA30" s="4" t="str">
        <f>IF((_xlfn.XLOOKUP(Profesores[[#This Row],[Nombre]],base_de_datos[Profesor],base_de_datos[Academia],1))=Profesores[[#Headers],[MAT]],"x","")</f>
        <v/>
      </c>
      <c r="AB30" s="4" t="str">
        <f>IF((_xlfn.XLOOKUP(Profesores[[#This Row],[Nombre]],base_de_datos[Profesor],base_de_datos[Academia],1))=Profesores[[#Headers],[EMP]],"x","")</f>
        <v/>
      </c>
      <c r="AC30" s="6" t="str">
        <f>IF((_xlfn.XLOOKUP(Profesores[[#This Row],[Nombre]],base_de_datos[Profesor],base_de_datos[Academia],1))=Profesores[[#Headers],[AIC]],"x","")</f>
        <v/>
      </c>
      <c r="AD30" s="4" t="str">
        <f>IF((_xlfn.XLOOKUP(Profesores[[#This Row],[Nombre]],base_de_datos[Profesor],base_de_datos[Academia],1))=Profesores[[#Headers],[ESC]],"x","")</f>
        <v/>
      </c>
      <c r="AE30" s="6" t="str">
        <f>IF((_xlfn.XLOOKUP(Profesores[[#This Row],[Nombre]],base_de_datos[Profesor],base_de_datos[Academia],1))=Profesores[[#Headers],[HUM]],"x","")</f>
        <v/>
      </c>
      <c r="AF30" s="4" t="str">
        <f>IF((_xlfn.XLOOKUP(Profesores[[#This Row],[Nombre]],base_de_datos[Profesor],base_de_datos[Academia],1))=Profesores[[#Headers],[IID]],"x","")</f>
        <v/>
      </c>
      <c r="AG30" s="6" t="str">
        <f>IF((_xlfn.XLOOKUP(Profesores[[#This Row],[Nombre]],base_de_datos[Profesor],base_de_datos[Academia],1))=Profesores[[#Headers],[BIO]],"x","")</f>
        <v/>
      </c>
      <c r="AH30" s="6" t="s">
        <v>543</v>
      </c>
      <c r="AI30" s="6" t="s">
        <v>597</v>
      </c>
      <c r="AJ30" s="6">
        <f>TRUNC(IFERROR(Profesores[[#This Row],[Ex Inglés]]*677/100,0),0)</f>
        <v>0</v>
      </c>
      <c r="AL30" s="67" t="s">
        <v>569</v>
      </c>
      <c r="AM30" s="67" t="s">
        <v>659</v>
      </c>
      <c r="AN30" s="67">
        <v>8</v>
      </c>
      <c r="AQ30" s="190" t="s">
        <v>401</v>
      </c>
      <c r="AR30" s="190">
        <v>60</v>
      </c>
      <c r="AS30" s="10"/>
      <c r="AT30" s="10">
        <v>18</v>
      </c>
      <c r="AU30" s="10">
        <v>26</v>
      </c>
      <c r="AV30" s="10"/>
      <c r="AW30"/>
      <c r="AX30"/>
    </row>
    <row r="31" spans="2:50" ht="12" hidden="1" customHeight="1">
      <c r="B31" s="6">
        <v>121</v>
      </c>
      <c r="C31" s="4" t="s">
        <v>510</v>
      </c>
      <c r="D31" s="4" t="s">
        <v>511</v>
      </c>
      <c r="E31" s="56">
        <v>56443</v>
      </c>
      <c r="F31" s="202" t="s">
        <v>172</v>
      </c>
      <c r="G31" s="33" t="s">
        <v>660</v>
      </c>
      <c r="H31" s="33" t="s">
        <v>619</v>
      </c>
      <c r="I31" s="33" t="s">
        <v>661</v>
      </c>
      <c r="J31" s="58">
        <v>19644</v>
      </c>
      <c r="K31" s="33" t="s">
        <v>111</v>
      </c>
      <c r="L31" s="4" t="s">
        <v>504</v>
      </c>
      <c r="M31" s="53">
        <v>4492104156</v>
      </c>
      <c r="N31" s="89" t="s">
        <v>662</v>
      </c>
      <c r="O31" s="128" t="s">
        <v>663</v>
      </c>
      <c r="P31" s="4">
        <v>324</v>
      </c>
      <c r="Q31" s="33" t="s">
        <v>594</v>
      </c>
      <c r="R31" s="4" t="s">
        <v>491</v>
      </c>
      <c r="S31" s="4" t="s">
        <v>491</v>
      </c>
      <c r="T31" s="6">
        <v>20000</v>
      </c>
      <c r="U31" s="4">
        <v>0</v>
      </c>
      <c r="V31" s="4" t="str">
        <f>IF((_xlfn.XLOOKUP(Profesores[[#This Row],[Nombre]],base_de_datos[Profesor],base_de_datos[Academia],1))=Profesores[[#Headers],[MEC]],"x","")</f>
        <v/>
      </c>
      <c r="W31" s="4" t="str">
        <f>IF((_xlfn.XLOOKUP(Profesores[[#This Row],[Nombre]],base_de_datos[Profesor],base_de_datos[Academia],1))=Profesores[[#Headers],[COM]],"x","")</f>
        <v/>
      </c>
      <c r="Y31" s="4" t="str">
        <f>IF((_xlfn.XLOOKUP(Profesores[[#This Row],[Nombre]],base_de_datos[Profesor],base_de_datos[Academia],1))=Profesores[[#Headers],[DOP]],"x","")</f>
        <v/>
      </c>
      <c r="Z31" s="4" t="str">
        <f>IF((_xlfn.XLOOKUP(Profesores[[#This Row],[Nombre]],base_de_datos[Profesor],base_de_datos[Academia],1))=Profesores[[#Headers],[ETF]],"x","")</f>
        <v/>
      </c>
      <c r="AA31" s="4" t="str">
        <f>IF((_xlfn.XLOOKUP(Profesores[[#This Row],[Nombre]],base_de_datos[Profesor],base_de_datos[Academia],1))=Profesores[[#Headers],[MAT]],"x","")</f>
        <v/>
      </c>
      <c r="AB31" s="4" t="str">
        <f>IF((_xlfn.XLOOKUP(Profesores[[#This Row],[Nombre]],base_de_datos[Profesor],base_de_datos[Academia],1))=Profesores[[#Headers],[EMP]],"x","")</f>
        <v/>
      </c>
      <c r="AC31" s="6" t="str">
        <f>IF((_xlfn.XLOOKUP(Profesores[[#This Row],[Nombre]],base_de_datos[Profesor],base_de_datos[Academia],1))=Profesores[[#Headers],[AIC]],"x","")</f>
        <v/>
      </c>
      <c r="AD31" s="4" t="str">
        <f>IF((_xlfn.XLOOKUP(Profesores[[#This Row],[Nombre]],base_de_datos[Profesor],base_de_datos[Academia],1))=Profesores[[#Headers],[ESC]],"x","")</f>
        <v/>
      </c>
      <c r="AE31" s="6" t="str">
        <f>IF((_xlfn.XLOOKUP(Profesores[[#This Row],[Nombre]],base_de_datos[Profesor],base_de_datos[Academia],1))=Profesores[[#Headers],[HUM]],"x","")</f>
        <v>x</v>
      </c>
      <c r="AF31" s="4" t="str">
        <f>IF((_xlfn.XLOOKUP(Profesores[[#This Row],[Nombre]],base_de_datos[Profesor],base_de_datos[Academia],1))=Profesores[[#Headers],[IID]],"x","")</f>
        <v/>
      </c>
      <c r="AG31" s="6" t="str">
        <f>IF((_xlfn.XLOOKUP(Profesores[[#This Row],[Nombre]],base_de_datos[Profesor],base_de_datos[Academia],1))=Profesores[[#Headers],[BIO]],"x","")</f>
        <v/>
      </c>
      <c r="AJ31" s="6">
        <f>TRUNC(IFERROR(Profesores[[#This Row],[Ex Inglés]]*677/100,0),0)</f>
        <v>0</v>
      </c>
      <c r="AL31" s="67" t="s">
        <v>569</v>
      </c>
      <c r="AM31" s="67" t="s">
        <v>664</v>
      </c>
      <c r="AN31" s="67">
        <v>8</v>
      </c>
      <c r="AQ31" s="190" t="s">
        <v>665</v>
      </c>
      <c r="AR31" s="190">
        <v>60</v>
      </c>
      <c r="AS31" s="10"/>
      <c r="AT31" s="10">
        <v>16</v>
      </c>
      <c r="AU31" s="10">
        <v>36</v>
      </c>
      <c r="AV31" s="10"/>
      <c r="AW31"/>
      <c r="AX31"/>
    </row>
    <row r="32" spans="2:50" ht="12" hidden="1" customHeight="1">
      <c r="B32" s="4" t="s">
        <v>471</v>
      </c>
      <c r="E32" s="56"/>
      <c r="F32" s="6" t="s">
        <v>666</v>
      </c>
      <c r="J32" s="4"/>
      <c r="M32" s="53"/>
      <c r="N32" s="53"/>
      <c r="O32" s="128"/>
      <c r="T32" s="6"/>
      <c r="U32" s="4">
        <v>1</v>
      </c>
      <c r="V32" s="4" t="str">
        <f>IF((_xlfn.XLOOKUP(Profesores[[#This Row],[Nombre]],base_de_datos[Profesor],base_de_datos[Academia],1))=Profesores[[#Headers],[MEC]],"x","")</f>
        <v/>
      </c>
      <c r="W32" s="4" t="str">
        <f>IF((_xlfn.XLOOKUP(Profesores[[#This Row],[Nombre]],base_de_datos[Profesor],base_de_datos[Academia],1))=Profesores[[#Headers],[COM]],"x","")</f>
        <v/>
      </c>
      <c r="Y32" s="4" t="str">
        <f>IF((_xlfn.XLOOKUP(Profesores[[#This Row],[Nombre]],base_de_datos[Profesor],base_de_datos[Academia],1))=Profesores[[#Headers],[DOP]],"x","")</f>
        <v/>
      </c>
      <c r="Z32" s="4" t="str">
        <f>IF((_xlfn.XLOOKUP(Profesores[[#This Row],[Nombre]],base_de_datos[Profesor],base_de_datos[Academia],1))=Profesores[[#Headers],[ETF]],"x","")</f>
        <v/>
      </c>
      <c r="AA32" s="4" t="str">
        <f>IF((_xlfn.XLOOKUP(Profesores[[#This Row],[Nombre]],base_de_datos[Profesor],base_de_datos[Academia],1))=Profesores[[#Headers],[MAT]],"x","")</f>
        <v/>
      </c>
      <c r="AB32" s="4" t="str">
        <f>IF((_xlfn.XLOOKUP(Profesores[[#This Row],[Nombre]],base_de_datos[Profesor],base_de_datos[Academia],1))=Profesores[[#Headers],[EMP]],"x","")</f>
        <v/>
      </c>
      <c r="AC32" s="6" t="str">
        <f>IF((_xlfn.XLOOKUP(Profesores[[#This Row],[Nombre]],base_de_datos[Profesor],base_de_datos[Academia],1))=Profesores[[#Headers],[AIC]],"x","")</f>
        <v/>
      </c>
      <c r="AD32" s="4" t="str">
        <f>IF((_xlfn.XLOOKUP(Profesores[[#This Row],[Nombre]],base_de_datos[Profesor],base_de_datos[Academia],1))=Profesores[[#Headers],[ESC]],"x","")</f>
        <v/>
      </c>
      <c r="AE32" s="6" t="str">
        <f>IF((_xlfn.XLOOKUP(Profesores[[#This Row],[Nombre]],base_de_datos[Profesor],base_de_datos[Academia],1))=Profesores[[#Headers],[HUM]],"x","")</f>
        <v/>
      </c>
      <c r="AF32" s="4" t="str">
        <f>IF((_xlfn.XLOOKUP(Profesores[[#This Row],[Nombre]],base_de_datos[Profesor],base_de_datos[Academia],1))=Profesores[[#Headers],[IID]],"x","")</f>
        <v/>
      </c>
      <c r="AG32" s="6" t="str">
        <f>IF((_xlfn.XLOOKUP(Profesores[[#This Row],[Nombre]],base_de_datos[Profesor],base_de_datos[Academia],1))=Profesores[[#Headers],[BIO]],"x","")</f>
        <v/>
      </c>
      <c r="AH32" s="6">
        <v>64.08</v>
      </c>
      <c r="AI32" s="6" t="s">
        <v>597</v>
      </c>
      <c r="AJ32" s="6">
        <f>TRUNC(IFERROR(Profesores[[#This Row],[Ex Inglés]]*677/100,0),0)</f>
        <v>433</v>
      </c>
      <c r="AL32" s="67" t="s">
        <v>569</v>
      </c>
      <c r="AM32" s="67" t="s">
        <v>667</v>
      </c>
      <c r="AN32" s="67">
        <v>8</v>
      </c>
      <c r="AQ32" s="194" t="s">
        <v>95</v>
      </c>
      <c r="AR32" s="190">
        <v>30</v>
      </c>
      <c r="AS32" s="10" t="s">
        <v>668</v>
      </c>
      <c r="AT32" s="10">
        <v>10</v>
      </c>
      <c r="AU32" s="10">
        <v>15</v>
      </c>
      <c r="AV32" s="10"/>
      <c r="AW32"/>
      <c r="AX32"/>
    </row>
    <row r="33" spans="2:48" ht="12" hidden="1" customHeight="1">
      <c r="B33" s="6">
        <v>115</v>
      </c>
      <c r="C33" s="4" t="s">
        <v>497</v>
      </c>
      <c r="D33" s="4" t="s">
        <v>498</v>
      </c>
      <c r="E33" s="56">
        <v>255673</v>
      </c>
      <c r="F33" s="133" t="s">
        <v>176</v>
      </c>
      <c r="G33" s="33" t="s">
        <v>669</v>
      </c>
      <c r="H33" s="33" t="s">
        <v>670</v>
      </c>
      <c r="I33" s="33" t="s">
        <v>671</v>
      </c>
      <c r="J33" s="58">
        <v>33277</v>
      </c>
      <c r="K33" s="33" t="s">
        <v>515</v>
      </c>
      <c r="L33" s="4" t="s">
        <v>504</v>
      </c>
      <c r="M33" s="53">
        <v>4492039071</v>
      </c>
      <c r="N33" s="90" t="s">
        <v>672</v>
      </c>
      <c r="O33" s="128" t="s">
        <v>673</v>
      </c>
      <c r="P33" s="4" t="s">
        <v>674</v>
      </c>
      <c r="Q33" s="4" t="s">
        <v>675</v>
      </c>
      <c r="R33" s="4" t="s">
        <v>491</v>
      </c>
      <c r="S33" s="4" t="s">
        <v>491</v>
      </c>
      <c r="T33" s="6">
        <v>20240</v>
      </c>
      <c r="U33" s="4">
        <v>1</v>
      </c>
      <c r="V33" s="4" t="str">
        <f>IF((_xlfn.XLOOKUP(Profesores[[#This Row],[Nombre]],base_de_datos[Profesor],base_de_datos[Academia],1))=Profesores[[#Headers],[MEC]],"x","")</f>
        <v/>
      </c>
      <c r="W33" s="4" t="str">
        <f>IF((_xlfn.XLOOKUP(Profesores[[#This Row],[Nombre]],base_de_datos[Profesor],base_de_datos[Academia],1))=Profesores[[#Headers],[COM]],"x","")</f>
        <v/>
      </c>
      <c r="Y33" s="4" t="str">
        <f>IF((_xlfn.XLOOKUP(Profesores[[#This Row],[Nombre]],base_de_datos[Profesor],base_de_datos[Academia],1))=Profesores[[#Headers],[DOP]],"x","")</f>
        <v/>
      </c>
      <c r="Z33" s="4" t="str">
        <f>IF((_xlfn.XLOOKUP(Profesores[[#This Row],[Nombre]],base_de_datos[Profesor],base_de_datos[Academia],1))=Profesores[[#Headers],[ETF]],"x","")</f>
        <v/>
      </c>
      <c r="AA33" s="4" t="str">
        <f>IF((_xlfn.XLOOKUP(Profesores[[#This Row],[Nombre]],base_de_datos[Profesor],base_de_datos[Academia],1))=Profesores[[#Headers],[MAT]],"x","")</f>
        <v/>
      </c>
      <c r="AB33" s="4" t="str">
        <f>IF((_xlfn.XLOOKUP(Profesores[[#This Row],[Nombre]],base_de_datos[Profesor],base_de_datos[Academia],1))=Profesores[[#Headers],[EMP]],"x","")</f>
        <v/>
      </c>
      <c r="AC33" s="6" t="str">
        <f>IF((_xlfn.XLOOKUP(Profesores[[#This Row],[Nombre]],base_de_datos[Profesor],base_de_datos[Academia],1))=Profesores[[#Headers],[AIC]],"x","")</f>
        <v/>
      </c>
      <c r="AD33" s="4" t="str">
        <f>IF((_xlfn.XLOOKUP(Profesores[[#This Row],[Nombre]],base_de_datos[Profesor],base_de_datos[Academia],1))=Profesores[[#Headers],[ESC]],"x","")</f>
        <v>x</v>
      </c>
      <c r="AE33" s="6" t="str">
        <f>IF((_xlfn.XLOOKUP(Profesores[[#This Row],[Nombre]],base_de_datos[Profesor],base_de_datos[Academia],1))=Profesores[[#Headers],[HUM]],"x","")</f>
        <v/>
      </c>
      <c r="AF33" s="4" t="str">
        <f>IF((_xlfn.XLOOKUP(Profesores[[#This Row],[Nombre]],base_de_datos[Profesor],base_de_datos[Academia],1))=Profesores[[#Headers],[IID]],"x","")</f>
        <v/>
      </c>
      <c r="AG33" s="6" t="str">
        <f>IF((_xlfn.XLOOKUP(Profesores[[#This Row],[Nombre]],base_de_datos[Profesor],base_de_datos[Academia],1))=Profesores[[#Headers],[BIO]],"x","")</f>
        <v/>
      </c>
      <c r="AH33" s="6" t="s">
        <v>543</v>
      </c>
      <c r="AJ33" s="6">
        <f>TRUNC(IFERROR(Profesores[[#This Row],[Ex Inglés]]*677/100,0),0)</f>
        <v>0</v>
      </c>
      <c r="AL33" s="67" t="s">
        <v>569</v>
      </c>
      <c r="AM33" s="67" t="s">
        <v>676</v>
      </c>
      <c r="AN33" s="67">
        <v>8</v>
      </c>
      <c r="AQ33" s="190" t="s">
        <v>93</v>
      </c>
      <c r="AR33" s="190">
        <v>40</v>
      </c>
      <c r="AS33" s="10" t="s">
        <v>677</v>
      </c>
      <c r="AT33" s="22">
        <v>11</v>
      </c>
      <c r="AU33" s="10">
        <v>19</v>
      </c>
      <c r="AV33" s="10"/>
    </row>
    <row r="34" spans="2:48" ht="12" hidden="1" customHeight="1">
      <c r="B34" s="6">
        <v>138</v>
      </c>
      <c r="C34" s="4" t="s">
        <v>484</v>
      </c>
      <c r="D34" s="4" t="s">
        <v>498</v>
      </c>
      <c r="E34" s="56">
        <v>144493</v>
      </c>
      <c r="F34" s="133" t="s">
        <v>179</v>
      </c>
      <c r="G34" s="33" t="s">
        <v>678</v>
      </c>
      <c r="H34" s="33" t="s">
        <v>582</v>
      </c>
      <c r="I34" s="33" t="s">
        <v>679</v>
      </c>
      <c r="J34" s="58">
        <v>26324</v>
      </c>
      <c r="K34" s="33" t="s">
        <v>515</v>
      </c>
      <c r="L34" s="4" t="s">
        <v>504</v>
      </c>
      <c r="M34" s="53">
        <v>4491080574</v>
      </c>
      <c r="N34" s="53" t="s">
        <v>680</v>
      </c>
      <c r="O34" s="128" t="s">
        <v>681</v>
      </c>
      <c r="P34" s="4" t="s">
        <v>682</v>
      </c>
      <c r="Q34" s="4" t="s">
        <v>683</v>
      </c>
      <c r="R34" s="4" t="s">
        <v>491</v>
      </c>
      <c r="S34" s="4" t="s">
        <v>491</v>
      </c>
      <c r="T34" s="6">
        <v>20286</v>
      </c>
      <c r="U34" s="4">
        <v>0</v>
      </c>
      <c r="V34" s="4" t="str">
        <f>IF((_xlfn.XLOOKUP(Profesores[[#This Row],[Nombre]],base_de_datos[Profesor],base_de_datos[Academia],1))=Profesores[[#Headers],[MEC]],"x","")</f>
        <v/>
      </c>
      <c r="W34" s="4" t="str">
        <f>IF((_xlfn.XLOOKUP(Profesores[[#This Row],[Nombre]],base_de_datos[Profesor],base_de_datos[Academia],1))=Profesores[[#Headers],[COM]],"x","")</f>
        <v/>
      </c>
      <c r="Y34" s="4" t="str">
        <f>IF((_xlfn.XLOOKUP(Profesores[[#This Row],[Nombre]],base_de_datos[Profesor],base_de_datos[Academia],1))=Profesores[[#Headers],[DOP]],"x","")</f>
        <v>x</v>
      </c>
      <c r="Z34" s="4" t="str">
        <f>IF((_xlfn.XLOOKUP(Profesores[[#This Row],[Nombre]],base_de_datos[Profesor],base_de_datos[Academia],1))=Profesores[[#Headers],[ETF]],"x","")</f>
        <v/>
      </c>
      <c r="AA34" s="4" t="str">
        <f>IF((_xlfn.XLOOKUP(Profesores[[#This Row],[Nombre]],base_de_datos[Profesor],base_de_datos[Academia],1))=Profesores[[#Headers],[MAT]],"x","")</f>
        <v/>
      </c>
      <c r="AB34" s="4" t="str">
        <f>IF((_xlfn.XLOOKUP(Profesores[[#This Row],[Nombre]],base_de_datos[Profesor],base_de_datos[Academia],1))=Profesores[[#Headers],[EMP]],"x","")</f>
        <v/>
      </c>
      <c r="AC34" s="6" t="str">
        <f>IF((_xlfn.XLOOKUP(Profesores[[#This Row],[Nombre]],base_de_datos[Profesor],base_de_datos[Academia],1))=Profesores[[#Headers],[AIC]],"x","")</f>
        <v/>
      </c>
      <c r="AD34" s="4" t="str">
        <f>IF((_xlfn.XLOOKUP(Profesores[[#This Row],[Nombre]],base_de_datos[Profesor],base_de_datos[Academia],1))=Profesores[[#Headers],[ESC]],"x","")</f>
        <v/>
      </c>
      <c r="AE34" s="6" t="str">
        <f>IF((_xlfn.XLOOKUP(Profesores[[#This Row],[Nombre]],base_de_datos[Profesor],base_de_datos[Academia],1))=Profesores[[#Headers],[HUM]],"x","")</f>
        <v/>
      </c>
      <c r="AF34" s="4" t="str">
        <f>IF((_xlfn.XLOOKUP(Profesores[[#This Row],[Nombre]],base_de_datos[Profesor],base_de_datos[Academia],1))=Profesores[[#Headers],[IID]],"x","")</f>
        <v/>
      </c>
      <c r="AG34" s="6" t="str">
        <f>IF((_xlfn.XLOOKUP(Profesores[[#This Row],[Nombre]],base_de_datos[Profesor],base_de_datos[Academia],1))=Profesores[[#Headers],[BIO]],"x","")</f>
        <v/>
      </c>
      <c r="AJ34" s="6">
        <f>TRUNC(IFERROR(Profesores[[#This Row],[Ex Inglés]]*677/100,0),0)</f>
        <v>0</v>
      </c>
      <c r="AL34" s="67" t="s">
        <v>569</v>
      </c>
      <c r="AM34" s="67" t="s">
        <v>684</v>
      </c>
      <c r="AN34" s="67">
        <v>12</v>
      </c>
      <c r="AQ34" s="190" t="s">
        <v>154</v>
      </c>
      <c r="AR34" s="190">
        <v>40</v>
      </c>
      <c r="AS34" s="10" t="s">
        <v>685</v>
      </c>
      <c r="AT34" s="9">
        <v>10</v>
      </c>
      <c r="AU34" s="10">
        <v>15</v>
      </c>
      <c r="AV34" s="10"/>
    </row>
    <row r="35" spans="2:48" ht="12" hidden="1" customHeight="1">
      <c r="B35" s="6">
        <v>6</v>
      </c>
      <c r="C35" s="2" t="s">
        <v>497</v>
      </c>
      <c r="D35" s="2" t="s">
        <v>485</v>
      </c>
      <c r="E35" s="66">
        <v>144853</v>
      </c>
      <c r="F35" s="134" t="s">
        <v>183</v>
      </c>
      <c r="G35" s="34" t="s">
        <v>686</v>
      </c>
      <c r="H35" s="34" t="s">
        <v>687</v>
      </c>
      <c r="I35" s="34" t="s">
        <v>688</v>
      </c>
      <c r="J35" s="57">
        <v>28457</v>
      </c>
      <c r="K35" s="188" t="s">
        <v>515</v>
      </c>
      <c r="L35" s="4" t="s">
        <v>504</v>
      </c>
      <c r="M35" s="53">
        <v>4499904518</v>
      </c>
      <c r="N35" s="197" t="s">
        <v>689</v>
      </c>
      <c r="O35" s="128" t="s">
        <v>690</v>
      </c>
      <c r="P35" s="4">
        <v>133</v>
      </c>
      <c r="Q35" s="4" t="s">
        <v>691</v>
      </c>
      <c r="R35" s="4" t="s">
        <v>491</v>
      </c>
      <c r="S35" s="4" t="s">
        <v>491</v>
      </c>
      <c r="T35" s="6">
        <v>20050</v>
      </c>
      <c r="U35" s="4">
        <v>1</v>
      </c>
      <c r="V35" s="4" t="str">
        <f>IF((_xlfn.XLOOKUP(Profesores[[#This Row],[Nombre]],base_de_datos[Profesor],base_de_datos[Academia],1))=Profesores[[#Headers],[MEC]],"x","")</f>
        <v/>
      </c>
      <c r="W35" s="4" t="str">
        <f>IF((_xlfn.XLOOKUP(Profesores[[#This Row],[Nombre]],base_de_datos[Profesor],base_de_datos[Academia],1))=Profesores[[#Headers],[COM]],"x","")</f>
        <v/>
      </c>
      <c r="X35" s="4" t="s">
        <v>67</v>
      </c>
      <c r="Y35" s="4" t="str">
        <f>IF((_xlfn.XLOOKUP(Profesores[[#This Row],[Nombre]],base_de_datos[Profesor],base_de_datos[Academia],1))=Profesores[[#Headers],[DOP]],"x","")</f>
        <v/>
      </c>
      <c r="Z35" s="4" t="str">
        <f>IF((_xlfn.XLOOKUP(Profesores[[#This Row],[Nombre]],base_de_datos[Profesor],base_de_datos[Academia],1))=Profesores[[#Headers],[ETF]],"x","")</f>
        <v/>
      </c>
      <c r="AA35" s="4" t="str">
        <f>IF((_xlfn.XLOOKUP(Profesores[[#This Row],[Nombre]],base_de_datos[Profesor],base_de_datos[Academia],1))=Profesores[[#Headers],[MAT]],"x","")</f>
        <v/>
      </c>
      <c r="AB35" s="4" t="str">
        <f>IF((_xlfn.XLOOKUP(Profesores[[#This Row],[Nombre]],base_de_datos[Profesor],base_de_datos[Academia],1))=Profesores[[#Headers],[EMP]],"x","")</f>
        <v/>
      </c>
      <c r="AC35" s="6" t="str">
        <f>IF((_xlfn.XLOOKUP(Profesores[[#This Row],[Nombre]],base_de_datos[Profesor],base_de_datos[Academia],1))=Profesores[[#Headers],[AIC]],"x","")</f>
        <v/>
      </c>
      <c r="AD35" s="4" t="str">
        <f>IF((_xlfn.XLOOKUP(Profesores[[#This Row],[Nombre]],base_de_datos[Profesor],base_de_datos[Academia],1))=Profesores[[#Headers],[ESC]],"x","")</f>
        <v/>
      </c>
      <c r="AE35" s="6" t="str">
        <f>IF((_xlfn.XLOOKUP(Profesores[[#This Row],[Nombre]],base_de_datos[Profesor],base_de_datos[Academia],1))=Profesores[[#Headers],[HUM]],"x","")</f>
        <v/>
      </c>
      <c r="AF35" s="4" t="str">
        <f>IF((_xlfn.XLOOKUP(Profesores[[#This Row],[Nombre]],base_de_datos[Profesor],base_de_datos[Academia],1))=Profesores[[#Headers],[IID]],"x","")</f>
        <v/>
      </c>
      <c r="AG35" s="6" t="str">
        <f>IF((_xlfn.XLOOKUP(Profesores[[#This Row],[Nombre]],base_de_datos[Profesor],base_de_datos[Academia],1))=Profesores[[#Headers],[BIO]],"x","")</f>
        <v/>
      </c>
      <c r="AH35" s="6">
        <v>40.369999999999997</v>
      </c>
      <c r="AI35" s="6" t="s">
        <v>597</v>
      </c>
      <c r="AJ35" s="6">
        <f>TRUNC(IFERROR(Profesores[[#This Row],[Ex Inglés]]*677/100,0),0)</f>
        <v>273</v>
      </c>
      <c r="AL35" s="67" t="s">
        <v>569</v>
      </c>
      <c r="AM35" s="67" t="s">
        <v>692</v>
      </c>
      <c r="AN35" s="67">
        <v>12</v>
      </c>
      <c r="AQ35" s="190" t="s">
        <v>102</v>
      </c>
      <c r="AR35" s="196">
        <v>20</v>
      </c>
      <c r="AS35" s="10"/>
      <c r="AT35" s="10">
        <v>20</v>
      </c>
      <c r="AU35" s="10">
        <v>18</v>
      </c>
      <c r="AV35" s="10"/>
    </row>
    <row r="36" spans="2:48" ht="12" hidden="1" customHeight="1">
      <c r="C36" s="4" t="s">
        <v>484</v>
      </c>
      <c r="D36" s="4" t="s">
        <v>498</v>
      </c>
      <c r="E36" s="56">
        <v>205322</v>
      </c>
      <c r="F36" s="133" t="s">
        <v>96</v>
      </c>
      <c r="G36" s="33" t="s">
        <v>520</v>
      </c>
      <c r="H36" s="33" t="s">
        <v>693</v>
      </c>
      <c r="I36" s="33" t="s">
        <v>694</v>
      </c>
      <c r="J36" s="58">
        <v>36289</v>
      </c>
      <c r="M36" s="53">
        <v>449352647</v>
      </c>
      <c r="N36" s="137" t="s">
        <v>695</v>
      </c>
      <c r="O36" s="128" t="s">
        <v>696</v>
      </c>
      <c r="P36" s="4">
        <v>101</v>
      </c>
      <c r="Q36" s="4" t="s">
        <v>697</v>
      </c>
      <c r="R36" s="4" t="s">
        <v>491</v>
      </c>
      <c r="S36" s="4" t="s">
        <v>491</v>
      </c>
      <c r="T36" s="6">
        <v>20100</v>
      </c>
      <c r="U36" s="4"/>
      <c r="V36" s="4" t="str">
        <f>IF((_xlfn.XLOOKUP(Profesores[[#This Row],[Nombre]],base_de_datos[Profesor],base_de_datos[Academia],1))=Profesores[[#Headers],[MEC]],"x","")</f>
        <v/>
      </c>
      <c r="W36" s="4" t="str">
        <f>IF((_xlfn.XLOOKUP(Profesores[[#This Row],[Nombre]],base_de_datos[Profesor],base_de_datos[Academia],1))=Profesores[[#Headers],[COM]],"x","")</f>
        <v/>
      </c>
      <c r="Y36" s="4" t="str">
        <f>IF((_xlfn.XLOOKUP(Profesores[[#This Row],[Nombre]],base_de_datos[Profesor],base_de_datos[Academia],1))=Profesores[[#Headers],[DOP]],"x","")</f>
        <v/>
      </c>
      <c r="Z36" s="4" t="str">
        <f>IF((_xlfn.XLOOKUP(Profesores[[#This Row],[Nombre]],base_de_datos[Profesor],base_de_datos[Academia],1))=Profesores[[#Headers],[ETF]],"x","")</f>
        <v/>
      </c>
      <c r="AA36" s="4" t="str">
        <f>IF((_xlfn.XLOOKUP(Profesores[[#This Row],[Nombre]],base_de_datos[Profesor],base_de_datos[Academia],1))=Profesores[[#Headers],[MAT]],"x","")</f>
        <v>x</v>
      </c>
      <c r="AB36" s="4" t="str">
        <f>IF((_xlfn.XLOOKUP(Profesores[[#This Row],[Nombre]],base_de_datos[Profesor],base_de_datos[Academia],1))=Profesores[[#Headers],[EMP]],"x","")</f>
        <v/>
      </c>
      <c r="AC36" s="6" t="str">
        <f>IF((_xlfn.XLOOKUP(Profesores[[#This Row],[Nombre]],base_de_datos[Profesor],base_de_datos[Academia],1))=Profesores[[#Headers],[AIC]],"x","")</f>
        <v/>
      </c>
      <c r="AD36" s="4" t="str">
        <f>IF((_xlfn.XLOOKUP(Profesores[[#This Row],[Nombre]],base_de_datos[Profesor],base_de_datos[Academia],1))=Profesores[[#Headers],[ESC]],"x","")</f>
        <v/>
      </c>
      <c r="AE36" s="6" t="str">
        <f>IF((_xlfn.XLOOKUP(Profesores[[#This Row],[Nombre]],base_de_datos[Profesor],base_de_datos[Academia],1))=Profesores[[#Headers],[HUM]],"x","")</f>
        <v/>
      </c>
      <c r="AF36" s="4" t="str">
        <f>IF((_xlfn.XLOOKUP(Profesores[[#This Row],[Nombre]],base_de_datos[Profesor],base_de_datos[Academia],1))=Profesores[[#Headers],[IID]],"x","")</f>
        <v/>
      </c>
      <c r="AG36" s="6" t="str">
        <f>IF((_xlfn.XLOOKUP(Profesores[[#This Row],[Nombre]],base_de_datos[Profesor],base_de_datos[Academia],1))=Profesores[[#Headers],[BIO]],"x","")</f>
        <v/>
      </c>
      <c r="AJ36" s="6">
        <f>TRUNC(IFERROR(Profesores[[#This Row],[Ex Inglés]]*677/100,0),0)</f>
        <v>0</v>
      </c>
      <c r="AL36" s="67" t="s">
        <v>569</v>
      </c>
      <c r="AM36" s="67" t="s">
        <v>140</v>
      </c>
      <c r="AN36" s="67">
        <v>16</v>
      </c>
      <c r="AQ36" s="190" t="s">
        <v>278</v>
      </c>
      <c r="AR36" s="190">
        <v>20</v>
      </c>
      <c r="AS36" s="10"/>
      <c r="AT36" s="10">
        <v>7</v>
      </c>
      <c r="AU36" s="10">
        <v>10</v>
      </c>
      <c r="AV36" s="10"/>
    </row>
    <row r="37" spans="2:48" ht="12" hidden="1" customHeight="1">
      <c r="B37" s="6">
        <v>111</v>
      </c>
      <c r="C37" s="4" t="s">
        <v>499</v>
      </c>
      <c r="D37" s="4" t="s">
        <v>511</v>
      </c>
      <c r="E37" s="56">
        <v>180004</v>
      </c>
      <c r="F37" s="202" t="s">
        <v>192</v>
      </c>
      <c r="G37" s="33" t="s">
        <v>698</v>
      </c>
      <c r="H37" s="33" t="s">
        <v>699</v>
      </c>
      <c r="I37" s="33" t="s">
        <v>700</v>
      </c>
      <c r="J37" s="58">
        <v>22732</v>
      </c>
      <c r="K37" s="33" t="s">
        <v>515</v>
      </c>
      <c r="L37" s="4" t="s">
        <v>504</v>
      </c>
      <c r="M37" s="53">
        <v>4921126228</v>
      </c>
      <c r="N37" s="137" t="s">
        <v>701</v>
      </c>
      <c r="O37" s="128" t="s">
        <v>629</v>
      </c>
      <c r="P37" s="4">
        <v>315</v>
      </c>
      <c r="Q37" s="33" t="s">
        <v>630</v>
      </c>
      <c r="R37" s="4" t="s">
        <v>491</v>
      </c>
      <c r="S37" s="4" t="s">
        <v>491</v>
      </c>
      <c r="T37" s="6">
        <v>20296</v>
      </c>
      <c r="U37" s="4"/>
      <c r="V37" s="4" t="str">
        <f>IF((_xlfn.XLOOKUP(Profesores[[#This Row],[Nombre]],base_de_datos[Profesor],base_de_datos[Academia],1))=Profesores[[#Headers],[MEC]],"x","")</f>
        <v/>
      </c>
      <c r="W37" s="4" t="str">
        <f>IF((_xlfn.XLOOKUP(Profesores[[#This Row],[Nombre]],base_de_datos[Profesor],base_de_datos[Academia],1))=Profesores[[#Headers],[COM]],"x","")</f>
        <v/>
      </c>
      <c r="Y37" s="4" t="str">
        <f>IF((_xlfn.XLOOKUP(Profesores[[#This Row],[Nombre]],base_de_datos[Profesor],base_de_datos[Academia],1))=Profesores[[#Headers],[DOP]],"x","")</f>
        <v/>
      </c>
      <c r="Z37" s="4" t="str">
        <f>IF((_xlfn.XLOOKUP(Profesores[[#This Row],[Nombre]],base_de_datos[Profesor],base_de_datos[Academia],1))=Profesores[[#Headers],[ETF]],"x","")</f>
        <v/>
      </c>
      <c r="AA37" s="4" t="str">
        <f>IF((_xlfn.XLOOKUP(Profesores[[#This Row],[Nombre]],base_de_datos[Profesor],base_de_datos[Academia],1))=Profesores[[#Headers],[MAT]],"x","")</f>
        <v/>
      </c>
      <c r="AB37" s="4" t="str">
        <f>IF((_xlfn.XLOOKUP(Profesores[[#This Row],[Nombre]],base_de_datos[Profesor],base_de_datos[Academia],1))=Profesores[[#Headers],[EMP]],"x","")</f>
        <v/>
      </c>
      <c r="AC37" s="6" t="str">
        <f>IF((_xlfn.XLOOKUP(Profesores[[#This Row],[Nombre]],base_de_datos[Profesor],base_de_datos[Academia],1))=Profesores[[#Headers],[AIC]],"x","")</f>
        <v/>
      </c>
      <c r="AD37" s="4" t="str">
        <f>IF((_xlfn.XLOOKUP(Profesores[[#This Row],[Nombre]],base_de_datos[Profesor],base_de_datos[Academia],1))=Profesores[[#Headers],[ESC]],"x","")</f>
        <v/>
      </c>
      <c r="AE37" s="6" t="str">
        <f>IF((_xlfn.XLOOKUP(Profesores[[#This Row],[Nombre]],base_de_datos[Profesor],base_de_datos[Academia],1))=Profesores[[#Headers],[HUM]],"x","")</f>
        <v>x</v>
      </c>
      <c r="AF37" s="4" t="str">
        <f>IF((_xlfn.XLOOKUP(Profesores[[#This Row],[Nombre]],base_de_datos[Profesor],base_de_datos[Academia],1))=Profesores[[#Headers],[IID]],"x","")</f>
        <v/>
      </c>
      <c r="AG37" s="6" t="str">
        <f>IF((_xlfn.XLOOKUP(Profesores[[#This Row],[Nombre]],base_de_datos[Profesor],base_de_datos[Academia],1))=Profesores[[#Headers],[BIO]],"x","")</f>
        <v/>
      </c>
      <c r="AJ37" s="6">
        <f>TRUNC(IFERROR(Profesores[[#This Row],[Ex Inglés]]*677/100,0),0)</f>
        <v>0</v>
      </c>
      <c r="AL37" s="67" t="s">
        <v>569</v>
      </c>
      <c r="AM37" s="67" t="s">
        <v>702</v>
      </c>
      <c r="AN37" s="67">
        <v>12</v>
      </c>
      <c r="AQ37" s="190" t="s">
        <v>86</v>
      </c>
      <c r="AR37" s="190">
        <v>40</v>
      </c>
      <c r="AS37" s="10"/>
      <c r="AT37" s="10">
        <v>10</v>
      </c>
      <c r="AU37" s="10">
        <v>25</v>
      </c>
      <c r="AV37" s="10"/>
    </row>
    <row r="38" spans="2:48" ht="12" hidden="1" customHeight="1">
      <c r="B38" s="6">
        <v>135</v>
      </c>
      <c r="C38" s="4" t="s">
        <v>497</v>
      </c>
      <c r="D38" s="4" t="s">
        <v>485</v>
      </c>
      <c r="E38" s="56">
        <v>27133</v>
      </c>
      <c r="F38" s="133" t="s">
        <v>188</v>
      </c>
      <c r="G38" s="33" t="s">
        <v>703</v>
      </c>
      <c r="H38" s="33" t="s">
        <v>704</v>
      </c>
      <c r="I38" s="33" t="s">
        <v>705</v>
      </c>
      <c r="J38" s="58">
        <v>27771</v>
      </c>
      <c r="K38" s="33" t="s">
        <v>515</v>
      </c>
      <c r="M38" s="53">
        <v>4493526497</v>
      </c>
      <c r="N38" s="138" t="s">
        <v>706</v>
      </c>
      <c r="O38" s="128"/>
      <c r="T38" s="6"/>
      <c r="U38" s="4">
        <v>1</v>
      </c>
      <c r="V38" s="4" t="str">
        <f>IF((_xlfn.XLOOKUP(Profesores[[#This Row],[Nombre]],base_de_datos[Profesor],base_de_datos[Academia],1))=Profesores[[#Headers],[MEC]],"x","")</f>
        <v/>
      </c>
      <c r="W38" s="4" t="str">
        <f>IF((_xlfn.XLOOKUP(Profesores[[#This Row],[Nombre]],base_de_datos[Profesor],base_de_datos[Academia],1))=Profesores[[#Headers],[COM]],"x","")</f>
        <v/>
      </c>
      <c r="Y38" s="4" t="str">
        <f>IF((_xlfn.XLOOKUP(Profesores[[#This Row],[Nombre]],base_de_datos[Profesor],base_de_datos[Academia],1))=Profesores[[#Headers],[DOP]],"x","")</f>
        <v/>
      </c>
      <c r="Z38" s="4" t="str">
        <f>IF((_xlfn.XLOOKUP(Profesores[[#This Row],[Nombre]],base_de_datos[Profesor],base_de_datos[Academia],1))=Profesores[[#Headers],[ETF]],"x","")</f>
        <v/>
      </c>
      <c r="AA38" s="4" t="str">
        <f>IF((_xlfn.XLOOKUP(Profesores[[#This Row],[Nombre]],base_de_datos[Profesor],base_de_datos[Academia],1))=Profesores[[#Headers],[MAT]],"x","")</f>
        <v>x</v>
      </c>
      <c r="AB38" s="4" t="str">
        <f>IF((_xlfn.XLOOKUP(Profesores[[#This Row],[Nombre]],base_de_datos[Profesor],base_de_datos[Academia],1))=Profesores[[#Headers],[EMP]],"x","")</f>
        <v/>
      </c>
      <c r="AC38" s="6" t="str">
        <f>IF((_xlfn.XLOOKUP(Profesores[[#This Row],[Nombre]],base_de_datos[Profesor],base_de_datos[Academia],1))=Profesores[[#Headers],[AIC]],"x","")</f>
        <v/>
      </c>
      <c r="AD38" s="4" t="str">
        <f>IF((_xlfn.XLOOKUP(Profesores[[#This Row],[Nombre]],base_de_datos[Profesor],base_de_datos[Academia],1))=Profesores[[#Headers],[ESC]],"x","")</f>
        <v/>
      </c>
      <c r="AE38" s="6" t="str">
        <f>IF((_xlfn.XLOOKUP(Profesores[[#This Row],[Nombre]],base_de_datos[Profesor],base_de_datos[Academia],1))=Profesores[[#Headers],[HUM]],"x","")</f>
        <v/>
      </c>
      <c r="AF38" s="4" t="str">
        <f>IF((_xlfn.XLOOKUP(Profesores[[#This Row],[Nombre]],base_de_datos[Profesor],base_de_datos[Academia],1))=Profesores[[#Headers],[IID]],"x","")</f>
        <v/>
      </c>
      <c r="AG38" s="6" t="str">
        <f>IF((_xlfn.XLOOKUP(Profesores[[#This Row],[Nombre]],base_de_datos[Profesor],base_de_datos[Academia],1))=Profesores[[#Headers],[BIO]],"x","")</f>
        <v/>
      </c>
      <c r="AH38" s="6" t="s">
        <v>543</v>
      </c>
      <c r="AI38" s="6" t="s">
        <v>597</v>
      </c>
      <c r="AJ38" s="6">
        <f>TRUNC(IFERROR(Profesores[[#This Row],[Ex Inglés]]*677/100,0),0)</f>
        <v>0</v>
      </c>
      <c r="AL38" s="67" t="s">
        <v>569</v>
      </c>
      <c r="AM38" s="67" t="s">
        <v>198</v>
      </c>
      <c r="AN38" s="67">
        <v>12</v>
      </c>
      <c r="AQ38" s="190" t="s">
        <v>599</v>
      </c>
      <c r="AR38" s="190">
        <v>40</v>
      </c>
      <c r="AS38" s="10"/>
      <c r="AT38" s="10">
        <v>25</v>
      </c>
      <c r="AU38" s="10">
        <v>31</v>
      </c>
      <c r="AV38" s="10"/>
    </row>
    <row r="39" spans="2:48" ht="12" hidden="1" customHeight="1">
      <c r="C39" s="4" t="s">
        <v>497</v>
      </c>
      <c r="D39" s="4" t="s">
        <v>498</v>
      </c>
      <c r="E39" s="86" t="s">
        <v>707</v>
      </c>
      <c r="F39" s="133" t="s">
        <v>195</v>
      </c>
      <c r="G39" s="33" t="s">
        <v>708</v>
      </c>
      <c r="H39" s="33" t="s">
        <v>687</v>
      </c>
      <c r="I39" s="33" t="s">
        <v>709</v>
      </c>
      <c r="J39" s="58">
        <v>24506</v>
      </c>
      <c r="M39" s="53">
        <v>4493653687</v>
      </c>
      <c r="N39" s="136" t="s">
        <v>710</v>
      </c>
      <c r="O39" s="128" t="s">
        <v>711</v>
      </c>
      <c r="P39" s="4">
        <v>128</v>
      </c>
      <c r="Q39" s="4" t="s">
        <v>712</v>
      </c>
      <c r="R39" s="4" t="s">
        <v>491</v>
      </c>
      <c r="S39" s="4" t="s">
        <v>491</v>
      </c>
      <c r="T39" s="6">
        <v>20196</v>
      </c>
      <c r="U39" s="4">
        <v>2</v>
      </c>
      <c r="V39" s="4" t="str">
        <f>IF((_xlfn.XLOOKUP(Profesores[[#This Row],[Nombre]],base_de_datos[Profesor],base_de_datos[Academia],1))=Profesores[[#Headers],[MEC]],"x","")</f>
        <v/>
      </c>
      <c r="W39" s="4" t="str">
        <f>IF((_xlfn.XLOOKUP(Profesores[[#This Row],[Nombre]],base_de_datos[Profesor],base_de_datos[Academia],1))=Profesores[[#Headers],[COM]],"x","")</f>
        <v/>
      </c>
      <c r="Y39" s="4" t="str">
        <f>IF((_xlfn.XLOOKUP(Profesores[[#This Row],[Nombre]],base_de_datos[Profesor],base_de_datos[Academia],1))=Profesores[[#Headers],[DOP]],"x","")</f>
        <v/>
      </c>
      <c r="Z39" s="4" t="str">
        <f>IF((_xlfn.XLOOKUP(Profesores[[#This Row],[Nombre]],base_de_datos[Profesor],base_de_datos[Academia],1))=Profesores[[#Headers],[ETF]],"x","")</f>
        <v/>
      </c>
      <c r="AA39" s="4" t="str">
        <f>IF((_xlfn.XLOOKUP(Profesores[[#This Row],[Nombre]],base_de_datos[Profesor],base_de_datos[Academia],1))=Profesores[[#Headers],[MAT]],"x","")</f>
        <v>x</v>
      </c>
      <c r="AB39" s="4" t="str">
        <f>IF((_xlfn.XLOOKUP(Profesores[[#This Row],[Nombre]],base_de_datos[Profesor],base_de_datos[Academia],1))=Profesores[[#Headers],[EMP]],"x","")</f>
        <v/>
      </c>
      <c r="AC39" s="6" t="str">
        <f>IF((_xlfn.XLOOKUP(Profesores[[#This Row],[Nombre]],base_de_datos[Profesor],base_de_datos[Academia],1))=Profesores[[#Headers],[AIC]],"x","")</f>
        <v/>
      </c>
      <c r="AD39" s="4" t="str">
        <f>IF((_xlfn.XLOOKUP(Profesores[[#This Row],[Nombre]],base_de_datos[Profesor],base_de_datos[Academia],1))=Profesores[[#Headers],[ESC]],"x","")</f>
        <v/>
      </c>
      <c r="AE39" s="6" t="str">
        <f>IF((_xlfn.XLOOKUP(Profesores[[#This Row],[Nombre]],base_de_datos[Profesor],base_de_datos[Academia],1))=Profesores[[#Headers],[HUM]],"x","")</f>
        <v/>
      </c>
      <c r="AF39" s="4" t="str">
        <f>IF((_xlfn.XLOOKUP(Profesores[[#This Row],[Nombre]],base_de_datos[Profesor],base_de_datos[Academia],1))=Profesores[[#Headers],[IID]],"x","")</f>
        <v/>
      </c>
      <c r="AG39" s="6" t="str">
        <f>IF((_xlfn.XLOOKUP(Profesores[[#This Row],[Nombre]],base_de_datos[Profesor],base_de_datos[Academia],1))=Profesores[[#Headers],[BIO]],"x","")</f>
        <v/>
      </c>
      <c r="AH39" s="6" t="s">
        <v>543</v>
      </c>
      <c r="AJ39" s="6">
        <f>TRUNC(IFERROR(Profesores[[#This Row],[Ex Inglés]]*677/100,0),0)</f>
        <v>0</v>
      </c>
      <c r="AL39" s="67" t="s">
        <v>569</v>
      </c>
      <c r="AM39" s="67" t="s">
        <v>636</v>
      </c>
      <c r="AN39" s="67">
        <v>10</v>
      </c>
      <c r="AQ39" s="190" t="s">
        <v>187</v>
      </c>
      <c r="AR39" s="190">
        <v>57</v>
      </c>
      <c r="AS39" s="10"/>
      <c r="AT39" s="10"/>
      <c r="AU39" s="10"/>
      <c r="AV39" s="10"/>
    </row>
    <row r="40" spans="2:48" ht="12" hidden="1" customHeight="1">
      <c r="B40" s="6">
        <v>90</v>
      </c>
      <c r="C40" s="4" t="s">
        <v>493</v>
      </c>
      <c r="D40" s="4" t="s">
        <v>498</v>
      </c>
      <c r="E40" s="56">
        <v>200308</v>
      </c>
      <c r="F40" s="133" t="s">
        <v>202</v>
      </c>
      <c r="G40" s="33" t="s">
        <v>713</v>
      </c>
      <c r="H40" s="33" t="s">
        <v>714</v>
      </c>
      <c r="I40" s="33" t="s">
        <v>560</v>
      </c>
      <c r="J40" s="58">
        <v>35886</v>
      </c>
      <c r="K40" s="33" t="s">
        <v>515</v>
      </c>
      <c r="L40" s="4" t="s">
        <v>504</v>
      </c>
      <c r="M40" s="53">
        <v>4497699316</v>
      </c>
      <c r="N40" s="89" t="s">
        <v>715</v>
      </c>
      <c r="O40" s="128" t="s">
        <v>563</v>
      </c>
      <c r="P40" s="4">
        <v>207</v>
      </c>
      <c r="Q40" s="4" t="s">
        <v>564</v>
      </c>
      <c r="R40" s="4" t="s">
        <v>185</v>
      </c>
      <c r="S40" s="4" t="s">
        <v>491</v>
      </c>
      <c r="T40" s="6">
        <v>20909</v>
      </c>
      <c r="U40" s="4"/>
      <c r="V40" s="4" t="str">
        <f>IF((_xlfn.XLOOKUP(Profesores[[#This Row],[Nombre]],base_de_datos[Profesor],base_de_datos[Academia],1))=Profesores[[#Headers],[MEC]],"x","")</f>
        <v/>
      </c>
      <c r="W40" s="4" t="str">
        <f>IF((_xlfn.XLOOKUP(Profesores[[#This Row],[Nombre]],base_de_datos[Profesor],base_de_datos[Academia],1))=Profesores[[#Headers],[COM]],"x","")</f>
        <v>x</v>
      </c>
      <c r="Y40" s="4" t="str">
        <f>IF((_xlfn.XLOOKUP(Profesores[[#This Row],[Nombre]],base_de_datos[Profesor],base_de_datos[Academia],1))=Profesores[[#Headers],[DOP]],"x","")</f>
        <v/>
      </c>
      <c r="Z40" s="4" t="str">
        <f>IF((_xlfn.XLOOKUP(Profesores[[#This Row],[Nombre]],base_de_datos[Profesor],base_de_datos[Academia],1))=Profesores[[#Headers],[ETF]],"x","")</f>
        <v/>
      </c>
      <c r="AA40" s="4" t="str">
        <f>IF((_xlfn.XLOOKUP(Profesores[[#This Row],[Nombre]],base_de_datos[Profesor],base_de_datos[Academia],1))=Profesores[[#Headers],[MAT]],"x","")</f>
        <v/>
      </c>
      <c r="AB40" s="4" t="str">
        <f>IF((_xlfn.XLOOKUP(Profesores[[#This Row],[Nombre]],base_de_datos[Profesor],base_de_datos[Academia],1))=Profesores[[#Headers],[EMP]],"x","")</f>
        <v/>
      </c>
      <c r="AC40" s="6" t="str">
        <f>IF((_xlfn.XLOOKUP(Profesores[[#This Row],[Nombre]],base_de_datos[Profesor],base_de_datos[Academia],1))=Profesores[[#Headers],[AIC]],"x","")</f>
        <v/>
      </c>
      <c r="AD40" s="4" t="str">
        <f>IF((_xlfn.XLOOKUP(Profesores[[#This Row],[Nombre]],base_de_datos[Profesor],base_de_datos[Academia],1))=Profesores[[#Headers],[ESC]],"x","")</f>
        <v/>
      </c>
      <c r="AE40" s="6" t="str">
        <f>IF((_xlfn.XLOOKUP(Profesores[[#This Row],[Nombre]],base_de_datos[Profesor],base_de_datos[Academia],1))=Profesores[[#Headers],[HUM]],"x","")</f>
        <v/>
      </c>
      <c r="AF40" s="4" t="str">
        <f>IF((_xlfn.XLOOKUP(Profesores[[#This Row],[Nombre]],base_de_datos[Profesor],base_de_datos[Academia],1))=Profesores[[#Headers],[IID]],"x","")</f>
        <v/>
      </c>
      <c r="AG40" s="6" t="str">
        <f>IF((_xlfn.XLOOKUP(Profesores[[#This Row],[Nombre]],base_de_datos[Profesor],base_de_datos[Academia],1))=Profesores[[#Headers],[BIO]],"x","")</f>
        <v/>
      </c>
      <c r="AJ40" s="6">
        <f>TRUNC(IFERROR(Profesores[[#This Row],[Ex Inglés]]*677/100,0),0)</f>
        <v>0</v>
      </c>
      <c r="AL40" s="67"/>
      <c r="AM40" s="67"/>
      <c r="AN40" s="67"/>
      <c r="AQ40" s="190" t="s">
        <v>114</v>
      </c>
      <c r="AR40" s="196">
        <v>36</v>
      </c>
      <c r="AS40" s="10"/>
      <c r="AT40" s="10">
        <v>18</v>
      </c>
      <c r="AU40" s="10">
        <v>18</v>
      </c>
      <c r="AV40" s="10"/>
    </row>
    <row r="41" spans="2:48" ht="12" hidden="1" customHeight="1">
      <c r="C41" s="2" t="s">
        <v>497</v>
      </c>
      <c r="D41" s="2" t="s">
        <v>485</v>
      </c>
      <c r="E41" s="66">
        <v>166417</v>
      </c>
      <c r="F41" s="134" t="s">
        <v>204</v>
      </c>
      <c r="G41" s="34" t="s">
        <v>716</v>
      </c>
      <c r="H41" s="34" t="s">
        <v>717</v>
      </c>
      <c r="I41" s="34" t="s">
        <v>687</v>
      </c>
      <c r="J41" s="58"/>
      <c r="M41" s="225">
        <v>3951127190</v>
      </c>
      <c r="N41" s="138" t="s">
        <v>718</v>
      </c>
      <c r="O41" s="128" t="s">
        <v>719</v>
      </c>
      <c r="P41" s="4">
        <v>108</v>
      </c>
      <c r="Q41" s="4" t="s">
        <v>524</v>
      </c>
      <c r="R41" s="4" t="s">
        <v>491</v>
      </c>
      <c r="S41" s="4" t="s">
        <v>491</v>
      </c>
      <c r="T41" s="6">
        <v>20278</v>
      </c>
      <c r="U41" s="4">
        <v>1</v>
      </c>
      <c r="V41" s="4" t="str">
        <f>IF((_xlfn.XLOOKUP(Profesores[[#This Row],[Nombre]],base_de_datos[Profesor],base_de_datos[Academia],1))=Profesores[[#Headers],[MEC]],"x","")</f>
        <v/>
      </c>
      <c r="W41" s="4" t="str">
        <f>IF((_xlfn.XLOOKUP(Profesores[[#This Row],[Nombre]],base_de_datos[Profesor],base_de_datos[Academia],1))=Profesores[[#Headers],[COM]],"x","")</f>
        <v/>
      </c>
      <c r="X41" s="4" t="s">
        <v>67</v>
      </c>
      <c r="Y41" s="4" t="str">
        <f>IF((_xlfn.XLOOKUP(Profesores[[#This Row],[Nombre]],base_de_datos[Profesor],base_de_datos[Academia],1))=Profesores[[#Headers],[DOP]],"x","")</f>
        <v/>
      </c>
      <c r="Z41" s="4" t="str">
        <f>IF((_xlfn.XLOOKUP(Profesores[[#This Row],[Nombre]],base_de_datos[Profesor],base_de_datos[Academia],1))=Profesores[[#Headers],[ETF]],"x","")</f>
        <v/>
      </c>
      <c r="AA41" s="4" t="str">
        <f>IF((_xlfn.XLOOKUP(Profesores[[#This Row],[Nombre]],base_de_datos[Profesor],base_de_datos[Academia],1))=Profesores[[#Headers],[MAT]],"x","")</f>
        <v/>
      </c>
      <c r="AB41" s="4" t="str">
        <f>IF((_xlfn.XLOOKUP(Profesores[[#This Row],[Nombre]],base_de_datos[Profesor],base_de_datos[Academia],1))=Profesores[[#Headers],[EMP]],"x","")</f>
        <v/>
      </c>
      <c r="AC41" s="6" t="str">
        <f>IF((_xlfn.XLOOKUP(Profesores[[#This Row],[Nombre]],base_de_datos[Profesor],base_de_datos[Academia],1))=Profesores[[#Headers],[AIC]],"x","")</f>
        <v/>
      </c>
      <c r="AD41" s="4" t="str">
        <f>IF((_xlfn.XLOOKUP(Profesores[[#This Row],[Nombre]],base_de_datos[Profesor],base_de_datos[Academia],1))=Profesores[[#Headers],[ESC]],"x","")</f>
        <v/>
      </c>
      <c r="AE41" s="6" t="str">
        <f>IF((_xlfn.XLOOKUP(Profesores[[#This Row],[Nombre]],base_de_datos[Profesor],base_de_datos[Academia],1))=Profesores[[#Headers],[HUM]],"x","")</f>
        <v/>
      </c>
      <c r="AF41" s="4" t="str">
        <f>IF((_xlfn.XLOOKUP(Profesores[[#This Row],[Nombre]],base_de_datos[Profesor],base_de_datos[Academia],1))=Profesores[[#Headers],[IID]],"x","")</f>
        <v/>
      </c>
      <c r="AG41" s="6" t="str">
        <f>IF((_xlfn.XLOOKUP(Profesores[[#This Row],[Nombre]],base_de_datos[Profesor],base_de_datos[Academia],1))=Profesores[[#Headers],[BIO]],"x","")</f>
        <v/>
      </c>
      <c r="AH41" s="6">
        <v>90.76</v>
      </c>
      <c r="AI41" s="6" t="s">
        <v>504</v>
      </c>
      <c r="AJ41" s="6">
        <f>TRUNC(IFERROR(Profesores[[#This Row],[Ex Inglés]]*677/100,0),0)</f>
        <v>614</v>
      </c>
      <c r="AL41" s="67"/>
      <c r="AM41" s="67"/>
      <c r="AN41" s="67"/>
      <c r="AQ41" s="190" t="s">
        <v>720</v>
      </c>
      <c r="AR41" s="190">
        <v>250</v>
      </c>
      <c r="AS41" s="10"/>
      <c r="AT41" s="10">
        <v>48</v>
      </c>
      <c r="AU41" s="10">
        <v>58</v>
      </c>
      <c r="AV41" s="10"/>
    </row>
    <row r="42" spans="2:48" ht="12" hidden="1" customHeight="1">
      <c r="B42" s="4" t="s">
        <v>473</v>
      </c>
      <c r="E42" s="56"/>
      <c r="F42" s="6" t="s">
        <v>721</v>
      </c>
      <c r="J42" s="4"/>
      <c r="M42" s="53"/>
      <c r="N42" s="53"/>
      <c r="O42" s="128"/>
      <c r="T42" s="6"/>
      <c r="U42" s="4">
        <v>2</v>
      </c>
      <c r="V42" s="4" t="str">
        <f>IF((_xlfn.XLOOKUP(Profesores[[#This Row],[Nombre]],base_de_datos[Profesor],base_de_datos[Academia],1))=Profesores[[#Headers],[MEC]],"x","")</f>
        <v/>
      </c>
      <c r="W42" s="4" t="str">
        <f>IF((_xlfn.XLOOKUP(Profesores[[#This Row],[Nombre]],base_de_datos[Profesor],base_de_datos[Academia],1))=Profesores[[#Headers],[COM]],"x","")</f>
        <v/>
      </c>
      <c r="Y42" s="4" t="str">
        <f>IF((_xlfn.XLOOKUP(Profesores[[#This Row],[Nombre]],base_de_datos[Profesor],base_de_datos[Academia],1))=Profesores[[#Headers],[DOP]],"x","")</f>
        <v/>
      </c>
      <c r="Z42" s="4" t="str">
        <f>IF((_xlfn.XLOOKUP(Profesores[[#This Row],[Nombre]],base_de_datos[Profesor],base_de_datos[Academia],1))=Profesores[[#Headers],[ETF]],"x","")</f>
        <v/>
      </c>
      <c r="AA42" s="4" t="str">
        <f>IF((_xlfn.XLOOKUP(Profesores[[#This Row],[Nombre]],base_de_datos[Profesor],base_de_datos[Academia],1))=Profesores[[#Headers],[MAT]],"x","")</f>
        <v/>
      </c>
      <c r="AB42" s="4" t="str">
        <f>IF((_xlfn.XLOOKUP(Profesores[[#This Row],[Nombre]],base_de_datos[Profesor],base_de_datos[Academia],1))=Profesores[[#Headers],[EMP]],"x","")</f>
        <v/>
      </c>
      <c r="AC42" s="6" t="str">
        <f>IF((_xlfn.XLOOKUP(Profesores[[#This Row],[Nombre]],base_de_datos[Profesor],base_de_datos[Academia],1))=Profesores[[#Headers],[AIC]],"x","")</f>
        <v/>
      </c>
      <c r="AD42" s="4" t="str">
        <f>IF((_xlfn.XLOOKUP(Profesores[[#This Row],[Nombre]],base_de_datos[Profesor],base_de_datos[Academia],1))=Profesores[[#Headers],[ESC]],"x","")</f>
        <v/>
      </c>
      <c r="AE42" s="6" t="str">
        <f>IF((_xlfn.XLOOKUP(Profesores[[#This Row],[Nombre]],base_de_datos[Profesor],base_de_datos[Academia],1))=Profesores[[#Headers],[HUM]],"x","")</f>
        <v/>
      </c>
      <c r="AF42" s="4" t="str">
        <f>IF((_xlfn.XLOOKUP(Profesores[[#This Row],[Nombre]],base_de_datos[Profesor],base_de_datos[Academia],1))=Profesores[[#Headers],[IID]],"x","")</f>
        <v/>
      </c>
      <c r="AG42" s="6" t="str">
        <f>IF((_xlfn.XLOOKUP(Profesores[[#This Row],[Nombre]],base_de_datos[Profesor],base_de_datos[Academia],1))=Profesores[[#Headers],[BIO]],"x","")</f>
        <v/>
      </c>
      <c r="AH42" s="6">
        <v>45.84</v>
      </c>
      <c r="AI42" s="6" t="s">
        <v>597</v>
      </c>
      <c r="AJ42" s="6">
        <f>TRUNC(IFERROR(Profesores[[#This Row],[Ex Inglés]]*677/100,0),0)</f>
        <v>310</v>
      </c>
      <c r="AL42" s="67"/>
      <c r="AM42" s="67"/>
      <c r="AN42" s="67"/>
      <c r="AQ42" s="190" t="s">
        <v>1</v>
      </c>
      <c r="AR42" s="196">
        <v>30</v>
      </c>
      <c r="AS42" s="10"/>
      <c r="AT42" s="10"/>
      <c r="AU42" s="10"/>
      <c r="AV42" s="10"/>
    </row>
    <row r="43" spans="2:48" ht="12" hidden="1" customHeight="1">
      <c r="B43" s="6">
        <v>129</v>
      </c>
      <c r="C43" s="4" t="s">
        <v>493</v>
      </c>
      <c r="D43" s="4" t="s">
        <v>485</v>
      </c>
      <c r="E43" s="56">
        <v>173052</v>
      </c>
      <c r="F43" s="133" t="s">
        <v>208</v>
      </c>
      <c r="G43" s="33" t="s">
        <v>722</v>
      </c>
      <c r="H43" s="33" t="s">
        <v>723</v>
      </c>
      <c r="I43" s="33" t="s">
        <v>538</v>
      </c>
      <c r="J43" s="58">
        <v>34691</v>
      </c>
      <c r="K43" s="33" t="s">
        <v>515</v>
      </c>
      <c r="L43" s="4" t="s">
        <v>504</v>
      </c>
      <c r="M43" s="53">
        <v>4491422937</v>
      </c>
      <c r="N43" s="89" t="s">
        <v>724</v>
      </c>
      <c r="O43" s="128" t="s">
        <v>725</v>
      </c>
      <c r="P43" s="4">
        <v>301</v>
      </c>
      <c r="Q43" s="33" t="s">
        <v>726</v>
      </c>
      <c r="R43" s="4" t="s">
        <v>491</v>
      </c>
      <c r="S43" s="4" t="s">
        <v>491</v>
      </c>
      <c r="T43" s="6">
        <v>20120</v>
      </c>
      <c r="U43" s="4"/>
      <c r="V43" s="4" t="str">
        <f>IF((_xlfn.XLOOKUP(Profesores[[#This Row],[Nombre]],base_de_datos[Profesor],base_de_datos[Academia],1))=Profesores[[#Headers],[MEC]],"x","")</f>
        <v/>
      </c>
      <c r="W43" s="4" t="str">
        <f>IF((_xlfn.XLOOKUP(Profesores[[#This Row],[Nombre]],base_de_datos[Profesor],base_de_datos[Academia],1))=Profesores[[#Headers],[COM]],"x","")</f>
        <v>x</v>
      </c>
      <c r="Y43" s="4" t="str">
        <f>IF((_xlfn.XLOOKUP(Profesores[[#This Row],[Nombre]],base_de_datos[Profesor],base_de_datos[Academia],1))=Profesores[[#Headers],[DOP]],"x","")</f>
        <v/>
      </c>
      <c r="Z43" s="4" t="str">
        <f>IF((_xlfn.XLOOKUP(Profesores[[#This Row],[Nombre]],base_de_datos[Profesor],base_de_datos[Academia],1))=Profesores[[#Headers],[ETF]],"x","")</f>
        <v/>
      </c>
      <c r="AA43" s="4" t="str">
        <f>IF((_xlfn.XLOOKUP(Profesores[[#This Row],[Nombre]],base_de_datos[Profesor],base_de_datos[Academia],1))=Profesores[[#Headers],[MAT]],"x","")</f>
        <v/>
      </c>
      <c r="AB43" s="4" t="str">
        <f>IF((_xlfn.XLOOKUP(Profesores[[#This Row],[Nombre]],base_de_datos[Profesor],base_de_datos[Academia],1))=Profesores[[#Headers],[EMP]],"x","")</f>
        <v/>
      </c>
      <c r="AC43" s="6" t="str">
        <f>IF((_xlfn.XLOOKUP(Profesores[[#This Row],[Nombre]],base_de_datos[Profesor],base_de_datos[Academia],1))=Profesores[[#Headers],[AIC]],"x","")</f>
        <v/>
      </c>
      <c r="AD43" s="4" t="str">
        <f>IF((_xlfn.XLOOKUP(Profesores[[#This Row],[Nombre]],base_de_datos[Profesor],base_de_datos[Academia],1))=Profesores[[#Headers],[ESC]],"x","")</f>
        <v/>
      </c>
      <c r="AE43" s="6" t="str">
        <f>IF((_xlfn.XLOOKUP(Profesores[[#This Row],[Nombre]],base_de_datos[Profesor],base_de_datos[Academia],1))=Profesores[[#Headers],[HUM]],"x","")</f>
        <v/>
      </c>
      <c r="AF43" s="4" t="str">
        <f>IF((_xlfn.XLOOKUP(Profesores[[#This Row],[Nombre]],base_de_datos[Profesor],base_de_datos[Academia],1))=Profesores[[#Headers],[IID]],"x","")</f>
        <v/>
      </c>
      <c r="AG43" s="6" t="str">
        <f>IF((_xlfn.XLOOKUP(Profesores[[#This Row],[Nombre]],base_de_datos[Profesor],base_de_datos[Academia],1))=Profesores[[#Headers],[BIO]],"x","")</f>
        <v/>
      </c>
      <c r="AJ43" s="6">
        <f>TRUNC(IFERROR(Profesores[[#This Row],[Ex Inglés]]*677/100,0),0)</f>
        <v>0</v>
      </c>
      <c r="AL43" s="67"/>
      <c r="AM43" s="67"/>
      <c r="AN43" s="67"/>
      <c r="AQ43" s="190" t="s">
        <v>185</v>
      </c>
      <c r="AR43" s="190">
        <v>40</v>
      </c>
      <c r="AS43" s="10"/>
      <c r="AT43" s="10">
        <v>14</v>
      </c>
      <c r="AU43" s="10">
        <v>24</v>
      </c>
      <c r="AV43" s="10"/>
    </row>
    <row r="44" spans="2:48" ht="12" hidden="1" customHeight="1">
      <c r="B44" s="6">
        <v>9</v>
      </c>
      <c r="C44" s="2" t="s">
        <v>497</v>
      </c>
      <c r="D44" s="2" t="s">
        <v>485</v>
      </c>
      <c r="E44" s="66">
        <v>144496</v>
      </c>
      <c r="F44" s="134" t="s">
        <v>212</v>
      </c>
      <c r="G44" s="34" t="s">
        <v>727</v>
      </c>
      <c r="H44" s="34" t="s">
        <v>728</v>
      </c>
      <c r="I44" s="34" t="s">
        <v>729</v>
      </c>
      <c r="J44" s="57">
        <v>21206</v>
      </c>
      <c r="K44" s="188" t="s">
        <v>515</v>
      </c>
      <c r="L44" s="4" t="s">
        <v>504</v>
      </c>
      <c r="M44" s="53">
        <v>4499119812</v>
      </c>
      <c r="N44" s="89" t="s">
        <v>730</v>
      </c>
      <c r="O44" s="128" t="s">
        <v>731</v>
      </c>
      <c r="P44" s="4">
        <v>1022</v>
      </c>
      <c r="Q44" s="4" t="s">
        <v>732</v>
      </c>
      <c r="R44" s="4" t="s">
        <v>491</v>
      </c>
      <c r="S44" s="4" t="s">
        <v>491</v>
      </c>
      <c r="T44" s="6">
        <v>20115</v>
      </c>
      <c r="U44" s="4">
        <v>1</v>
      </c>
      <c r="V44" s="4" t="str">
        <f>IF((_xlfn.XLOOKUP(Profesores[[#This Row],[Nombre]],base_de_datos[Profesor],base_de_datos[Academia],1))=Profesores[[#Headers],[MEC]],"x","")</f>
        <v/>
      </c>
      <c r="W44" s="4" t="str">
        <f>IF((_xlfn.XLOOKUP(Profesores[[#This Row],[Nombre]],base_de_datos[Profesor],base_de_datos[Academia],1))=Profesores[[#Headers],[COM]],"x","")</f>
        <v/>
      </c>
      <c r="Y44" s="4" t="str">
        <f>IF((_xlfn.XLOOKUP(Profesores[[#This Row],[Nombre]],base_de_datos[Profesor],base_de_datos[Academia],1))=Profesores[[#Headers],[DOP]],"x","")</f>
        <v>x</v>
      </c>
      <c r="Z44" s="4" t="str">
        <f>IF((_xlfn.XLOOKUP(Profesores[[#This Row],[Nombre]],base_de_datos[Profesor],base_de_datos[Academia],1))=Profesores[[#Headers],[ETF]],"x","")</f>
        <v/>
      </c>
      <c r="AA44" s="4" t="str">
        <f>IF((_xlfn.XLOOKUP(Profesores[[#This Row],[Nombre]],base_de_datos[Profesor],base_de_datos[Academia],1))=Profesores[[#Headers],[MAT]],"x","")</f>
        <v/>
      </c>
      <c r="AB44" s="4" t="s">
        <v>67</v>
      </c>
      <c r="AC44" s="6" t="str">
        <f>IF((_xlfn.XLOOKUP(Profesores[[#This Row],[Nombre]],base_de_datos[Profesor],base_de_datos[Academia],1))=Profesores[[#Headers],[AIC]],"x","")</f>
        <v/>
      </c>
      <c r="AD44" s="4" t="str">
        <f>IF((_xlfn.XLOOKUP(Profesores[[#This Row],[Nombre]],base_de_datos[Profesor],base_de_datos[Academia],1))=Profesores[[#Headers],[ESC]],"x","")</f>
        <v/>
      </c>
      <c r="AE44" s="6" t="str">
        <f>IF((_xlfn.XLOOKUP(Profesores[[#This Row],[Nombre]],base_de_datos[Profesor],base_de_datos[Academia],1))=Profesores[[#Headers],[HUM]],"x","")</f>
        <v/>
      </c>
      <c r="AF44" s="4" t="str">
        <f>IF((_xlfn.XLOOKUP(Profesores[[#This Row],[Nombre]],base_de_datos[Profesor],base_de_datos[Academia],1))=Profesores[[#Headers],[IID]],"x","")</f>
        <v/>
      </c>
      <c r="AG44" s="6" t="str">
        <f>IF((_xlfn.XLOOKUP(Profesores[[#This Row],[Nombre]],base_de_datos[Profesor],base_de_datos[Academia],1))=Profesores[[#Headers],[BIO]],"x","")</f>
        <v/>
      </c>
      <c r="AH44" s="6" t="s">
        <v>543</v>
      </c>
      <c r="AJ44" s="6">
        <f>TRUNC(IFERROR(Profesores[[#This Row],[Ex Inglés]]*677/100,0),0)</f>
        <v>0</v>
      </c>
      <c r="AL44" s="67"/>
      <c r="AM44" s="67"/>
      <c r="AN44" s="67"/>
      <c r="AQ44" s="190" t="s">
        <v>255</v>
      </c>
      <c r="AR44" s="196">
        <v>10</v>
      </c>
      <c r="AS44" s="10"/>
      <c r="AT44" s="10">
        <v>7</v>
      </c>
      <c r="AU44" s="10">
        <v>7</v>
      </c>
      <c r="AV44" s="10"/>
    </row>
    <row r="45" spans="2:48" ht="12" hidden="1" customHeight="1">
      <c r="B45" s="6">
        <v>40</v>
      </c>
      <c r="C45" s="4" t="s">
        <v>510</v>
      </c>
      <c r="D45" s="4" t="s">
        <v>485</v>
      </c>
      <c r="E45" s="56">
        <v>113891</v>
      </c>
      <c r="F45" s="133" t="s">
        <v>219</v>
      </c>
      <c r="G45" s="33" t="s">
        <v>733</v>
      </c>
      <c r="H45" s="33" t="s">
        <v>734</v>
      </c>
      <c r="I45" s="33" t="s">
        <v>735</v>
      </c>
      <c r="J45" s="58">
        <v>29664</v>
      </c>
      <c r="K45" s="33" t="s">
        <v>515</v>
      </c>
      <c r="L45" s="4" t="s">
        <v>504</v>
      </c>
      <c r="M45" s="53" t="s">
        <v>736</v>
      </c>
      <c r="N45" s="89" t="s">
        <v>737</v>
      </c>
      <c r="O45" s="128" t="s">
        <v>738</v>
      </c>
      <c r="P45" s="4" t="s">
        <v>739</v>
      </c>
      <c r="Q45" s="4" t="s">
        <v>740</v>
      </c>
      <c r="R45" s="4" t="s">
        <v>741</v>
      </c>
      <c r="S45" s="4" t="s">
        <v>742</v>
      </c>
      <c r="T45" s="6">
        <v>45010</v>
      </c>
      <c r="U45" s="4">
        <v>2</v>
      </c>
      <c r="V45" s="4" t="str">
        <f>IF((_xlfn.XLOOKUP(Profesores[[#This Row],[Nombre]],base_de_datos[Profesor],base_de_datos[Academia],1))=Profesores[[#Headers],[MEC]],"x","")</f>
        <v/>
      </c>
      <c r="W45" s="4" t="str">
        <f>IF((_xlfn.XLOOKUP(Profesores[[#This Row],[Nombre]],base_de_datos[Profesor],base_de_datos[Academia],1))=Profesores[[#Headers],[COM]],"x","")</f>
        <v/>
      </c>
      <c r="Y45" s="4" t="str">
        <f>IF((_xlfn.XLOOKUP(Profesores[[#This Row],[Nombre]],base_de_datos[Profesor],base_de_datos[Academia],1))=Profesores[[#Headers],[DOP]],"x","")</f>
        <v/>
      </c>
      <c r="Z45" s="4" t="str">
        <f>IF((_xlfn.XLOOKUP(Profesores[[#This Row],[Nombre]],base_de_datos[Profesor],base_de_datos[Academia],1))=Profesores[[#Headers],[ETF]],"x","")</f>
        <v/>
      </c>
      <c r="AA45" s="4" t="str">
        <f>IF((_xlfn.XLOOKUP(Profesores[[#This Row],[Nombre]],base_de_datos[Profesor],base_de_datos[Academia],1))=Profesores[[#Headers],[MAT]],"x","")</f>
        <v/>
      </c>
      <c r="AB45" s="4" t="str">
        <f>IF((_xlfn.XLOOKUP(Profesores[[#This Row],[Nombre]],base_de_datos[Profesor],base_de_datos[Academia],1))=Profesores[[#Headers],[EMP]],"x","")</f>
        <v/>
      </c>
      <c r="AC45" s="6" t="str">
        <f>IF((_xlfn.XLOOKUP(Profesores[[#This Row],[Nombre]],base_de_datos[Profesor],base_de_datos[Academia],1))=Profesores[[#Headers],[AIC]],"x","")</f>
        <v/>
      </c>
      <c r="AD45" s="4" t="str">
        <f>IF((_xlfn.XLOOKUP(Profesores[[#This Row],[Nombre]],base_de_datos[Profesor],base_de_datos[Academia],1))=Profesores[[#Headers],[ESC]],"x","")</f>
        <v/>
      </c>
      <c r="AE45" s="6" t="str">
        <f>IF((_xlfn.XLOOKUP(Profesores[[#This Row],[Nombre]],base_de_datos[Profesor],base_de_datos[Academia],1))=Profesores[[#Headers],[HUM]],"x","")</f>
        <v/>
      </c>
      <c r="AF45" s="4" t="str">
        <f>IF((_xlfn.XLOOKUP(Profesores[[#This Row],[Nombre]],base_de_datos[Profesor],base_de_datos[Academia],1))=Profesores[[#Headers],[IID]],"x","")</f>
        <v>x</v>
      </c>
      <c r="AG45" s="6" t="str">
        <f>IF((_xlfn.XLOOKUP(Profesores[[#This Row],[Nombre]],base_de_datos[Profesor],base_de_datos[Academia],1))=Profesores[[#Headers],[BIO]],"x","")</f>
        <v/>
      </c>
      <c r="AH45" s="6">
        <v>76.099999999999994</v>
      </c>
      <c r="AI45" s="6" t="s">
        <v>597</v>
      </c>
      <c r="AJ45" s="6">
        <f>TRUNC(IFERROR(Profesores[[#This Row],[Ex Inglés]]*677/100,0),0)</f>
        <v>515</v>
      </c>
      <c r="AL45" s="67" t="s">
        <v>569</v>
      </c>
      <c r="AM45" s="67" t="s">
        <v>631</v>
      </c>
      <c r="AN45" s="67">
        <v>10</v>
      </c>
      <c r="AQ45" s="190" t="s">
        <v>129</v>
      </c>
      <c r="AR45" s="196">
        <v>15</v>
      </c>
      <c r="AS45" s="10"/>
      <c r="AT45" s="10">
        <v>20</v>
      </c>
      <c r="AU45" s="10">
        <v>28</v>
      </c>
      <c r="AV45" s="10"/>
    </row>
    <row r="46" spans="2:48" ht="12" hidden="1" customHeight="1">
      <c r="C46" s="4" t="s">
        <v>497</v>
      </c>
      <c r="D46" s="4" t="s">
        <v>494</v>
      </c>
      <c r="E46" s="56">
        <v>249264</v>
      </c>
      <c r="F46" s="133" t="s">
        <v>223</v>
      </c>
      <c r="G46" s="33" t="s">
        <v>733</v>
      </c>
      <c r="H46" s="33" t="s">
        <v>743</v>
      </c>
      <c r="I46" s="33" t="s">
        <v>525</v>
      </c>
      <c r="J46" s="4"/>
      <c r="M46" s="53"/>
      <c r="N46" s="53"/>
      <c r="O46" s="128"/>
      <c r="T46" s="6"/>
      <c r="U46" s="4">
        <v>1</v>
      </c>
      <c r="V46" s="4" t="str">
        <f>IF((_xlfn.XLOOKUP(Profesores[[#This Row],[Nombre]],base_de_datos[Profesor],base_de_datos[Academia],1))=Profesores[[#Headers],[MEC]],"x","")</f>
        <v/>
      </c>
      <c r="W46" s="4" t="str">
        <f>IF((_xlfn.XLOOKUP(Profesores[[#This Row],[Nombre]],base_de_datos[Profesor],base_de_datos[Academia],1))=Profesores[[#Headers],[COM]],"x","")</f>
        <v/>
      </c>
      <c r="Y46" s="4" t="str">
        <f>IF((_xlfn.XLOOKUP(Profesores[[#This Row],[Nombre]],base_de_datos[Profesor],base_de_datos[Academia],1))=Profesores[[#Headers],[DOP]],"x","")</f>
        <v/>
      </c>
      <c r="Z46" s="4" t="str">
        <f>IF((_xlfn.XLOOKUP(Profesores[[#This Row],[Nombre]],base_de_datos[Profesor],base_de_datos[Academia],1))=Profesores[[#Headers],[ETF]],"x","")</f>
        <v/>
      </c>
      <c r="AA46" s="4" t="str">
        <f>IF((_xlfn.XLOOKUP(Profesores[[#This Row],[Nombre]],base_de_datos[Profesor],base_de_datos[Academia],1))=Profesores[[#Headers],[MAT]],"x","")</f>
        <v/>
      </c>
      <c r="AB46" s="4" t="str">
        <f>IF((_xlfn.XLOOKUP(Profesores[[#This Row],[Nombre]],base_de_datos[Profesor],base_de_datos[Academia],1))=Profesores[[#Headers],[EMP]],"x","")</f>
        <v/>
      </c>
      <c r="AC46" s="6" t="str">
        <f>IF((_xlfn.XLOOKUP(Profesores[[#This Row],[Nombre]],base_de_datos[Profesor],base_de_datos[Academia],1))=Profesores[[#Headers],[AIC]],"x","")</f>
        <v/>
      </c>
      <c r="AD46" s="4" t="str">
        <f>IF((_xlfn.XLOOKUP(Profesores[[#This Row],[Nombre]],base_de_datos[Profesor],base_de_datos[Academia],1))=Profesores[[#Headers],[ESC]],"x","")</f>
        <v/>
      </c>
      <c r="AE46" s="6" t="str">
        <f>IF((_xlfn.XLOOKUP(Profesores[[#This Row],[Nombre]],base_de_datos[Profesor],base_de_datos[Academia],1))=Profesores[[#Headers],[HUM]],"x","")</f>
        <v/>
      </c>
      <c r="AF46" s="4" t="str">
        <f>IF((_xlfn.XLOOKUP(Profesores[[#This Row],[Nombre]],base_de_datos[Profesor],base_de_datos[Academia],1))=Profesores[[#Headers],[IID]],"x","")</f>
        <v>x</v>
      </c>
      <c r="AG46" s="6" t="str">
        <f>IF((_xlfn.XLOOKUP(Profesores[[#This Row],[Nombre]],base_de_datos[Profesor],base_de_datos[Academia],1))=Profesores[[#Headers],[BIO]],"x","")</f>
        <v/>
      </c>
      <c r="AH46" s="6" t="s">
        <v>543</v>
      </c>
      <c r="AJ46" s="6">
        <f>TRUNC(IFERROR(Profesores[[#This Row],[Ex Inglés]]*677/100,0),0)</f>
        <v>0</v>
      </c>
      <c r="AL46" s="67" t="s">
        <v>569</v>
      </c>
      <c r="AM46" s="67" t="s">
        <v>744</v>
      </c>
      <c r="AN46" s="67">
        <v>10</v>
      </c>
      <c r="AQ46" s="190" t="s">
        <v>745</v>
      </c>
      <c r="AR46" s="196">
        <v>15</v>
      </c>
      <c r="AS46" s="10"/>
      <c r="AT46" s="10">
        <v>15</v>
      </c>
      <c r="AU46" s="10">
        <v>15</v>
      </c>
      <c r="AV46" s="10"/>
    </row>
    <row r="47" spans="2:48" ht="12" hidden="1" customHeight="1">
      <c r="B47" s="6">
        <v>65</v>
      </c>
      <c r="C47" s="4" t="s">
        <v>497</v>
      </c>
      <c r="D47" s="4" t="s">
        <v>498</v>
      </c>
      <c r="E47" s="56">
        <v>149042</v>
      </c>
      <c r="F47" s="133" t="s">
        <v>228</v>
      </c>
      <c r="G47" s="33" t="s">
        <v>746</v>
      </c>
      <c r="H47" s="33" t="s">
        <v>747</v>
      </c>
      <c r="I47" s="33" t="s">
        <v>526</v>
      </c>
      <c r="J47" s="58">
        <v>26274</v>
      </c>
      <c r="K47" s="33" t="s">
        <v>515</v>
      </c>
      <c r="L47" s="4" t="s">
        <v>504</v>
      </c>
      <c r="M47" s="53">
        <v>4491115065</v>
      </c>
      <c r="N47" s="198" t="s">
        <v>748</v>
      </c>
      <c r="O47" s="128" t="s">
        <v>749</v>
      </c>
      <c r="P47" s="4">
        <v>130</v>
      </c>
      <c r="Q47" s="4" t="s">
        <v>750</v>
      </c>
      <c r="R47" s="4" t="s">
        <v>491</v>
      </c>
      <c r="S47" s="4" t="s">
        <v>491</v>
      </c>
      <c r="T47" s="6">
        <v>20237</v>
      </c>
      <c r="U47" s="4">
        <v>1</v>
      </c>
      <c r="V47" s="4" t="str">
        <f>IF((_xlfn.XLOOKUP(Profesores[[#This Row],[Nombre]],base_de_datos[Profesor],base_de_datos[Academia],1))=Profesores[[#Headers],[MEC]],"x","")</f>
        <v/>
      </c>
      <c r="W47" s="4" t="str">
        <f>IF((_xlfn.XLOOKUP(Profesores[[#This Row],[Nombre]],base_de_datos[Profesor],base_de_datos[Academia],1))=Profesores[[#Headers],[COM]],"x","")</f>
        <v/>
      </c>
      <c r="Y47" s="4" t="str">
        <f>IF((_xlfn.XLOOKUP(Profesores[[#This Row],[Nombre]],base_de_datos[Profesor],base_de_datos[Academia],1))=Profesores[[#Headers],[DOP]],"x","")</f>
        <v/>
      </c>
      <c r="Z47" s="4" t="str">
        <f>IF((_xlfn.XLOOKUP(Profesores[[#This Row],[Nombre]],base_de_datos[Profesor],base_de_datos[Academia],1))=Profesores[[#Headers],[ETF]],"x","")</f>
        <v/>
      </c>
      <c r="AA47" s="4" t="str">
        <f>IF((_xlfn.XLOOKUP(Profesores[[#This Row],[Nombre]],base_de_datos[Profesor],base_de_datos[Academia],1))=Profesores[[#Headers],[MAT]],"x","")</f>
        <v/>
      </c>
      <c r="AB47" s="4" t="str">
        <f>IF((_xlfn.XLOOKUP(Profesores[[#This Row],[Nombre]],base_de_datos[Profesor],base_de_datos[Academia],1))=Profesores[[#Headers],[EMP]],"x","")</f>
        <v/>
      </c>
      <c r="AC47" s="6" t="str">
        <f>IF((_xlfn.XLOOKUP(Profesores[[#This Row],[Nombre]],base_de_datos[Profesor],base_de_datos[Academia],1))=Profesores[[#Headers],[AIC]],"x","")</f>
        <v/>
      </c>
      <c r="AD47" s="4" t="str">
        <f>IF((_xlfn.XLOOKUP(Profesores[[#This Row],[Nombre]],base_de_datos[Profesor],base_de_datos[Academia],1))=Profesores[[#Headers],[ESC]],"x","")</f>
        <v>x</v>
      </c>
      <c r="AE47" s="6" t="str">
        <f>IF((_xlfn.XLOOKUP(Profesores[[#This Row],[Nombre]],base_de_datos[Profesor],base_de_datos[Academia],1))=Profesores[[#Headers],[HUM]],"x","")</f>
        <v/>
      </c>
      <c r="AF47" s="4" t="str">
        <f>IF((_xlfn.XLOOKUP(Profesores[[#This Row],[Nombre]],base_de_datos[Profesor],base_de_datos[Academia],1))=Profesores[[#Headers],[IID]],"x","")</f>
        <v/>
      </c>
      <c r="AG47" s="6" t="str">
        <f>IF((_xlfn.XLOOKUP(Profesores[[#This Row],[Nombre]],base_de_datos[Profesor],base_de_datos[Academia],1))=Profesores[[#Headers],[BIO]],"x","")</f>
        <v/>
      </c>
      <c r="AH47" s="6" t="s">
        <v>543</v>
      </c>
      <c r="AJ47" s="6">
        <f>TRUNC(IFERROR(Profesores[[#This Row],[Ex Inglés]]*677/100,0),0)</f>
        <v>0</v>
      </c>
      <c r="AL47" s="67" t="s">
        <v>569</v>
      </c>
      <c r="AM47" s="67" t="s">
        <v>632</v>
      </c>
      <c r="AN47" s="67">
        <v>10</v>
      </c>
      <c r="AQ47" s="190" t="s">
        <v>225</v>
      </c>
      <c r="AR47" s="196">
        <v>36</v>
      </c>
      <c r="AS47" s="10"/>
      <c r="AT47" s="10">
        <v>18</v>
      </c>
      <c r="AU47" s="10">
        <v>18</v>
      </c>
      <c r="AV47" s="10"/>
    </row>
    <row r="48" spans="2:48" ht="12" hidden="1" customHeight="1">
      <c r="B48" s="6">
        <v>11</v>
      </c>
      <c r="C48" s="2" t="s">
        <v>497</v>
      </c>
      <c r="D48" s="2" t="s">
        <v>485</v>
      </c>
      <c r="E48" s="66">
        <v>2218</v>
      </c>
      <c r="F48" s="134" t="s">
        <v>232</v>
      </c>
      <c r="G48" s="34" t="s">
        <v>751</v>
      </c>
      <c r="H48" s="34" t="s">
        <v>752</v>
      </c>
      <c r="I48" s="34" t="s">
        <v>753</v>
      </c>
      <c r="J48" s="57">
        <v>29091</v>
      </c>
      <c r="K48" s="34" t="s">
        <v>515</v>
      </c>
      <c r="L48" s="4" t="s">
        <v>504</v>
      </c>
      <c r="M48" s="53">
        <v>5545248878</v>
      </c>
      <c r="N48" s="195" t="s">
        <v>754</v>
      </c>
      <c r="O48" s="128" t="s">
        <v>755</v>
      </c>
      <c r="P48" s="4">
        <v>112</v>
      </c>
      <c r="Q48" s="4" t="s">
        <v>756</v>
      </c>
      <c r="R48" s="4" t="s">
        <v>491</v>
      </c>
      <c r="S48" s="4" t="s">
        <v>491</v>
      </c>
      <c r="T48" s="6">
        <v>20277</v>
      </c>
      <c r="U48" s="4"/>
      <c r="V48" s="4" t="str">
        <f>IF((_xlfn.XLOOKUP(Profesores[[#This Row],[Nombre]],base_de_datos[Profesor],base_de_datos[Academia],1))=Profesores[[#Headers],[MEC]],"x","")</f>
        <v/>
      </c>
      <c r="W48" s="4" t="str">
        <f>IF((_xlfn.XLOOKUP(Profesores[[#This Row],[Nombre]],base_de_datos[Profesor],base_de_datos[Academia],1))=Profesores[[#Headers],[COM]],"x","")</f>
        <v/>
      </c>
      <c r="Y48" s="4" t="str">
        <f>IF((_xlfn.XLOOKUP(Profesores[[#This Row],[Nombre]],base_de_datos[Profesor],base_de_datos[Academia],1))=Profesores[[#Headers],[DOP]],"x","")</f>
        <v>x</v>
      </c>
      <c r="Z48" s="4" t="str">
        <f>IF((_xlfn.XLOOKUP(Profesores[[#This Row],[Nombre]],base_de_datos[Profesor],base_de_datos[Academia],1))=Profesores[[#Headers],[ETF]],"x","")</f>
        <v/>
      </c>
      <c r="AA48" s="4" t="str">
        <f>IF((_xlfn.XLOOKUP(Profesores[[#This Row],[Nombre]],base_de_datos[Profesor],base_de_datos[Academia],1))=Profesores[[#Headers],[MAT]],"x","")</f>
        <v/>
      </c>
      <c r="AB48" s="4" t="str">
        <f>IF((_xlfn.XLOOKUP(Profesores[[#This Row],[Nombre]],base_de_datos[Profesor],base_de_datos[Academia],1))=Profesores[[#Headers],[EMP]],"x","")</f>
        <v/>
      </c>
      <c r="AC48" s="6" t="str">
        <f>IF((_xlfn.XLOOKUP(Profesores[[#This Row],[Nombre]],base_de_datos[Profesor],base_de_datos[Academia],1))=Profesores[[#Headers],[AIC]],"x","")</f>
        <v/>
      </c>
      <c r="AD48" s="4" t="str">
        <f>IF((_xlfn.XLOOKUP(Profesores[[#This Row],[Nombre]],base_de_datos[Profesor],base_de_datos[Academia],1))=Profesores[[#Headers],[ESC]],"x","")</f>
        <v/>
      </c>
      <c r="AE48" s="6" t="str">
        <f>IF((_xlfn.XLOOKUP(Profesores[[#This Row],[Nombre]],base_de_datos[Profesor],base_de_datos[Academia],1))=Profesores[[#Headers],[HUM]],"x","")</f>
        <v/>
      </c>
      <c r="AF48" s="4" t="str">
        <f>IF((_xlfn.XLOOKUP(Profesores[[#This Row],[Nombre]],base_de_datos[Profesor],base_de_datos[Academia],1))=Profesores[[#Headers],[IID]],"x","")</f>
        <v/>
      </c>
      <c r="AG48" s="6" t="str">
        <f>IF((_xlfn.XLOOKUP(Profesores[[#This Row],[Nombre]],base_de_datos[Profesor],base_de_datos[Academia],1))=Profesores[[#Headers],[BIO]],"x","")</f>
        <v/>
      </c>
      <c r="AJ48" s="6">
        <f>TRUNC(IFERROR(Profesores[[#This Row],[Ex Inglés]]*677/100,0),0)</f>
        <v>0</v>
      </c>
      <c r="AQ48" s="190" t="s">
        <v>757</v>
      </c>
      <c r="AR48" s="190">
        <v>50</v>
      </c>
      <c r="AS48" s="10"/>
      <c r="AT48" s="10">
        <v>19</v>
      </c>
      <c r="AU48" s="10">
        <v>25</v>
      </c>
      <c r="AV48" s="10"/>
    </row>
    <row r="49" spans="1:48" ht="12" hidden="1" customHeight="1">
      <c r="C49" s="4" t="s">
        <v>497</v>
      </c>
      <c r="D49" s="4" t="s">
        <v>498</v>
      </c>
      <c r="E49" s="56">
        <v>148722</v>
      </c>
      <c r="F49" s="133" t="s">
        <v>238</v>
      </c>
      <c r="G49" s="33" t="s">
        <v>758</v>
      </c>
      <c r="H49" s="33" t="s">
        <v>582</v>
      </c>
      <c r="I49" s="33" t="s">
        <v>759</v>
      </c>
      <c r="J49" s="58">
        <v>21430</v>
      </c>
      <c r="K49" s="33" t="s">
        <v>515</v>
      </c>
      <c r="L49" s="4" t="s">
        <v>504</v>
      </c>
      <c r="M49" s="53">
        <v>4491123225</v>
      </c>
      <c r="N49" s="89" t="s">
        <v>760</v>
      </c>
      <c r="O49" s="53" t="s">
        <v>761</v>
      </c>
      <c r="P49" s="4">
        <v>212</v>
      </c>
      <c r="Q49" s="6" t="s">
        <v>658</v>
      </c>
      <c r="R49" s="6" t="s">
        <v>491</v>
      </c>
      <c r="S49" s="6" t="s">
        <v>491</v>
      </c>
      <c r="T49" s="6">
        <v>20000</v>
      </c>
      <c r="U49" s="4">
        <v>0</v>
      </c>
      <c r="V49" s="4" t="str">
        <f>IF((_xlfn.XLOOKUP(Profesores[[#This Row],[Nombre]],base_de_datos[Profesor],base_de_datos[Academia],1))=Profesores[[#Headers],[MEC]],"x","")</f>
        <v>x</v>
      </c>
      <c r="W49" s="4" t="str">
        <f>IF((_xlfn.XLOOKUP(Profesores[[#This Row],[Nombre]],base_de_datos[Profesor],base_de_datos[Academia],1))=Profesores[[#Headers],[COM]],"x","")</f>
        <v/>
      </c>
      <c r="Y49" s="4" t="str">
        <f>IF((_xlfn.XLOOKUP(Profesores[[#This Row],[Nombre]],base_de_datos[Profesor],base_de_datos[Academia],1))=Profesores[[#Headers],[DOP]],"x","")</f>
        <v/>
      </c>
      <c r="Z49" s="4" t="str">
        <f>IF((_xlfn.XLOOKUP(Profesores[[#This Row],[Nombre]],base_de_datos[Profesor],base_de_datos[Academia],1))=Profesores[[#Headers],[ETF]],"x","")</f>
        <v/>
      </c>
      <c r="AA49" s="4" t="str">
        <f>IF((_xlfn.XLOOKUP(Profesores[[#This Row],[Nombre]],base_de_datos[Profesor],base_de_datos[Academia],1))=Profesores[[#Headers],[MAT]],"x","")</f>
        <v/>
      </c>
      <c r="AB49" s="4" t="str">
        <f>IF((_xlfn.XLOOKUP(Profesores[[#This Row],[Nombre]],base_de_datos[Profesor],base_de_datos[Academia],1))=Profesores[[#Headers],[EMP]],"x","")</f>
        <v/>
      </c>
      <c r="AC49" s="6" t="str">
        <f>IF((_xlfn.XLOOKUP(Profesores[[#This Row],[Nombre]],base_de_datos[Profesor],base_de_datos[Academia],1))=Profesores[[#Headers],[AIC]],"x","")</f>
        <v/>
      </c>
      <c r="AD49" s="4" t="str">
        <f>IF((_xlfn.XLOOKUP(Profesores[[#This Row],[Nombre]],base_de_datos[Profesor],base_de_datos[Academia],1))=Profesores[[#Headers],[ESC]],"x","")</f>
        <v/>
      </c>
      <c r="AE49" s="6" t="str">
        <f>IF((_xlfn.XLOOKUP(Profesores[[#This Row],[Nombre]],base_de_datos[Profesor],base_de_datos[Academia],1))=Profesores[[#Headers],[HUM]],"x","")</f>
        <v/>
      </c>
      <c r="AF49" s="4" t="str">
        <f>IF((_xlfn.XLOOKUP(Profesores[[#This Row],[Nombre]],base_de_datos[Profesor],base_de_datos[Academia],1))=Profesores[[#Headers],[IID]],"x","")</f>
        <v/>
      </c>
      <c r="AG49" s="6" t="str">
        <f>IF((_xlfn.XLOOKUP(Profesores[[#This Row],[Nombre]],base_de_datos[Profesor],base_de_datos[Academia],1))=Profesores[[#Headers],[BIO]],"x","")</f>
        <v/>
      </c>
      <c r="AJ49" s="6">
        <f>TRUNC(IFERROR(Profesores[[#This Row],[Ex Inglés]]*677/100,0),0)</f>
        <v>0</v>
      </c>
      <c r="AQ49" s="190" t="s">
        <v>762</v>
      </c>
      <c r="AR49" s="196">
        <v>15</v>
      </c>
      <c r="AS49" s="10"/>
      <c r="AT49" s="10">
        <v>5</v>
      </c>
      <c r="AU49" s="10">
        <v>5</v>
      </c>
      <c r="AV49" s="10"/>
    </row>
    <row r="50" spans="1:48" ht="12" hidden="1" customHeight="1">
      <c r="C50" s="4" t="s">
        <v>484</v>
      </c>
      <c r="D50" s="4" t="s">
        <v>511</v>
      </c>
      <c r="E50" s="86">
        <v>177371</v>
      </c>
      <c r="F50" s="202" t="s">
        <v>244</v>
      </c>
      <c r="G50" s="33" t="s">
        <v>763</v>
      </c>
      <c r="H50" s="33" t="s">
        <v>764</v>
      </c>
      <c r="I50" s="33" t="s">
        <v>765</v>
      </c>
      <c r="J50" s="58">
        <v>26564</v>
      </c>
      <c r="M50" s="53"/>
      <c r="N50" s="138" t="s">
        <v>766</v>
      </c>
      <c r="O50" s="53" t="s">
        <v>767</v>
      </c>
      <c r="P50" s="4" t="s">
        <v>768</v>
      </c>
      <c r="Q50" s="6" t="s">
        <v>769</v>
      </c>
      <c r="R50" s="6" t="s">
        <v>491</v>
      </c>
      <c r="S50" s="6" t="s">
        <v>491</v>
      </c>
      <c r="T50" s="6">
        <v>20296</v>
      </c>
      <c r="U50" s="4">
        <v>2</v>
      </c>
      <c r="V50" s="4" t="str">
        <f>IF((_xlfn.XLOOKUP(Profesores[[#This Row],[Nombre]],base_de_datos[Profesor],base_de_datos[Academia],1))=Profesores[[#Headers],[MEC]],"x","")</f>
        <v/>
      </c>
      <c r="W50" s="4" t="str">
        <f>IF((_xlfn.XLOOKUP(Profesores[[#This Row],[Nombre]],base_de_datos[Profesor],base_de_datos[Academia],1))=Profesores[[#Headers],[COM]],"x","")</f>
        <v/>
      </c>
      <c r="Y50" s="4" t="str">
        <f>IF((_xlfn.XLOOKUP(Profesores[[#This Row],[Nombre]],base_de_datos[Profesor],base_de_datos[Academia],1))=Profesores[[#Headers],[DOP]],"x","")</f>
        <v/>
      </c>
      <c r="Z50" s="4" t="str">
        <f>IF((_xlfn.XLOOKUP(Profesores[[#This Row],[Nombre]],base_de_datos[Profesor],base_de_datos[Academia],1))=Profesores[[#Headers],[ETF]],"x","")</f>
        <v/>
      </c>
      <c r="AA50" s="4" t="str">
        <f>IF((_xlfn.XLOOKUP(Profesores[[#This Row],[Nombre]],base_de_datos[Profesor],base_de_datos[Academia],1))=Profesores[[#Headers],[MAT]],"x","")</f>
        <v/>
      </c>
      <c r="AB50" s="4" t="s">
        <v>595</v>
      </c>
      <c r="AC50" s="6" t="str">
        <f>IF((_xlfn.XLOOKUP(Profesores[[#This Row],[Nombre]],base_de_datos[Profesor],base_de_datos[Academia],1))=Profesores[[#Headers],[AIC]],"x","")</f>
        <v/>
      </c>
      <c r="AD50" s="4" t="str">
        <f>IF((_xlfn.XLOOKUP(Profesores[[#This Row],[Nombre]],base_de_datos[Profesor],base_de_datos[Academia],1))=Profesores[[#Headers],[ESC]],"x","")</f>
        <v/>
      </c>
      <c r="AE50" s="6" t="str">
        <f>IF((_xlfn.XLOOKUP(Profesores[[#This Row],[Nombre]],base_de_datos[Profesor],base_de_datos[Academia],1))=Profesores[[#Headers],[HUM]],"x","")</f>
        <v>x</v>
      </c>
      <c r="AF50" s="4" t="str">
        <f>IF((_xlfn.XLOOKUP(Profesores[[#This Row],[Nombre]],base_de_datos[Profesor],base_de_datos[Academia],1))=Profesores[[#Headers],[IID]],"x","")</f>
        <v/>
      </c>
      <c r="AG50" s="6" t="str">
        <f>IF((_xlfn.XLOOKUP(Profesores[[#This Row],[Nombre]],base_de_datos[Profesor],base_de_datos[Academia],1))=Profesores[[#Headers],[BIO]],"x","")</f>
        <v/>
      </c>
      <c r="AH50" s="6">
        <v>76.19</v>
      </c>
      <c r="AI50" s="6" t="s">
        <v>597</v>
      </c>
      <c r="AJ50" s="6">
        <f>TRUNC(IFERROR(Profesores[[#This Row],[Ex Inglés]]*677/100,0),0)</f>
        <v>515</v>
      </c>
      <c r="AQ50" s="190" t="s">
        <v>319</v>
      </c>
      <c r="AR50" s="196">
        <v>20</v>
      </c>
      <c r="AS50" s="10"/>
      <c r="AT50" s="10">
        <v>10</v>
      </c>
      <c r="AU50" s="10">
        <v>15</v>
      </c>
      <c r="AV50" s="10"/>
    </row>
    <row r="51" spans="1:48" ht="12" hidden="1" customHeight="1">
      <c r="A51" s="228"/>
      <c r="B51" s="6">
        <v>7</v>
      </c>
      <c r="C51" s="2" t="s">
        <v>497</v>
      </c>
      <c r="D51" s="2" t="s">
        <v>485</v>
      </c>
      <c r="E51" s="66">
        <v>163790</v>
      </c>
      <c r="F51" s="134" t="s">
        <v>197</v>
      </c>
      <c r="G51" s="34" t="s">
        <v>770</v>
      </c>
      <c r="H51" s="34" t="s">
        <v>771</v>
      </c>
      <c r="I51" s="34" t="s">
        <v>772</v>
      </c>
      <c r="J51" s="57">
        <v>26083</v>
      </c>
      <c r="K51" s="33" t="s">
        <v>515</v>
      </c>
      <c r="L51" s="4" t="s">
        <v>504</v>
      </c>
      <c r="M51" s="53">
        <v>4491378419</v>
      </c>
      <c r="N51" s="89" t="s">
        <v>773</v>
      </c>
      <c r="O51" s="128" t="s">
        <v>774</v>
      </c>
      <c r="P51" s="4">
        <v>123</v>
      </c>
      <c r="Q51" s="4" t="s">
        <v>550</v>
      </c>
      <c r="R51" s="4" t="s">
        <v>491</v>
      </c>
      <c r="S51" s="4" t="s">
        <v>491</v>
      </c>
      <c r="T51" s="6">
        <v>20196</v>
      </c>
      <c r="U51" s="4">
        <v>1</v>
      </c>
      <c r="V51" s="4" t="str">
        <f>IF((_xlfn.XLOOKUP(Profesores[[#This Row],[Nombre]],base_de_datos[Profesor],base_de_datos[Academia],1))=Profesores[[#Headers],[MEC]],"x","")</f>
        <v/>
      </c>
      <c r="W51" s="4" t="str">
        <f>IF((_xlfn.XLOOKUP(Profesores[[#This Row],[Nombre]],base_de_datos[Profesor],base_de_datos[Academia],1))=Profesores[[#Headers],[COM]],"x","")</f>
        <v/>
      </c>
      <c r="Y51" s="4" t="str">
        <f>IF((_xlfn.XLOOKUP(Profesores[[#This Row],[Nombre]],base_de_datos[Profesor],base_de_datos[Academia],1))=Profesores[[#Headers],[DOP]],"x","")</f>
        <v/>
      </c>
      <c r="Z51" s="4" t="str">
        <f>IF((_xlfn.XLOOKUP(Profesores[[#This Row],[Nombre]],base_de_datos[Profesor],base_de_datos[Academia],1))=Profesores[[#Headers],[ETF]],"x","")</f>
        <v/>
      </c>
      <c r="AA51" s="4" t="str">
        <f>IF((_xlfn.XLOOKUP(Profesores[[#This Row],[Nombre]],base_de_datos[Profesor],base_de_datos[Academia],1))=Profesores[[#Headers],[MAT]],"x","")</f>
        <v>x</v>
      </c>
      <c r="AB51" s="4" t="str">
        <f>IF((_xlfn.XLOOKUP(Profesores[[#This Row],[Nombre]],base_de_datos[Profesor],base_de_datos[Academia],1))=Profesores[[#Headers],[EMP]],"x","")</f>
        <v/>
      </c>
      <c r="AC51" s="6" t="str">
        <f>IF((_xlfn.XLOOKUP(Profesores[[#This Row],[Nombre]],base_de_datos[Profesor],base_de_datos[Academia],1))=Profesores[[#Headers],[AIC]],"x","")</f>
        <v/>
      </c>
      <c r="AD51" s="4" t="str">
        <f>IF((_xlfn.XLOOKUP(Profesores[[#This Row],[Nombre]],base_de_datos[Profesor],base_de_datos[Academia],1))=Profesores[[#Headers],[ESC]],"x","")</f>
        <v/>
      </c>
      <c r="AE51" s="6" t="str">
        <f>IF((_xlfn.XLOOKUP(Profesores[[#This Row],[Nombre]],base_de_datos[Profesor],base_de_datos[Academia],1))=Profesores[[#Headers],[HUM]],"x","")</f>
        <v/>
      </c>
      <c r="AF51" s="4" t="str">
        <f>IF((_xlfn.XLOOKUP(Profesores[[#This Row],[Nombre]],base_de_datos[Profesor],base_de_datos[Academia],1))=Profesores[[#Headers],[IID]],"x","")</f>
        <v/>
      </c>
      <c r="AG51" s="6" t="str">
        <f>IF((_xlfn.XLOOKUP(Profesores[[#This Row],[Nombre]],base_de_datos[Profesor],base_de_datos[Academia],1))=Profesores[[#Headers],[BIO]],"x","")</f>
        <v/>
      </c>
      <c r="AH51" s="6" t="s">
        <v>543</v>
      </c>
      <c r="AJ51" s="6">
        <f>TRUNC(IFERROR(Profesores[[#This Row],[Ex Inglés]]*677/100,0),0)</f>
        <v>0</v>
      </c>
      <c r="AQ51" s="190" t="s">
        <v>370</v>
      </c>
      <c r="AR51" s="190">
        <v>40</v>
      </c>
      <c r="AS51" s="10"/>
      <c r="AT51" s="10">
        <v>16</v>
      </c>
      <c r="AU51" s="10">
        <v>24</v>
      </c>
      <c r="AV51" s="10"/>
    </row>
    <row r="52" spans="1:48" ht="12" hidden="1" customHeight="1">
      <c r="B52" s="6">
        <v>88</v>
      </c>
      <c r="C52" s="4" t="s">
        <v>510</v>
      </c>
      <c r="D52" s="4" t="s">
        <v>498</v>
      </c>
      <c r="E52" s="56">
        <v>221187</v>
      </c>
      <c r="F52" s="133" t="s">
        <v>252</v>
      </c>
      <c r="G52" s="33" t="s">
        <v>775</v>
      </c>
      <c r="H52" s="33" t="s">
        <v>776</v>
      </c>
      <c r="I52" s="33" t="s">
        <v>777</v>
      </c>
      <c r="J52" s="58">
        <v>30987</v>
      </c>
      <c r="K52" s="33" t="s">
        <v>515</v>
      </c>
      <c r="L52" s="4" t="s">
        <v>504</v>
      </c>
      <c r="M52" s="53">
        <v>4493526063</v>
      </c>
      <c r="N52" s="89" t="s">
        <v>778</v>
      </c>
      <c r="O52" s="128" t="s">
        <v>779</v>
      </c>
      <c r="P52" s="4" t="s">
        <v>780</v>
      </c>
      <c r="Q52" s="4" t="s">
        <v>683</v>
      </c>
      <c r="R52" s="4" t="s">
        <v>491</v>
      </c>
      <c r="S52" s="4" t="s">
        <v>491</v>
      </c>
      <c r="T52" s="6">
        <v>20286</v>
      </c>
      <c r="U52" s="4">
        <v>3</v>
      </c>
      <c r="V52" s="4" t="str">
        <f>IF((_xlfn.XLOOKUP(Profesores[[#This Row],[Nombre]],base_de_datos[Profesor],base_de_datos[Academia],1))=Profesores[[#Headers],[MEC]],"x","")</f>
        <v/>
      </c>
      <c r="W52" s="4" t="str">
        <f>IF((_xlfn.XLOOKUP(Profesores[[#This Row],[Nombre]],base_de_datos[Profesor],base_de_datos[Academia],1))=Profesores[[#Headers],[COM]],"x","")</f>
        <v/>
      </c>
      <c r="X52" s="4" t="s">
        <v>67</v>
      </c>
      <c r="Y52" s="4" t="str">
        <f>IF((_xlfn.XLOOKUP(Profesores[[#This Row],[Nombre]],base_de_datos[Profesor],base_de_datos[Academia],1))=Profesores[[#Headers],[DOP]],"x","")</f>
        <v/>
      </c>
      <c r="Z52" s="4" t="str">
        <f>IF((_xlfn.XLOOKUP(Profesores[[#This Row],[Nombre]],base_de_datos[Profesor],base_de_datos[Academia],1))=Profesores[[#Headers],[ETF]],"x","")</f>
        <v/>
      </c>
      <c r="AA52" s="4" t="str">
        <f>IF((_xlfn.XLOOKUP(Profesores[[#This Row],[Nombre]],base_de_datos[Profesor],base_de_datos[Academia],1))=Profesores[[#Headers],[MAT]],"x","")</f>
        <v/>
      </c>
      <c r="AB52" s="4" t="str">
        <f>IF((_xlfn.XLOOKUP(Profesores[[#This Row],[Nombre]],base_de_datos[Profesor],base_de_datos[Academia],1))=Profesores[[#Headers],[EMP]],"x","")</f>
        <v/>
      </c>
      <c r="AC52" s="6" t="str">
        <f>IF((_xlfn.XLOOKUP(Profesores[[#This Row],[Nombre]],base_de_datos[Profesor],base_de_datos[Academia],1))=Profesores[[#Headers],[AIC]],"x","")</f>
        <v/>
      </c>
      <c r="AD52" s="4" t="str">
        <f>IF((_xlfn.XLOOKUP(Profesores[[#This Row],[Nombre]],base_de_datos[Profesor],base_de_datos[Academia],1))=Profesores[[#Headers],[ESC]],"x","")</f>
        <v/>
      </c>
      <c r="AE52" s="6" t="str">
        <f>IF((_xlfn.XLOOKUP(Profesores[[#This Row],[Nombre]],base_de_datos[Profesor],base_de_datos[Academia],1))=Profesores[[#Headers],[HUM]],"x","")</f>
        <v/>
      </c>
      <c r="AF52" s="4" t="str">
        <f>IF((_xlfn.XLOOKUP(Profesores[[#This Row],[Nombre]],base_de_datos[Profesor],base_de_datos[Academia],1))=Profesores[[#Headers],[IID]],"x","")</f>
        <v/>
      </c>
      <c r="AG52" s="6" t="str">
        <f>IF((_xlfn.XLOOKUP(Profesores[[#This Row],[Nombre]],base_de_datos[Profesor],base_de_datos[Academia],1))=Profesores[[#Headers],[BIO]],"x","")</f>
        <v/>
      </c>
      <c r="AH52" s="6" t="s">
        <v>543</v>
      </c>
      <c r="AI52" s="6" t="s">
        <v>597</v>
      </c>
      <c r="AJ52" s="6">
        <f>TRUNC(IFERROR(Profesores[[#This Row],[Ex Inglés]]*677/100,0),0)</f>
        <v>0</v>
      </c>
      <c r="AQ52" s="190" t="s">
        <v>781</v>
      </c>
      <c r="AR52" s="196">
        <v>17</v>
      </c>
      <c r="AS52" s="10"/>
      <c r="AT52" s="10">
        <v>17</v>
      </c>
      <c r="AU52" s="10"/>
      <c r="AV52" s="10"/>
    </row>
    <row r="53" spans="1:48" ht="12" hidden="1" customHeight="1">
      <c r="B53" s="6">
        <v>13</v>
      </c>
      <c r="C53" s="2" t="s">
        <v>493</v>
      </c>
      <c r="D53" s="2" t="s">
        <v>485</v>
      </c>
      <c r="E53" s="66">
        <v>90906</v>
      </c>
      <c r="F53" s="134" t="s">
        <v>256</v>
      </c>
      <c r="G53" s="34" t="s">
        <v>782</v>
      </c>
      <c r="H53" s="34" t="s">
        <v>783</v>
      </c>
      <c r="I53" s="34" t="s">
        <v>784</v>
      </c>
      <c r="J53" s="57">
        <v>32117</v>
      </c>
      <c r="K53" s="34" t="s">
        <v>515</v>
      </c>
      <c r="L53" s="4" t="s">
        <v>504</v>
      </c>
      <c r="M53" s="53" t="s">
        <v>785</v>
      </c>
      <c r="N53" s="89" t="s">
        <v>786</v>
      </c>
      <c r="O53" s="128" t="s">
        <v>787</v>
      </c>
      <c r="P53" s="4">
        <v>107</v>
      </c>
      <c r="Q53" s="4" t="s">
        <v>788</v>
      </c>
      <c r="R53" s="4" t="s">
        <v>491</v>
      </c>
      <c r="S53" s="4" t="s">
        <v>491</v>
      </c>
      <c r="T53" s="6">
        <v>20218</v>
      </c>
      <c r="U53" s="4"/>
      <c r="V53" s="4" t="str">
        <f>IF((_xlfn.XLOOKUP(Profesores[[#This Row],[Nombre]],base_de_datos[Profesor],base_de_datos[Academia],1))=Profesores[[#Headers],[MEC]],"x","")</f>
        <v/>
      </c>
      <c r="W53" s="4" t="str">
        <f>IF((_xlfn.XLOOKUP(Profesores[[#This Row],[Nombre]],base_de_datos[Profesor],base_de_datos[Academia],1))=Profesores[[#Headers],[COM]],"x","")</f>
        <v/>
      </c>
      <c r="Y53" s="4" t="str">
        <f>IF((_xlfn.XLOOKUP(Profesores[[#This Row],[Nombre]],base_de_datos[Profesor],base_de_datos[Academia],1))=Profesores[[#Headers],[DOP]],"x","")</f>
        <v/>
      </c>
      <c r="Z53" s="4" t="str">
        <f>IF((_xlfn.XLOOKUP(Profesores[[#This Row],[Nombre]],base_de_datos[Profesor],base_de_datos[Academia],1))=Profesores[[#Headers],[ETF]],"x","")</f>
        <v/>
      </c>
      <c r="AA53" s="4" t="str">
        <f>IF((_xlfn.XLOOKUP(Profesores[[#This Row],[Nombre]],base_de_datos[Profesor],base_de_datos[Academia],1))=Profesores[[#Headers],[MAT]],"x","")</f>
        <v/>
      </c>
      <c r="AB53" s="4" t="str">
        <f>IF((_xlfn.XLOOKUP(Profesores[[#This Row],[Nombre]],base_de_datos[Profesor],base_de_datos[Academia],1))=Profesores[[#Headers],[EMP]],"x","")</f>
        <v/>
      </c>
      <c r="AC53" s="6" t="str">
        <f>IF((_xlfn.XLOOKUP(Profesores[[#This Row],[Nombre]],base_de_datos[Profesor],base_de_datos[Academia],1))=Profesores[[#Headers],[AIC]],"x","")</f>
        <v/>
      </c>
      <c r="AD53" s="4" t="str">
        <f>IF((_xlfn.XLOOKUP(Profesores[[#This Row],[Nombre]],base_de_datos[Profesor],base_de_datos[Academia],1))=Profesores[[#Headers],[ESC]],"x","")</f>
        <v/>
      </c>
      <c r="AE53" s="6" t="str">
        <f>IF((_xlfn.XLOOKUP(Profesores[[#This Row],[Nombre]],base_de_datos[Profesor],base_de_datos[Academia],1))=Profesores[[#Headers],[HUM]],"x","")</f>
        <v/>
      </c>
      <c r="AF53" s="4" t="str">
        <f>IF((_xlfn.XLOOKUP(Profesores[[#This Row],[Nombre]],base_de_datos[Profesor],base_de_datos[Academia],1))=Profesores[[#Headers],[IID]],"x","")</f>
        <v/>
      </c>
      <c r="AG53" s="6" t="str">
        <f>IF((_xlfn.XLOOKUP(Profesores[[#This Row],[Nombre]],base_de_datos[Profesor],base_de_datos[Academia],1))=Profesores[[#Headers],[BIO]],"x","")</f>
        <v>x</v>
      </c>
      <c r="AJ53" s="6">
        <f>TRUNC(IFERROR(Profesores[[#This Row],[Ex Inglés]]*677/100,0),0)</f>
        <v>0</v>
      </c>
      <c r="AQ53" s="10" t="s">
        <v>789</v>
      </c>
      <c r="AR53" s="190"/>
      <c r="AS53" s="10"/>
      <c r="AT53" s="10">
        <v>8</v>
      </c>
      <c r="AU53" s="10">
        <v>10</v>
      </c>
      <c r="AV53" s="10"/>
    </row>
    <row r="54" spans="1:48" ht="12" hidden="1" customHeight="1">
      <c r="B54" s="4" t="s">
        <v>478</v>
      </c>
      <c r="E54" s="56"/>
      <c r="F54" s="6" t="s">
        <v>790</v>
      </c>
      <c r="J54" s="4"/>
      <c r="M54" s="53"/>
      <c r="N54" s="53"/>
      <c r="O54" s="128"/>
      <c r="Q54" s="33"/>
      <c r="T54" s="6"/>
      <c r="U54" s="4">
        <v>2</v>
      </c>
      <c r="V54" s="4" t="str">
        <f>IF((_xlfn.XLOOKUP(Profesores[[#This Row],[Nombre]],base_de_datos[Profesor],base_de_datos[Academia],1))=Profesores[[#Headers],[MEC]],"x","")</f>
        <v/>
      </c>
      <c r="W54" s="4" t="str">
        <f>IF((_xlfn.XLOOKUP(Profesores[[#This Row],[Nombre]],base_de_datos[Profesor],base_de_datos[Academia],1))=Profesores[[#Headers],[COM]],"x","")</f>
        <v/>
      </c>
      <c r="Y54" s="4" t="str">
        <f>IF((_xlfn.XLOOKUP(Profesores[[#This Row],[Nombre]],base_de_datos[Profesor],base_de_datos[Academia],1))=Profesores[[#Headers],[DOP]],"x","")</f>
        <v/>
      </c>
      <c r="Z54" s="4" t="str">
        <f>IF((_xlfn.XLOOKUP(Profesores[[#This Row],[Nombre]],base_de_datos[Profesor],base_de_datos[Academia],1))=Profesores[[#Headers],[ETF]],"x","")</f>
        <v/>
      </c>
      <c r="AA54" s="4" t="str">
        <f>IF((_xlfn.XLOOKUP(Profesores[[#This Row],[Nombre]],base_de_datos[Profesor],base_de_datos[Academia],1))=Profesores[[#Headers],[MAT]],"x","")</f>
        <v/>
      </c>
      <c r="AB54" s="4" t="str">
        <f>IF((_xlfn.XLOOKUP(Profesores[[#This Row],[Nombre]],base_de_datos[Profesor],base_de_datos[Academia],1))=Profesores[[#Headers],[EMP]],"x","")</f>
        <v/>
      </c>
      <c r="AC54" s="6" t="str">
        <f>IF((_xlfn.XLOOKUP(Profesores[[#This Row],[Nombre]],base_de_datos[Profesor],base_de_datos[Academia],1))=Profesores[[#Headers],[AIC]],"x","")</f>
        <v/>
      </c>
      <c r="AD54" s="4" t="str">
        <f>IF((_xlfn.XLOOKUP(Profesores[[#This Row],[Nombre]],base_de_datos[Profesor],base_de_datos[Academia],1))=Profesores[[#Headers],[ESC]],"x","")</f>
        <v/>
      </c>
      <c r="AE54" s="6" t="str">
        <f>IF((_xlfn.XLOOKUP(Profesores[[#This Row],[Nombre]],base_de_datos[Profesor],base_de_datos[Academia],1))=Profesores[[#Headers],[HUM]],"x","")</f>
        <v/>
      </c>
      <c r="AF54" s="4" t="str">
        <f>IF((_xlfn.XLOOKUP(Profesores[[#This Row],[Nombre]],base_de_datos[Profesor],base_de_datos[Academia],1))=Profesores[[#Headers],[IID]],"x","")</f>
        <v/>
      </c>
      <c r="AG54" s="6" t="str">
        <f>IF((_xlfn.XLOOKUP(Profesores[[#This Row],[Nombre]],base_de_datos[Profesor],base_de_datos[Academia],1))=Profesores[[#Headers],[BIO]],"x","")</f>
        <v/>
      </c>
      <c r="AH54" s="6" t="s">
        <v>543</v>
      </c>
      <c r="AI54" s="6" t="s">
        <v>597</v>
      </c>
      <c r="AJ54" s="6">
        <f>TRUNC(IFERROR(Profesores[[#This Row],[Ex Inglés]]*677/100,0),0)</f>
        <v>0</v>
      </c>
      <c r="AQ54" s="190" t="s">
        <v>178</v>
      </c>
      <c r="AR54" s="196">
        <v>24</v>
      </c>
      <c r="AS54" s="10"/>
      <c r="AT54" s="10">
        <v>12</v>
      </c>
      <c r="AU54" s="10">
        <v>12</v>
      </c>
      <c r="AV54" s="10"/>
    </row>
    <row r="55" spans="1:48" ht="12" hidden="1" customHeight="1">
      <c r="B55" s="6">
        <v>151</v>
      </c>
      <c r="C55" s="4" t="s">
        <v>484</v>
      </c>
      <c r="D55" s="4" t="s">
        <v>511</v>
      </c>
      <c r="E55" s="56">
        <v>176167</v>
      </c>
      <c r="F55" s="202" t="s">
        <v>262</v>
      </c>
      <c r="G55" s="33" t="s">
        <v>791</v>
      </c>
      <c r="H55" s="33" t="s">
        <v>792</v>
      </c>
      <c r="I55" s="33" t="s">
        <v>526</v>
      </c>
      <c r="J55" s="58">
        <v>27380</v>
      </c>
      <c r="K55" s="33" t="s">
        <v>515</v>
      </c>
      <c r="L55" s="33"/>
      <c r="M55" s="53">
        <v>4498068544</v>
      </c>
      <c r="N55" s="89" t="s">
        <v>793</v>
      </c>
      <c r="O55" s="8" t="s">
        <v>794</v>
      </c>
      <c r="P55" s="4" t="s">
        <v>795</v>
      </c>
      <c r="Q55" s="33" t="s">
        <v>796</v>
      </c>
      <c r="R55" s="4" t="s">
        <v>491</v>
      </c>
      <c r="S55" s="4" t="s">
        <v>797</v>
      </c>
      <c r="T55" s="6">
        <v>20133</v>
      </c>
      <c r="U55" s="4">
        <v>2</v>
      </c>
      <c r="V55" s="4" t="str">
        <f>IF((_xlfn.XLOOKUP(Profesores[[#This Row],[Nombre]],base_de_datos[Profesor],base_de_datos[Academia],1))=Profesores[[#Headers],[MEC]],"x","")</f>
        <v/>
      </c>
      <c r="W55" s="4" t="str">
        <f>IF((_xlfn.XLOOKUP(Profesores[[#This Row],[Nombre]],base_de_datos[Profesor],base_de_datos[Academia],1))=Profesores[[#Headers],[COM]],"x","")</f>
        <v/>
      </c>
      <c r="Y55" s="4" t="str">
        <f>IF((_xlfn.XLOOKUP(Profesores[[#This Row],[Nombre]],base_de_datos[Profesor],base_de_datos[Academia],1))=Profesores[[#Headers],[DOP]],"x","")</f>
        <v/>
      </c>
      <c r="Z55" s="4" t="str">
        <f>IF((_xlfn.XLOOKUP(Profesores[[#This Row],[Nombre]],base_de_datos[Profesor],base_de_datos[Academia],1))=Profesores[[#Headers],[ETF]],"x","")</f>
        <v/>
      </c>
      <c r="AA55" s="4" t="str">
        <f>IF((_xlfn.XLOOKUP(Profesores[[#This Row],[Nombre]],base_de_datos[Profesor],base_de_datos[Academia],1))=Profesores[[#Headers],[MAT]],"x","")</f>
        <v/>
      </c>
      <c r="AB55" s="4" t="str">
        <f>IF((_xlfn.XLOOKUP(Profesores[[#This Row],[Nombre]],base_de_datos[Profesor],base_de_datos[Academia],1))=Profesores[[#Headers],[EMP]],"x","")</f>
        <v/>
      </c>
      <c r="AC55" s="6" t="str">
        <f>IF((_xlfn.XLOOKUP(Profesores[[#This Row],[Nombre]],base_de_datos[Profesor],base_de_datos[Academia],1))=Profesores[[#Headers],[AIC]],"x","")</f>
        <v/>
      </c>
      <c r="AD55" s="4" t="str">
        <f>IF((_xlfn.XLOOKUP(Profesores[[#This Row],[Nombre]],base_de_datos[Profesor],base_de_datos[Academia],1))=Profesores[[#Headers],[ESC]],"x","")</f>
        <v/>
      </c>
      <c r="AE55" s="6" t="str">
        <f>IF((_xlfn.XLOOKUP(Profesores[[#This Row],[Nombre]],base_de_datos[Profesor],base_de_datos[Academia],1))=Profesores[[#Headers],[HUM]],"x","")</f>
        <v>x</v>
      </c>
      <c r="AF55" s="4" t="str">
        <f>IF((_xlfn.XLOOKUP(Profesores[[#This Row],[Nombre]],base_de_datos[Profesor],base_de_datos[Academia],1))=Profesores[[#Headers],[IID]],"x","")</f>
        <v/>
      </c>
      <c r="AG55" s="6" t="str">
        <f>IF((_xlfn.XLOOKUP(Profesores[[#This Row],[Nombre]],base_de_datos[Profesor],base_de_datos[Academia],1))=Profesores[[#Headers],[BIO]],"x","")</f>
        <v/>
      </c>
      <c r="AH55" s="6">
        <v>75</v>
      </c>
      <c r="AI55" s="6" t="s">
        <v>597</v>
      </c>
      <c r="AJ55" s="6">
        <f>TRUNC(IFERROR(Profesores[[#This Row],[Ex Inglés]]*677/100,0),0)</f>
        <v>507</v>
      </c>
      <c r="AQ55" s="190" t="s">
        <v>798</v>
      </c>
      <c r="AR55" s="190"/>
      <c r="AS55" s="10"/>
      <c r="AT55" s="10">
        <v>16</v>
      </c>
      <c r="AU55" s="10">
        <v>22</v>
      </c>
      <c r="AV55" s="10"/>
    </row>
    <row r="56" spans="1:48" ht="12" hidden="1" customHeight="1">
      <c r="D56" s="4" t="s">
        <v>498</v>
      </c>
      <c r="E56" s="56">
        <v>203080</v>
      </c>
      <c r="F56" s="133" t="s">
        <v>265</v>
      </c>
      <c r="G56" s="33" t="s">
        <v>799</v>
      </c>
      <c r="H56" s="33" t="s">
        <v>571</v>
      </c>
      <c r="I56" s="33" t="s">
        <v>800</v>
      </c>
      <c r="J56" s="58">
        <v>31459</v>
      </c>
      <c r="M56" s="53">
        <v>4491571809</v>
      </c>
      <c r="N56" s="136" t="s">
        <v>801</v>
      </c>
      <c r="O56" s="128" t="s">
        <v>802</v>
      </c>
      <c r="P56" s="4">
        <v>316</v>
      </c>
      <c r="Q56" s="4" t="s">
        <v>803</v>
      </c>
      <c r="R56" s="4" t="s">
        <v>491</v>
      </c>
      <c r="S56" s="4" t="s">
        <v>491</v>
      </c>
      <c r="T56" s="6">
        <v>20180</v>
      </c>
      <c r="U56" s="4">
        <v>1</v>
      </c>
      <c r="V56" s="4" t="str">
        <f>IF((_xlfn.XLOOKUP(Profesores[[#This Row],[Nombre]],base_de_datos[Profesor],base_de_datos[Academia],1))=Profesores[[#Headers],[MEC]],"x","")</f>
        <v/>
      </c>
      <c r="W56" s="4" t="str">
        <f>IF((_xlfn.XLOOKUP(Profesores[[#This Row],[Nombre]],base_de_datos[Profesor],base_de_datos[Academia],1))=Profesores[[#Headers],[COM]],"x","")</f>
        <v/>
      </c>
      <c r="Y56" s="4" t="str">
        <f>IF((_xlfn.XLOOKUP(Profesores[[#This Row],[Nombre]],base_de_datos[Profesor],base_de_datos[Academia],1))=Profesores[[#Headers],[DOP]],"x","")</f>
        <v/>
      </c>
      <c r="Z56" s="4" t="str">
        <f>IF((_xlfn.XLOOKUP(Profesores[[#This Row],[Nombre]],base_de_datos[Profesor],base_de_datos[Academia],1))=Profesores[[#Headers],[ETF]],"x","")</f>
        <v/>
      </c>
      <c r="AA56" s="4" t="str">
        <f>IF((_xlfn.XLOOKUP(Profesores[[#This Row],[Nombre]],base_de_datos[Profesor],base_de_datos[Academia],1))=Profesores[[#Headers],[MAT]],"x","")</f>
        <v/>
      </c>
      <c r="AB56" s="4" t="str">
        <f>IF((_xlfn.XLOOKUP(Profesores[[#This Row],[Nombre]],base_de_datos[Profesor],base_de_datos[Academia],1))=Profesores[[#Headers],[EMP]],"x","")</f>
        <v/>
      </c>
      <c r="AC56" s="6" t="str">
        <f>IF((_xlfn.XLOOKUP(Profesores[[#This Row],[Nombre]],base_de_datos[Profesor],base_de_datos[Academia],1))=Profesores[[#Headers],[AIC]],"x","")</f>
        <v/>
      </c>
      <c r="AD56" s="4" t="str">
        <f>IF((_xlfn.XLOOKUP(Profesores[[#This Row],[Nombre]],base_de_datos[Profesor],base_de_datos[Academia],1))=Profesores[[#Headers],[ESC]],"x","")</f>
        <v/>
      </c>
      <c r="AE56" s="6" t="str">
        <f>IF((_xlfn.XLOOKUP(Profesores[[#This Row],[Nombre]],base_de_datos[Profesor],base_de_datos[Academia],1))=Profesores[[#Headers],[HUM]],"x","")</f>
        <v/>
      </c>
      <c r="AF56" s="4" t="str">
        <f>IF((_xlfn.XLOOKUP(Profesores[[#This Row],[Nombre]],base_de_datos[Profesor],base_de_datos[Academia],1))=Profesores[[#Headers],[IID]],"x","")</f>
        <v/>
      </c>
      <c r="AG56" s="6" t="str">
        <f>IF((_xlfn.XLOOKUP(Profesores[[#This Row],[Nombre]],base_de_datos[Profesor],base_de_datos[Academia],1))=Profesores[[#Headers],[BIO]],"x","")</f>
        <v>x</v>
      </c>
      <c r="AH56" s="6" t="s">
        <v>543</v>
      </c>
      <c r="AJ56" s="6">
        <f>TRUNC(IFERROR(Profesores[[#This Row],[Ex Inglés]]*677/100,0),0)</f>
        <v>0</v>
      </c>
      <c r="AQ56" s="190" t="s">
        <v>145</v>
      </c>
      <c r="AR56" s="196"/>
      <c r="AS56" s="10"/>
      <c r="AT56" s="10"/>
      <c r="AU56" s="10"/>
      <c r="AV56" s="10"/>
    </row>
    <row r="57" spans="1:48" ht="12" hidden="1" customHeight="1">
      <c r="C57" s="4" t="s">
        <v>510</v>
      </c>
      <c r="D57" s="4" t="s">
        <v>511</v>
      </c>
      <c r="E57" s="56"/>
      <c r="F57" s="202" t="s">
        <v>268</v>
      </c>
      <c r="G57" s="33" t="s">
        <v>799</v>
      </c>
      <c r="H57" s="33" t="s">
        <v>804</v>
      </c>
      <c r="I57" s="33" t="s">
        <v>805</v>
      </c>
      <c r="J57" s="4"/>
      <c r="M57" s="53"/>
      <c r="N57" s="53"/>
      <c r="O57" s="128"/>
      <c r="T57" s="6"/>
      <c r="U57" s="4"/>
      <c r="V57" s="4" t="str">
        <f>IF((_xlfn.XLOOKUP(Profesores[[#This Row],[Nombre]],base_de_datos[Profesor],base_de_datos[Academia],1))=Profesores[[#Headers],[MEC]],"x","")</f>
        <v/>
      </c>
      <c r="W57" s="4" t="str">
        <f>IF((_xlfn.XLOOKUP(Profesores[[#This Row],[Nombre]],base_de_datos[Profesor],base_de_datos[Academia],1))=Profesores[[#Headers],[COM]],"x","")</f>
        <v/>
      </c>
      <c r="Y57" s="4" t="str">
        <f>IF((_xlfn.XLOOKUP(Profesores[[#This Row],[Nombre]],base_de_datos[Profesor],base_de_datos[Academia],1))=Profesores[[#Headers],[DOP]],"x","")</f>
        <v/>
      </c>
      <c r="Z57" s="4" t="str">
        <f>IF((_xlfn.XLOOKUP(Profesores[[#This Row],[Nombre]],base_de_datos[Profesor],base_de_datos[Academia],1))=Profesores[[#Headers],[ETF]],"x","")</f>
        <v/>
      </c>
      <c r="AA57" s="4" t="str">
        <f>IF((_xlfn.XLOOKUP(Profesores[[#This Row],[Nombre]],base_de_datos[Profesor],base_de_datos[Academia],1))=Profesores[[#Headers],[MAT]],"x","")</f>
        <v/>
      </c>
      <c r="AB57" s="4" t="str">
        <f>IF((_xlfn.XLOOKUP(Profesores[[#This Row],[Nombre]],base_de_datos[Profesor],base_de_datos[Academia],1))=Profesores[[#Headers],[EMP]],"x","")</f>
        <v/>
      </c>
      <c r="AC57" s="6" t="str">
        <f>IF((_xlfn.XLOOKUP(Profesores[[#This Row],[Nombre]],base_de_datos[Profesor],base_de_datos[Academia],1))=Profesores[[#Headers],[AIC]],"x","")</f>
        <v/>
      </c>
      <c r="AD57" s="4" t="str">
        <f>IF((_xlfn.XLOOKUP(Profesores[[#This Row],[Nombre]],base_de_datos[Profesor],base_de_datos[Academia],1))=Profesores[[#Headers],[ESC]],"x","")</f>
        <v/>
      </c>
      <c r="AE57" s="6" t="str">
        <f>IF((_xlfn.XLOOKUP(Profesores[[#This Row],[Nombre]],base_de_datos[Profesor],base_de_datos[Academia],1))=Profesores[[#Headers],[HUM]],"x","")</f>
        <v>x</v>
      </c>
      <c r="AF57" s="4" t="str">
        <f>IF((_xlfn.XLOOKUP(Profesores[[#This Row],[Nombre]],base_de_datos[Profesor],base_de_datos[Academia],1))=Profesores[[#Headers],[IID]],"x","")</f>
        <v/>
      </c>
      <c r="AG57" s="6" t="str">
        <f>IF((_xlfn.XLOOKUP(Profesores[[#This Row],[Nombre]],base_de_datos[Profesor],base_de_datos[Academia],1))=Profesores[[#Headers],[BIO]],"x","")</f>
        <v/>
      </c>
      <c r="AJ57" s="6">
        <f>TRUNC(IFERROR(Profesores[[#This Row],[Ex Inglés]]*677/100,0),0)</f>
        <v>0</v>
      </c>
      <c r="AQ57" s="190" t="s">
        <v>124</v>
      </c>
      <c r="AR57" s="190"/>
      <c r="AS57" s="10"/>
      <c r="AT57" s="10"/>
      <c r="AU57" s="10"/>
      <c r="AV57" s="10"/>
    </row>
    <row r="58" spans="1:48" ht="12" hidden="1" customHeight="1">
      <c r="B58" s="4" t="s">
        <v>806</v>
      </c>
      <c r="E58" s="56"/>
      <c r="F58" s="6" t="s">
        <v>807</v>
      </c>
      <c r="J58" s="4"/>
      <c r="M58" s="53"/>
      <c r="N58" s="53"/>
      <c r="O58" s="128"/>
      <c r="T58" s="6"/>
      <c r="U58" s="4">
        <v>3</v>
      </c>
      <c r="V58" s="4" t="str">
        <f>IF((_xlfn.XLOOKUP(Profesores[[#This Row],[Nombre]],base_de_datos[Profesor],base_de_datos[Academia],1))=Profesores[[#Headers],[MEC]],"x","")</f>
        <v/>
      </c>
      <c r="W58" s="4" t="str">
        <f>IF((_xlfn.XLOOKUP(Profesores[[#This Row],[Nombre]],base_de_datos[Profesor],base_de_datos[Academia],1))=Profesores[[#Headers],[COM]],"x","")</f>
        <v/>
      </c>
      <c r="Y58" s="4" t="str">
        <f>IF((_xlfn.XLOOKUP(Profesores[[#This Row],[Nombre]],base_de_datos[Profesor],base_de_datos[Academia],1))=Profesores[[#Headers],[DOP]],"x","")</f>
        <v/>
      </c>
      <c r="AB58" s="4" t="str">
        <f>IF((_xlfn.XLOOKUP(Profesores[[#This Row],[Nombre]],base_de_datos[Profesor],base_de_datos[Academia],1))=Profesores[[#Headers],[EMP]],"x","")</f>
        <v/>
      </c>
      <c r="AC58" s="6" t="str">
        <f>IF((_xlfn.XLOOKUP(Profesores[[#This Row],[Nombre]],base_de_datos[Profesor],base_de_datos[Academia],1))=Profesores[[#Headers],[AIC]],"x","")</f>
        <v/>
      </c>
      <c r="AD58" s="4" t="str">
        <f>IF((_xlfn.XLOOKUP(Profesores[[#This Row],[Nombre]],base_de_datos[Profesor],base_de_datos[Academia],1))=Profesores[[#Headers],[ESC]],"x","")</f>
        <v/>
      </c>
      <c r="AE58" s="6" t="str">
        <f>IF((_xlfn.XLOOKUP(Profesores[[#This Row],[Nombre]],base_de_datos[Profesor],base_de_datos[Academia],1))=Profesores[[#Headers],[HUM]],"x","")</f>
        <v/>
      </c>
      <c r="AF58" s="4" t="str">
        <f>IF((_xlfn.XLOOKUP(Profesores[[#This Row],[Nombre]],base_de_datos[Profesor],base_de_datos[Academia],1))=Profesores[[#Headers],[IID]],"x","")</f>
        <v/>
      </c>
      <c r="AG58" s="6" t="str">
        <f>IF((_xlfn.XLOOKUP(Profesores[[#This Row],[Nombre]],base_de_datos[Profesor],base_de_datos[Academia],1))=Profesores[[#Headers],[BIO]],"x","")</f>
        <v/>
      </c>
      <c r="AH58" s="6" t="s">
        <v>808</v>
      </c>
      <c r="AI58" s="6" t="s">
        <v>597</v>
      </c>
      <c r="AJ58" s="6">
        <f>TRUNC(IFERROR(Profesores[[#This Row],[Ex Inglés]]*677/100,0),0)</f>
        <v>451</v>
      </c>
      <c r="AQ58" s="190" t="s">
        <v>292</v>
      </c>
      <c r="AR58" s="190"/>
      <c r="AS58" s="10"/>
      <c r="AT58" s="10"/>
      <c r="AU58" s="10"/>
      <c r="AV58" s="10"/>
    </row>
    <row r="59" spans="1:48" ht="12" hidden="1" customHeight="1">
      <c r="C59" s="4" t="s">
        <v>484</v>
      </c>
      <c r="D59" s="4" t="s">
        <v>498</v>
      </c>
      <c r="E59" s="56">
        <v>269348</v>
      </c>
      <c r="F59" s="133" t="s">
        <v>272</v>
      </c>
      <c r="G59" s="33" t="s">
        <v>809</v>
      </c>
      <c r="H59" s="33" t="s">
        <v>810</v>
      </c>
      <c r="I59" s="33" t="s">
        <v>705</v>
      </c>
      <c r="J59" s="58">
        <v>30076</v>
      </c>
      <c r="M59" s="53">
        <v>4498984040</v>
      </c>
      <c r="N59" s="136" t="s">
        <v>811</v>
      </c>
      <c r="O59" s="128" t="s">
        <v>812</v>
      </c>
      <c r="P59" s="4" t="s">
        <v>813</v>
      </c>
      <c r="Q59" s="4" t="s">
        <v>814</v>
      </c>
      <c r="R59" s="4" t="s">
        <v>491</v>
      </c>
      <c r="S59" s="4" t="s">
        <v>491</v>
      </c>
      <c r="T59" s="6">
        <v>20235</v>
      </c>
      <c r="U59" s="4">
        <v>2</v>
      </c>
      <c r="V59" s="4" t="str">
        <f>IF((_xlfn.XLOOKUP(Profesores[[#This Row],[Nombre]],base_de_datos[Profesor],base_de_datos[Academia],1))=Profesores[[#Headers],[MEC]],"x","")</f>
        <v/>
      </c>
      <c r="W59" s="4" t="str">
        <f>IF((_xlfn.XLOOKUP(Profesores[[#This Row],[Nombre]],base_de_datos[Profesor],base_de_datos[Academia],1))=Profesores[[#Headers],[COM]],"x","")</f>
        <v>x</v>
      </c>
      <c r="Y59" s="4" t="str">
        <f>IF((_xlfn.XLOOKUP(Profesores[[#This Row],[Nombre]],base_de_datos[Profesor],base_de_datos[Academia],1))=Profesores[[#Headers],[DOP]],"x","")</f>
        <v/>
      </c>
      <c r="Z59" s="4" t="str">
        <f>IF((_xlfn.XLOOKUP(Profesores[[#This Row],[Nombre]],base_de_datos[Profesor],base_de_datos[Academia],1))=Profesores[[#Headers],[ETF]],"x","")</f>
        <v/>
      </c>
      <c r="AA59" s="4" t="str">
        <f>IF((_xlfn.XLOOKUP(Profesores[[#This Row],[Nombre]],base_de_datos[Profesor],base_de_datos[Academia],1))=Profesores[[#Headers],[MAT]],"x","")</f>
        <v/>
      </c>
      <c r="AB59" s="4" t="str">
        <f>IF((_xlfn.XLOOKUP(Profesores[[#This Row],[Nombre]],base_de_datos[Profesor],base_de_datos[Academia],1))=Profesores[[#Headers],[EMP]],"x","")</f>
        <v/>
      </c>
      <c r="AC59" s="6" t="str">
        <f>IF((_xlfn.XLOOKUP(Profesores[[#This Row],[Nombre]],base_de_datos[Profesor],base_de_datos[Academia],1))=Profesores[[#Headers],[AIC]],"x","")</f>
        <v/>
      </c>
      <c r="AD59" s="4" t="str">
        <f>IF((_xlfn.XLOOKUP(Profesores[[#This Row],[Nombre]],base_de_datos[Profesor],base_de_datos[Academia],1))=Profesores[[#Headers],[ESC]],"x","")</f>
        <v/>
      </c>
      <c r="AE59" s="6" t="str">
        <f>IF((_xlfn.XLOOKUP(Profesores[[#This Row],[Nombre]],base_de_datos[Profesor],base_de_datos[Academia],1))=Profesores[[#Headers],[HUM]],"x","")</f>
        <v/>
      </c>
      <c r="AF59" s="4" t="str">
        <f>IF((_xlfn.XLOOKUP(Profesores[[#This Row],[Nombre]],base_de_datos[Profesor],base_de_datos[Academia],1))=Profesores[[#Headers],[IID]],"x","")</f>
        <v/>
      </c>
      <c r="AG59" s="6" t="str">
        <f>IF((_xlfn.XLOOKUP(Profesores[[#This Row],[Nombre]],base_de_datos[Profesor],base_de_datos[Academia],1))=Profesores[[#Headers],[BIO]],"x","")</f>
        <v/>
      </c>
      <c r="AH59" s="6">
        <v>69.53</v>
      </c>
      <c r="AI59" s="6" t="s">
        <v>597</v>
      </c>
      <c r="AJ59" s="6">
        <f>TRUNC(IFERROR(Profesores[[#This Row],[Ex Inglés]]*677/100,0),0)</f>
        <v>470</v>
      </c>
      <c r="AQ59" s="190" t="s">
        <v>73</v>
      </c>
      <c r="AR59" s="190"/>
      <c r="AS59" s="10"/>
      <c r="AT59" s="10"/>
      <c r="AU59" s="10"/>
      <c r="AV59" s="10"/>
    </row>
    <row r="60" spans="1:48" ht="12" hidden="1" customHeight="1">
      <c r="B60" s="6">
        <v>67</v>
      </c>
      <c r="C60" s="4" t="s">
        <v>510</v>
      </c>
      <c r="D60" s="4" t="s">
        <v>485</v>
      </c>
      <c r="E60" s="56">
        <v>230730</v>
      </c>
      <c r="F60" s="133" t="s">
        <v>274</v>
      </c>
      <c r="G60" s="33" t="s">
        <v>815</v>
      </c>
      <c r="H60" s="33" t="s">
        <v>816</v>
      </c>
      <c r="I60" s="33" t="s">
        <v>817</v>
      </c>
      <c r="J60" s="58">
        <v>33936</v>
      </c>
      <c r="K60" s="33" t="s">
        <v>515</v>
      </c>
      <c r="L60" s="4" t="s">
        <v>504</v>
      </c>
      <c r="M60" s="53">
        <v>4492052887</v>
      </c>
      <c r="N60" s="8" t="s">
        <v>818</v>
      </c>
      <c r="O60" s="128" t="s">
        <v>819</v>
      </c>
      <c r="P60" s="4">
        <v>113</v>
      </c>
      <c r="Q60" s="4" t="s">
        <v>820</v>
      </c>
      <c r="R60" s="4" t="s">
        <v>491</v>
      </c>
      <c r="S60" s="4" t="s">
        <v>491</v>
      </c>
      <c r="T60" s="6">
        <v>20340</v>
      </c>
      <c r="U60" s="4"/>
      <c r="V60" s="4" t="str">
        <f>IF((_xlfn.XLOOKUP(Profesores[[#This Row],[Nombre]],base_de_datos[Profesor],base_de_datos[Academia],1))=Profesores[[#Headers],[MEC]],"x","")</f>
        <v/>
      </c>
      <c r="W60" s="4" t="str">
        <f>IF((_xlfn.XLOOKUP(Profesores[[#This Row],[Nombre]],base_de_datos[Profesor],base_de_datos[Academia],1))=Profesores[[#Headers],[COM]],"x","")</f>
        <v/>
      </c>
      <c r="Y60" s="4" t="str">
        <f>IF((_xlfn.XLOOKUP(Profesores[[#This Row],[Nombre]],base_de_datos[Profesor],base_de_datos[Academia],1))=Profesores[[#Headers],[DOP]],"x","")</f>
        <v/>
      </c>
      <c r="Z60" s="4" t="str">
        <f>IF((_xlfn.XLOOKUP(Profesores[[#This Row],[Nombre]],base_de_datos[Profesor],base_de_datos[Academia],1))=Profesores[[#Headers],[ETF]],"x","")</f>
        <v>x</v>
      </c>
      <c r="AA60" s="4" t="str">
        <f>IF((_xlfn.XLOOKUP(Profesores[[#This Row],[Nombre]],base_de_datos[Profesor],base_de_datos[Academia],1))=Profesores[[#Headers],[MAT]],"x","")</f>
        <v/>
      </c>
      <c r="AB60" s="4" t="str">
        <f>IF((_xlfn.XLOOKUP(Profesores[[#This Row],[Nombre]],base_de_datos[Profesor],base_de_datos[Academia],1))=Profesores[[#Headers],[EMP]],"x","")</f>
        <v/>
      </c>
      <c r="AC60" s="6" t="str">
        <f>IF((_xlfn.XLOOKUP(Profesores[[#This Row],[Nombre]],base_de_datos[Profesor],base_de_datos[Academia],1))=Profesores[[#Headers],[AIC]],"x","")</f>
        <v/>
      </c>
      <c r="AD60" s="4" t="str">
        <f>IF((_xlfn.XLOOKUP(Profesores[[#This Row],[Nombre]],base_de_datos[Profesor],base_de_datos[Academia],1))=Profesores[[#Headers],[ESC]],"x","")</f>
        <v/>
      </c>
      <c r="AE60" s="6" t="str">
        <f>IF((_xlfn.XLOOKUP(Profesores[[#This Row],[Nombre]],base_de_datos[Profesor],base_de_datos[Academia],1))=Profesores[[#Headers],[HUM]],"x","")</f>
        <v/>
      </c>
      <c r="AF60" s="4" t="str">
        <f>IF((_xlfn.XLOOKUP(Profesores[[#This Row],[Nombre]],base_de_datos[Profesor],base_de_datos[Academia],1))=Profesores[[#Headers],[IID]],"x","")</f>
        <v/>
      </c>
      <c r="AG60" s="6" t="str">
        <f>IF((_xlfn.XLOOKUP(Profesores[[#This Row],[Nombre]],base_de_datos[Profesor],base_de_datos[Academia],1))=Profesores[[#Headers],[BIO]],"x","")</f>
        <v/>
      </c>
      <c r="AJ60" s="6">
        <f>TRUNC(IFERROR(Profesores[[#This Row],[Ex Inglés]]*677/100,0),0)</f>
        <v>0</v>
      </c>
      <c r="AQ60" s="190"/>
      <c r="AR60" s="190"/>
      <c r="AS60" s="10"/>
      <c r="AT60" s="10"/>
      <c r="AU60" s="10"/>
      <c r="AV60" s="10"/>
    </row>
    <row r="61" spans="1:48" s="135" customFormat="1" ht="12" hidden="1" customHeight="1">
      <c r="A61" s="227"/>
      <c r="B61" s="6">
        <v>45</v>
      </c>
      <c r="C61" s="4" t="s">
        <v>493</v>
      </c>
      <c r="D61" s="4" t="s">
        <v>498</v>
      </c>
      <c r="E61" s="56">
        <v>209781</v>
      </c>
      <c r="F61" s="133" t="s">
        <v>279</v>
      </c>
      <c r="G61" s="33" t="s">
        <v>821</v>
      </c>
      <c r="H61" s="33" t="s">
        <v>525</v>
      </c>
      <c r="I61" s="33" t="s">
        <v>822</v>
      </c>
      <c r="J61" s="58">
        <v>31490</v>
      </c>
      <c r="K61" s="33" t="s">
        <v>515</v>
      </c>
      <c r="L61" s="4" t="s">
        <v>504</v>
      </c>
      <c r="M61" s="53" t="s">
        <v>823</v>
      </c>
      <c r="N61" s="87" t="s">
        <v>824</v>
      </c>
      <c r="O61" s="128" t="s">
        <v>825</v>
      </c>
      <c r="P61" s="4" t="s">
        <v>826</v>
      </c>
      <c r="Q61" s="4" t="s">
        <v>827</v>
      </c>
      <c r="R61" s="4" t="s">
        <v>491</v>
      </c>
      <c r="S61" s="4" t="s">
        <v>491</v>
      </c>
      <c r="T61" s="6">
        <v>20100</v>
      </c>
      <c r="U61" s="4"/>
      <c r="V61" s="4" t="str">
        <f>IF((_xlfn.XLOOKUP(Profesores[[#This Row],[Nombre]],base_de_datos[Profesor],base_de_datos[Academia],1))=Profesores[[#Headers],[MEC]],"x","")</f>
        <v/>
      </c>
      <c r="W61" s="4" t="str">
        <f>IF((_xlfn.XLOOKUP(Profesores[[#This Row],[Nombre]],base_de_datos[Profesor],base_de_datos[Academia],1))=Profesores[[#Headers],[COM]],"x","")</f>
        <v/>
      </c>
      <c r="X61" s="4"/>
      <c r="Y61" s="4" t="str">
        <f>IF((_xlfn.XLOOKUP(Profesores[[#This Row],[Nombre]],base_de_datos[Profesor],base_de_datos[Academia],1))=Profesores[[#Headers],[DOP]],"x","")</f>
        <v/>
      </c>
      <c r="Z61" s="4" t="str">
        <f>IF((_xlfn.XLOOKUP(Profesores[[#This Row],[Nombre]],base_de_datos[Profesor],base_de_datos[Academia],1))=Profesores[[#Headers],[ETF]],"x","")</f>
        <v/>
      </c>
      <c r="AA61" s="4" t="str">
        <f>IF((_xlfn.XLOOKUP(Profesores[[#This Row],[Nombre]],base_de_datos[Profesor],base_de_datos[Academia],1))=Profesores[[#Headers],[MAT]],"x","")</f>
        <v/>
      </c>
      <c r="AB61" s="4" t="str">
        <f>IF((_xlfn.XLOOKUP(Profesores[[#This Row],[Nombre]],base_de_datos[Profesor],base_de_datos[Academia],1))=Profesores[[#Headers],[EMP]],"x","")</f>
        <v/>
      </c>
      <c r="AC61" s="6" t="str">
        <f>IF((_xlfn.XLOOKUP(Profesores[[#This Row],[Nombre]],base_de_datos[Profesor],base_de_datos[Academia],1))=Profesores[[#Headers],[AIC]],"x","")</f>
        <v/>
      </c>
      <c r="AD61" s="4" t="str">
        <f>IF((_xlfn.XLOOKUP(Profesores[[#This Row],[Nombre]],base_de_datos[Profesor],base_de_datos[Academia],1))=Profesores[[#Headers],[ESC]],"x","")</f>
        <v/>
      </c>
      <c r="AE61" s="6" t="str">
        <f>IF((_xlfn.XLOOKUP(Profesores[[#This Row],[Nombre]],base_de_datos[Profesor],base_de_datos[Academia],1))=Profesores[[#Headers],[HUM]],"x","")</f>
        <v/>
      </c>
      <c r="AF61" s="4" t="str">
        <f>IF((_xlfn.XLOOKUP(Profesores[[#This Row],[Nombre]],base_de_datos[Profesor],base_de_datos[Academia],1))=Profesores[[#Headers],[IID]],"x","")</f>
        <v>x</v>
      </c>
      <c r="AG61" s="6" t="str">
        <f>IF((_xlfn.XLOOKUP(Profesores[[#This Row],[Nombre]],base_de_datos[Profesor],base_de_datos[Academia],1))=Profesores[[#Headers],[BIO]],"x","")</f>
        <v/>
      </c>
      <c r="AH61" s="6"/>
      <c r="AI61" s="6"/>
      <c r="AJ61" s="6">
        <f>TRUNC(IFERROR(Profesores[[#This Row],[Ex Inglés]]*677/100,0),0)</f>
        <v>0</v>
      </c>
      <c r="AQ61" s="190"/>
      <c r="AR61" s="196"/>
      <c r="AS61" s="10"/>
      <c r="AT61" s="10"/>
      <c r="AU61" s="10"/>
      <c r="AV61" s="143"/>
    </row>
    <row r="62" spans="1:48" ht="12" hidden="1" customHeight="1">
      <c r="B62" s="6">
        <v>64</v>
      </c>
      <c r="C62" s="4" t="s">
        <v>484</v>
      </c>
      <c r="D62" s="4" t="s">
        <v>498</v>
      </c>
      <c r="E62" s="56">
        <v>233289</v>
      </c>
      <c r="F62" s="133" t="s">
        <v>281</v>
      </c>
      <c r="G62" s="33" t="s">
        <v>828</v>
      </c>
      <c r="H62" s="33" t="s">
        <v>829</v>
      </c>
      <c r="I62" s="33" t="s">
        <v>830</v>
      </c>
      <c r="J62" s="58">
        <v>21803</v>
      </c>
      <c r="K62" s="33" t="s">
        <v>515</v>
      </c>
      <c r="L62" s="4" t="s">
        <v>504</v>
      </c>
      <c r="M62" s="53">
        <v>4491117660</v>
      </c>
      <c r="N62" s="89" t="s">
        <v>831</v>
      </c>
      <c r="O62" s="128" t="s">
        <v>832</v>
      </c>
      <c r="P62" s="4">
        <v>240</v>
      </c>
      <c r="Q62" s="4" t="s">
        <v>833</v>
      </c>
      <c r="R62" s="4" t="s">
        <v>491</v>
      </c>
      <c r="S62" s="4" t="s">
        <v>491</v>
      </c>
      <c r="T62" s="6">
        <v>20250</v>
      </c>
      <c r="U62" s="4">
        <v>2</v>
      </c>
      <c r="V62" s="4" t="str">
        <f>IF((_xlfn.XLOOKUP(Profesores[[#This Row],[Nombre]],base_de_datos[Profesor],base_de_datos[Academia],1))=Profesores[[#Headers],[MEC]],"x","")</f>
        <v/>
      </c>
      <c r="W62" s="4" t="str">
        <f>IF((_xlfn.XLOOKUP(Profesores[[#This Row],[Nombre]],base_de_datos[Profesor],base_de_datos[Academia],1))=Profesores[[#Headers],[COM]],"x","")</f>
        <v/>
      </c>
      <c r="Y62" s="4" t="str">
        <f>IF((_xlfn.XLOOKUP(Profesores[[#This Row],[Nombre]],base_de_datos[Profesor],base_de_datos[Academia],1))=Profesores[[#Headers],[DOP]],"x","")</f>
        <v/>
      </c>
      <c r="Z62" s="4" t="str">
        <f>IF((_xlfn.XLOOKUP(Profesores[[#This Row],[Nombre]],base_de_datos[Profesor],base_de_datos[Academia],1))=Profesores[[#Headers],[ETF]],"x","")</f>
        <v/>
      </c>
      <c r="AA62" s="4" t="str">
        <f>IF((_xlfn.XLOOKUP(Profesores[[#This Row],[Nombre]],base_de_datos[Profesor],base_de_datos[Academia],1))=Profesores[[#Headers],[MAT]],"x","")</f>
        <v/>
      </c>
      <c r="AB62" s="4" t="str">
        <f>IF((_xlfn.XLOOKUP(Profesores[[#This Row],[Nombre]],base_de_datos[Profesor],base_de_datos[Academia],1))=Profesores[[#Headers],[EMP]],"x","")</f>
        <v/>
      </c>
      <c r="AC62" s="6" t="str">
        <f>IF((_xlfn.XLOOKUP(Profesores[[#This Row],[Nombre]],base_de_datos[Profesor],base_de_datos[Academia],1))=Profesores[[#Headers],[AIC]],"x","")</f>
        <v/>
      </c>
      <c r="AD62" s="4" t="str">
        <f>IF((_xlfn.XLOOKUP(Profesores[[#This Row],[Nombre]],base_de_datos[Profesor],base_de_datos[Academia],1))=Profesores[[#Headers],[ESC]],"x","")</f>
        <v>x</v>
      </c>
      <c r="AE62" s="6" t="str">
        <f>IF((_xlfn.XLOOKUP(Profesores[[#This Row],[Nombre]],base_de_datos[Profesor],base_de_datos[Academia],1))=Profesores[[#Headers],[HUM]],"x","")</f>
        <v/>
      </c>
      <c r="AF62" s="4" t="str">
        <f>IF((_xlfn.XLOOKUP(Profesores[[#This Row],[Nombre]],base_de_datos[Profesor],base_de_datos[Academia],1))=Profesores[[#Headers],[IID]],"x","")</f>
        <v/>
      </c>
      <c r="AG62" s="6" t="str">
        <f>IF((_xlfn.XLOOKUP(Profesores[[#This Row],[Nombre]],base_de_datos[Profesor],base_de_datos[Academia],1))=Profesores[[#Headers],[BIO]],"x","")</f>
        <v/>
      </c>
      <c r="AH62" s="6">
        <v>91</v>
      </c>
      <c r="AI62" s="6" t="s">
        <v>578</v>
      </c>
      <c r="AJ62" s="6">
        <f>TRUNC(IFERROR(Profesores[[#This Row],[Ex Inglés]]*677/100,0),0)</f>
        <v>616</v>
      </c>
      <c r="AQ62" s="190"/>
      <c r="AR62" s="196"/>
      <c r="AS62" s="10"/>
      <c r="AT62" s="10"/>
      <c r="AU62" s="10"/>
      <c r="AV62" s="10"/>
    </row>
    <row r="63" spans="1:48" ht="12" hidden="1" customHeight="1">
      <c r="B63" s="6">
        <v>12</v>
      </c>
      <c r="C63" s="2" t="s">
        <v>499</v>
      </c>
      <c r="D63" s="2" t="s">
        <v>485</v>
      </c>
      <c r="E63" s="66">
        <v>232700</v>
      </c>
      <c r="F63" s="134" t="s">
        <v>247</v>
      </c>
      <c r="G63" s="34" t="s">
        <v>834</v>
      </c>
      <c r="H63" s="34" t="s">
        <v>835</v>
      </c>
      <c r="I63" s="34" t="s">
        <v>836</v>
      </c>
      <c r="J63" s="57">
        <v>32352</v>
      </c>
      <c r="K63" s="33" t="s">
        <v>515</v>
      </c>
      <c r="L63" s="4" t="s">
        <v>504</v>
      </c>
      <c r="M63" s="53" t="s">
        <v>837</v>
      </c>
      <c r="N63" s="89" t="s">
        <v>838</v>
      </c>
      <c r="O63" s="128" t="s">
        <v>839</v>
      </c>
      <c r="P63" s="4" t="s">
        <v>840</v>
      </c>
      <c r="Q63" s="4" t="s">
        <v>683</v>
      </c>
      <c r="R63" s="4" t="s">
        <v>491</v>
      </c>
      <c r="S63" s="4" t="s">
        <v>491</v>
      </c>
      <c r="T63" s="6">
        <v>20286</v>
      </c>
      <c r="U63" s="4"/>
      <c r="V63" s="4"/>
      <c r="X63" s="4" t="s">
        <v>67</v>
      </c>
      <c r="Z63" s="4" t="s">
        <v>67</v>
      </c>
      <c r="AA63" s="4" t="s">
        <v>67</v>
      </c>
      <c r="AB63" s="4"/>
      <c r="AQ63" s="190"/>
      <c r="AR63" s="196"/>
      <c r="AS63" s="10"/>
      <c r="AT63" s="10"/>
      <c r="AU63" s="10"/>
    </row>
    <row r="64" spans="1:48" ht="12" hidden="1" customHeight="1">
      <c r="B64" s="6">
        <v>97</v>
      </c>
      <c r="C64" s="4" t="s">
        <v>497</v>
      </c>
      <c r="D64" s="4" t="s">
        <v>498</v>
      </c>
      <c r="E64" s="86">
        <v>254810</v>
      </c>
      <c r="F64" s="133" t="s">
        <v>289</v>
      </c>
      <c r="G64" s="33" t="s">
        <v>841</v>
      </c>
      <c r="H64" s="33" t="s">
        <v>842</v>
      </c>
      <c r="I64" s="33" t="s">
        <v>843</v>
      </c>
      <c r="J64" s="58">
        <v>33812</v>
      </c>
      <c r="K64" s="33" t="s">
        <v>515</v>
      </c>
      <c r="L64" s="4" t="s">
        <v>504</v>
      </c>
      <c r="M64" s="53">
        <v>4747494871</v>
      </c>
      <c r="N64" s="89" t="s">
        <v>844</v>
      </c>
      <c r="O64" s="128" t="s">
        <v>845</v>
      </c>
      <c r="P64" s="4">
        <v>759</v>
      </c>
      <c r="Q64" s="4" t="s">
        <v>846</v>
      </c>
      <c r="R64" s="4" t="s">
        <v>847</v>
      </c>
      <c r="S64" s="4" t="s">
        <v>742</v>
      </c>
      <c r="T64" s="6">
        <v>47400</v>
      </c>
      <c r="U64" s="4"/>
      <c r="V64" s="4" t="str">
        <f>IF((_xlfn.XLOOKUP(Profesores[[#This Row],[Nombre]],base_de_datos[Profesor],base_de_datos[Academia],1))=Profesores[[#Headers],[MEC]],"x","")</f>
        <v/>
      </c>
      <c r="W64" s="4" t="str">
        <f>IF((_xlfn.XLOOKUP(Profesores[[#This Row],[Nombre]],base_de_datos[Profesor],base_de_datos[Academia],1))=Profesores[[#Headers],[COM]],"x","")</f>
        <v/>
      </c>
      <c r="Y64" s="4" t="str">
        <f>IF((_xlfn.XLOOKUP(Profesores[[#This Row],[Nombre]],base_de_datos[Profesor],base_de_datos[Academia],1))=Profesores[[#Headers],[DOP]],"x","")</f>
        <v/>
      </c>
      <c r="Z64" s="4" t="str">
        <f>IF((_xlfn.XLOOKUP(Profesores[[#This Row],[Nombre]],base_de_datos[Profesor],base_de_datos[Academia],1))=Profesores[[#Headers],[ETF]],"x","")</f>
        <v/>
      </c>
      <c r="AA64" s="4" t="str">
        <f>IF((_xlfn.XLOOKUP(Profesores[[#This Row],[Nombre]],base_de_datos[Profesor],base_de_datos[Academia],1))=Profesores[[#Headers],[MAT]],"x","")</f>
        <v/>
      </c>
      <c r="AB64" s="4" t="str">
        <f>IF((_xlfn.XLOOKUP(Profesores[[#This Row],[Nombre]],base_de_datos[Profesor],base_de_datos[Academia],1))=Profesores[[#Headers],[EMP]],"x","")</f>
        <v/>
      </c>
      <c r="AC64" s="6" t="str">
        <f>IF((_xlfn.XLOOKUP(Profesores[[#This Row],[Nombre]],base_de_datos[Profesor],base_de_datos[Academia],1))=Profesores[[#Headers],[AIC]],"x","")</f>
        <v/>
      </c>
      <c r="AD64" s="4" t="str">
        <f>IF((_xlfn.XLOOKUP(Profesores[[#This Row],[Nombre]],base_de_datos[Profesor],base_de_datos[Academia],1))=Profesores[[#Headers],[ESC]],"x","")</f>
        <v>x</v>
      </c>
      <c r="AE64" s="6" t="str">
        <f>IF((_xlfn.XLOOKUP(Profesores[[#This Row],[Nombre]],base_de_datos[Profesor],base_de_datos[Academia],1))=Profesores[[#Headers],[HUM]],"x","")</f>
        <v/>
      </c>
      <c r="AF64" s="4" t="str">
        <f>IF((_xlfn.XLOOKUP(Profesores[[#This Row],[Nombre]],base_de_datos[Profesor],base_de_datos[Academia],1))=Profesores[[#Headers],[IID]],"x","")</f>
        <v/>
      </c>
      <c r="AG64" s="6" t="str">
        <f>IF((_xlfn.XLOOKUP(Profesores[[#This Row],[Nombre]],base_de_datos[Profesor],base_de_datos[Academia],1))=Profesores[[#Headers],[BIO]],"x","")</f>
        <v/>
      </c>
      <c r="AJ64" s="6">
        <f>TRUNC(IFERROR(Profesores[[#This Row],[Ex Inglés]]*677/100,0),0)</f>
        <v>0</v>
      </c>
      <c r="AQ64" s="190"/>
      <c r="AR64" s="196"/>
      <c r="AS64" s="10"/>
      <c r="AT64" s="10"/>
      <c r="AU64" s="10"/>
    </row>
    <row r="65" spans="1:47" s="135" customFormat="1" ht="12" hidden="1" customHeight="1">
      <c r="A65" s="227"/>
      <c r="B65" s="6">
        <v>150</v>
      </c>
      <c r="C65" s="4" t="s">
        <v>484</v>
      </c>
      <c r="D65" s="4" t="s">
        <v>511</v>
      </c>
      <c r="E65" s="86">
        <v>199181</v>
      </c>
      <c r="F65" s="202" t="s">
        <v>291</v>
      </c>
      <c r="G65" s="33" t="s">
        <v>848</v>
      </c>
      <c r="H65" s="33" t="s">
        <v>849</v>
      </c>
      <c r="I65" s="33" t="s">
        <v>850</v>
      </c>
      <c r="J65" s="58">
        <v>31033</v>
      </c>
      <c r="K65" s="33"/>
      <c r="L65" s="4"/>
      <c r="M65" s="53">
        <v>4491964707</v>
      </c>
      <c r="N65" s="89" t="s">
        <v>851</v>
      </c>
      <c r="O65" s="128" t="s">
        <v>852</v>
      </c>
      <c r="P65" s="4" t="s">
        <v>853</v>
      </c>
      <c r="Q65" s="33" t="s">
        <v>854</v>
      </c>
      <c r="R65" s="4" t="s">
        <v>491</v>
      </c>
      <c r="S65" s="4" t="s">
        <v>491</v>
      </c>
      <c r="T65" s="6">
        <v>20278</v>
      </c>
      <c r="U65" s="4"/>
      <c r="V65" s="4" t="str">
        <f>IF((_xlfn.XLOOKUP(Profesores[[#This Row],[Nombre]],base_de_datos[Profesor],base_de_datos[Academia],1))=Profesores[[#Headers],[MEC]],"x","")</f>
        <v/>
      </c>
      <c r="W65" s="4" t="str">
        <f>IF((_xlfn.XLOOKUP(Profesores[[#This Row],[Nombre]],base_de_datos[Profesor],base_de_datos[Academia],1))=Profesores[[#Headers],[COM]],"x","")</f>
        <v/>
      </c>
      <c r="X65" s="4"/>
      <c r="Y65" s="4" t="str">
        <f>IF((_xlfn.XLOOKUP(Profesores[[#This Row],[Nombre]],base_de_datos[Profesor],base_de_datos[Academia],1))=Profesores[[#Headers],[DOP]],"x","")</f>
        <v/>
      </c>
      <c r="Z65" s="4" t="str">
        <f>IF((_xlfn.XLOOKUP(Profesores[[#This Row],[Nombre]],base_de_datos[Profesor],base_de_datos[Academia],1))=Profesores[[#Headers],[ETF]],"x","")</f>
        <v/>
      </c>
      <c r="AA65" s="4" t="str">
        <f>IF((_xlfn.XLOOKUP(Profesores[[#This Row],[Nombre]],base_de_datos[Profesor],base_de_datos[Academia],1))=Profesores[[#Headers],[MAT]],"x","")</f>
        <v/>
      </c>
      <c r="AB65" s="4" t="str">
        <f>IF((_xlfn.XLOOKUP(Profesores[[#This Row],[Nombre]],base_de_datos[Profesor],base_de_datos[Academia],1))=Profesores[[#Headers],[EMP]],"x","")</f>
        <v/>
      </c>
      <c r="AC65" s="6" t="str">
        <f>IF((_xlfn.XLOOKUP(Profesores[[#This Row],[Nombre]],base_de_datos[Profesor],base_de_datos[Academia],1))=Profesores[[#Headers],[AIC]],"x","")</f>
        <v/>
      </c>
      <c r="AD65" s="4" t="str">
        <f>IF((_xlfn.XLOOKUP(Profesores[[#This Row],[Nombre]],base_de_datos[Profesor],base_de_datos[Academia],1))=Profesores[[#Headers],[ESC]],"x","")</f>
        <v/>
      </c>
      <c r="AE65" s="6" t="str">
        <f>IF((_xlfn.XLOOKUP(Profesores[[#This Row],[Nombre]],base_de_datos[Profesor],base_de_datos[Academia],1))=Profesores[[#Headers],[HUM]],"x","")</f>
        <v>x</v>
      </c>
      <c r="AF65" s="4" t="str">
        <f>IF((_xlfn.XLOOKUP(Profesores[[#This Row],[Nombre]],base_de_datos[Profesor],base_de_datos[Academia],1))=Profesores[[#Headers],[IID]],"x","")</f>
        <v/>
      </c>
      <c r="AG65" s="6" t="str">
        <f>IF((_xlfn.XLOOKUP(Profesores[[#This Row],[Nombre]],base_de_datos[Profesor],base_de_datos[Academia],1))=Profesores[[#Headers],[BIO]],"x","")</f>
        <v/>
      </c>
      <c r="AH65" s="6"/>
      <c r="AI65" s="6"/>
      <c r="AJ65" s="6">
        <f>TRUNC(IFERROR(Profesores[[#This Row],[Ex Inglés]]*677/100,0),0)</f>
        <v>0</v>
      </c>
      <c r="AQ65" s="190"/>
      <c r="AR65" s="196"/>
      <c r="AS65" s="10"/>
      <c r="AT65" s="10"/>
      <c r="AU65" s="10"/>
    </row>
    <row r="66" spans="1:47" ht="12" hidden="1" customHeight="1">
      <c r="B66" s="6">
        <v>68</v>
      </c>
      <c r="C66" s="4" t="s">
        <v>497</v>
      </c>
      <c r="D66" s="4" t="s">
        <v>498</v>
      </c>
      <c r="E66" s="56">
        <v>245150</v>
      </c>
      <c r="F66" s="133" t="s">
        <v>294</v>
      </c>
      <c r="G66" s="33" t="s">
        <v>855</v>
      </c>
      <c r="H66" s="33" t="s">
        <v>856</v>
      </c>
      <c r="I66" s="33" t="s">
        <v>487</v>
      </c>
      <c r="J66" s="58">
        <v>33876</v>
      </c>
      <c r="K66" s="33" t="s">
        <v>515</v>
      </c>
      <c r="L66" s="4" t="s">
        <v>504</v>
      </c>
      <c r="M66" s="53">
        <v>4494605379</v>
      </c>
      <c r="N66" s="87" t="s">
        <v>857</v>
      </c>
      <c r="O66" s="128" t="s">
        <v>858</v>
      </c>
      <c r="P66" s="4">
        <v>207</v>
      </c>
      <c r="Q66" s="4" t="s">
        <v>859</v>
      </c>
      <c r="R66" s="4" t="s">
        <v>491</v>
      </c>
      <c r="S66" s="4" t="s">
        <v>491</v>
      </c>
      <c r="T66" s="6">
        <v>20235</v>
      </c>
      <c r="U66" s="4">
        <v>0</v>
      </c>
      <c r="V66" s="4" t="str">
        <f>IF((_xlfn.XLOOKUP(Profesores[[#This Row],[Nombre]],base_de_datos[Profesor],base_de_datos[Academia],1))=Profesores[[#Headers],[MEC]],"x","")</f>
        <v/>
      </c>
      <c r="W66" s="4" t="str">
        <f>IF((_xlfn.XLOOKUP(Profesores[[#This Row],[Nombre]],base_de_datos[Profesor],base_de_datos[Academia],1))=Profesores[[#Headers],[COM]],"x","")</f>
        <v/>
      </c>
      <c r="Y66" s="4" t="str">
        <f>IF((_xlfn.XLOOKUP(Profesores[[#This Row],[Nombre]],base_de_datos[Profesor],base_de_datos[Academia],1))=Profesores[[#Headers],[DOP]],"x","")</f>
        <v/>
      </c>
      <c r="Z66" s="4" t="str">
        <f>IF((_xlfn.XLOOKUP(Profesores[[#This Row],[Nombre]],base_de_datos[Profesor],base_de_datos[Academia],1))=Profesores[[#Headers],[ETF]],"x","")</f>
        <v/>
      </c>
      <c r="AA66" s="4" t="str">
        <f>IF((_xlfn.XLOOKUP(Profesores[[#This Row],[Nombre]],base_de_datos[Profesor],base_de_datos[Academia],1))=Profesores[[#Headers],[MAT]],"x","")</f>
        <v/>
      </c>
      <c r="AB66" s="4" t="str">
        <f>IF((_xlfn.XLOOKUP(Profesores[[#This Row],[Nombre]],base_de_datos[Profesor],base_de_datos[Academia],1))=Profesores[[#Headers],[EMP]],"x","")</f>
        <v/>
      </c>
      <c r="AC66" s="6" t="str">
        <f>IF((_xlfn.XLOOKUP(Profesores[[#This Row],[Nombre]],base_de_datos[Profesor],base_de_datos[Academia],1))=Profesores[[#Headers],[AIC]],"x","")</f>
        <v/>
      </c>
      <c r="AD66" s="4" t="str">
        <f>IF((_xlfn.XLOOKUP(Profesores[[#This Row],[Nombre]],base_de_datos[Profesor],base_de_datos[Academia],1))=Profesores[[#Headers],[ESC]],"x","")</f>
        <v>x</v>
      </c>
      <c r="AE66" s="6" t="str">
        <f>IF((_xlfn.XLOOKUP(Profesores[[#This Row],[Nombre]],base_de_datos[Profesor],base_de_datos[Academia],1))=Profesores[[#Headers],[HUM]],"x","")</f>
        <v/>
      </c>
      <c r="AF66" s="4" t="str">
        <f>IF((_xlfn.XLOOKUP(Profesores[[#This Row],[Nombre]],base_de_datos[Profesor],base_de_datos[Academia],1))=Profesores[[#Headers],[IID]],"x","")</f>
        <v/>
      </c>
      <c r="AG66" s="6" t="str">
        <f>IF((_xlfn.XLOOKUP(Profesores[[#This Row],[Nombre]],base_de_datos[Profesor],base_de_datos[Academia],1))=Profesores[[#Headers],[BIO]],"x","")</f>
        <v/>
      </c>
      <c r="AJ66" s="6">
        <f>TRUNC(IFERROR(Profesores[[#This Row],[Ex Inglés]]*677/100,0),0)</f>
        <v>0</v>
      </c>
      <c r="AQ66" s="190"/>
      <c r="AR66" s="190"/>
      <c r="AS66" s="10"/>
      <c r="AT66" s="10"/>
      <c r="AU66" s="10"/>
    </row>
    <row r="67" spans="1:47" ht="12" hidden="1" customHeight="1">
      <c r="B67" s="6">
        <v>137</v>
      </c>
      <c r="C67" s="4" t="s">
        <v>499</v>
      </c>
      <c r="D67" s="4" t="s">
        <v>498</v>
      </c>
      <c r="E67" s="56">
        <v>223269</v>
      </c>
      <c r="F67" s="133" t="s">
        <v>298</v>
      </c>
      <c r="G67" s="33" t="s">
        <v>860</v>
      </c>
      <c r="H67" s="33" t="s">
        <v>861</v>
      </c>
      <c r="I67" s="33" t="s">
        <v>862</v>
      </c>
      <c r="J67" s="58">
        <v>30796</v>
      </c>
      <c r="K67" s="33" t="s">
        <v>515</v>
      </c>
      <c r="L67" s="4" t="s">
        <v>504</v>
      </c>
      <c r="M67" s="53">
        <v>8112027060</v>
      </c>
      <c r="N67" s="89" t="s">
        <v>863</v>
      </c>
      <c r="O67" s="128" t="s">
        <v>681</v>
      </c>
      <c r="P67" s="2" t="s">
        <v>864</v>
      </c>
      <c r="Q67" s="4" t="s">
        <v>683</v>
      </c>
      <c r="R67" s="4" t="s">
        <v>491</v>
      </c>
      <c r="S67" s="4" t="s">
        <v>491</v>
      </c>
      <c r="T67" s="6">
        <v>20286</v>
      </c>
      <c r="U67" s="4"/>
      <c r="V67" s="4" t="str">
        <f>IF((_xlfn.XLOOKUP(Profesores[[#This Row],[Nombre]],base_de_datos[Profesor],base_de_datos[Academia],1))=Profesores[[#Headers],[MEC]],"x","")</f>
        <v/>
      </c>
      <c r="W67" s="4" t="str">
        <f>IF((_xlfn.XLOOKUP(Profesores[[#This Row],[Nombre]],base_de_datos[Profesor],base_de_datos[Academia],1))=Profesores[[#Headers],[COM]],"x","")</f>
        <v>x</v>
      </c>
      <c r="Y67" s="4" t="str">
        <f>IF((_xlfn.XLOOKUP(Profesores[[#This Row],[Nombre]],base_de_datos[Profesor],base_de_datos[Academia],1))=Profesores[[#Headers],[DOP]],"x","")</f>
        <v/>
      </c>
      <c r="Z67" s="4" t="str">
        <f>IF((_xlfn.XLOOKUP(Profesores[[#This Row],[Nombre]],base_de_datos[Profesor],base_de_datos[Academia],1))=Profesores[[#Headers],[ETF]],"x","")</f>
        <v/>
      </c>
      <c r="AA67" s="4" t="str">
        <f>IF((_xlfn.XLOOKUP(Profesores[[#This Row],[Nombre]],base_de_datos[Profesor],base_de_datos[Academia],1))=Profesores[[#Headers],[MAT]],"x","")</f>
        <v/>
      </c>
      <c r="AB67" s="4" t="str">
        <f>IF((_xlfn.XLOOKUP(Profesores[[#This Row],[Nombre]],base_de_datos[Profesor],base_de_datos[Academia],1))=Profesores[[#Headers],[EMP]],"x","")</f>
        <v/>
      </c>
      <c r="AC67" s="6" t="str">
        <f>IF((_xlfn.XLOOKUP(Profesores[[#This Row],[Nombre]],base_de_datos[Profesor],base_de_datos[Academia],1))=Profesores[[#Headers],[AIC]],"x","")</f>
        <v/>
      </c>
      <c r="AD67" s="4" t="str">
        <f>IF((_xlfn.XLOOKUP(Profesores[[#This Row],[Nombre]],base_de_datos[Profesor],base_de_datos[Academia],1))=Profesores[[#Headers],[ESC]],"x","")</f>
        <v/>
      </c>
      <c r="AE67" s="6" t="str">
        <f>IF((_xlfn.XLOOKUP(Profesores[[#This Row],[Nombre]],base_de_datos[Profesor],base_de_datos[Academia],1))=Profesores[[#Headers],[HUM]],"x","")</f>
        <v/>
      </c>
      <c r="AF67" s="4" t="str">
        <f>IF((_xlfn.XLOOKUP(Profesores[[#This Row],[Nombre]],base_de_datos[Profesor],base_de_datos[Academia],1))=Profesores[[#Headers],[IID]],"x","")</f>
        <v/>
      </c>
      <c r="AG67" s="6" t="str">
        <f>IF((_xlfn.XLOOKUP(Profesores[[#This Row],[Nombre]],base_de_datos[Profesor],base_de_datos[Academia],1))=Profesores[[#Headers],[BIO]],"x","")</f>
        <v/>
      </c>
      <c r="AJ67" s="6">
        <f>TRUNC(IFERROR(Profesores[[#This Row],[Ex Inglés]]*677/100,0),0)</f>
        <v>0</v>
      </c>
      <c r="AQ67" s="190"/>
      <c r="AR67" s="196"/>
      <c r="AS67" s="10"/>
      <c r="AT67" s="10"/>
      <c r="AU67" s="10"/>
    </row>
    <row r="68" spans="1:47" ht="12" hidden="1" customHeight="1">
      <c r="B68" s="6">
        <v>120</v>
      </c>
      <c r="C68" s="4" t="s">
        <v>484</v>
      </c>
      <c r="D68" s="4" t="s">
        <v>511</v>
      </c>
      <c r="E68" s="56">
        <v>159616</v>
      </c>
      <c r="F68" s="202" t="s">
        <v>301</v>
      </c>
      <c r="G68" s="33" t="s">
        <v>865</v>
      </c>
      <c r="H68" s="33" t="s">
        <v>866</v>
      </c>
      <c r="I68" s="33" t="s">
        <v>816</v>
      </c>
      <c r="J68" s="58">
        <v>34413</v>
      </c>
      <c r="K68" s="33" t="s">
        <v>515</v>
      </c>
      <c r="L68" s="4" t="s">
        <v>65</v>
      </c>
      <c r="M68" s="53">
        <v>4495496832</v>
      </c>
      <c r="N68" s="89" t="s">
        <v>867</v>
      </c>
      <c r="O68" s="128" t="s">
        <v>868</v>
      </c>
      <c r="P68" s="4" t="s">
        <v>869</v>
      </c>
      <c r="Q68" s="4" t="s">
        <v>870</v>
      </c>
      <c r="R68" s="4" t="s">
        <v>491</v>
      </c>
      <c r="S68" s="4" t="s">
        <v>491</v>
      </c>
      <c r="T68" s="6">
        <v>20196</v>
      </c>
      <c r="U68" s="4">
        <v>1</v>
      </c>
      <c r="V68" s="4" t="str">
        <f>IF((_xlfn.XLOOKUP(Profesores[[#This Row],[Nombre]],base_de_datos[Profesor],base_de_datos[Academia],1))=Profesores[[#Headers],[MEC]],"x","")</f>
        <v/>
      </c>
      <c r="W68" s="4" t="str">
        <f>IF((_xlfn.XLOOKUP(Profesores[[#This Row],[Nombre]],base_de_datos[Profesor],base_de_datos[Academia],1))=Profesores[[#Headers],[COM]],"x","")</f>
        <v/>
      </c>
      <c r="Y68" s="4" t="str">
        <f>IF((_xlfn.XLOOKUP(Profesores[[#This Row],[Nombre]],base_de_datos[Profesor],base_de_datos[Academia],1))=Profesores[[#Headers],[DOP]],"x","")</f>
        <v/>
      </c>
      <c r="AA68" s="4" t="str">
        <f>IF((_xlfn.XLOOKUP(Profesores[[#This Row],[Nombre]],base_de_datos[Profesor],base_de_datos[Academia],1))=Profesores[[#Headers],[MAT]],"x","")</f>
        <v/>
      </c>
      <c r="AB68" s="4" t="str">
        <f>IF((_xlfn.XLOOKUP(Profesores[[#This Row],[Nombre]],base_de_datos[Profesor],base_de_datos[Academia],1))=Profesores[[#Headers],[EMP]],"x","")</f>
        <v/>
      </c>
      <c r="AC68" s="4" t="str">
        <f>IF((_xlfn.XLOOKUP(Profesores[[#This Row],[Nombre]],base_de_datos[Profesor],base_de_datos[Academia],1))=Profesores[[#Headers],[AIC]],"x","")</f>
        <v/>
      </c>
      <c r="AD68" s="4" t="s">
        <v>67</v>
      </c>
      <c r="AE68" s="6" t="str">
        <f>IF((_xlfn.XLOOKUP(Profesores[[#This Row],[Nombre]],base_de_datos[Profesor],base_de_datos[Academia],1))=Profesores[[#Headers],[HUM]],"x","")</f>
        <v>x</v>
      </c>
      <c r="AF68" s="4" t="str">
        <f>IF((_xlfn.XLOOKUP(Profesores[[#This Row],[Nombre]],base_de_datos[Profesor],base_de_datos[Academia],1))=Profesores[[#Headers],[IID]],"x","")</f>
        <v/>
      </c>
      <c r="AG68" s="6" t="str">
        <f>IF((_xlfn.XLOOKUP(Profesores[[#This Row],[Nombre]],base_de_datos[Profesor],base_de_datos[Academia],1))=Profesores[[#Headers],[BIO]],"x","")</f>
        <v/>
      </c>
      <c r="AH68" s="6">
        <v>56.85</v>
      </c>
      <c r="AI68" s="6" t="s">
        <v>597</v>
      </c>
      <c r="AJ68" s="6">
        <f>TRUNC(IFERROR(Profesores[[#This Row],[Ex Inglés]]*677/100,0),0)</f>
        <v>384</v>
      </c>
      <c r="AQ68" s="190"/>
      <c r="AR68" s="190"/>
      <c r="AS68" s="10"/>
      <c r="AT68" s="10"/>
      <c r="AU68" s="10"/>
    </row>
    <row r="69" spans="1:47" ht="12" hidden="1" customHeight="1">
      <c r="C69" s="4" t="s">
        <v>497</v>
      </c>
      <c r="D69" s="4" t="s">
        <v>498</v>
      </c>
      <c r="E69" s="86" t="s">
        <v>871</v>
      </c>
      <c r="F69" s="133" t="s">
        <v>303</v>
      </c>
      <c r="G69" s="33" t="s">
        <v>872</v>
      </c>
      <c r="H69" s="33" t="s">
        <v>501</v>
      </c>
      <c r="I69" s="33" t="s">
        <v>526</v>
      </c>
      <c r="J69" s="58">
        <v>29389</v>
      </c>
      <c r="M69" s="53">
        <v>4774497721</v>
      </c>
      <c r="N69" s="136" t="s">
        <v>873</v>
      </c>
      <c r="O69" s="128" t="s">
        <v>874</v>
      </c>
      <c r="P69" s="4">
        <v>922</v>
      </c>
      <c r="Q69" s="4" t="s">
        <v>875</v>
      </c>
      <c r="R69" s="4" t="s">
        <v>876</v>
      </c>
      <c r="S69" s="4" t="s">
        <v>508</v>
      </c>
      <c r="T69" s="6">
        <v>37257</v>
      </c>
      <c r="U69" s="4"/>
      <c r="V69" s="4" t="str">
        <f>IF((_xlfn.XLOOKUP(Profesores[[#This Row],[Nombre]],base_de_datos[Profesor],base_de_datos[Academia],1))=Profesores[[#Headers],[MEC]],"x","")</f>
        <v/>
      </c>
      <c r="W69" s="4" t="str">
        <f>IF((_xlfn.XLOOKUP(Profesores[[#This Row],[Nombre]],base_de_datos[Profesor],base_de_datos[Academia],1))=Profesores[[#Headers],[COM]],"x","")</f>
        <v/>
      </c>
      <c r="Y69" s="4" t="str">
        <f>IF((_xlfn.XLOOKUP(Profesores[[#This Row],[Nombre]],base_de_datos[Profesor],base_de_datos[Academia],1))=Profesores[[#Headers],[DOP]],"x","")</f>
        <v>x</v>
      </c>
      <c r="Z69" s="4" t="str">
        <f>IF((_xlfn.XLOOKUP(Profesores[[#This Row],[Nombre]],base_de_datos[Profesor],base_de_datos[Academia],1))=Profesores[[#Headers],[ETF]],"x","")</f>
        <v/>
      </c>
      <c r="AA69" s="4" t="str">
        <f>IF((_xlfn.XLOOKUP(Profesores[[#This Row],[Nombre]],base_de_datos[Profesor],base_de_datos[Academia],1))=Profesores[[#Headers],[MAT]],"x","")</f>
        <v/>
      </c>
      <c r="AB69" s="4" t="str">
        <f>IF((_xlfn.XLOOKUP(Profesores[[#This Row],[Nombre]],base_de_datos[Profesor],base_de_datos[Academia],1))=Profesores[[#Headers],[EMP]],"x","")</f>
        <v/>
      </c>
      <c r="AC69" s="6" t="str">
        <f>IF((_xlfn.XLOOKUP(Profesores[[#This Row],[Nombre]],base_de_datos[Profesor],base_de_datos[Academia],1))=Profesores[[#Headers],[AIC]],"x","")</f>
        <v/>
      </c>
      <c r="AD69" s="4" t="str">
        <f>IF((_xlfn.XLOOKUP(Profesores[[#This Row],[Nombre]],base_de_datos[Profesor],base_de_datos[Academia],1))=Profesores[[#Headers],[ESC]],"x","")</f>
        <v/>
      </c>
      <c r="AE69" s="6" t="str">
        <f>IF((_xlfn.XLOOKUP(Profesores[[#This Row],[Nombre]],base_de_datos[Profesor],base_de_datos[Academia],1))=Profesores[[#Headers],[HUM]],"x","")</f>
        <v/>
      </c>
      <c r="AF69" s="4" t="str">
        <f>IF((_xlfn.XLOOKUP(Profesores[[#This Row],[Nombre]],base_de_datos[Profesor],base_de_datos[Academia],1))=Profesores[[#Headers],[IID]],"x","")</f>
        <v/>
      </c>
      <c r="AG69" s="6" t="str">
        <f>IF((_xlfn.XLOOKUP(Profesores[[#This Row],[Nombre]],base_de_datos[Profesor],base_de_datos[Academia],1))=Profesores[[#Headers],[BIO]],"x","")</f>
        <v/>
      </c>
      <c r="AH69" s="6" t="s">
        <v>543</v>
      </c>
      <c r="AI69" s="6" t="s">
        <v>597</v>
      </c>
      <c r="AJ69" s="6">
        <f>TRUNC(IFERROR(Profesores[[#This Row],[Ex Inglés]]*677/100,0),0)</f>
        <v>0</v>
      </c>
      <c r="AQ69" s="190"/>
      <c r="AR69" s="196"/>
      <c r="AS69" s="10"/>
      <c r="AT69" s="10"/>
      <c r="AU69" s="10"/>
    </row>
    <row r="70" spans="1:47" ht="12" hidden="1" customHeight="1">
      <c r="B70" s="6">
        <v>141</v>
      </c>
      <c r="C70" s="4" t="s">
        <v>497</v>
      </c>
      <c r="D70" s="4" t="s">
        <v>498</v>
      </c>
      <c r="E70" s="56">
        <v>248972</v>
      </c>
      <c r="F70" s="133" t="s">
        <v>305</v>
      </c>
      <c r="G70" s="33" t="s">
        <v>877</v>
      </c>
      <c r="H70" s="33" t="s">
        <v>878</v>
      </c>
      <c r="I70" s="33" t="s">
        <v>879</v>
      </c>
      <c r="J70" s="183">
        <v>34265</v>
      </c>
      <c r="K70" s="33" t="s">
        <v>111</v>
      </c>
      <c r="L70" s="4" t="s">
        <v>504</v>
      </c>
      <c r="M70" s="199">
        <v>4491436806</v>
      </c>
      <c r="N70" s="89" t="s">
        <v>880</v>
      </c>
      <c r="O70" s="186" t="s">
        <v>881</v>
      </c>
      <c r="P70" s="187">
        <v>138</v>
      </c>
      <c r="Q70" s="187" t="s">
        <v>882</v>
      </c>
      <c r="R70" s="187" t="s">
        <v>491</v>
      </c>
      <c r="S70" s="187" t="s">
        <v>491</v>
      </c>
      <c r="T70" s="10">
        <v>20200</v>
      </c>
      <c r="U70" s="4">
        <v>1</v>
      </c>
      <c r="V70" s="4" t="str">
        <f>IF((_xlfn.XLOOKUP(Profesores[[#This Row],[Nombre]],base_de_datos[Profesor],base_de_datos[Academia],1))=Profesores[[#Headers],[MEC]],"x","")</f>
        <v/>
      </c>
      <c r="W70" s="4" t="str">
        <f>IF((_xlfn.XLOOKUP(Profesores[[#This Row],[Nombre]],base_de_datos[Profesor],base_de_datos[Academia],1))=Profesores[[#Headers],[COM]],"x","")</f>
        <v/>
      </c>
      <c r="Y70" s="4" t="str">
        <f>IF((_xlfn.XLOOKUP(Profesores[[#This Row],[Nombre]],base_de_datos[Profesor],base_de_datos[Academia],1))=Profesores[[#Headers],[DOP]],"x","")</f>
        <v/>
      </c>
      <c r="Z70" s="4" t="str">
        <f>IF((_xlfn.XLOOKUP(Profesores[[#This Row],[Nombre]],base_de_datos[Profesor],base_de_datos[Academia],1))=Profesores[[#Headers],[ETF]],"x","")</f>
        <v>x</v>
      </c>
      <c r="AA70" s="4" t="str">
        <f>IF((_xlfn.XLOOKUP(Profesores[[#This Row],[Nombre]],base_de_datos[Profesor],base_de_datos[Academia],1))=Profesores[[#Headers],[MAT]],"x","")</f>
        <v/>
      </c>
      <c r="AB70" s="4" t="str">
        <f>IF((_xlfn.XLOOKUP(Profesores[[#This Row],[Nombre]],base_de_datos[Profesor],base_de_datos[Academia],1))=Profesores[[#Headers],[EMP]],"x","")</f>
        <v/>
      </c>
      <c r="AC70" s="6" t="str">
        <f>IF((_xlfn.XLOOKUP(Profesores[[#This Row],[Nombre]],base_de_datos[Profesor],base_de_datos[Academia],1))=Profesores[[#Headers],[AIC]],"x","")</f>
        <v/>
      </c>
      <c r="AD70" s="4" t="str">
        <f>IF((_xlfn.XLOOKUP(Profesores[[#This Row],[Nombre]],base_de_datos[Profesor],base_de_datos[Academia],1))=Profesores[[#Headers],[ESC]],"x","")</f>
        <v/>
      </c>
      <c r="AE70" s="6" t="str">
        <f>IF((_xlfn.XLOOKUP(Profesores[[#This Row],[Nombre]],base_de_datos[Profesor],base_de_datos[Academia],1))=Profesores[[#Headers],[HUM]],"x","")</f>
        <v/>
      </c>
      <c r="AF70" s="4" t="str">
        <f>IF((_xlfn.XLOOKUP(Profesores[[#This Row],[Nombre]],base_de_datos[Profesor],base_de_datos[Academia],1))=Profesores[[#Headers],[IID]],"x","")</f>
        <v/>
      </c>
      <c r="AG70" s="6" t="str">
        <f>IF((_xlfn.XLOOKUP(Profesores[[#This Row],[Nombre]],base_de_datos[Profesor],base_de_datos[Academia],1))=Profesores[[#Headers],[BIO]],"x","")</f>
        <v/>
      </c>
      <c r="AH70" s="6" t="s">
        <v>543</v>
      </c>
      <c r="AI70" s="6" t="s">
        <v>597</v>
      </c>
      <c r="AJ70" s="6">
        <f>TRUNC(IFERROR(Profesores[[#This Row],[Ex Inglés]]*677/100,0),0)</f>
        <v>0</v>
      </c>
      <c r="AQ70" s="190"/>
      <c r="AR70" s="196"/>
      <c r="AS70" s="10"/>
      <c r="AT70" s="10"/>
      <c r="AU70" s="10"/>
    </row>
    <row r="71" spans="1:47" ht="12" hidden="1" customHeight="1">
      <c r="A71" s="228"/>
      <c r="B71" s="6">
        <v>157</v>
      </c>
      <c r="C71" s="4" t="s">
        <v>498</v>
      </c>
      <c r="D71" s="4" t="s">
        <v>498</v>
      </c>
      <c r="E71" s="56">
        <v>185229</v>
      </c>
      <c r="F71" s="133" t="s">
        <v>307</v>
      </c>
      <c r="G71" s="33" t="s">
        <v>883</v>
      </c>
      <c r="H71" s="33" t="s">
        <v>884</v>
      </c>
      <c r="I71" s="33" t="s">
        <v>885</v>
      </c>
      <c r="J71" s="58">
        <v>34856</v>
      </c>
      <c r="M71" s="53">
        <v>4491570109</v>
      </c>
      <c r="N71" s="138" t="s">
        <v>886</v>
      </c>
      <c r="O71" s="128" t="s">
        <v>887</v>
      </c>
      <c r="P71" s="4">
        <v>117</v>
      </c>
      <c r="Q71" s="4" t="s">
        <v>888</v>
      </c>
      <c r="R71" s="4" t="s">
        <v>491</v>
      </c>
      <c r="S71" s="4" t="s">
        <v>491</v>
      </c>
      <c r="T71" s="6">
        <v>200100</v>
      </c>
      <c r="U71" s="4">
        <v>2</v>
      </c>
      <c r="V71" s="4" t="str">
        <f>IF((_xlfn.XLOOKUP(Profesores[[#This Row],[Nombre]],base_de_datos[Profesor],base_de_datos[Academia],1))=Profesores[[#Headers],[MEC]],"x","")</f>
        <v/>
      </c>
      <c r="W71" s="4" t="str">
        <f>IF((_xlfn.XLOOKUP(Profesores[[#This Row],[Nombre]],base_de_datos[Profesor],base_de_datos[Academia],1))=Profesores[[#Headers],[COM]],"x","")</f>
        <v/>
      </c>
      <c r="X71" s="4" t="s">
        <v>67</v>
      </c>
      <c r="Y71" s="4" t="str">
        <f>IF((_xlfn.XLOOKUP(Profesores[[#This Row],[Nombre]],base_de_datos[Profesor],base_de_datos[Academia],1))=Profesores[[#Headers],[DOP]],"x","")</f>
        <v/>
      </c>
      <c r="Z71" s="4" t="str">
        <f>IF((_xlfn.XLOOKUP(Profesores[[#This Row],[Nombre]],base_de_datos[Profesor],base_de_datos[Academia],1))=Profesores[[#Headers],[ETF]],"x","")</f>
        <v/>
      </c>
      <c r="AA71" s="4" t="str">
        <f>IF((_xlfn.XLOOKUP(Profesores[[#This Row],[Nombre]],base_de_datos[Profesor],base_de_datos[Academia],1))=Profesores[[#Headers],[MAT]],"x","")</f>
        <v/>
      </c>
      <c r="AB71" s="4" t="str">
        <f>IF((_xlfn.XLOOKUP(Profesores[[#This Row],[Nombre]],base_de_datos[Profesor],base_de_datos[Academia],1))=Profesores[[#Headers],[EMP]],"x","")</f>
        <v/>
      </c>
      <c r="AC71" s="6" t="str">
        <f>IF((_xlfn.XLOOKUP(Profesores[[#This Row],[Nombre]],base_de_datos[Profesor],base_de_datos[Academia],1))=Profesores[[#Headers],[AIC]],"x","")</f>
        <v/>
      </c>
      <c r="AD71" s="4" t="str">
        <f>IF((_xlfn.XLOOKUP(Profesores[[#This Row],[Nombre]],base_de_datos[Profesor],base_de_datos[Academia],1))=Profesores[[#Headers],[ESC]],"x","")</f>
        <v/>
      </c>
      <c r="AE71" s="6" t="str">
        <f>IF((_xlfn.XLOOKUP(Profesores[[#This Row],[Nombre]],base_de_datos[Profesor],base_de_datos[Academia],1))=Profesores[[#Headers],[HUM]],"x","")</f>
        <v/>
      </c>
      <c r="AF71" s="4" t="str">
        <f>IF((_xlfn.XLOOKUP(Profesores[[#This Row],[Nombre]],base_de_datos[Profesor],base_de_datos[Academia],1))=Profesores[[#Headers],[IID]],"x","")</f>
        <v/>
      </c>
      <c r="AG71" s="6" t="str">
        <f>IF((_xlfn.XLOOKUP(Profesores[[#This Row],[Nombre]],base_de_datos[Profesor],base_de_datos[Academia],1))=Profesores[[#Headers],[BIO]],"x","")</f>
        <v/>
      </c>
      <c r="AH71" s="6">
        <v>58.84</v>
      </c>
      <c r="AI71" s="6" t="s">
        <v>597</v>
      </c>
      <c r="AJ71" s="6">
        <f>TRUNC(IFERROR(Profesores[[#This Row],[Ex Inglés]]*677/100,0),0)</f>
        <v>398</v>
      </c>
      <c r="AQ71" s="190"/>
      <c r="AR71" s="196"/>
      <c r="AS71" s="10"/>
      <c r="AT71" s="10"/>
      <c r="AU71" s="10"/>
    </row>
    <row r="72" spans="1:47" ht="12" hidden="1" customHeight="1">
      <c r="A72" s="228"/>
      <c r="C72" s="4" t="s">
        <v>510</v>
      </c>
      <c r="D72" s="4" t="s">
        <v>511</v>
      </c>
      <c r="E72" s="56"/>
      <c r="F72" s="202" t="s">
        <v>310</v>
      </c>
      <c r="G72" s="33" t="s">
        <v>889</v>
      </c>
      <c r="H72" s="33" t="s">
        <v>890</v>
      </c>
      <c r="I72" s="33" t="s">
        <v>891</v>
      </c>
      <c r="J72" s="4"/>
      <c r="M72" s="53"/>
      <c r="N72" s="53"/>
      <c r="O72" s="128"/>
      <c r="T72" s="6"/>
      <c r="U72" s="4">
        <v>1</v>
      </c>
      <c r="V72" s="4" t="str">
        <f>IF((_xlfn.XLOOKUP(Profesores[[#This Row],[Nombre]],base_de_datos[Profesor],base_de_datos[Academia],1))=Profesores[[#Headers],[MEC]],"x","")</f>
        <v/>
      </c>
      <c r="W72" s="4" t="str">
        <f>IF((_xlfn.XLOOKUP(Profesores[[#This Row],[Nombre]],base_de_datos[Profesor],base_de_datos[Academia],1))=Profesores[[#Headers],[COM]],"x","")</f>
        <v/>
      </c>
      <c r="Y72" s="4" t="str">
        <f>IF((_xlfn.XLOOKUP(Profesores[[#This Row],[Nombre]],base_de_datos[Profesor],base_de_datos[Academia],1))=Profesores[[#Headers],[DOP]],"x","")</f>
        <v/>
      </c>
      <c r="Z72" s="4" t="str">
        <f>IF((_xlfn.XLOOKUP(Profesores[[#This Row],[Nombre]],base_de_datos[Profesor],base_de_datos[Academia],1))=Profesores[[#Headers],[ETF]],"x","")</f>
        <v/>
      </c>
      <c r="AA72" s="4" t="str">
        <f>IF((_xlfn.XLOOKUP(Profesores[[#This Row],[Nombre]],base_de_datos[Profesor],base_de_datos[Academia],1))=Profesores[[#Headers],[MAT]],"x","")</f>
        <v/>
      </c>
      <c r="AB72" s="4" t="str">
        <f>IF((_xlfn.XLOOKUP(Profesores[[#This Row],[Nombre]],base_de_datos[Profesor],base_de_datos[Academia],1))=Profesores[[#Headers],[EMP]],"x","")</f>
        <v/>
      </c>
      <c r="AC72" s="6" t="str">
        <f>IF((_xlfn.XLOOKUP(Profesores[[#This Row],[Nombre]],base_de_datos[Profesor],base_de_datos[Academia],1))=Profesores[[#Headers],[AIC]],"x","")</f>
        <v/>
      </c>
      <c r="AD72" s="4" t="str">
        <f>IF((_xlfn.XLOOKUP(Profesores[[#This Row],[Nombre]],base_de_datos[Profesor],base_de_datos[Academia],1))=Profesores[[#Headers],[ESC]],"x","")</f>
        <v/>
      </c>
      <c r="AE72" s="6" t="str">
        <f>IF((_xlfn.XLOOKUP(Profesores[[#This Row],[Nombre]],base_de_datos[Profesor],base_de_datos[Academia],1))=Profesores[[#Headers],[HUM]],"x","")</f>
        <v>x</v>
      </c>
      <c r="AF72" s="4" t="str">
        <f>IF((_xlfn.XLOOKUP(Profesores[[#This Row],[Nombre]],base_de_datos[Profesor],base_de_datos[Academia],1))=Profesores[[#Headers],[IID]],"x","")</f>
        <v/>
      </c>
      <c r="AG72" s="6" t="str">
        <f>IF((_xlfn.XLOOKUP(Profesores[[#This Row],[Nombre]],base_de_datos[Profesor],base_de_datos[Academia],1))=Profesores[[#Headers],[BIO]],"x","")</f>
        <v/>
      </c>
      <c r="AH72" s="6" t="s">
        <v>543</v>
      </c>
      <c r="AJ72" s="6">
        <f>TRUNC(IFERROR(Profesores[[#This Row],[Ex Inglés]]*677/100,0),0)</f>
        <v>0</v>
      </c>
      <c r="AQ72" s="190"/>
      <c r="AR72" s="196"/>
      <c r="AS72" s="10"/>
      <c r="AT72" s="10"/>
      <c r="AU72" s="10"/>
    </row>
    <row r="73" spans="1:47" ht="12" hidden="1" customHeight="1">
      <c r="A73" s="228"/>
      <c r="B73" s="6">
        <v>134</v>
      </c>
      <c r="C73" s="4" t="s">
        <v>497</v>
      </c>
      <c r="D73" s="4" t="s">
        <v>494</v>
      </c>
      <c r="E73" s="56">
        <v>148672</v>
      </c>
      <c r="F73" s="133" t="s">
        <v>312</v>
      </c>
      <c r="G73" s="33" t="s">
        <v>892</v>
      </c>
      <c r="H73" s="33" t="s">
        <v>805</v>
      </c>
      <c r="I73" s="33" t="s">
        <v>619</v>
      </c>
      <c r="J73" s="57">
        <v>29600</v>
      </c>
      <c r="K73" s="34" t="s">
        <v>515</v>
      </c>
      <c r="L73" s="4" t="s">
        <v>504</v>
      </c>
      <c r="M73" s="53">
        <v>4491114273</v>
      </c>
      <c r="N73" s="53" t="s">
        <v>893</v>
      </c>
      <c r="O73" s="128" t="s">
        <v>894</v>
      </c>
      <c r="P73" s="4">
        <v>109</v>
      </c>
      <c r="Q73" s="4" t="s">
        <v>895</v>
      </c>
      <c r="R73" s="4" t="s">
        <v>491</v>
      </c>
      <c r="S73" s="4" t="s">
        <v>491</v>
      </c>
      <c r="T73" s="6">
        <v>20326</v>
      </c>
      <c r="U73" s="4"/>
      <c r="V73" s="4" t="str">
        <f>IF((_xlfn.XLOOKUP(Profesores[[#This Row],[Nombre]],base_de_datos[Profesor],base_de_datos[Academia],1))=Profesores[[#Headers],[MEC]],"x","")</f>
        <v/>
      </c>
      <c r="W73" s="4" t="str">
        <f>IF((_xlfn.XLOOKUP(Profesores[[#This Row],[Nombre]],base_de_datos[Profesor],base_de_datos[Academia],1))=Profesores[[#Headers],[COM]],"x","")</f>
        <v>x</v>
      </c>
      <c r="Y73" s="4" t="str">
        <f>IF((_xlfn.XLOOKUP(Profesores[[#This Row],[Nombre]],base_de_datos[Profesor],base_de_datos[Academia],1))=Profesores[[#Headers],[DOP]],"x","")</f>
        <v/>
      </c>
      <c r="Z73" s="4" t="str">
        <f>IF((_xlfn.XLOOKUP(Profesores[[#This Row],[Nombre]],base_de_datos[Profesor],base_de_datos[Academia],1))=Profesores[[#Headers],[ETF]],"x","")</f>
        <v/>
      </c>
      <c r="AA73" s="4" t="str">
        <f>IF((_xlfn.XLOOKUP(Profesores[[#This Row],[Nombre]],base_de_datos[Profesor],base_de_datos[Academia],1))=Profesores[[#Headers],[MAT]],"x","")</f>
        <v/>
      </c>
      <c r="AB73" s="4" t="str">
        <f>IF((_xlfn.XLOOKUP(Profesores[[#This Row],[Nombre]],base_de_datos[Profesor],base_de_datos[Academia],1))=Profesores[[#Headers],[EMP]],"x","")</f>
        <v/>
      </c>
      <c r="AC73" s="6" t="str">
        <f>IF((_xlfn.XLOOKUP(Profesores[[#This Row],[Nombre]],base_de_datos[Profesor],base_de_datos[Academia],1))=Profesores[[#Headers],[AIC]],"x","")</f>
        <v/>
      </c>
      <c r="AD73" s="4" t="str">
        <f>IF((_xlfn.XLOOKUP(Profesores[[#This Row],[Nombre]],base_de_datos[Profesor],base_de_datos[Academia],1))=Profesores[[#Headers],[ESC]],"x","")</f>
        <v/>
      </c>
      <c r="AE73" s="6" t="str">
        <f>IF((_xlfn.XLOOKUP(Profesores[[#This Row],[Nombre]],base_de_datos[Profesor],base_de_datos[Academia],1))=Profesores[[#Headers],[HUM]],"x","")</f>
        <v/>
      </c>
      <c r="AF73" s="4" t="str">
        <f>IF((_xlfn.XLOOKUP(Profesores[[#This Row],[Nombre]],base_de_datos[Profesor],base_de_datos[Academia],1))=Profesores[[#Headers],[IID]],"x","")</f>
        <v/>
      </c>
      <c r="AG73" s="6" t="str">
        <f>IF((_xlfn.XLOOKUP(Profesores[[#This Row],[Nombre]],base_de_datos[Profesor],base_de_datos[Academia],1))=Profesores[[#Headers],[BIO]],"x","")</f>
        <v/>
      </c>
      <c r="AJ73" s="6">
        <f>TRUNC(IFERROR(Profesores[[#This Row],[Ex Inglés]]*677/100,0),0)</f>
        <v>0</v>
      </c>
      <c r="AQ73" s="190"/>
      <c r="AR73" s="190"/>
      <c r="AS73" s="10"/>
      <c r="AT73" s="10"/>
      <c r="AU73" s="10"/>
    </row>
    <row r="74" spans="1:47" ht="12.75" hidden="1" customHeight="1">
      <c r="A74" s="228"/>
      <c r="B74" s="6">
        <v>139</v>
      </c>
      <c r="C74" s="4" t="s">
        <v>497</v>
      </c>
      <c r="D74" s="4" t="s">
        <v>498</v>
      </c>
      <c r="E74" s="56">
        <v>230858</v>
      </c>
      <c r="F74" s="133" t="s">
        <v>314</v>
      </c>
      <c r="G74" s="33" t="s">
        <v>896</v>
      </c>
      <c r="H74" s="33" t="s">
        <v>526</v>
      </c>
      <c r="I74" s="33" t="s">
        <v>897</v>
      </c>
      <c r="J74" s="58">
        <v>26083</v>
      </c>
      <c r="K74" s="33" t="s">
        <v>515</v>
      </c>
      <c r="L74" s="4" t="s">
        <v>504</v>
      </c>
      <c r="M74" s="53" t="s">
        <v>898</v>
      </c>
      <c r="N74" s="137" t="s">
        <v>899</v>
      </c>
      <c r="O74" s="128" t="s">
        <v>900</v>
      </c>
      <c r="P74" s="4">
        <v>108</v>
      </c>
      <c r="Q74" s="4" t="s">
        <v>901</v>
      </c>
      <c r="R74" s="4" t="s">
        <v>902</v>
      </c>
      <c r="S74" s="4" t="s">
        <v>491</v>
      </c>
      <c r="T74" s="6">
        <v>20908</v>
      </c>
      <c r="U74" s="4">
        <v>1</v>
      </c>
      <c r="V74" s="4" t="str">
        <f>IF((_xlfn.XLOOKUP(Profesores[[#This Row],[Nombre]],base_de_datos[Profesor],base_de_datos[Academia],1))=Profesores[[#Headers],[MEC]],"x","")</f>
        <v/>
      </c>
      <c r="W74" s="4" t="str">
        <f>IF((_xlfn.XLOOKUP(Profesores[[#This Row],[Nombre]],base_de_datos[Profesor],base_de_datos[Academia],1))=Profesores[[#Headers],[COM]],"x","")</f>
        <v/>
      </c>
      <c r="Y74" s="4" t="str">
        <f>IF((_xlfn.XLOOKUP(Profesores[[#This Row],[Nombre]],base_de_datos[Profesor],base_de_datos[Academia],1))=Profesores[[#Headers],[DOP]],"x","")</f>
        <v/>
      </c>
      <c r="Z74" s="4" t="str">
        <f>IF((_xlfn.XLOOKUP(Profesores[[#This Row],[Nombre]],base_de_datos[Profesor],base_de_datos[Academia],1))=Profesores[[#Headers],[ETF]],"x","")</f>
        <v/>
      </c>
      <c r="AA74" s="4" t="str">
        <f>IF((_xlfn.XLOOKUP(Profesores[[#This Row],[Nombre]],base_de_datos[Profesor],base_de_datos[Academia],1))=Profesores[[#Headers],[MAT]],"x","")</f>
        <v/>
      </c>
      <c r="AB74" s="4" t="str">
        <f>IF((_xlfn.XLOOKUP(Profesores[[#This Row],[Nombre]],base_de_datos[Profesor],base_de_datos[Academia],1))=Profesores[[#Headers],[EMP]],"x","")</f>
        <v>x</v>
      </c>
      <c r="AC74" s="6" t="str">
        <f>IF((_xlfn.XLOOKUP(Profesores[[#This Row],[Nombre]],base_de_datos[Profesor],base_de_datos[Academia],1))=Profesores[[#Headers],[AIC]],"x","")</f>
        <v/>
      </c>
      <c r="AD74" s="4" t="str">
        <f>IF((_xlfn.XLOOKUP(Profesores[[#This Row],[Nombre]],base_de_datos[Profesor],base_de_datos[Academia],1))=Profesores[[#Headers],[ESC]],"x","")</f>
        <v/>
      </c>
      <c r="AE74" s="6" t="str">
        <f>IF((_xlfn.XLOOKUP(Profesores[[#This Row],[Nombre]],base_de_datos[Profesor],base_de_datos[Academia],1))=Profesores[[#Headers],[HUM]],"x","")</f>
        <v/>
      </c>
      <c r="AF74" s="4" t="str">
        <f>IF((_xlfn.XLOOKUP(Profesores[[#This Row],[Nombre]],base_de_datos[Profesor],base_de_datos[Academia],1))=Profesores[[#Headers],[IID]],"x","")</f>
        <v/>
      </c>
      <c r="AG74" s="6" t="str">
        <f>IF((_xlfn.XLOOKUP(Profesores[[#This Row],[Nombre]],base_de_datos[Profesor],base_de_datos[Academia],1))=Profesores[[#Headers],[BIO]],"x","")</f>
        <v/>
      </c>
      <c r="AH74" s="6" t="s">
        <v>543</v>
      </c>
      <c r="AI74" s="6" t="s">
        <v>597</v>
      </c>
      <c r="AJ74" s="6">
        <f>TRUNC(IFERROR(Profesores[[#This Row],[Ex Inglés]]*677/100,0),0)</f>
        <v>0</v>
      </c>
      <c r="AQ74" s="190"/>
      <c r="AR74" s="196"/>
      <c r="AS74" s="10"/>
      <c r="AT74" s="10"/>
      <c r="AU74" s="10"/>
    </row>
    <row r="75" spans="1:47" s="135" customFormat="1" ht="12" hidden="1" customHeight="1">
      <c r="A75" s="228"/>
      <c r="B75" s="6">
        <v>74</v>
      </c>
      <c r="C75" s="2" t="s">
        <v>499</v>
      </c>
      <c r="D75" s="2" t="s">
        <v>498</v>
      </c>
      <c r="E75" s="66">
        <v>175186</v>
      </c>
      <c r="F75" s="134" t="s">
        <v>317</v>
      </c>
      <c r="G75" s="34" t="s">
        <v>903</v>
      </c>
      <c r="H75" s="34" t="s">
        <v>904</v>
      </c>
      <c r="I75" s="34" t="s">
        <v>905</v>
      </c>
      <c r="J75" s="58">
        <v>22541</v>
      </c>
      <c r="K75" s="33" t="s">
        <v>515</v>
      </c>
      <c r="L75" s="4" t="s">
        <v>504</v>
      </c>
      <c r="M75" s="53">
        <v>4495540662</v>
      </c>
      <c r="N75" s="89" t="s">
        <v>906</v>
      </c>
      <c r="O75" s="128" t="s">
        <v>907</v>
      </c>
      <c r="P75" s="4">
        <v>205</v>
      </c>
      <c r="Q75" s="4" t="s">
        <v>908</v>
      </c>
      <c r="R75" s="4" t="s">
        <v>185</v>
      </c>
      <c r="S75" s="4" t="s">
        <v>491</v>
      </c>
      <c r="T75" s="6">
        <v>20908</v>
      </c>
      <c r="U75" s="4"/>
      <c r="V75" s="4" t="str">
        <f>IF((_xlfn.XLOOKUP(Profesores[[#This Row],[Nombre]],base_de_datos[Profesor],base_de_datos[Academia],1))=Profesores[[#Headers],[MEC]],"x","")</f>
        <v/>
      </c>
      <c r="W75" s="4" t="str">
        <f>IF((_xlfn.XLOOKUP(Profesores[[#This Row],[Nombre]],base_de_datos[Profesor],base_de_datos[Academia],1))=Profesores[[#Headers],[COM]],"x","")</f>
        <v/>
      </c>
      <c r="X75" s="4"/>
      <c r="Y75" s="4" t="str">
        <f>IF((_xlfn.XLOOKUP(Profesores[[#This Row],[Nombre]],base_de_datos[Profesor],base_de_datos[Academia],1))=Profesores[[#Headers],[DOP]],"x","")</f>
        <v/>
      </c>
      <c r="Z75" s="4" t="str">
        <f>IF((_xlfn.XLOOKUP(Profesores[[#This Row],[Nombre]],base_de_datos[Profesor],base_de_datos[Academia],1))=Profesores[[#Headers],[ETF]],"x","")</f>
        <v>x</v>
      </c>
      <c r="AA75" s="4" t="str">
        <f>IF((_xlfn.XLOOKUP(Profesores[[#This Row],[Nombre]],base_de_datos[Profesor],base_de_datos[Academia],1))=Profesores[[#Headers],[MAT]],"x","")</f>
        <v/>
      </c>
      <c r="AB75" s="4" t="str">
        <f>IF((_xlfn.XLOOKUP(Profesores[[#This Row],[Nombre]],base_de_datos[Profesor],base_de_datos[Academia],1))=Profesores[[#Headers],[EMP]],"x","")</f>
        <v/>
      </c>
      <c r="AC75" s="6" t="str">
        <f>IF((_xlfn.XLOOKUP(Profesores[[#This Row],[Nombre]],base_de_datos[Profesor],base_de_datos[Academia],1))=Profesores[[#Headers],[AIC]],"x","")</f>
        <v/>
      </c>
      <c r="AD75" s="4" t="str">
        <f>IF((_xlfn.XLOOKUP(Profesores[[#This Row],[Nombre]],base_de_datos[Profesor],base_de_datos[Academia],1))=Profesores[[#Headers],[ESC]],"x","")</f>
        <v/>
      </c>
      <c r="AE75" s="6" t="str">
        <f>IF((_xlfn.XLOOKUP(Profesores[[#This Row],[Nombre]],base_de_datos[Profesor],base_de_datos[Academia],1))=Profesores[[#Headers],[HUM]],"x","")</f>
        <v/>
      </c>
      <c r="AF75" s="4" t="str">
        <f>IF((_xlfn.XLOOKUP(Profesores[[#This Row],[Nombre]],base_de_datos[Profesor],base_de_datos[Academia],1))=Profesores[[#Headers],[IID]],"x","")</f>
        <v/>
      </c>
      <c r="AG75" s="6" t="str">
        <f>IF((_xlfn.XLOOKUP(Profesores[[#This Row],[Nombre]],base_de_datos[Profesor],base_de_datos[Academia],1))=Profesores[[#Headers],[BIO]],"x","")</f>
        <v/>
      </c>
      <c r="AH75" s="6"/>
      <c r="AI75" s="6"/>
      <c r="AJ75" s="6">
        <f>TRUNC(IFERROR(Profesores[[#This Row],[Ex Inglés]]*677/100,0),0)</f>
        <v>0</v>
      </c>
      <c r="AQ75" s="190"/>
      <c r="AR75" s="196"/>
      <c r="AS75" s="10"/>
      <c r="AT75" s="10"/>
      <c r="AU75" s="10"/>
    </row>
    <row r="76" spans="1:47" ht="12" hidden="1" customHeight="1">
      <c r="A76" s="228"/>
      <c r="B76" s="6">
        <v>112</v>
      </c>
      <c r="C76" s="4" t="s">
        <v>484</v>
      </c>
      <c r="D76" s="4" t="s">
        <v>511</v>
      </c>
      <c r="E76" s="88">
        <v>150932</v>
      </c>
      <c r="F76" s="202" t="s">
        <v>321</v>
      </c>
      <c r="G76" s="33" t="s">
        <v>909</v>
      </c>
      <c r="H76" s="33" t="s">
        <v>910</v>
      </c>
      <c r="I76" s="33" t="s">
        <v>487</v>
      </c>
      <c r="J76" s="58">
        <v>25996</v>
      </c>
      <c r="K76" s="33" t="s">
        <v>515</v>
      </c>
      <c r="L76" s="4" t="s">
        <v>504</v>
      </c>
      <c r="M76" s="53">
        <v>4499963127</v>
      </c>
      <c r="N76" s="137" t="s">
        <v>911</v>
      </c>
      <c r="O76" s="128" t="s">
        <v>912</v>
      </c>
      <c r="P76" s="4">
        <v>504</v>
      </c>
      <c r="Q76" s="4" t="s">
        <v>913</v>
      </c>
      <c r="R76" s="4" t="s">
        <v>491</v>
      </c>
      <c r="S76" s="4" t="s">
        <v>491</v>
      </c>
      <c r="T76" s="6">
        <v>20280</v>
      </c>
      <c r="U76" s="4">
        <v>1</v>
      </c>
      <c r="V76" s="4" t="str">
        <f>IF((_xlfn.XLOOKUP(Profesores[[#This Row],[Nombre]],base_de_datos[Profesor],base_de_datos[Academia],1))=Profesores[[#Headers],[MEC]],"x","")</f>
        <v/>
      </c>
      <c r="W76" s="4" t="str">
        <f>IF((_xlfn.XLOOKUP(Profesores[[#This Row],[Nombre]],base_de_datos[Profesor],base_de_datos[Academia],1))=Profesores[[#Headers],[COM]],"x","")</f>
        <v/>
      </c>
      <c r="Y76" s="4" t="str">
        <f>IF((_xlfn.XLOOKUP(Profesores[[#This Row],[Nombre]],base_de_datos[Profesor],base_de_datos[Academia],1))=Profesores[[#Headers],[DOP]],"x","")</f>
        <v/>
      </c>
      <c r="Z76" s="4" t="str">
        <f>IF((_xlfn.XLOOKUP(Profesores[[#This Row],[Nombre]],base_de_datos[Profesor],base_de_datos[Academia],1))=Profesores[[#Headers],[ETF]],"x","")</f>
        <v/>
      </c>
      <c r="AA76" s="4" t="str">
        <f>IF((_xlfn.XLOOKUP(Profesores[[#This Row],[Nombre]],base_de_datos[Profesor],base_de_datos[Academia],1))=Profesores[[#Headers],[MAT]],"x","")</f>
        <v/>
      </c>
      <c r="AB76" s="4" t="str">
        <f>IF((_xlfn.XLOOKUP(Profesores[[#This Row],[Nombre]],base_de_datos[Profesor],base_de_datos[Academia],1))=Profesores[[#Headers],[EMP]],"x","")</f>
        <v/>
      </c>
      <c r="AC76" s="6" t="str">
        <f>IF((_xlfn.XLOOKUP(Profesores[[#This Row],[Nombre]],base_de_datos[Profesor],base_de_datos[Academia],1))=Profesores[[#Headers],[AIC]],"x","")</f>
        <v/>
      </c>
      <c r="AD76" s="4" t="str">
        <f>IF((_xlfn.XLOOKUP(Profesores[[#This Row],[Nombre]],base_de_datos[Profesor],base_de_datos[Academia],1))=Profesores[[#Headers],[ESC]],"x","")</f>
        <v/>
      </c>
      <c r="AE76" s="6" t="str">
        <f>IF((_xlfn.XLOOKUP(Profesores[[#This Row],[Nombre]],base_de_datos[Profesor],base_de_datos[Academia],1))=Profesores[[#Headers],[HUM]],"x","")</f>
        <v>x</v>
      </c>
      <c r="AF76" s="4" t="str">
        <f>IF((_xlfn.XLOOKUP(Profesores[[#This Row],[Nombre]],base_de_datos[Profesor],base_de_datos[Academia],1))=Profesores[[#Headers],[IID]],"x","")</f>
        <v/>
      </c>
      <c r="AG76" s="6" t="str">
        <f>IF((_xlfn.XLOOKUP(Profesores[[#This Row],[Nombre]],base_de_datos[Profesor],base_de_datos[Academia],1))=Profesores[[#Headers],[BIO]],"x","")</f>
        <v/>
      </c>
      <c r="AH76" s="6" t="s">
        <v>543</v>
      </c>
      <c r="AJ76" s="6">
        <f>TRUNC(IFERROR(Profesores[[#This Row],[Ex Inglés]]*677/100,0),0)</f>
        <v>0</v>
      </c>
      <c r="AQ76" s="190"/>
      <c r="AR76" s="190"/>
      <c r="AS76" s="10"/>
      <c r="AT76" s="10"/>
      <c r="AU76" s="10"/>
    </row>
    <row r="77" spans="1:47" ht="12" customHeight="1">
      <c r="B77" s="6">
        <v>36</v>
      </c>
      <c r="C77" s="4" t="s">
        <v>497</v>
      </c>
      <c r="D77" s="4" t="s">
        <v>494</v>
      </c>
      <c r="E77" s="56">
        <v>128988</v>
      </c>
      <c r="F77" s="133" t="s">
        <v>324</v>
      </c>
      <c r="G77" s="33" t="s">
        <v>914</v>
      </c>
      <c r="H77" s="33" t="s">
        <v>915</v>
      </c>
      <c r="I77" s="33" t="s">
        <v>916</v>
      </c>
      <c r="J77" s="58">
        <v>28973</v>
      </c>
      <c r="K77" s="34" t="s">
        <v>515</v>
      </c>
      <c r="L77" s="4" t="s">
        <v>504</v>
      </c>
      <c r="M77" s="53" t="s">
        <v>917</v>
      </c>
      <c r="N77" s="89" t="s">
        <v>918</v>
      </c>
      <c r="O77" s="128" t="s">
        <v>919</v>
      </c>
      <c r="P77" s="4">
        <v>101</v>
      </c>
      <c r="Q77" s="4" t="s">
        <v>920</v>
      </c>
      <c r="R77" s="4" t="s">
        <v>491</v>
      </c>
      <c r="S77" s="4" t="s">
        <v>491</v>
      </c>
      <c r="T77" s="6">
        <v>20296</v>
      </c>
      <c r="U77" s="4"/>
      <c r="V77" s="4" t="str">
        <f>IF((_xlfn.XLOOKUP(Profesores[[#This Row],[Nombre]],base_de_datos[Profesor],base_de_datos[Academia],1))=Profesores[[#Headers],[MEC]],"x","")</f>
        <v/>
      </c>
      <c r="W77" s="4" t="str">
        <f>IF((_xlfn.XLOOKUP(Profesores[[#This Row],[Nombre]],base_de_datos[Profesor],base_de_datos[Academia],1))=Profesores[[#Headers],[COM]],"x","")</f>
        <v/>
      </c>
      <c r="Y77" s="4" t="str">
        <f>IF((_xlfn.XLOOKUP(Profesores[[#This Row],[Nombre]],base_de_datos[Profesor],base_de_datos[Academia],1))=Profesores[[#Headers],[DOP]],"x","")</f>
        <v/>
      </c>
      <c r="Z77" s="4" t="str">
        <f>IF((_xlfn.XLOOKUP(Profesores[[#This Row],[Nombre]],base_de_datos[Profesor],base_de_datos[Academia],1))=Profesores[[#Headers],[ETF]],"x","")</f>
        <v/>
      </c>
      <c r="AA77" s="4" t="str">
        <f>IF((_xlfn.XLOOKUP(Profesores[[#This Row],[Nombre]],base_de_datos[Profesor],base_de_datos[Academia],1))=Profesores[[#Headers],[MAT]],"x","")</f>
        <v/>
      </c>
      <c r="AB77" s="4" t="str">
        <f>IF((_xlfn.XLOOKUP(Profesores[[#This Row],[Nombre]],base_de_datos[Profesor],base_de_datos[Academia],1))=Profesores[[#Headers],[EMP]],"x","")</f>
        <v>x</v>
      </c>
      <c r="AC77" s="6" t="str">
        <f>IF((_xlfn.XLOOKUP(Profesores[[#This Row],[Nombre]],base_de_datos[Profesor],base_de_datos[Academia],1))=Profesores[[#Headers],[AIC]],"x","")</f>
        <v/>
      </c>
      <c r="AD77" s="4" t="str">
        <f>IF((_xlfn.XLOOKUP(Profesores[[#This Row],[Nombre]],base_de_datos[Profesor],base_de_datos[Academia],1))=Profesores[[#Headers],[ESC]],"x","")</f>
        <v/>
      </c>
      <c r="AE77" s="6" t="str">
        <f>IF((_xlfn.XLOOKUP(Profesores[[#This Row],[Nombre]],base_de_datos[Profesor],base_de_datos[Academia],1))=Profesores[[#Headers],[HUM]],"x","")</f>
        <v/>
      </c>
      <c r="AF77" s="4" t="str">
        <f>IF((_xlfn.XLOOKUP(Profesores[[#This Row],[Nombre]],base_de_datos[Profesor],base_de_datos[Academia],1))=Profesores[[#Headers],[IID]],"x","")</f>
        <v/>
      </c>
      <c r="AG77" s="6" t="str">
        <f>IF((_xlfn.XLOOKUP(Profesores[[#This Row],[Nombre]],base_de_datos[Profesor],base_de_datos[Academia],1))=Profesores[[#Headers],[BIO]],"x","")</f>
        <v/>
      </c>
      <c r="AJ77" s="6">
        <f>TRUNC(IFERROR(Profesores[[#This Row],[Ex Inglés]]*677/100,0),0)</f>
        <v>0</v>
      </c>
      <c r="AQ77" s="190"/>
      <c r="AR77" s="196"/>
      <c r="AS77" s="10"/>
      <c r="AT77" s="10"/>
      <c r="AU77" s="10"/>
    </row>
    <row r="78" spans="1:47" ht="12" hidden="1" customHeight="1">
      <c r="B78" s="6">
        <v>75</v>
      </c>
      <c r="C78" s="4" t="s">
        <v>510</v>
      </c>
      <c r="D78" s="4" t="s">
        <v>498</v>
      </c>
      <c r="E78" s="56">
        <v>248124</v>
      </c>
      <c r="F78" s="133" t="s">
        <v>327</v>
      </c>
      <c r="G78" s="33" t="s">
        <v>921</v>
      </c>
      <c r="H78" s="33" t="s">
        <v>922</v>
      </c>
      <c r="I78" s="33" t="s">
        <v>923</v>
      </c>
      <c r="J78" s="183">
        <v>27830</v>
      </c>
      <c r="K78" s="184" t="s">
        <v>515</v>
      </c>
      <c r="L78" s="4" t="s">
        <v>504</v>
      </c>
      <c r="M78" s="185">
        <v>4491960069</v>
      </c>
      <c r="N78" s="89" t="s">
        <v>924</v>
      </c>
      <c r="O78" s="186" t="s">
        <v>925</v>
      </c>
      <c r="P78" s="187">
        <v>107</v>
      </c>
      <c r="Q78" s="187" t="s">
        <v>926</v>
      </c>
      <c r="R78" s="187" t="s">
        <v>927</v>
      </c>
      <c r="S78" s="187" t="s">
        <v>491</v>
      </c>
      <c r="T78" s="10">
        <v>20925</v>
      </c>
      <c r="U78" s="4"/>
      <c r="V78" s="4" t="str">
        <f>IF((_xlfn.XLOOKUP(Profesores[[#This Row],[Nombre]],base_de_datos[Profesor],base_de_datos[Academia],1))=Profesores[[#Headers],[MEC]],"x","")</f>
        <v>x</v>
      </c>
      <c r="W78" s="4" t="str">
        <f>IF((_xlfn.XLOOKUP(Profesores[[#This Row],[Nombre]],base_de_datos[Profesor],base_de_datos[Academia],1))=Profesores[[#Headers],[COM]],"x","")</f>
        <v/>
      </c>
      <c r="Y78" s="4" t="str">
        <f>IF((_xlfn.XLOOKUP(Profesores[[#This Row],[Nombre]],base_de_datos[Profesor],base_de_datos[Academia],1))=Profesores[[#Headers],[DOP]],"x","")</f>
        <v/>
      </c>
      <c r="Z78" s="4" t="s">
        <v>67</v>
      </c>
      <c r="AA78" s="4" t="str">
        <f>IF((_xlfn.XLOOKUP(Profesores[[#This Row],[Nombre]],base_de_datos[Profesor],base_de_datos[Academia],1))=Profesores[[#Headers],[MAT]],"x","")</f>
        <v/>
      </c>
      <c r="AB78" s="4" t="str">
        <f>IF((_xlfn.XLOOKUP(Profesores[[#This Row],[Nombre]],base_de_datos[Profesor],base_de_datos[Academia],1))=Profesores[[#Headers],[EMP]],"x","")</f>
        <v/>
      </c>
      <c r="AC78" s="6" t="str">
        <f>IF((_xlfn.XLOOKUP(Profesores[[#This Row],[Nombre]],base_de_datos[Profesor],base_de_datos[Academia],1))=Profesores[[#Headers],[AIC]],"x","")</f>
        <v/>
      </c>
      <c r="AD78" s="4" t="str">
        <f>IF((_xlfn.XLOOKUP(Profesores[[#This Row],[Nombre]],base_de_datos[Profesor],base_de_datos[Academia],1))=Profesores[[#Headers],[ESC]],"x","")</f>
        <v/>
      </c>
      <c r="AE78" s="6" t="str">
        <f>IF((_xlfn.XLOOKUP(Profesores[[#This Row],[Nombre]],base_de_datos[Profesor],base_de_datos[Academia],1))=Profesores[[#Headers],[HUM]],"x","")</f>
        <v/>
      </c>
      <c r="AF78" s="4" t="str">
        <f>IF((_xlfn.XLOOKUP(Profesores[[#This Row],[Nombre]],base_de_datos[Profesor],base_de_datos[Academia],1))=Profesores[[#Headers],[IID]],"x","")</f>
        <v/>
      </c>
      <c r="AG78" s="6" t="str">
        <f>IF((_xlfn.XLOOKUP(Profesores[[#This Row],[Nombre]],base_de_datos[Profesor],base_de_datos[Academia],1))=Profesores[[#Headers],[BIO]],"x","")</f>
        <v/>
      </c>
      <c r="AJ78" s="6">
        <f>TRUNC(IFERROR(Profesores[[#This Row],[Ex Inglés]]*677/100,0),0)</f>
        <v>0</v>
      </c>
      <c r="AQ78" s="10"/>
      <c r="AR78" s="190"/>
      <c r="AS78" s="10"/>
      <c r="AT78" s="10"/>
      <c r="AU78" s="10"/>
    </row>
    <row r="79" spans="1:47" ht="12" hidden="1" customHeight="1">
      <c r="B79" s="6">
        <v>159</v>
      </c>
      <c r="C79" s="4" t="s">
        <v>493</v>
      </c>
      <c r="D79" s="4" t="s">
        <v>494</v>
      </c>
      <c r="E79" s="56">
        <v>167131</v>
      </c>
      <c r="F79" s="133" t="s">
        <v>332</v>
      </c>
      <c r="G79" s="33" t="s">
        <v>928</v>
      </c>
      <c r="H79" s="33" t="s">
        <v>929</v>
      </c>
      <c r="I79" s="33" t="s">
        <v>487</v>
      </c>
      <c r="J79" s="58">
        <v>30939</v>
      </c>
      <c r="K79" s="34" t="s">
        <v>515</v>
      </c>
      <c r="L79" s="4" t="s">
        <v>504</v>
      </c>
      <c r="M79" s="53" t="s">
        <v>930</v>
      </c>
      <c r="N79" s="87" t="s">
        <v>931</v>
      </c>
      <c r="O79" s="8" t="s">
        <v>932</v>
      </c>
      <c r="P79" s="4">
        <v>916</v>
      </c>
      <c r="Q79" s="6" t="s">
        <v>933</v>
      </c>
      <c r="R79" s="6" t="s">
        <v>491</v>
      </c>
      <c r="S79" s="6" t="s">
        <v>491</v>
      </c>
      <c r="T79" s="6">
        <v>20219</v>
      </c>
      <c r="U79" s="4"/>
      <c r="V79" s="4" t="str">
        <f>IF((_xlfn.XLOOKUP(Profesores[[#This Row],[Nombre]],base_de_datos[Profesor],base_de_datos[Academia],1))=Profesores[[#Headers],[MEC]],"x","")</f>
        <v/>
      </c>
      <c r="W79" s="4" t="str">
        <f>IF((_xlfn.XLOOKUP(Profesores[[#This Row],[Nombre]],base_de_datos[Profesor],base_de_datos[Academia],1))=Profesores[[#Headers],[COM]],"x","")</f>
        <v/>
      </c>
      <c r="Y79" s="4" t="str">
        <f>IF((_xlfn.XLOOKUP(Profesores[[#This Row],[Nombre]],base_de_datos[Profesor],base_de_datos[Academia],1))=Profesores[[#Headers],[DOP]],"x","")</f>
        <v>x</v>
      </c>
      <c r="Z79" s="4" t="str">
        <f>IF((_xlfn.XLOOKUP(Profesores[[#This Row],[Nombre]],base_de_datos[Profesor],base_de_datos[Academia],1))=Profesores[[#Headers],[ETF]],"x","")</f>
        <v/>
      </c>
      <c r="AA79" s="4" t="str">
        <f>IF((_xlfn.XLOOKUP(Profesores[[#This Row],[Nombre]],base_de_datos[Profesor],base_de_datos[Academia],1))=Profesores[[#Headers],[MAT]],"x","")</f>
        <v/>
      </c>
      <c r="AB79" s="4" t="str">
        <f>IF((_xlfn.XLOOKUP(Profesores[[#This Row],[Nombre]],base_de_datos[Profesor],base_de_datos[Academia],1))=Profesores[[#Headers],[EMP]],"x","")</f>
        <v/>
      </c>
      <c r="AC79" s="6" t="str">
        <f>IF((_xlfn.XLOOKUP(Profesores[[#This Row],[Nombre]],base_de_datos[Profesor],base_de_datos[Academia],1))=Profesores[[#Headers],[AIC]],"x","")</f>
        <v/>
      </c>
      <c r="AD79" s="4" t="str">
        <f>IF((_xlfn.XLOOKUP(Profesores[[#This Row],[Nombre]],base_de_datos[Profesor],base_de_datos[Academia],1))=Profesores[[#Headers],[ESC]],"x","")</f>
        <v/>
      </c>
      <c r="AE79" s="6" t="str">
        <f>IF((_xlfn.XLOOKUP(Profesores[[#This Row],[Nombre]],base_de_datos[Profesor],base_de_datos[Academia],1))=Profesores[[#Headers],[HUM]],"x","")</f>
        <v/>
      </c>
      <c r="AF79" s="4" t="str">
        <f>IF((_xlfn.XLOOKUP(Profesores[[#This Row],[Nombre]],base_de_datos[Profesor],base_de_datos[Academia],1))=Profesores[[#Headers],[IID]],"x","")</f>
        <v/>
      </c>
      <c r="AG79" s="6" t="str">
        <f>IF((_xlfn.XLOOKUP(Profesores[[#This Row],[Nombre]],base_de_datos[Profesor],base_de_datos[Academia],1))=Profesores[[#Headers],[BIO]],"x","")</f>
        <v/>
      </c>
      <c r="AJ79" s="6">
        <f>TRUNC(IFERROR(Profesores[[#This Row],[Ex Inglés]]*677/100,0),0)</f>
        <v>0</v>
      </c>
      <c r="AQ79" s="190"/>
      <c r="AR79" s="196"/>
      <c r="AS79" s="10"/>
      <c r="AT79" s="10"/>
      <c r="AU79" s="10"/>
    </row>
    <row r="80" spans="1:47" ht="12" hidden="1" customHeight="1">
      <c r="B80" s="6">
        <v>17</v>
      </c>
      <c r="C80" s="2" t="s">
        <v>497</v>
      </c>
      <c r="D80" s="2" t="s">
        <v>485</v>
      </c>
      <c r="E80" s="66">
        <v>144744</v>
      </c>
      <c r="F80" s="134" t="s">
        <v>334</v>
      </c>
      <c r="G80" s="34" t="s">
        <v>934</v>
      </c>
      <c r="H80" s="34" t="s">
        <v>723</v>
      </c>
      <c r="I80" s="34" t="s">
        <v>935</v>
      </c>
      <c r="J80" s="57">
        <v>24462</v>
      </c>
      <c r="K80" s="34" t="s">
        <v>515</v>
      </c>
      <c r="L80" s="4" t="s">
        <v>504</v>
      </c>
      <c r="M80" s="53">
        <v>4491502518</v>
      </c>
      <c r="N80" s="89" t="s">
        <v>936</v>
      </c>
      <c r="O80" s="128" t="s">
        <v>937</v>
      </c>
      <c r="P80" s="4">
        <v>204</v>
      </c>
      <c r="Q80" s="4" t="s">
        <v>938</v>
      </c>
      <c r="R80" s="4" t="s">
        <v>491</v>
      </c>
      <c r="S80" s="4" t="s">
        <v>491</v>
      </c>
      <c r="T80" s="6">
        <v>20235</v>
      </c>
      <c r="U80" s="4"/>
      <c r="V80" s="4" t="str">
        <f>IF((_xlfn.XLOOKUP(Profesores[[#This Row],[Nombre]],base_de_datos[Profesor],base_de_datos[Academia],1))=Profesores[[#Headers],[MEC]],"x","")</f>
        <v>x</v>
      </c>
      <c r="W80" s="4" t="str">
        <f>IF((_xlfn.XLOOKUP(Profesores[[#This Row],[Nombre]],base_de_datos[Profesor],base_de_datos[Academia],1))=Profesores[[#Headers],[COM]],"x","")</f>
        <v/>
      </c>
      <c r="Y80" s="4" t="str">
        <f>IF((_xlfn.XLOOKUP(Profesores[[#This Row],[Nombre]],base_de_datos[Profesor],base_de_datos[Academia],1))=Profesores[[#Headers],[DOP]],"x","")</f>
        <v/>
      </c>
      <c r="Z80" s="4" t="s">
        <v>67</v>
      </c>
      <c r="AA80" s="4" t="str">
        <f>IF((_xlfn.XLOOKUP(Profesores[[#This Row],[Nombre]],base_de_datos[Profesor],base_de_datos[Academia],1))=Profesores[[#Headers],[MAT]],"x","")</f>
        <v/>
      </c>
      <c r="AB80" s="4" t="str">
        <f>IF((_xlfn.XLOOKUP(Profesores[[#This Row],[Nombre]],base_de_datos[Profesor],base_de_datos[Academia],1))=Profesores[[#Headers],[EMP]],"x","")</f>
        <v/>
      </c>
      <c r="AC80" s="6" t="str">
        <f>IF((_xlfn.XLOOKUP(Profesores[[#This Row],[Nombre]],base_de_datos[Profesor],base_de_datos[Academia],1))=Profesores[[#Headers],[AIC]],"x","")</f>
        <v/>
      </c>
      <c r="AD80" s="4" t="str">
        <f>IF((_xlfn.XLOOKUP(Profesores[[#This Row],[Nombre]],base_de_datos[Profesor],base_de_datos[Academia],1))=Profesores[[#Headers],[ESC]],"x","")</f>
        <v/>
      </c>
      <c r="AE80" s="6" t="str">
        <f>IF((_xlfn.XLOOKUP(Profesores[[#This Row],[Nombre]],base_de_datos[Profesor],base_de_datos[Academia],1))=Profesores[[#Headers],[HUM]],"x","")</f>
        <v/>
      </c>
      <c r="AF80" s="4" t="str">
        <f>IF((_xlfn.XLOOKUP(Profesores[[#This Row],[Nombre]],base_de_datos[Profesor],base_de_datos[Academia],1))=Profesores[[#Headers],[IID]],"x","")</f>
        <v/>
      </c>
      <c r="AG80" s="6" t="str">
        <f>IF((_xlfn.XLOOKUP(Profesores[[#This Row],[Nombre]],base_de_datos[Profesor],base_de_datos[Academia],1))=Profesores[[#Headers],[BIO]],"x","")</f>
        <v/>
      </c>
      <c r="AJ80" s="6">
        <f>TRUNC(IFERROR(Profesores[[#This Row],[Ex Inglés]]*677/100,0),0)</f>
        <v>0</v>
      </c>
      <c r="AQ80" s="190"/>
      <c r="AR80" s="190"/>
      <c r="AS80" s="10"/>
      <c r="AT80" s="10"/>
      <c r="AU80" s="10"/>
    </row>
    <row r="81" spans="1:36" s="135" customFormat="1" ht="12" hidden="1" customHeight="1">
      <c r="A81" s="227"/>
      <c r="B81" s="6">
        <v>82</v>
      </c>
      <c r="C81" s="4" t="s">
        <v>510</v>
      </c>
      <c r="D81" s="4" t="s">
        <v>498</v>
      </c>
      <c r="E81" s="56">
        <v>193782</v>
      </c>
      <c r="F81" s="133" t="s">
        <v>285</v>
      </c>
      <c r="G81" s="33" t="s">
        <v>939</v>
      </c>
      <c r="H81" s="33" t="s">
        <v>940</v>
      </c>
      <c r="I81" s="33" t="s">
        <v>935</v>
      </c>
      <c r="J81" s="58">
        <v>31884</v>
      </c>
      <c r="K81" s="33" t="s">
        <v>515</v>
      </c>
      <c r="L81" s="4" t="s">
        <v>504</v>
      </c>
      <c r="M81" s="53">
        <v>4492129414</v>
      </c>
      <c r="N81" s="89" t="s">
        <v>941</v>
      </c>
      <c r="O81" s="128" t="s">
        <v>942</v>
      </c>
      <c r="P81" s="4" t="s">
        <v>943</v>
      </c>
      <c r="Q81" s="4" t="s">
        <v>604</v>
      </c>
      <c r="R81" s="4" t="s">
        <v>491</v>
      </c>
      <c r="S81" s="4" t="s">
        <v>491</v>
      </c>
      <c r="T81" s="6">
        <v>20200</v>
      </c>
      <c r="U81" s="4">
        <v>0</v>
      </c>
      <c r="V81" s="4" t="str">
        <f>IF((_xlfn.XLOOKUP(Profesores[[#This Row],[Nombre]],base_de_datos[Profesor],base_de_datos[Academia],1))=Profesores[[#Headers],[MEC]],"x","")</f>
        <v/>
      </c>
      <c r="W81" s="4" t="str">
        <f>IF((_xlfn.XLOOKUP(Profesores[[#This Row],[Nombre]],base_de_datos[Profesor],base_de_datos[Academia],1))=Profesores[[#Headers],[COM]],"x","")</f>
        <v/>
      </c>
      <c r="X81" s="4"/>
      <c r="Y81" s="4" t="str">
        <f>IF((_xlfn.XLOOKUP(Profesores[[#This Row],[Nombre]],base_de_datos[Profesor],base_de_datos[Academia],1))=Profesores[[#Headers],[DOP]],"x","")</f>
        <v/>
      </c>
      <c r="Z81" s="4" t="str">
        <f>IF((_xlfn.XLOOKUP(Profesores[[#This Row],[Nombre]],base_de_datos[Profesor],base_de_datos[Academia],1))=Profesores[[#Headers],[ETF]],"x","")</f>
        <v/>
      </c>
      <c r="AA81" s="4" t="str">
        <f>IF((_xlfn.XLOOKUP(Profesores[[#This Row],[Nombre]],base_de_datos[Profesor],base_de_datos[Academia],1))=Profesores[[#Headers],[MAT]],"x","")</f>
        <v>x</v>
      </c>
      <c r="AB81" s="4" t="str">
        <f>IF((_xlfn.XLOOKUP(Profesores[[#This Row],[Nombre]],base_de_datos[Profesor],base_de_datos[Academia],1))=Profesores[[#Headers],[EMP]],"x","")</f>
        <v/>
      </c>
      <c r="AC81" s="6" t="str">
        <f>IF((_xlfn.XLOOKUP(Profesores[[#This Row],[Nombre]],base_de_datos[Profesor],base_de_datos[Academia],1))=Profesores[[#Headers],[AIC]],"x","")</f>
        <v/>
      </c>
      <c r="AD81" s="4" t="str">
        <f>IF((_xlfn.XLOOKUP(Profesores[[#This Row],[Nombre]],base_de_datos[Profesor],base_de_datos[Academia],1))=Profesores[[#Headers],[ESC]],"x","")</f>
        <v/>
      </c>
      <c r="AE81" s="6" t="str">
        <f>IF((_xlfn.XLOOKUP(Profesores[[#This Row],[Nombre]],base_de_datos[Profesor],base_de_datos[Academia],1))=Profesores[[#Headers],[HUM]],"x","")</f>
        <v/>
      </c>
      <c r="AF81" s="4" t="str">
        <f>IF((_xlfn.XLOOKUP(Profesores[[#This Row],[Nombre]],base_de_datos[Profesor],base_de_datos[Academia],1))=Profesores[[#Headers],[IID]],"x","")</f>
        <v/>
      </c>
      <c r="AG81" s="6" t="str">
        <f>IF((_xlfn.XLOOKUP(Profesores[[#This Row],[Nombre]],base_de_datos[Profesor],base_de_datos[Academia],1))=Profesores[[#Headers],[BIO]],"x","")</f>
        <v/>
      </c>
      <c r="AH81" s="6"/>
      <c r="AI81" s="6"/>
      <c r="AJ81" s="6">
        <f>TRUNC(IFERROR(Profesores[[#This Row],[Ex Inglés]]*677/100,0),0)</f>
        <v>0</v>
      </c>
    </row>
    <row r="82" spans="1:36" ht="12" hidden="1" customHeight="1">
      <c r="B82" s="6">
        <v>104</v>
      </c>
      <c r="C82" s="2" t="s">
        <v>493</v>
      </c>
      <c r="D82" s="2" t="s">
        <v>498</v>
      </c>
      <c r="E82" s="66">
        <v>163800</v>
      </c>
      <c r="F82" s="134" t="s">
        <v>345</v>
      </c>
      <c r="G82" s="34" t="s">
        <v>944</v>
      </c>
      <c r="H82" s="34" t="s">
        <v>810</v>
      </c>
      <c r="I82" s="34" t="s">
        <v>522</v>
      </c>
      <c r="J82" s="58">
        <v>34436</v>
      </c>
      <c r="K82" s="33" t="s">
        <v>515</v>
      </c>
      <c r="L82" s="4" t="s">
        <v>504</v>
      </c>
      <c r="M82" s="53">
        <v>4491573490</v>
      </c>
      <c r="N82" s="89" t="s">
        <v>945</v>
      </c>
      <c r="O82" s="128" t="s">
        <v>534</v>
      </c>
      <c r="P82" s="4" t="s">
        <v>946</v>
      </c>
      <c r="Q82" s="4" t="s">
        <v>535</v>
      </c>
      <c r="R82" s="4" t="s">
        <v>491</v>
      </c>
      <c r="S82" s="4" t="s">
        <v>491</v>
      </c>
      <c r="T82" s="6">
        <v>20030</v>
      </c>
      <c r="U82" s="4"/>
      <c r="V82" s="4" t="s">
        <v>67</v>
      </c>
      <c r="W82" s="4" t="str">
        <f>IF((_xlfn.XLOOKUP(Profesores[[#This Row],[Nombre]],base_de_datos[Profesor],base_de_datos[Academia],1))=Profesores[[#Headers],[COM]],"x","")</f>
        <v/>
      </c>
      <c r="X82" s="4" t="s">
        <v>67</v>
      </c>
      <c r="Y82" s="4" t="str">
        <f>IF((_xlfn.XLOOKUP(Profesores[[#This Row],[Nombre]],base_de_datos[Profesor],base_de_datos[Academia],1))=Profesores[[#Headers],[DOP]],"x","")</f>
        <v/>
      </c>
      <c r="Z82" s="4" t="str">
        <f>IF((_xlfn.XLOOKUP(Profesores[[#This Row],[Nombre]],base_de_datos[Profesor],base_de_datos[Academia],1))=Profesores[[#Headers],[ETF]],"x","")</f>
        <v/>
      </c>
      <c r="AA82" s="4" t="str">
        <f>IF((_xlfn.XLOOKUP(Profesores[[#This Row],[Nombre]],base_de_datos[Profesor],base_de_datos[Academia],1))=Profesores[[#Headers],[MAT]],"x","")</f>
        <v/>
      </c>
      <c r="AB82" s="4" t="str">
        <f>IF((_xlfn.XLOOKUP(Profesores[[#This Row],[Nombre]],base_de_datos[Profesor],base_de_datos[Academia],1))=Profesores[[#Headers],[EMP]],"x","")</f>
        <v/>
      </c>
      <c r="AC82" s="6" t="str">
        <f>IF((_xlfn.XLOOKUP(Profesores[[#This Row],[Nombre]],base_de_datos[Profesor],base_de_datos[Academia],1))=Profesores[[#Headers],[AIC]],"x","")</f>
        <v/>
      </c>
      <c r="AD82" s="4" t="str">
        <f>IF((_xlfn.XLOOKUP(Profesores[[#This Row],[Nombre]],base_de_datos[Profesor],base_de_datos[Academia],1))=Profesores[[#Headers],[ESC]],"x","")</f>
        <v/>
      </c>
      <c r="AE82" s="6" t="str">
        <f>IF((_xlfn.XLOOKUP(Profesores[[#This Row],[Nombre]],base_de_datos[Profesor],base_de_datos[Academia],1))=Profesores[[#Headers],[HUM]],"x","")</f>
        <v/>
      </c>
      <c r="AF82" s="4" t="str">
        <f>IF((_xlfn.XLOOKUP(Profesores[[#This Row],[Nombre]],base_de_datos[Profesor],base_de_datos[Academia],1))=Profesores[[#Headers],[IID]],"x","")</f>
        <v/>
      </c>
      <c r="AG82" s="6" t="str">
        <f>IF((_xlfn.XLOOKUP(Profesores[[#This Row],[Nombre]],base_de_datos[Profesor],base_de_datos[Academia],1))=Profesores[[#Headers],[BIO]],"x","")</f>
        <v/>
      </c>
      <c r="AJ82" s="6">
        <f>TRUNC(IFERROR(Profesores[[#This Row],[Ex Inglés]]*677/100,0),0)</f>
        <v>0</v>
      </c>
    </row>
    <row r="83" spans="1:36" ht="12" hidden="1" customHeight="1">
      <c r="B83" s="6">
        <v>123</v>
      </c>
      <c r="C83" s="4" t="s">
        <v>510</v>
      </c>
      <c r="D83" s="4" t="s">
        <v>511</v>
      </c>
      <c r="E83" s="56">
        <v>55807</v>
      </c>
      <c r="F83" s="202" t="s">
        <v>349</v>
      </c>
      <c r="G83" s="33" t="s">
        <v>947</v>
      </c>
      <c r="H83" s="33" t="s">
        <v>948</v>
      </c>
      <c r="I83" s="33" t="s">
        <v>949</v>
      </c>
      <c r="J83" s="58">
        <v>27801</v>
      </c>
      <c r="K83" s="33" t="s">
        <v>515</v>
      </c>
      <c r="L83" s="4" t="s">
        <v>65</v>
      </c>
      <c r="M83" s="53">
        <v>4424212655</v>
      </c>
      <c r="N83" s="89" t="s">
        <v>950</v>
      </c>
      <c r="O83" s="128" t="s">
        <v>951</v>
      </c>
      <c r="P83" s="4">
        <v>68</v>
      </c>
      <c r="Q83" s="4" t="s">
        <v>952</v>
      </c>
      <c r="R83" s="4" t="s">
        <v>953</v>
      </c>
      <c r="S83" s="4" t="s">
        <v>953</v>
      </c>
      <c r="T83" s="6">
        <v>76160</v>
      </c>
      <c r="U83" s="4">
        <v>1</v>
      </c>
      <c r="V83" s="4" t="str">
        <f>IF((_xlfn.XLOOKUP(Profesores[[#This Row],[Nombre]],base_de_datos[Profesor],base_de_datos[Academia],1))=Profesores[[#Headers],[MEC]],"x","")</f>
        <v/>
      </c>
      <c r="W83" s="4" t="str">
        <f>IF((_xlfn.XLOOKUP(Profesores[[#This Row],[Nombre]],base_de_datos[Profesor],base_de_datos[Academia],1))=Profesores[[#Headers],[COM]],"x","")</f>
        <v/>
      </c>
      <c r="Y83" s="4" t="str">
        <f>IF((_xlfn.XLOOKUP(Profesores[[#This Row],[Nombre]],base_de_datos[Profesor],base_de_datos[Academia],1))=Profesores[[#Headers],[DOP]],"x","")</f>
        <v/>
      </c>
      <c r="Z83" s="4" t="str">
        <f>IF((_xlfn.XLOOKUP(Profesores[[#This Row],[Nombre]],base_de_datos[Profesor],base_de_datos[Academia],1))=Profesores[[#Headers],[ETF]],"x","")</f>
        <v/>
      </c>
      <c r="AA83" s="4" t="str">
        <f>IF((_xlfn.XLOOKUP(Profesores[[#This Row],[Nombre]],base_de_datos[Profesor],base_de_datos[Academia],1))=Profesores[[#Headers],[MAT]],"x","")</f>
        <v/>
      </c>
      <c r="AB83" s="4" t="str">
        <f>IF((_xlfn.XLOOKUP(Profesores[[#This Row],[Nombre]],base_de_datos[Profesor],base_de_datos[Academia],1))=Profesores[[#Headers],[EMP]],"x","")</f>
        <v/>
      </c>
      <c r="AC83" s="6" t="str">
        <f>IF((_xlfn.XLOOKUP(Profesores[[#This Row],[Nombre]],base_de_datos[Profesor],base_de_datos[Academia],1))=Profesores[[#Headers],[AIC]],"x","")</f>
        <v/>
      </c>
      <c r="AD83" s="4" t="str">
        <f>IF((_xlfn.XLOOKUP(Profesores[[#This Row],[Nombre]],base_de_datos[Profesor],base_de_datos[Academia],1))=Profesores[[#Headers],[ESC]],"x","")</f>
        <v/>
      </c>
      <c r="AE83" s="6" t="str">
        <f>IF((_xlfn.XLOOKUP(Profesores[[#This Row],[Nombre]],base_de_datos[Profesor],base_de_datos[Academia],1))=Profesores[[#Headers],[HUM]],"x","")</f>
        <v>x</v>
      </c>
      <c r="AF83" s="4" t="str">
        <f>IF((_xlfn.XLOOKUP(Profesores[[#This Row],[Nombre]],base_de_datos[Profesor],base_de_datos[Academia],1))=Profesores[[#Headers],[IID]],"x","")</f>
        <v/>
      </c>
      <c r="AG83" s="6" t="str">
        <f>IF((_xlfn.XLOOKUP(Profesores[[#This Row],[Nombre]],base_de_datos[Profesor],base_de_datos[Academia],1))=Profesores[[#Headers],[BIO]],"x","")</f>
        <v/>
      </c>
      <c r="AH83" s="6" t="s">
        <v>543</v>
      </c>
      <c r="AI83" s="6" t="s">
        <v>597</v>
      </c>
      <c r="AJ83" s="6">
        <f>TRUNC(IFERROR(Profesores[[#This Row],[Ex Inglés]]*677/100,0),0)</f>
        <v>0</v>
      </c>
    </row>
    <row r="84" spans="1:36" ht="12" hidden="1" customHeight="1">
      <c r="C84" s="2"/>
      <c r="D84" s="2" t="s">
        <v>498</v>
      </c>
      <c r="E84" s="66">
        <v>99769</v>
      </c>
      <c r="F84" s="134" t="s">
        <v>350</v>
      </c>
      <c r="G84" s="34" t="s">
        <v>954</v>
      </c>
      <c r="H84" s="34" t="s">
        <v>955</v>
      </c>
      <c r="I84" s="34" t="s">
        <v>956</v>
      </c>
      <c r="J84" s="58">
        <v>25323</v>
      </c>
      <c r="M84" s="53">
        <v>4499110213</v>
      </c>
      <c r="N84" s="138" t="s">
        <v>957</v>
      </c>
      <c r="O84" s="128" t="s">
        <v>958</v>
      </c>
      <c r="P84" s="4" t="s">
        <v>959</v>
      </c>
      <c r="Q84" s="4" t="s">
        <v>960</v>
      </c>
      <c r="R84" s="4" t="s">
        <v>491</v>
      </c>
      <c r="S84" s="4" t="s">
        <v>491</v>
      </c>
      <c r="T84" s="6">
        <v>20908</v>
      </c>
      <c r="U84" s="4">
        <v>1</v>
      </c>
      <c r="V84" s="4" t="str">
        <f>IF((_xlfn.XLOOKUP(Profesores[[#This Row],[Nombre]],base_de_datos[Profesor],base_de_datos[Academia],1))=Profesores[[#Headers],[MEC]],"x","")</f>
        <v/>
      </c>
      <c r="W84" s="4" t="str">
        <f>IF((_xlfn.XLOOKUP(Profesores[[#This Row],[Nombre]],base_de_datos[Profesor],base_de_datos[Academia],1))=Profesores[[#Headers],[COM]],"x","")</f>
        <v/>
      </c>
      <c r="Y84" s="4" t="str">
        <f>IF((_xlfn.XLOOKUP(Profesores[[#This Row],[Nombre]],base_de_datos[Profesor],base_de_datos[Academia],1))=Profesores[[#Headers],[DOP]],"x","")</f>
        <v/>
      </c>
      <c r="Z84" s="4" t="str">
        <f>IF((_xlfn.XLOOKUP(Profesores[[#This Row],[Nombre]],base_de_datos[Profesor],base_de_datos[Academia],1))=Profesores[[#Headers],[ETF]],"x","")</f>
        <v/>
      </c>
      <c r="AA84" s="4" t="str">
        <f>IF((_xlfn.XLOOKUP(Profesores[[#This Row],[Nombre]],base_de_datos[Profesor],base_de_datos[Academia],1))=Profesores[[#Headers],[MAT]],"x","")</f>
        <v/>
      </c>
      <c r="AB84" s="4" t="str">
        <f>IF((_xlfn.XLOOKUP(Profesores[[#This Row],[Nombre]],base_de_datos[Profesor],base_de_datos[Academia],1))=Profesores[[#Headers],[EMP]],"x","")</f>
        <v/>
      </c>
      <c r="AC84" s="6" t="str">
        <f>IF((_xlfn.XLOOKUP(Profesores[[#This Row],[Nombre]],base_de_datos[Profesor],base_de_datos[Academia],1))=Profesores[[#Headers],[AIC]],"x","")</f>
        <v>x</v>
      </c>
      <c r="AD84" s="4" t="str">
        <f>IF((_xlfn.XLOOKUP(Profesores[[#This Row],[Nombre]],base_de_datos[Profesor],base_de_datos[Academia],1))=Profesores[[#Headers],[ESC]],"x","")</f>
        <v/>
      </c>
      <c r="AE84" s="6" t="str">
        <f>IF((_xlfn.XLOOKUP(Profesores[[#This Row],[Nombre]],base_de_datos[Profesor],base_de_datos[Academia],1))=Profesores[[#Headers],[HUM]],"x","")</f>
        <v/>
      </c>
      <c r="AF84" s="4" t="str">
        <f>IF((_xlfn.XLOOKUP(Profesores[[#This Row],[Nombre]],base_de_datos[Profesor],base_de_datos[Academia],1))=Profesores[[#Headers],[IID]],"x","")</f>
        <v/>
      </c>
      <c r="AG84" s="6" t="str">
        <f>IF((_xlfn.XLOOKUP(Profesores[[#This Row],[Nombre]],base_de_datos[Profesor],base_de_datos[Academia],1))=Profesores[[#Headers],[BIO]],"x","")</f>
        <v/>
      </c>
      <c r="AH84" s="6" t="s">
        <v>543</v>
      </c>
      <c r="AJ84" s="6">
        <f>TRUNC(IFERROR(Profesores[[#This Row],[Ex Inglés]]*677/100,0),0)</f>
        <v>0</v>
      </c>
    </row>
    <row r="85" spans="1:36" ht="12" hidden="1" customHeight="1">
      <c r="B85" s="6">
        <v>44</v>
      </c>
      <c r="C85" s="4" t="s">
        <v>497</v>
      </c>
      <c r="D85" s="4" t="s">
        <v>498</v>
      </c>
      <c r="E85" s="56">
        <v>176192</v>
      </c>
      <c r="F85" s="133" t="s">
        <v>352</v>
      </c>
      <c r="G85" s="33" t="s">
        <v>961</v>
      </c>
      <c r="H85" s="33" t="s">
        <v>962</v>
      </c>
      <c r="I85" s="33" t="s">
        <v>963</v>
      </c>
      <c r="J85" s="58">
        <v>31730</v>
      </c>
      <c r="K85" s="33" t="s">
        <v>515</v>
      </c>
      <c r="L85" s="4" t="s">
        <v>504</v>
      </c>
      <c r="M85" s="53">
        <v>4491824495</v>
      </c>
      <c r="N85" s="89" t="s">
        <v>964</v>
      </c>
      <c r="O85" s="128" t="s">
        <v>965</v>
      </c>
      <c r="P85" s="4">
        <v>222</v>
      </c>
      <c r="Q85" s="4" t="s">
        <v>966</v>
      </c>
      <c r="R85" s="4" t="s">
        <v>185</v>
      </c>
      <c r="S85" s="4" t="s">
        <v>491</v>
      </c>
      <c r="T85" s="6">
        <v>20908</v>
      </c>
      <c r="U85" s="4">
        <v>2</v>
      </c>
      <c r="V85" s="4" t="str">
        <f>IF((_xlfn.XLOOKUP(Profesores[[#This Row],[Nombre]],base_de_datos[Profesor],base_de_datos[Academia],1))=Profesores[[#Headers],[MEC]],"x","")</f>
        <v/>
      </c>
      <c r="W85" s="4" t="str">
        <f>IF((_xlfn.XLOOKUP(Profesores[[#This Row],[Nombre]],base_de_datos[Profesor],base_de_datos[Academia],1))=Profesores[[#Headers],[COM]],"x","")</f>
        <v>x</v>
      </c>
      <c r="Y85" s="4" t="str">
        <f>IF((_xlfn.XLOOKUP(Profesores[[#This Row],[Nombre]],base_de_datos[Profesor],base_de_datos[Academia],1))=Profesores[[#Headers],[DOP]],"x","")</f>
        <v/>
      </c>
      <c r="Z85" s="4" t="str">
        <f>IF((_xlfn.XLOOKUP(Profesores[[#This Row],[Nombre]],base_de_datos[Profesor],base_de_datos[Academia],1))=Profesores[[#Headers],[ETF]],"x","")</f>
        <v/>
      </c>
      <c r="AA85" s="4" t="str">
        <f>IF((_xlfn.XLOOKUP(Profesores[[#This Row],[Nombre]],base_de_datos[Profesor],base_de_datos[Academia],1))=Profesores[[#Headers],[MAT]],"x","")</f>
        <v/>
      </c>
      <c r="AB85" s="4" t="str">
        <f>IF((_xlfn.XLOOKUP(Profesores[[#This Row],[Nombre]],base_de_datos[Profesor],base_de_datos[Academia],1))=Profesores[[#Headers],[EMP]],"x","")</f>
        <v/>
      </c>
      <c r="AC85" s="6" t="str">
        <f>IF((_xlfn.XLOOKUP(Profesores[[#This Row],[Nombre]],base_de_datos[Profesor],base_de_datos[Academia],1))=Profesores[[#Headers],[AIC]],"x","")</f>
        <v/>
      </c>
      <c r="AD85" s="4" t="str">
        <f>IF((_xlfn.XLOOKUP(Profesores[[#This Row],[Nombre]],base_de_datos[Profesor],base_de_datos[Academia],1))=Profesores[[#Headers],[ESC]],"x","")</f>
        <v/>
      </c>
      <c r="AE85" s="6" t="str">
        <f>IF((_xlfn.XLOOKUP(Profesores[[#This Row],[Nombre]],base_de_datos[Profesor],base_de_datos[Academia],1))=Profesores[[#Headers],[HUM]],"x","")</f>
        <v/>
      </c>
      <c r="AF85" s="4" t="str">
        <f>IF((_xlfn.XLOOKUP(Profesores[[#This Row],[Nombre]],base_de_datos[Profesor],base_de_datos[Academia],1))=Profesores[[#Headers],[IID]],"x","")</f>
        <v/>
      </c>
      <c r="AG85" s="6" t="str">
        <f>IF((_xlfn.XLOOKUP(Profesores[[#This Row],[Nombre]],base_de_datos[Profesor],base_de_datos[Academia],1))=Profesores[[#Headers],[BIO]],"x","")</f>
        <v/>
      </c>
      <c r="AH85" s="6" t="s">
        <v>543</v>
      </c>
      <c r="AI85" s="6" t="s">
        <v>597</v>
      </c>
      <c r="AJ85" s="6">
        <f>TRUNC(IFERROR(Profesores[[#This Row],[Ex Inglés]]*677/100,0),0)</f>
        <v>0</v>
      </c>
    </row>
    <row r="86" spans="1:36" ht="12" hidden="1" customHeight="1">
      <c r="C86" s="4" t="s">
        <v>510</v>
      </c>
      <c r="D86" s="4" t="s">
        <v>511</v>
      </c>
      <c r="E86" s="56"/>
      <c r="F86" s="202" t="s">
        <v>354</v>
      </c>
      <c r="G86" s="33" t="s">
        <v>967</v>
      </c>
      <c r="H86" s="33" t="s">
        <v>891</v>
      </c>
      <c r="I86" s="33" t="s">
        <v>968</v>
      </c>
      <c r="J86" s="4"/>
      <c r="M86" s="53"/>
      <c r="N86" s="53"/>
      <c r="O86" s="128"/>
      <c r="T86" s="6"/>
      <c r="U86" s="4">
        <v>2</v>
      </c>
      <c r="V86" s="4"/>
      <c r="W86" s="4" t="str">
        <f>IF((_xlfn.XLOOKUP(Profesores[[#This Row],[Nombre]],base_de_datos[Profesor],base_de_datos[Academia],1))=Profesores[[#Headers],[COM]],"x","")</f>
        <v/>
      </c>
      <c r="Y86" s="4" t="str">
        <f>IF((_xlfn.XLOOKUP(Profesores[[#This Row],[Nombre]],base_de_datos[Profesor],base_de_datos[Academia],1))=Profesores[[#Headers],[DOP]],"x","")</f>
        <v/>
      </c>
      <c r="Z86" s="4" t="str">
        <f>IF((_xlfn.XLOOKUP(Profesores[[#This Row],[Nombre]],base_de_datos[Profesor],base_de_datos[Academia],1))=Profesores[[#Headers],[ETF]],"x","")</f>
        <v/>
      </c>
      <c r="AA86" s="4" t="str">
        <f>IF((_xlfn.XLOOKUP(Profesores[[#This Row],[Nombre]],base_de_datos[Profesor],base_de_datos[Academia],1))=Profesores[[#Headers],[MAT]],"x","")</f>
        <v/>
      </c>
      <c r="AB86" s="4" t="str">
        <f>IF((_xlfn.XLOOKUP(Profesores[[#This Row],[Nombre]],base_de_datos[Profesor],base_de_datos[Academia],1))=Profesores[[#Headers],[EMP]],"x","")</f>
        <v/>
      </c>
      <c r="AC86" s="6" t="str">
        <f>IF((_xlfn.XLOOKUP(Profesores[[#This Row],[Nombre]],base_de_datos[Profesor],base_de_datos[Academia],1))=Profesores[[#Headers],[AIC]],"x","")</f>
        <v/>
      </c>
      <c r="AD86" s="4" t="str">
        <f>IF((_xlfn.XLOOKUP(Profesores[[#This Row],[Nombre]],base_de_datos[Profesor],base_de_datos[Academia],1))=Profesores[[#Headers],[ESC]],"x","")</f>
        <v/>
      </c>
      <c r="AE86" s="6" t="str">
        <f>IF((_xlfn.XLOOKUP(Profesores[[#This Row],[Nombre]],base_de_datos[Profesor],base_de_datos[Academia],1))=Profesores[[#Headers],[HUM]],"x","")</f>
        <v>x</v>
      </c>
      <c r="AF86" s="4" t="str">
        <f>IF((_xlfn.XLOOKUP(Profesores[[#This Row],[Nombre]],base_de_datos[Profesor],base_de_datos[Academia],1))=Profesores[[#Headers],[IID]],"x","")</f>
        <v/>
      </c>
      <c r="AG86" s="6" t="str">
        <f>IF((_xlfn.XLOOKUP(Profesores[[#This Row],[Nombre]],base_de_datos[Profesor],base_de_datos[Academia],1))=Profesores[[#Headers],[BIO]],"x","")</f>
        <v/>
      </c>
      <c r="AH86" s="6">
        <v>37.020000000000003</v>
      </c>
      <c r="AI86" s="6" t="s">
        <v>597</v>
      </c>
      <c r="AJ86" s="6">
        <f>TRUNC(IFERROR(Profesores[[#This Row],[Ex Inglés]]*677/100,0),0)</f>
        <v>250</v>
      </c>
    </row>
    <row r="87" spans="1:36" s="135" customFormat="1" ht="12" hidden="1" customHeight="1">
      <c r="A87" s="227"/>
      <c r="B87" s="6">
        <v>148</v>
      </c>
      <c r="C87" s="4" t="s">
        <v>499</v>
      </c>
      <c r="D87" s="4" t="s">
        <v>498</v>
      </c>
      <c r="E87" s="56">
        <v>215997</v>
      </c>
      <c r="F87" s="133" t="s">
        <v>357</v>
      </c>
      <c r="G87" s="33" t="s">
        <v>969</v>
      </c>
      <c r="H87" s="33" t="s">
        <v>705</v>
      </c>
      <c r="I87" s="33" t="s">
        <v>970</v>
      </c>
      <c r="J87" s="58">
        <v>29555</v>
      </c>
      <c r="K87" s="33" t="s">
        <v>515</v>
      </c>
      <c r="L87" s="33" t="s">
        <v>65</v>
      </c>
      <c r="M87" s="53">
        <v>4494659365</v>
      </c>
      <c r="N87" s="89" t="s">
        <v>971</v>
      </c>
      <c r="O87" s="8" t="s">
        <v>972</v>
      </c>
      <c r="P87" s="132" t="s">
        <v>973</v>
      </c>
      <c r="Q87" s="6" t="s">
        <v>974</v>
      </c>
      <c r="R87" s="6" t="s">
        <v>491</v>
      </c>
      <c r="S87" s="6" t="s">
        <v>491</v>
      </c>
      <c r="T87" s="6">
        <v>20196</v>
      </c>
      <c r="U87" s="4"/>
      <c r="V87" s="4" t="str">
        <f>IF((_xlfn.XLOOKUP(Profesores[[#This Row],[Nombre]],base_de_datos[Profesor],base_de_datos[Academia],1))=Profesores[[#Headers],[MEC]],"x","")</f>
        <v>x</v>
      </c>
      <c r="W87" s="4" t="str">
        <f>IF((_xlfn.XLOOKUP(Profesores[[#This Row],[Nombre]],base_de_datos[Profesor],base_de_datos[Academia],1))=Profesores[[#Headers],[COM]],"x","")</f>
        <v/>
      </c>
      <c r="X87" s="4"/>
      <c r="Y87" s="4" t="str">
        <f>IF((_xlfn.XLOOKUP(Profesores[[#This Row],[Nombre]],base_de_datos[Profesor],base_de_datos[Academia],1))=Profesores[[#Headers],[DOP]],"x","")</f>
        <v/>
      </c>
      <c r="Z87" s="4" t="str">
        <f>IF((_xlfn.XLOOKUP(Profesores[[#This Row],[Nombre]],base_de_datos[Profesor],base_de_datos[Academia],1))=Profesores[[#Headers],[ETF]],"x","")</f>
        <v/>
      </c>
      <c r="AA87" s="4" t="str">
        <f>IF((_xlfn.XLOOKUP(Profesores[[#This Row],[Nombre]],base_de_datos[Profesor],base_de_datos[Academia],1))=Profesores[[#Headers],[MAT]],"x","")</f>
        <v/>
      </c>
      <c r="AB87" s="4" t="str">
        <f>IF((_xlfn.XLOOKUP(Profesores[[#This Row],[Nombre]],base_de_datos[Profesor],base_de_datos[Academia],1))=Profesores[[#Headers],[EMP]],"x","")</f>
        <v/>
      </c>
      <c r="AC87" s="6" t="str">
        <f>IF((_xlfn.XLOOKUP(Profesores[[#This Row],[Nombre]],base_de_datos[Profesor],base_de_datos[Academia],1))=Profesores[[#Headers],[AIC]],"x","")</f>
        <v/>
      </c>
      <c r="AD87" s="4" t="str">
        <f>IF((_xlfn.XLOOKUP(Profesores[[#This Row],[Nombre]],base_de_datos[Profesor],base_de_datos[Academia],1))=Profesores[[#Headers],[ESC]],"x","")</f>
        <v/>
      </c>
      <c r="AE87" s="6" t="str">
        <f>IF((_xlfn.XLOOKUP(Profesores[[#This Row],[Nombre]],base_de_datos[Profesor],base_de_datos[Academia],1))=Profesores[[#Headers],[HUM]],"x","")</f>
        <v/>
      </c>
      <c r="AF87" s="4" t="str">
        <f>IF((_xlfn.XLOOKUP(Profesores[[#This Row],[Nombre]],base_de_datos[Profesor],base_de_datos[Academia],1))=Profesores[[#Headers],[IID]],"x","")</f>
        <v/>
      </c>
      <c r="AG87" s="6" t="str">
        <f>IF((_xlfn.XLOOKUP(Profesores[[#This Row],[Nombre]],base_de_datos[Profesor],base_de_datos[Academia],1))=Profesores[[#Headers],[BIO]],"x","")</f>
        <v/>
      </c>
      <c r="AH87" s="6"/>
      <c r="AI87" s="6"/>
      <c r="AJ87" s="6">
        <f>TRUNC(IFERROR(Profesores[[#This Row],[Ex Inglés]]*677/100,0),0)</f>
        <v>0</v>
      </c>
    </row>
    <row r="88" spans="1:36" ht="12" hidden="1" customHeight="1">
      <c r="A88" s="228"/>
      <c r="C88" s="4" t="s">
        <v>493</v>
      </c>
      <c r="D88" s="4" t="s">
        <v>494</v>
      </c>
      <c r="E88" s="56">
        <v>192597</v>
      </c>
      <c r="F88" s="133" t="s">
        <v>359</v>
      </c>
      <c r="G88" s="33" t="s">
        <v>975</v>
      </c>
      <c r="H88" s="33" t="s">
        <v>582</v>
      </c>
      <c r="I88" s="33" t="s">
        <v>772</v>
      </c>
      <c r="J88" s="58">
        <v>35675</v>
      </c>
      <c r="M88" s="53">
        <v>4492523675</v>
      </c>
      <c r="N88" s="138" t="s">
        <v>976</v>
      </c>
      <c r="O88" s="53" t="s">
        <v>977</v>
      </c>
      <c r="P88" s="4">
        <v>174</v>
      </c>
      <c r="Q88" s="6" t="s">
        <v>978</v>
      </c>
      <c r="R88" s="6" t="s">
        <v>491</v>
      </c>
      <c r="S88" s="6" t="s">
        <v>491</v>
      </c>
      <c r="T88" s="6">
        <v>26293</v>
      </c>
      <c r="U88" s="4">
        <v>2</v>
      </c>
      <c r="V88" s="4"/>
      <c r="W88" s="4" t="str">
        <f>IF((_xlfn.XLOOKUP(Profesores[[#This Row],[Nombre]],base_de_datos[Profesor],base_de_datos[Academia],1))=Profesores[[#Headers],[COM]],"x","")</f>
        <v>x</v>
      </c>
      <c r="Y88" s="4" t="str">
        <f>IF((_xlfn.XLOOKUP(Profesores[[#This Row],[Nombre]],base_de_datos[Profesor],base_de_datos[Academia],1))=Profesores[[#Headers],[DOP]],"x","")</f>
        <v/>
      </c>
      <c r="Z88" s="4" t="str">
        <f>IF((_xlfn.XLOOKUP(Profesores[[#This Row],[Nombre]],base_de_datos[Profesor],base_de_datos[Academia],1))=Profesores[[#Headers],[ETF]],"x","")</f>
        <v/>
      </c>
      <c r="AA88" s="4" t="str">
        <f>IF((_xlfn.XLOOKUP(Profesores[[#This Row],[Nombre]],base_de_datos[Profesor],base_de_datos[Academia],1))=Profesores[[#Headers],[MAT]],"x","")</f>
        <v/>
      </c>
      <c r="AB88" s="4" t="str">
        <f>IF((_xlfn.XLOOKUP(Profesores[[#This Row],[Nombre]],base_de_datos[Profesor],base_de_datos[Academia],1))=Profesores[[#Headers],[EMP]],"x","")</f>
        <v/>
      </c>
      <c r="AC88" s="6" t="str">
        <f>IF((_xlfn.XLOOKUP(Profesores[[#This Row],[Nombre]],base_de_datos[Profesor],base_de_datos[Academia],1))=Profesores[[#Headers],[AIC]],"x","")</f>
        <v/>
      </c>
      <c r="AD88" s="4" t="str">
        <f>IF((_xlfn.XLOOKUP(Profesores[[#This Row],[Nombre]],base_de_datos[Profesor],base_de_datos[Academia],1))=Profesores[[#Headers],[ESC]],"x","")</f>
        <v/>
      </c>
      <c r="AE88" s="6" t="str">
        <f>IF((_xlfn.XLOOKUP(Profesores[[#This Row],[Nombre]],base_de_datos[Profesor],base_de_datos[Academia],1))=Profesores[[#Headers],[HUM]],"x","")</f>
        <v/>
      </c>
      <c r="AF88" s="4" t="str">
        <f>IF((_xlfn.XLOOKUP(Profesores[[#This Row],[Nombre]],base_de_datos[Profesor],base_de_datos[Academia],1))=Profesores[[#Headers],[IID]],"x","")</f>
        <v/>
      </c>
      <c r="AG88" s="6" t="str">
        <f>IF((_xlfn.XLOOKUP(Profesores[[#This Row],[Nombre]],base_de_datos[Profesor],base_de_datos[Academia],1))=Profesores[[#Headers],[BIO]],"x","")</f>
        <v/>
      </c>
      <c r="AH88" s="6">
        <v>74.319999999999993</v>
      </c>
      <c r="AI88" s="6" t="s">
        <v>597</v>
      </c>
      <c r="AJ88" s="6">
        <f>TRUNC(IFERROR(Profesores[[#This Row],[Ex Inglés]]*677/100,0),0)</f>
        <v>503</v>
      </c>
    </row>
    <row r="89" spans="1:36" ht="12" hidden="1" customHeight="1">
      <c r="B89" s="6">
        <v>86</v>
      </c>
      <c r="C89" s="4" t="s">
        <v>484</v>
      </c>
      <c r="D89" s="4" t="s">
        <v>498</v>
      </c>
      <c r="E89" s="56">
        <v>240108</v>
      </c>
      <c r="F89" s="133" t="s">
        <v>339</v>
      </c>
      <c r="G89" s="33" t="s">
        <v>979</v>
      </c>
      <c r="H89" s="33" t="s">
        <v>531</v>
      </c>
      <c r="I89" s="33" t="s">
        <v>980</v>
      </c>
      <c r="J89" s="58">
        <v>33171</v>
      </c>
      <c r="K89" s="33" t="s">
        <v>515</v>
      </c>
      <c r="L89" s="4" t="s">
        <v>504</v>
      </c>
      <c r="M89" s="53">
        <v>4493868704</v>
      </c>
      <c r="N89" s="89" t="s">
        <v>981</v>
      </c>
      <c r="O89" s="128" t="s">
        <v>982</v>
      </c>
      <c r="P89" s="4">
        <v>109</v>
      </c>
      <c r="Q89" s="4" t="s">
        <v>983</v>
      </c>
      <c r="R89" s="4" t="s">
        <v>491</v>
      </c>
      <c r="S89" s="4" t="s">
        <v>491</v>
      </c>
      <c r="T89" s="6">
        <v>20256</v>
      </c>
      <c r="U89" s="4"/>
      <c r="V89" s="4" t="str">
        <f>IF((_xlfn.XLOOKUP(Profesores[[#This Row],[Nombre]],base_de_datos[Profesor],base_de_datos[Academia],1))=Profesores[[#Headers],[MEC]],"x","")</f>
        <v/>
      </c>
      <c r="W89" s="4" t="str">
        <f>IF((_xlfn.XLOOKUP(Profesores[[#This Row],[Nombre]],base_de_datos[Profesor],base_de_datos[Academia],1))=Profesores[[#Headers],[COM]],"x","")</f>
        <v/>
      </c>
      <c r="Y89" s="4" t="str">
        <f>IF((_xlfn.XLOOKUP(Profesores[[#This Row],[Nombre]],base_de_datos[Profesor],base_de_datos[Academia],1))=Profesores[[#Headers],[DOP]],"x","")</f>
        <v/>
      </c>
      <c r="Z89" s="4" t="str">
        <f>IF((_xlfn.XLOOKUP(Profesores[[#This Row],[Nombre]],base_de_datos[Profesor],base_de_datos[Academia],1))=Profesores[[#Headers],[ETF]],"x","")</f>
        <v/>
      </c>
      <c r="AA89" s="4" t="str">
        <f>IF((_xlfn.XLOOKUP(Profesores[[#This Row],[Nombre]],base_de_datos[Profesor],base_de_datos[Academia],1))=Profesores[[#Headers],[MAT]],"x","")</f>
        <v>x</v>
      </c>
      <c r="AB89" s="4" t="str">
        <f>IF((_xlfn.XLOOKUP(Profesores[[#This Row],[Nombre]],base_de_datos[Profesor],base_de_datos[Academia],1))=Profesores[[#Headers],[EMP]],"x","")</f>
        <v/>
      </c>
      <c r="AC89" s="6" t="str">
        <f>IF((_xlfn.XLOOKUP(Profesores[[#This Row],[Nombre]],base_de_datos[Profesor],base_de_datos[Academia],1))=Profesores[[#Headers],[AIC]],"x","")</f>
        <v/>
      </c>
      <c r="AD89" s="4" t="str">
        <f>IF((_xlfn.XLOOKUP(Profesores[[#This Row],[Nombre]],base_de_datos[Profesor],base_de_datos[Academia],1))=Profesores[[#Headers],[ESC]],"x","")</f>
        <v/>
      </c>
      <c r="AE89" s="6" t="str">
        <f>IF((_xlfn.XLOOKUP(Profesores[[#This Row],[Nombre]],base_de_datos[Profesor],base_de_datos[Academia],1))=Profesores[[#Headers],[HUM]],"x","")</f>
        <v/>
      </c>
      <c r="AF89" s="4" t="str">
        <f>IF((_xlfn.XLOOKUP(Profesores[[#This Row],[Nombre]],base_de_datos[Profesor],base_de_datos[Academia],1))=Profesores[[#Headers],[IID]],"x","")</f>
        <v/>
      </c>
      <c r="AG89" s="6" t="str">
        <f>IF((_xlfn.XLOOKUP(Profesores[[#This Row],[Nombre]],base_de_datos[Profesor],base_de_datos[Academia],1))=Profesores[[#Headers],[BIO]],"x","")</f>
        <v/>
      </c>
      <c r="AJ89" s="6">
        <f>TRUNC(IFERROR(Profesores[[#This Row],[Ex Inglés]]*677/100,0),0)</f>
        <v>0</v>
      </c>
    </row>
    <row r="90" spans="1:36" ht="12" hidden="1" customHeight="1">
      <c r="B90" s="6">
        <v>122</v>
      </c>
      <c r="C90" s="4" t="s">
        <v>510</v>
      </c>
      <c r="D90" s="4" t="s">
        <v>511</v>
      </c>
      <c r="E90" s="56">
        <v>53133</v>
      </c>
      <c r="F90" s="202" t="s">
        <v>368</v>
      </c>
      <c r="G90" s="33" t="s">
        <v>984</v>
      </c>
      <c r="H90" s="33" t="s">
        <v>985</v>
      </c>
      <c r="I90" s="33" t="s">
        <v>620</v>
      </c>
      <c r="J90" s="58">
        <v>27030</v>
      </c>
      <c r="K90" s="33" t="s">
        <v>515</v>
      </c>
      <c r="L90" s="4" t="s">
        <v>504</v>
      </c>
      <c r="M90" s="53">
        <v>4491159330</v>
      </c>
      <c r="N90" s="89" t="s">
        <v>986</v>
      </c>
      <c r="O90" s="128" t="s">
        <v>555</v>
      </c>
      <c r="P90" s="4">
        <v>301</v>
      </c>
      <c r="Q90" s="33" t="s">
        <v>987</v>
      </c>
      <c r="R90" s="4" t="s">
        <v>491</v>
      </c>
      <c r="S90" s="4" t="s">
        <v>491</v>
      </c>
      <c r="T90" s="6">
        <v>20270</v>
      </c>
      <c r="U90" s="4">
        <v>1</v>
      </c>
      <c r="V90" s="4"/>
      <c r="W90" s="4" t="str">
        <f>IF((_xlfn.XLOOKUP(Profesores[[#This Row],[Nombre]],base_de_datos[Profesor],base_de_datos[Academia],1))=Profesores[[#Headers],[COM]],"x","")</f>
        <v/>
      </c>
      <c r="Y90" s="4" t="str">
        <f>IF((_xlfn.XLOOKUP(Profesores[[#This Row],[Nombre]],base_de_datos[Profesor],base_de_datos[Academia],1))=Profesores[[#Headers],[DOP]],"x","")</f>
        <v/>
      </c>
      <c r="Z90" s="4" t="str">
        <f>IF((_xlfn.XLOOKUP(Profesores[[#This Row],[Nombre]],base_de_datos[Profesor],base_de_datos[Academia],1))=Profesores[[#Headers],[ETF]],"x","")</f>
        <v/>
      </c>
      <c r="AA90" s="4" t="str">
        <f>IF((_xlfn.XLOOKUP(Profesores[[#This Row],[Nombre]],base_de_datos[Profesor],base_de_datos[Academia],1))=Profesores[[#Headers],[MAT]],"x","")</f>
        <v/>
      </c>
      <c r="AB90" s="4" t="str">
        <f>IF((_xlfn.XLOOKUP(Profesores[[#This Row],[Nombre]],base_de_datos[Profesor],base_de_datos[Academia],1))=Profesores[[#Headers],[EMP]],"x","")</f>
        <v/>
      </c>
      <c r="AC90" s="6" t="str">
        <f>IF((_xlfn.XLOOKUP(Profesores[[#This Row],[Nombre]],base_de_datos[Profesor],base_de_datos[Academia],1))=Profesores[[#Headers],[AIC]],"x","")</f>
        <v/>
      </c>
      <c r="AD90" s="4" t="str">
        <f>IF((_xlfn.XLOOKUP(Profesores[[#This Row],[Nombre]],base_de_datos[Profesor],base_de_datos[Academia],1))=Profesores[[#Headers],[ESC]],"x","")</f>
        <v/>
      </c>
      <c r="AE90" s="6" t="str">
        <f>IF((_xlfn.XLOOKUP(Profesores[[#This Row],[Nombre]],base_de_datos[Profesor],base_de_datos[Academia],1))=Profesores[[#Headers],[HUM]],"x","")</f>
        <v>x</v>
      </c>
      <c r="AF90" s="4" t="str">
        <f>IF((_xlfn.XLOOKUP(Profesores[[#This Row],[Nombre]],base_de_datos[Profesor],base_de_datos[Academia],1))=Profesores[[#Headers],[IID]],"x","")</f>
        <v/>
      </c>
      <c r="AG90" s="6" t="str">
        <f>IF((_xlfn.XLOOKUP(Profesores[[#This Row],[Nombre]],base_de_datos[Profesor],base_de_datos[Academia],1))=Profesores[[#Headers],[BIO]],"x","")</f>
        <v/>
      </c>
      <c r="AH90" s="6" t="s">
        <v>543</v>
      </c>
      <c r="AJ90" s="6">
        <f>TRUNC(IFERROR(Profesores[[#This Row],[Ex Inglés]]*677/100,0),0)</f>
        <v>0</v>
      </c>
    </row>
    <row r="91" spans="1:36" ht="12" hidden="1" customHeight="1">
      <c r="B91" s="6">
        <v>18</v>
      </c>
      <c r="C91" s="2" t="s">
        <v>510</v>
      </c>
      <c r="D91" s="2" t="s">
        <v>485</v>
      </c>
      <c r="E91" s="66">
        <v>157630</v>
      </c>
      <c r="F91" s="134" t="s">
        <v>372</v>
      </c>
      <c r="G91" s="34" t="s">
        <v>984</v>
      </c>
      <c r="H91" s="34" t="s">
        <v>988</v>
      </c>
      <c r="I91" s="34" t="s">
        <v>723</v>
      </c>
      <c r="J91" s="57">
        <v>29071</v>
      </c>
      <c r="K91" s="34" t="s">
        <v>515</v>
      </c>
      <c r="L91" s="4" t="s">
        <v>504</v>
      </c>
      <c r="M91" s="53">
        <v>4498074464</v>
      </c>
      <c r="N91" s="189" t="s">
        <v>989</v>
      </c>
      <c r="O91" s="128" t="s">
        <v>990</v>
      </c>
      <c r="P91" s="4">
        <v>14</v>
      </c>
      <c r="Q91" s="4" t="s">
        <v>991</v>
      </c>
      <c r="R91" s="4" t="s">
        <v>491</v>
      </c>
      <c r="S91" s="4" t="s">
        <v>491</v>
      </c>
      <c r="T91" s="6">
        <v>20326</v>
      </c>
      <c r="U91" s="4">
        <v>3</v>
      </c>
      <c r="V91" s="4" t="str">
        <f>IF((_xlfn.XLOOKUP(Profesores[[#This Row],[Nombre]],base_de_datos[Profesor],base_de_datos[Academia],1))=Profesores[[#Headers],[MEC]],"x","")</f>
        <v/>
      </c>
      <c r="W91" s="4" t="str">
        <f>IF((_xlfn.XLOOKUP(Profesores[[#This Row],[Nombre]],base_de_datos[Profesor],base_de_datos[Academia],1))=Profesores[[#Headers],[COM]],"x","")</f>
        <v/>
      </c>
      <c r="X91" s="4" t="s">
        <v>67</v>
      </c>
      <c r="Y91" s="4" t="str">
        <f>IF((_xlfn.XLOOKUP(Profesores[[#This Row],[Nombre]],base_de_datos[Profesor],base_de_datos[Academia],1))=Profesores[[#Headers],[DOP]],"x","")</f>
        <v/>
      </c>
      <c r="Z91" s="4" t="str">
        <f>IF((_xlfn.XLOOKUP(Profesores[[#This Row],[Nombre]],base_de_datos[Profesor],base_de_datos[Academia],1))=Profesores[[#Headers],[ETF]],"x","")</f>
        <v/>
      </c>
      <c r="AA91" s="4" t="str">
        <f>IF((_xlfn.XLOOKUP(Profesores[[#This Row],[Nombre]],base_de_datos[Profesor],base_de_datos[Academia],1))=Profesores[[#Headers],[MAT]],"x","")</f>
        <v/>
      </c>
      <c r="AB91" s="4" t="str">
        <f>IF((_xlfn.XLOOKUP(Profesores[[#This Row],[Nombre]],base_de_datos[Profesor],base_de_datos[Academia],1))=Profesores[[#Headers],[EMP]],"x","")</f>
        <v/>
      </c>
      <c r="AC91" s="6" t="str">
        <f>IF((_xlfn.XLOOKUP(Profesores[[#This Row],[Nombre]],base_de_datos[Profesor],base_de_datos[Academia],1))=Profesores[[#Headers],[AIC]],"x","")</f>
        <v/>
      </c>
      <c r="AD91" s="4" t="str">
        <f>IF((_xlfn.XLOOKUP(Profesores[[#This Row],[Nombre]],base_de_datos[Profesor],base_de_datos[Academia],1))=Profesores[[#Headers],[ESC]],"x","")</f>
        <v/>
      </c>
      <c r="AE91" s="6" t="str">
        <f>IF((_xlfn.XLOOKUP(Profesores[[#This Row],[Nombre]],base_de_datos[Profesor],base_de_datos[Academia],1))=Profesores[[#Headers],[HUM]],"x","")</f>
        <v/>
      </c>
      <c r="AF91" s="4" t="str">
        <f>IF((_xlfn.XLOOKUP(Profesores[[#This Row],[Nombre]],base_de_datos[Profesor],base_de_datos[Academia],1))=Profesores[[#Headers],[IID]],"x","")</f>
        <v/>
      </c>
      <c r="AG91" s="6" t="str">
        <f>IF((_xlfn.XLOOKUP(Profesores[[#This Row],[Nombre]],base_de_datos[Profesor],base_de_datos[Academia],1))=Profesores[[#Headers],[BIO]],"x","")</f>
        <v/>
      </c>
      <c r="AH91" s="6" t="s">
        <v>543</v>
      </c>
      <c r="AJ91" s="6">
        <f>TRUNC(IFERROR(Profesores[[#This Row],[Ex Inglés]]*677/100,0),0)</f>
        <v>0</v>
      </c>
    </row>
    <row r="92" spans="1:36" ht="12" hidden="1" customHeight="1">
      <c r="A92" s="228"/>
      <c r="B92" s="6">
        <v>19</v>
      </c>
      <c r="C92" s="2" t="s">
        <v>497</v>
      </c>
      <c r="D92" s="2" t="s">
        <v>485</v>
      </c>
      <c r="E92" s="66">
        <v>150605</v>
      </c>
      <c r="F92" s="134" t="s">
        <v>376</v>
      </c>
      <c r="G92" s="34" t="s">
        <v>992</v>
      </c>
      <c r="H92" s="34" t="s">
        <v>993</v>
      </c>
      <c r="I92" s="34" t="s">
        <v>994</v>
      </c>
      <c r="J92" s="57">
        <v>33610</v>
      </c>
      <c r="K92" s="34" t="s">
        <v>515</v>
      </c>
      <c r="L92" s="4" t="s">
        <v>504</v>
      </c>
      <c r="M92" s="53">
        <v>4491576982</v>
      </c>
      <c r="N92" s="89" t="s">
        <v>995</v>
      </c>
      <c r="O92" s="128" t="s">
        <v>719</v>
      </c>
      <c r="P92" s="4">
        <v>108</v>
      </c>
      <c r="Q92" s="4" t="s">
        <v>524</v>
      </c>
      <c r="R92" s="4" t="s">
        <v>491</v>
      </c>
      <c r="S92" s="4" t="s">
        <v>491</v>
      </c>
      <c r="T92" s="6">
        <v>20278</v>
      </c>
      <c r="U92" s="4"/>
      <c r="V92" s="4" t="str">
        <f>IF((_xlfn.XLOOKUP(Profesores[[#This Row],[Nombre]],base_de_datos[Profesor],base_de_datos[Academia],1))=Profesores[[#Headers],[MEC]],"x","")</f>
        <v/>
      </c>
      <c r="W92" s="4" t="str">
        <f>IF((_xlfn.XLOOKUP(Profesores[[#This Row],[Nombre]],base_de_datos[Profesor],base_de_datos[Academia],1))=Profesores[[#Headers],[COM]],"x","")</f>
        <v/>
      </c>
      <c r="Y92" s="4" t="str">
        <f>IF((_xlfn.XLOOKUP(Profesores[[#This Row],[Nombre]],base_de_datos[Profesor],base_de_datos[Academia],1))=Profesores[[#Headers],[DOP]],"x","")</f>
        <v/>
      </c>
      <c r="Z92" s="4" t="str">
        <f>IF((_xlfn.XLOOKUP(Profesores[[#This Row],[Nombre]],base_de_datos[Profesor],base_de_datos[Academia],1))=Profesores[[#Headers],[ETF]],"x","")</f>
        <v/>
      </c>
      <c r="AA92" s="4" t="str">
        <f>IF((_xlfn.XLOOKUP(Profesores[[#This Row],[Nombre]],base_de_datos[Profesor],base_de_datos[Academia],1))=Profesores[[#Headers],[MAT]],"x","")</f>
        <v/>
      </c>
      <c r="AB92" s="4" t="str">
        <f>IF((_xlfn.XLOOKUP(Profesores[[#This Row],[Nombre]],base_de_datos[Profesor],base_de_datos[Academia],1))=Profesores[[#Headers],[EMP]],"x","")</f>
        <v/>
      </c>
      <c r="AC92" s="6" t="str">
        <f>IF((_xlfn.XLOOKUP(Profesores[[#This Row],[Nombre]],base_de_datos[Profesor],base_de_datos[Academia],1))=Profesores[[#Headers],[AIC]],"x","")</f>
        <v/>
      </c>
      <c r="AD92" s="4" t="s">
        <v>67</v>
      </c>
      <c r="AE92" s="6" t="str">
        <f>IF((_xlfn.XLOOKUP(Profesores[[#This Row],[Nombre]],base_de_datos[Profesor],base_de_datos[Academia],1))=Profesores[[#Headers],[HUM]],"x","")</f>
        <v/>
      </c>
      <c r="AF92" s="4" t="str">
        <f>IF((_xlfn.XLOOKUP(Profesores[[#This Row],[Nombre]],base_de_datos[Profesor],base_de_datos[Academia],1))=Profesores[[#Headers],[IID]],"x","")</f>
        <v>x</v>
      </c>
      <c r="AG92" s="6" t="str">
        <f>IF((_xlfn.XLOOKUP(Profesores[[#This Row],[Nombre]],base_de_datos[Profesor],base_de_datos[Academia],1))=Profesores[[#Headers],[BIO]],"x","")</f>
        <v/>
      </c>
      <c r="AJ92" s="6">
        <f>TRUNC(IFERROR(Profesores[[#This Row],[Ex Inglés]]*677/100,0),0)</f>
        <v>0</v>
      </c>
    </row>
    <row r="93" spans="1:36" ht="12" hidden="1" customHeight="1">
      <c r="B93" s="6">
        <v>113</v>
      </c>
      <c r="C93" s="4" t="s">
        <v>497</v>
      </c>
      <c r="D93" s="4" t="s">
        <v>511</v>
      </c>
      <c r="E93" s="56">
        <v>82554</v>
      </c>
      <c r="F93" s="202" t="s">
        <v>379</v>
      </c>
      <c r="G93" s="33" t="s">
        <v>996</v>
      </c>
      <c r="H93" s="33" t="s">
        <v>915</v>
      </c>
      <c r="I93" s="33" t="s">
        <v>916</v>
      </c>
      <c r="J93" s="58">
        <v>29773</v>
      </c>
      <c r="K93" s="33" t="s">
        <v>515</v>
      </c>
      <c r="L93" s="4" t="s">
        <v>504</v>
      </c>
      <c r="M93" s="53">
        <v>4491251381</v>
      </c>
      <c r="N93" s="137" t="s">
        <v>997</v>
      </c>
      <c r="O93" s="128" t="s">
        <v>998</v>
      </c>
      <c r="P93" s="4" t="s">
        <v>999</v>
      </c>
      <c r="Q93" s="33" t="s">
        <v>1000</v>
      </c>
      <c r="R93" s="4" t="s">
        <v>491</v>
      </c>
      <c r="S93" s="4" t="s">
        <v>491</v>
      </c>
      <c r="T93" s="6">
        <v>20138</v>
      </c>
      <c r="U93" s="4">
        <v>2</v>
      </c>
      <c r="V93" s="4" t="str">
        <f>IF((_xlfn.XLOOKUP(Profesores[[#This Row],[Nombre]],base_de_datos[Profesor],base_de_datos[Academia],1))=Profesores[[#Headers],[MEC]],"x","")</f>
        <v/>
      </c>
      <c r="W93" s="4" t="str">
        <f>IF((_xlfn.XLOOKUP(Profesores[[#This Row],[Nombre]],base_de_datos[Profesor],base_de_datos[Academia],1))=Profesores[[#Headers],[COM]],"x","")</f>
        <v/>
      </c>
      <c r="Y93" s="4" t="str">
        <f>IF((_xlfn.XLOOKUP(Profesores[[#This Row],[Nombre]],base_de_datos[Profesor],base_de_datos[Academia],1))=Profesores[[#Headers],[DOP]],"x","")</f>
        <v/>
      </c>
      <c r="Z93" s="4" t="str">
        <f>IF((_xlfn.XLOOKUP(Profesores[[#This Row],[Nombre]],base_de_datos[Profesor],base_de_datos[Academia],1))=Profesores[[#Headers],[ETF]],"x","")</f>
        <v/>
      </c>
      <c r="AA93" s="4" t="str">
        <f>IF((_xlfn.XLOOKUP(Profesores[[#This Row],[Nombre]],base_de_datos[Profesor],base_de_datos[Academia],1))=Profesores[[#Headers],[MAT]],"x","")</f>
        <v/>
      </c>
      <c r="AB93" s="4" t="str">
        <f>IF((_xlfn.XLOOKUP(Profesores[[#This Row],[Nombre]],base_de_datos[Profesor],base_de_datos[Academia],1))=Profesores[[#Headers],[EMP]],"x","")</f>
        <v/>
      </c>
      <c r="AC93" s="6" t="str">
        <f>IF((_xlfn.XLOOKUP(Profesores[[#This Row],[Nombre]],base_de_datos[Profesor],base_de_datos[Academia],1))=Profesores[[#Headers],[AIC]],"x","")</f>
        <v/>
      </c>
      <c r="AD93" s="4" t="str">
        <f>IF((_xlfn.XLOOKUP(Profesores[[#This Row],[Nombre]],base_de_datos[Profesor],base_de_datos[Academia],1))=Profesores[[#Headers],[ESC]],"x","")</f>
        <v/>
      </c>
      <c r="AE93" s="6" t="str">
        <f>IF((_xlfn.XLOOKUP(Profesores[[#This Row],[Nombre]],base_de_datos[Profesor],base_de_datos[Academia],1))=Profesores[[#Headers],[HUM]],"x","")</f>
        <v>x</v>
      </c>
      <c r="AF93" s="4" t="str">
        <f>IF((_xlfn.XLOOKUP(Profesores[[#This Row],[Nombre]],base_de_datos[Profesor],base_de_datos[Academia],1))=Profesores[[#Headers],[IID]],"x","")</f>
        <v/>
      </c>
      <c r="AG93" s="6" t="str">
        <f>IF((_xlfn.XLOOKUP(Profesores[[#This Row],[Nombre]],base_de_datos[Profesor],base_de_datos[Academia],1))=Profesores[[#Headers],[BIO]],"x","")</f>
        <v/>
      </c>
      <c r="AH93" s="6">
        <v>75.209999999999994</v>
      </c>
      <c r="AI93" s="6" t="s">
        <v>597</v>
      </c>
      <c r="AJ93" s="6">
        <f>TRUNC(IFERROR(Profesores[[#This Row],[Ex Inglés]]*677/100,0),0)</f>
        <v>509</v>
      </c>
    </row>
    <row r="94" spans="1:36" ht="12" hidden="1" customHeight="1">
      <c r="E94" s="56"/>
      <c r="F94" s="133" t="s">
        <v>1001</v>
      </c>
      <c r="G94" s="33" t="s">
        <v>1002</v>
      </c>
      <c r="H94" s="33" t="s">
        <v>1003</v>
      </c>
      <c r="I94" s="33" t="s">
        <v>1004</v>
      </c>
      <c r="J94" s="4"/>
      <c r="M94" s="53"/>
      <c r="N94" s="53"/>
      <c r="O94" s="128"/>
      <c r="T94" s="6"/>
      <c r="U94" s="4"/>
      <c r="V94" s="4" t="str">
        <f>IF((_xlfn.XLOOKUP(Profesores[[#This Row],[Nombre]],base_de_datos[Profesor],base_de_datos[Academia],1))=Profesores[[#Headers],[MEC]],"x","")</f>
        <v/>
      </c>
      <c r="W94" s="4" t="str">
        <f>IF((_xlfn.XLOOKUP(Profesores[[#This Row],[Nombre]],base_de_datos[Profesor],base_de_datos[Academia],1))=Profesores[[#Headers],[COM]],"x","")</f>
        <v/>
      </c>
      <c r="Y94" s="4" t="str">
        <f>IF((_xlfn.XLOOKUP(Profesores[[#This Row],[Nombre]],base_de_datos[Profesor],base_de_datos[Academia],1))=Profesores[[#Headers],[DOP]],"x","")</f>
        <v/>
      </c>
      <c r="Z94" s="4" t="str">
        <f>IF((_xlfn.XLOOKUP(Profesores[[#This Row],[Nombre]],base_de_datos[Profesor],base_de_datos[Academia],1))=Profesores[[#Headers],[ETF]],"x","")</f>
        <v/>
      </c>
      <c r="AA94" s="4" t="str">
        <f>IF((_xlfn.XLOOKUP(Profesores[[#This Row],[Nombre]],base_de_datos[Profesor],base_de_datos[Academia],1))=Profesores[[#Headers],[MAT]],"x","")</f>
        <v/>
      </c>
      <c r="AB94" s="4" t="str">
        <f>IF((_xlfn.XLOOKUP(Profesores[[#This Row],[Nombre]],base_de_datos[Profesor],base_de_datos[Academia],1))=Profesores[[#Headers],[EMP]],"x","")</f>
        <v/>
      </c>
      <c r="AC94" s="6" t="str">
        <f>IF((_xlfn.XLOOKUP(Profesores[[#This Row],[Nombre]],base_de_datos[Profesor],base_de_datos[Academia],1))=Profesores[[#Headers],[AIC]],"x","")</f>
        <v/>
      </c>
      <c r="AD94" s="4" t="str">
        <f>IF((_xlfn.XLOOKUP(Profesores[[#This Row],[Nombre]],base_de_datos[Profesor],base_de_datos[Academia],1))=Profesores[[#Headers],[ESC]],"x","")</f>
        <v/>
      </c>
      <c r="AE94" s="6" t="str">
        <f>IF((_xlfn.XLOOKUP(Profesores[[#This Row],[Nombre]],base_de_datos[Profesor],base_de_datos[Academia],1))=Profesores[[#Headers],[HUM]],"x","")</f>
        <v/>
      </c>
      <c r="AF94" s="4" t="str">
        <f>IF((_xlfn.XLOOKUP(Profesores[[#This Row],[Nombre]],base_de_datos[Profesor],base_de_datos[Academia],1))=Profesores[[#Headers],[IID]],"x","")</f>
        <v/>
      </c>
      <c r="AG94" s="6" t="str">
        <f>IF((_xlfn.XLOOKUP(Profesores[[#This Row],[Nombre]],base_de_datos[Profesor],base_de_datos[Academia],1))=Profesores[[#Headers],[BIO]],"x","")</f>
        <v/>
      </c>
      <c r="AJ94" s="6">
        <f>TRUNC(IFERROR(Profesores[[#This Row],[Ex Inglés]]*677/100,0),0)</f>
        <v>0</v>
      </c>
    </row>
    <row r="95" spans="1:36" ht="12" hidden="1" customHeight="1">
      <c r="B95" s="6">
        <v>105</v>
      </c>
      <c r="C95" s="4" t="s">
        <v>510</v>
      </c>
      <c r="D95" s="4" t="s">
        <v>498</v>
      </c>
      <c r="E95" s="56">
        <v>230726</v>
      </c>
      <c r="F95" s="133" t="s">
        <v>361</v>
      </c>
      <c r="G95" s="33" t="s">
        <v>1005</v>
      </c>
      <c r="H95" s="33" t="s">
        <v>1006</v>
      </c>
      <c r="I95" s="33" t="s">
        <v>1007</v>
      </c>
      <c r="J95" s="4"/>
      <c r="K95" s="33" t="s">
        <v>515</v>
      </c>
      <c r="L95" s="4" t="s">
        <v>504</v>
      </c>
      <c r="M95" s="53">
        <v>5582327774</v>
      </c>
      <c r="N95" s="89" t="s">
        <v>1008</v>
      </c>
      <c r="O95" s="128"/>
      <c r="T95" s="6"/>
      <c r="U95" s="4">
        <v>3</v>
      </c>
      <c r="V95" s="4" t="s">
        <v>67</v>
      </c>
      <c r="W95" s="4" t="str">
        <f>IF((_xlfn.XLOOKUP(Profesores[[#This Row],[Nombre]],base_de_datos[Profesor],base_de_datos[Academia],1))=Profesores[[#Headers],[COM]],"x","")</f>
        <v/>
      </c>
      <c r="X95" s="4" t="s">
        <v>67</v>
      </c>
      <c r="Y95" s="4" t="str">
        <f>IF((_xlfn.XLOOKUP(Profesores[[#This Row],[Nombre]],base_de_datos[Profesor],base_de_datos[Academia],1))=Profesores[[#Headers],[DOP]],"x","")</f>
        <v/>
      </c>
      <c r="Z95" s="4" t="s">
        <v>67</v>
      </c>
      <c r="AA95" s="4" t="s">
        <v>67</v>
      </c>
      <c r="AB95" s="4" t="str">
        <f>IF((_xlfn.XLOOKUP(Profesores[[#This Row],[Nombre]],base_de_datos[Profesor],base_de_datos[Academia],1))=Profesores[[#Headers],[EMP]],"x","")</f>
        <v/>
      </c>
      <c r="AC95" s="6" t="str">
        <f>IF((_xlfn.XLOOKUP(Profesores[[#This Row],[Nombre]],base_de_datos[Profesor],base_de_datos[Academia],1))=Profesores[[#Headers],[AIC]],"x","")</f>
        <v/>
      </c>
      <c r="AD95" s="4" t="str">
        <f>IF((_xlfn.XLOOKUP(Profesores[[#This Row],[Nombre]],base_de_datos[Profesor],base_de_datos[Academia],1))=Profesores[[#Headers],[ESC]],"x","")</f>
        <v/>
      </c>
      <c r="AE95" s="6" t="str">
        <f>IF((_xlfn.XLOOKUP(Profesores[[#This Row],[Nombre]],base_de_datos[Profesor],base_de_datos[Academia],1))=Profesores[[#Headers],[HUM]],"x","")</f>
        <v/>
      </c>
      <c r="AF95" s="4" t="str">
        <f>IF((_xlfn.XLOOKUP(Profesores[[#This Row],[Nombre]],base_de_datos[Profesor],base_de_datos[Academia],1))=Profesores[[#Headers],[IID]],"x","")</f>
        <v/>
      </c>
      <c r="AG95" s="6" t="str">
        <f>IF((_xlfn.XLOOKUP(Profesores[[#This Row],[Nombre]],base_de_datos[Profesor],base_de_datos[Academia],1))=Profesores[[#Headers],[BIO]],"x","")</f>
        <v/>
      </c>
      <c r="AH95" s="6">
        <v>77.22</v>
      </c>
      <c r="AI95" s="6" t="s">
        <v>597</v>
      </c>
      <c r="AJ95" s="6">
        <f>TRUNC(IFERROR(Profesores[[#This Row],[Ex Inglés]]*677/100,0),0)</f>
        <v>522</v>
      </c>
    </row>
    <row r="96" spans="1:36" s="135" customFormat="1" ht="12" hidden="1" customHeight="1">
      <c r="A96" s="227"/>
      <c r="B96" s="4" t="s">
        <v>1009</v>
      </c>
      <c r="C96" s="4"/>
      <c r="D96" s="4"/>
      <c r="E96" s="56"/>
      <c r="F96" s="6" t="s">
        <v>1010</v>
      </c>
      <c r="G96" s="33"/>
      <c r="H96" s="33"/>
      <c r="I96" s="33"/>
      <c r="J96" s="4"/>
      <c r="K96" s="33"/>
      <c r="L96" s="4"/>
      <c r="M96" s="53"/>
      <c r="N96" s="53"/>
      <c r="O96" s="128"/>
      <c r="P96" s="4"/>
      <c r="Q96" s="4"/>
      <c r="R96" s="4"/>
      <c r="S96" s="4"/>
      <c r="T96" s="6"/>
      <c r="U96" s="4"/>
      <c r="V96" s="4" t="str">
        <f>IF((_xlfn.XLOOKUP(Profesores[[#This Row],[Nombre]],base_de_datos[Profesor],base_de_datos[Academia],1))=Profesores[[#Headers],[MEC]],"x","")</f>
        <v/>
      </c>
      <c r="W96" s="4" t="str">
        <f>IF((_xlfn.XLOOKUP(Profesores[[#This Row],[Nombre]],base_de_datos[Profesor],base_de_datos[Academia],1))=Profesores[[#Headers],[COM]],"x","")</f>
        <v/>
      </c>
      <c r="X96" s="4"/>
      <c r="Y96" s="4" t="str">
        <f>IF((_xlfn.XLOOKUP(Profesores[[#This Row],[Nombre]],base_de_datos[Profesor],base_de_datos[Academia],1))=Profesores[[#Headers],[DOP]],"x","")</f>
        <v/>
      </c>
      <c r="Z96" s="4" t="str">
        <f>IF((_xlfn.XLOOKUP(Profesores[[#This Row],[Nombre]],base_de_datos[Profesor],base_de_datos[Academia],1))=Profesores[[#Headers],[ETF]],"x","")</f>
        <v/>
      </c>
      <c r="AA96" s="4" t="str">
        <f>IF((_xlfn.XLOOKUP(Profesores[[#This Row],[Nombre]],base_de_datos[Profesor],base_de_datos[Academia],1))=Profesores[[#Headers],[MAT]],"x","")</f>
        <v/>
      </c>
      <c r="AB96" s="4" t="str">
        <f>IF((_xlfn.XLOOKUP(Profesores[[#This Row],[Nombre]],base_de_datos[Profesor],base_de_datos[Academia],1))=Profesores[[#Headers],[EMP]],"x","")</f>
        <v/>
      </c>
      <c r="AC96" s="6" t="str">
        <f>IF((_xlfn.XLOOKUP(Profesores[[#This Row],[Nombre]],base_de_datos[Profesor],base_de_datos[Academia],1))=Profesores[[#Headers],[AIC]],"x","")</f>
        <v/>
      </c>
      <c r="AD96" s="4" t="str">
        <f>IF((_xlfn.XLOOKUP(Profesores[[#This Row],[Nombre]],base_de_datos[Profesor],base_de_datos[Academia],1))=Profesores[[#Headers],[ESC]],"x","")</f>
        <v/>
      </c>
      <c r="AE96" s="6" t="str">
        <f>IF((_xlfn.XLOOKUP(Profesores[[#This Row],[Nombre]],base_de_datos[Profesor],base_de_datos[Academia],1))=Profesores[[#Headers],[HUM]],"x","")</f>
        <v/>
      </c>
      <c r="AF96" s="4" t="str">
        <f>IF((_xlfn.XLOOKUP(Profesores[[#This Row],[Nombre]],base_de_datos[Profesor],base_de_datos[Academia],1))=Profesores[[#Headers],[IID]],"x","")</f>
        <v/>
      </c>
      <c r="AG96" s="6" t="str">
        <f>IF((_xlfn.XLOOKUP(Profesores[[#This Row],[Nombre]],base_de_datos[Profesor],base_de_datos[Academia],1))=Profesores[[#Headers],[BIO]],"x","")</f>
        <v/>
      </c>
      <c r="AH96" s="6"/>
      <c r="AI96" s="6"/>
      <c r="AJ96" s="6">
        <f>TRUNC(IFERROR(Profesores[[#This Row],[Ex Inglés]]*677/100,0),0)</f>
        <v>0</v>
      </c>
    </row>
    <row r="97" spans="1:36" ht="12" hidden="1" customHeight="1">
      <c r="B97" s="6">
        <v>100</v>
      </c>
      <c r="C97" s="4" t="s">
        <v>497</v>
      </c>
      <c r="D97" s="4" t="s">
        <v>498</v>
      </c>
      <c r="E97" s="56">
        <v>194549</v>
      </c>
      <c r="F97" s="133" t="s">
        <v>381</v>
      </c>
      <c r="G97" s="33" t="s">
        <v>1011</v>
      </c>
      <c r="H97" s="33" t="s">
        <v>829</v>
      </c>
      <c r="I97" s="33" t="s">
        <v>1012</v>
      </c>
      <c r="J97" s="58">
        <v>32300</v>
      </c>
      <c r="K97" s="33" t="s">
        <v>515</v>
      </c>
      <c r="L97" s="4" t="s">
        <v>504</v>
      </c>
      <c r="M97" s="53">
        <v>4491143754</v>
      </c>
      <c r="N97" s="89" t="s">
        <v>1013</v>
      </c>
      <c r="O97" s="128" t="s">
        <v>1014</v>
      </c>
      <c r="P97" s="4">
        <v>403</v>
      </c>
      <c r="Q97" s="4" t="s">
        <v>1015</v>
      </c>
      <c r="R97" s="4" t="s">
        <v>491</v>
      </c>
      <c r="S97" s="4" t="s">
        <v>491</v>
      </c>
      <c r="T97" s="6">
        <v>20020</v>
      </c>
      <c r="U97" s="4">
        <v>2</v>
      </c>
      <c r="V97" s="4" t="s">
        <v>595</v>
      </c>
      <c r="W97" s="4" t="str">
        <f>IF((_xlfn.XLOOKUP(Profesores[[#This Row],[Nombre]],base_de_datos[Profesor],base_de_datos[Academia],1))=Profesores[[#Headers],[COM]],"x","")</f>
        <v/>
      </c>
      <c r="Y97" s="4" t="str">
        <f>IF((_xlfn.XLOOKUP(Profesores[[#This Row],[Nombre]],base_de_datos[Profesor],base_de_datos[Academia],1))=Profesores[[#Headers],[DOP]],"x","")</f>
        <v/>
      </c>
      <c r="AA97" s="4" t="str">
        <f>IF((_xlfn.XLOOKUP(Profesores[[#This Row],[Nombre]],base_de_datos[Profesor],base_de_datos[Academia],1))=Profesores[[#Headers],[MAT]],"x","")</f>
        <v/>
      </c>
      <c r="AB97" s="4" t="str">
        <f>IF((_xlfn.XLOOKUP(Profesores[[#This Row],[Nombre]],base_de_datos[Profesor],base_de_datos[Academia],1))=Profesores[[#Headers],[EMP]],"x","")</f>
        <v/>
      </c>
      <c r="AC97" s="6" t="str">
        <f>IF((_xlfn.XLOOKUP(Profesores[[#This Row],[Nombre]],base_de_datos[Profesor],base_de_datos[Academia],1))=Profesores[[#Headers],[AIC]],"x","")</f>
        <v/>
      </c>
      <c r="AD97" s="4" t="str">
        <f>IF((_xlfn.XLOOKUP(Profesores[[#This Row],[Nombre]],base_de_datos[Profesor],base_de_datos[Academia],1))=Profesores[[#Headers],[ESC]],"x","")</f>
        <v/>
      </c>
      <c r="AE97" s="6" t="str">
        <f>IF((_xlfn.XLOOKUP(Profesores[[#This Row],[Nombre]],base_de_datos[Profesor],base_de_datos[Academia],1))=Profesores[[#Headers],[HUM]],"x","")</f>
        <v/>
      </c>
      <c r="AF97" s="4" t="str">
        <f>IF((_xlfn.XLOOKUP(Profesores[[#This Row],[Nombre]],base_de_datos[Profesor],base_de_datos[Academia],1))=Profesores[[#Headers],[IID]],"x","")</f>
        <v/>
      </c>
      <c r="AG97" s="6" t="str">
        <f>IF((_xlfn.XLOOKUP(Profesores[[#This Row],[Nombre]],base_de_datos[Profesor],base_de_datos[Academia],1))=Profesores[[#Headers],[BIO]],"x","")</f>
        <v/>
      </c>
      <c r="AH97" s="6" t="s">
        <v>543</v>
      </c>
      <c r="AJ97" s="6">
        <f>TRUNC(IFERROR(Profesores[[#This Row],[Ex Inglés]]*677/100,0),0)</f>
        <v>0</v>
      </c>
    </row>
    <row r="98" spans="1:36" ht="12" hidden="1" customHeight="1">
      <c r="B98" s="6">
        <v>137</v>
      </c>
      <c r="C98" s="4" t="s">
        <v>510</v>
      </c>
      <c r="D98" s="4" t="s">
        <v>498</v>
      </c>
      <c r="E98" s="56">
        <v>239904</v>
      </c>
      <c r="F98" s="133" t="s">
        <v>1016</v>
      </c>
      <c r="G98" s="33" t="s">
        <v>1017</v>
      </c>
      <c r="H98" s="33" t="s">
        <v>1018</v>
      </c>
      <c r="I98" s="33" t="s">
        <v>728</v>
      </c>
      <c r="J98" s="58">
        <v>28538</v>
      </c>
      <c r="K98" s="33" t="s">
        <v>515</v>
      </c>
      <c r="L98" s="33" t="s">
        <v>504</v>
      </c>
      <c r="M98" s="53">
        <v>4491960887</v>
      </c>
      <c r="N98" s="138" t="s">
        <v>1019</v>
      </c>
      <c r="O98" s="200" t="s">
        <v>1020</v>
      </c>
      <c r="P98" s="201">
        <v>130</v>
      </c>
      <c r="Q98" s="10" t="s">
        <v>1021</v>
      </c>
      <c r="R98" s="10" t="s">
        <v>902</v>
      </c>
      <c r="S98" s="10" t="s">
        <v>491</v>
      </c>
      <c r="T98" s="10">
        <v>20926</v>
      </c>
      <c r="U98" s="4">
        <v>2</v>
      </c>
      <c r="V98" s="4" t="str">
        <f>IF((_xlfn.XLOOKUP(Profesores[[#This Row],[Nombre]],base_de_datos[Profesor],base_de_datos[Academia],1))=Profesores[[#Headers],[MEC]],"x","")</f>
        <v/>
      </c>
      <c r="W98" s="4" t="str">
        <f>IF((_xlfn.XLOOKUP(Profesores[[#This Row],[Nombre]],base_de_datos[Profesor],base_de_datos[Academia],1))=Profesores[[#Headers],[COM]],"x","")</f>
        <v/>
      </c>
      <c r="Y98" s="4" t="str">
        <f>IF((_xlfn.XLOOKUP(Profesores[[#This Row],[Nombre]],base_de_datos[Profesor],base_de_datos[Academia],1))=Profesores[[#Headers],[DOP]],"x","")</f>
        <v/>
      </c>
      <c r="Z98" s="4" t="str">
        <f>IF((_xlfn.XLOOKUP(Profesores[[#This Row],[Nombre]],base_de_datos[Profesor],base_de_datos[Academia],1))=Profesores[[#Headers],[ETF]],"x","")</f>
        <v/>
      </c>
      <c r="AA98" s="4" t="str">
        <f>IF((_xlfn.XLOOKUP(Profesores[[#This Row],[Nombre]],base_de_datos[Profesor],base_de_datos[Academia],1))=Profesores[[#Headers],[MAT]],"x","")</f>
        <v/>
      </c>
      <c r="AB98" s="4" t="str">
        <f>IF((_xlfn.XLOOKUP(Profesores[[#This Row],[Nombre]],base_de_datos[Profesor],base_de_datos[Academia],1))=Profesores[[#Headers],[EMP]],"x","")</f>
        <v/>
      </c>
      <c r="AC98" s="6" t="str">
        <f>IF((_xlfn.XLOOKUP(Profesores[[#This Row],[Nombre]],base_de_datos[Profesor],base_de_datos[Academia],1))=Profesores[[#Headers],[AIC]],"x","")</f>
        <v/>
      </c>
      <c r="AD98" s="4" t="str">
        <f>IF((_xlfn.XLOOKUP(Profesores[[#This Row],[Nombre]],base_de_datos[Profesor],base_de_datos[Academia],1))=Profesores[[#Headers],[ESC]],"x","")</f>
        <v/>
      </c>
      <c r="AE98" s="6" t="str">
        <f>IF((_xlfn.XLOOKUP(Profesores[[#This Row],[Nombre]],base_de_datos[Profesor],base_de_datos[Academia],1))=Profesores[[#Headers],[HUM]],"x","")</f>
        <v/>
      </c>
      <c r="AF98" s="4" t="str">
        <f>IF((_xlfn.XLOOKUP(Profesores[[#This Row],[Nombre]],base_de_datos[Profesor],base_de_datos[Academia],1))=Profesores[[#Headers],[IID]],"x","")</f>
        <v/>
      </c>
      <c r="AG98" s="6" t="str">
        <f>IF((_xlfn.XLOOKUP(Profesores[[#This Row],[Nombre]],base_de_datos[Profesor],base_de_datos[Academia],1))=Profesores[[#Headers],[BIO]],"x","")</f>
        <v/>
      </c>
      <c r="AH98" s="6" t="s">
        <v>543</v>
      </c>
      <c r="AJ98" s="6">
        <f>TRUNC(IFERROR(Profesores[[#This Row],[Ex Inglés]]*677/100,0),0)</f>
        <v>0</v>
      </c>
    </row>
    <row r="99" spans="1:36" ht="12" hidden="1" customHeight="1">
      <c r="B99" s="4" t="s">
        <v>1022</v>
      </c>
      <c r="E99" s="56"/>
      <c r="F99" s="6" t="s">
        <v>1023</v>
      </c>
      <c r="J99" s="4"/>
      <c r="M99" s="53"/>
      <c r="N99" s="53"/>
      <c r="O99" s="128"/>
      <c r="T99" s="6"/>
      <c r="U99" s="4">
        <v>2</v>
      </c>
      <c r="V99" s="4" t="str">
        <f>IF((_xlfn.XLOOKUP(Profesores[[#This Row],[Nombre]],base_de_datos[Profesor],base_de_datos[Academia],1))=Profesores[[#Headers],[MEC]],"x","")</f>
        <v/>
      </c>
      <c r="W99" s="4" t="str">
        <f>IF((_xlfn.XLOOKUP(Profesores[[#This Row],[Nombre]],base_de_datos[Profesor],base_de_datos[Academia],1))=Profesores[[#Headers],[COM]],"x","")</f>
        <v/>
      </c>
      <c r="Y99" s="4" t="str">
        <f>IF((_xlfn.XLOOKUP(Profesores[[#This Row],[Nombre]],base_de_datos[Profesor],base_de_datos[Academia],1))=Profesores[[#Headers],[DOP]],"x","")</f>
        <v/>
      </c>
      <c r="Z99" s="4" t="str">
        <f>IF((_xlfn.XLOOKUP(Profesores[[#This Row],[Nombre]],base_de_datos[Profesor],base_de_datos[Academia],1))=Profesores[[#Headers],[ETF]],"x","")</f>
        <v/>
      </c>
      <c r="AA99" s="4" t="str">
        <f>IF((_xlfn.XLOOKUP(Profesores[[#This Row],[Nombre]],base_de_datos[Profesor],base_de_datos[Academia],1))=Profesores[[#Headers],[MAT]],"x","")</f>
        <v/>
      </c>
      <c r="AB99" s="4" t="str">
        <f>IF((_xlfn.XLOOKUP(Profesores[[#This Row],[Nombre]],base_de_datos[Profesor],base_de_datos[Academia],1))=Profesores[[#Headers],[EMP]],"x","")</f>
        <v/>
      </c>
      <c r="AC99" s="6" t="str">
        <f>IF((_xlfn.XLOOKUP(Profesores[[#This Row],[Nombre]],base_de_datos[Profesor],base_de_datos[Academia],1))=Profesores[[#Headers],[AIC]],"x","")</f>
        <v/>
      </c>
      <c r="AD99" s="4" t="str">
        <f>IF((_xlfn.XLOOKUP(Profesores[[#This Row],[Nombre]],base_de_datos[Profesor],base_de_datos[Academia],1))=Profesores[[#Headers],[ESC]],"x","")</f>
        <v/>
      </c>
      <c r="AE99" s="6" t="str">
        <f>IF((_xlfn.XLOOKUP(Profesores[[#This Row],[Nombre]],base_de_datos[Profesor],base_de_datos[Academia],1))=Profesores[[#Headers],[HUM]],"x","")</f>
        <v/>
      </c>
      <c r="AF99" s="4" t="str">
        <f>IF((_xlfn.XLOOKUP(Profesores[[#This Row],[Nombre]],base_de_datos[Profesor],base_de_datos[Academia],1))=Profesores[[#Headers],[IID]],"x","")</f>
        <v/>
      </c>
      <c r="AG99" s="6" t="str">
        <f>IF((_xlfn.XLOOKUP(Profesores[[#This Row],[Nombre]],base_de_datos[Profesor],base_de_datos[Academia],1))=Profesores[[#Headers],[BIO]],"x","")</f>
        <v/>
      </c>
      <c r="AH99" s="6" t="s">
        <v>596</v>
      </c>
      <c r="AI99" s="6" t="s">
        <v>597</v>
      </c>
      <c r="AJ99" s="6">
        <f>TRUNC(IFERROR(Profesores[[#This Row],[Ex Inglés]]*677/100,0),0)</f>
        <v>0</v>
      </c>
    </row>
    <row r="100" spans="1:36" s="135" customFormat="1" ht="12" hidden="1" customHeight="1">
      <c r="A100" s="227"/>
      <c r="B100" s="6"/>
      <c r="C100" s="4"/>
      <c r="D100" s="4" t="s">
        <v>485</v>
      </c>
      <c r="E100" s="56"/>
      <c r="F100" s="133" t="s">
        <v>384</v>
      </c>
      <c r="G100" s="33" t="s">
        <v>1024</v>
      </c>
      <c r="H100" s="33" t="s">
        <v>694</v>
      </c>
      <c r="I100" s="33" t="s">
        <v>1025</v>
      </c>
      <c r="J100" s="57">
        <v>24479</v>
      </c>
      <c r="K100" s="33"/>
      <c r="L100" s="4"/>
      <c r="M100" s="53">
        <v>4492808741</v>
      </c>
      <c r="N100" s="89" t="s">
        <v>1026</v>
      </c>
      <c r="O100" s="53" t="s">
        <v>1027</v>
      </c>
      <c r="P100" s="4">
        <v>312</v>
      </c>
      <c r="Q100" s="6" t="s">
        <v>1028</v>
      </c>
      <c r="R100" s="6" t="s">
        <v>491</v>
      </c>
      <c r="S100" s="6" t="s">
        <v>491</v>
      </c>
      <c r="T100" s="6">
        <v>20270</v>
      </c>
      <c r="U100" s="4">
        <v>1</v>
      </c>
      <c r="V100" s="4" t="str">
        <f>IF((_xlfn.XLOOKUP(Profesores[[#This Row],[Nombre]],base_de_datos[Profesor],base_de_datos[Academia],1))=Profesores[[#Headers],[MEC]],"x","")</f>
        <v/>
      </c>
      <c r="W100" s="4" t="str">
        <f>IF((_xlfn.XLOOKUP(Profesores[[#This Row],[Nombre]],base_de_datos[Profesor],base_de_datos[Academia],1))=Profesores[[#Headers],[COM]],"x","")</f>
        <v/>
      </c>
      <c r="X100" s="4"/>
      <c r="Y100" s="4" t="str">
        <f>IF((_xlfn.XLOOKUP(Profesores[[#This Row],[Nombre]],base_de_datos[Profesor],base_de_datos[Academia],1))=Profesores[[#Headers],[DOP]],"x","")</f>
        <v>x</v>
      </c>
      <c r="Z100" s="4" t="str">
        <f>IF((_xlfn.XLOOKUP(Profesores[[#This Row],[Nombre]],base_de_datos[Profesor],base_de_datos[Academia],1))=Profesores[[#Headers],[ETF]],"x","")</f>
        <v/>
      </c>
      <c r="AA100" s="4" t="str">
        <f>IF((_xlfn.XLOOKUP(Profesores[[#This Row],[Nombre]],base_de_datos[Profesor],base_de_datos[Academia],1))=Profesores[[#Headers],[MAT]],"x","")</f>
        <v/>
      </c>
      <c r="AB100" s="4" t="str">
        <f>IF((_xlfn.XLOOKUP(Profesores[[#This Row],[Nombre]],base_de_datos[Profesor],base_de_datos[Academia],1))=Profesores[[#Headers],[EMP]],"x","")</f>
        <v/>
      </c>
      <c r="AC100" s="6" t="str">
        <f>IF((_xlfn.XLOOKUP(Profesores[[#This Row],[Nombre]],base_de_datos[Profesor],base_de_datos[Academia],1))=Profesores[[#Headers],[AIC]],"x","")</f>
        <v/>
      </c>
      <c r="AD100" s="4" t="str">
        <f>IF((_xlfn.XLOOKUP(Profesores[[#This Row],[Nombre]],base_de_datos[Profesor],base_de_datos[Academia],1))=Profesores[[#Headers],[ESC]],"x","")</f>
        <v/>
      </c>
      <c r="AE100" s="6" t="str">
        <f>IF((_xlfn.XLOOKUP(Profesores[[#This Row],[Nombre]],base_de_datos[Profesor],base_de_datos[Academia],1))=Profesores[[#Headers],[HUM]],"x","")</f>
        <v/>
      </c>
      <c r="AF100" s="4" t="str">
        <f>IF((_xlfn.XLOOKUP(Profesores[[#This Row],[Nombre]],base_de_datos[Profesor],base_de_datos[Academia],1))=Profesores[[#Headers],[IID]],"x","")</f>
        <v/>
      </c>
      <c r="AG100" s="6" t="str">
        <f>IF((_xlfn.XLOOKUP(Profesores[[#This Row],[Nombre]],base_de_datos[Profesor],base_de_datos[Academia],1))=Profesores[[#Headers],[BIO]],"x","")</f>
        <v/>
      </c>
      <c r="AH100" s="6" t="s">
        <v>543</v>
      </c>
      <c r="AI100" s="6" t="s">
        <v>597</v>
      </c>
      <c r="AJ100" s="6">
        <f>TRUNC(IFERROR(Profesores[[#This Row],[Ex Inglés]]*677/100,0),0)</f>
        <v>0</v>
      </c>
    </row>
    <row r="101" spans="1:36" ht="12" hidden="1" customHeight="1">
      <c r="C101" s="4" t="s">
        <v>484</v>
      </c>
      <c r="D101" s="4" t="s">
        <v>498</v>
      </c>
      <c r="E101" s="86">
        <v>166496</v>
      </c>
      <c r="F101" s="133" t="s">
        <v>386</v>
      </c>
      <c r="G101" s="33" t="s">
        <v>1029</v>
      </c>
      <c r="H101" s="33" t="s">
        <v>1030</v>
      </c>
      <c r="I101" s="33" t="s">
        <v>1031</v>
      </c>
      <c r="J101" s="58">
        <v>27346</v>
      </c>
      <c r="M101" s="53">
        <v>4492284870</v>
      </c>
      <c r="N101" s="137" t="s">
        <v>1032</v>
      </c>
      <c r="O101" s="128" t="s">
        <v>1033</v>
      </c>
      <c r="P101" s="4">
        <v>701</v>
      </c>
      <c r="Q101" s="4" t="s">
        <v>490</v>
      </c>
      <c r="R101" s="4" t="s">
        <v>491</v>
      </c>
      <c r="S101" s="4" t="s">
        <v>491</v>
      </c>
      <c r="T101" s="6">
        <v>20000</v>
      </c>
      <c r="U101" s="4">
        <v>2</v>
      </c>
      <c r="V101" s="4" t="str">
        <f>IF((_xlfn.XLOOKUP(Profesores[[#This Row],[Nombre]],base_de_datos[Profesor],base_de_datos[Academia],1))=Profesores[[#Headers],[MEC]],"x","")</f>
        <v/>
      </c>
      <c r="W101" s="4" t="str">
        <f>IF((_xlfn.XLOOKUP(Profesores[[#This Row],[Nombre]],base_de_datos[Profesor],base_de_datos[Academia],1))=Profesores[[#Headers],[COM]],"x","")</f>
        <v/>
      </c>
      <c r="Y101" s="4" t="str">
        <f>IF((_xlfn.XLOOKUP(Profesores[[#This Row],[Nombre]],base_de_datos[Profesor],base_de_datos[Academia],1))=Profesores[[#Headers],[DOP]],"x","")</f>
        <v/>
      </c>
      <c r="Z101" s="4" t="str">
        <f>IF((_xlfn.XLOOKUP(Profesores[[#This Row],[Nombre]],base_de_datos[Profesor],base_de_datos[Academia],1))=Profesores[[#Headers],[ETF]],"x","")</f>
        <v/>
      </c>
      <c r="AA101" s="4" t="str">
        <f>IF((_xlfn.XLOOKUP(Profesores[[#This Row],[Nombre]],base_de_datos[Profesor],base_de_datos[Academia],1))=Profesores[[#Headers],[MAT]],"x","")</f>
        <v/>
      </c>
      <c r="AB101" s="4" t="str">
        <f>IF((_xlfn.XLOOKUP(Profesores[[#This Row],[Nombre]],base_de_datos[Profesor],base_de_datos[Academia],1))=Profesores[[#Headers],[EMP]],"x","")</f>
        <v>x</v>
      </c>
      <c r="AC101" s="6" t="str">
        <f>IF((_xlfn.XLOOKUP(Profesores[[#This Row],[Nombre]],base_de_datos[Profesor],base_de_datos[Academia],1))=Profesores[[#Headers],[AIC]],"x","")</f>
        <v/>
      </c>
      <c r="AD101" s="4" t="str">
        <f>IF((_xlfn.XLOOKUP(Profesores[[#This Row],[Nombre]],base_de_datos[Profesor],base_de_datos[Academia],1))=Profesores[[#Headers],[ESC]],"x","")</f>
        <v/>
      </c>
      <c r="AE101" s="6" t="str">
        <f>IF((_xlfn.XLOOKUP(Profesores[[#This Row],[Nombre]],base_de_datos[Profesor],base_de_datos[Academia],1))=Profesores[[#Headers],[HUM]],"x","")</f>
        <v/>
      </c>
      <c r="AF101" s="4" t="str">
        <f>IF((_xlfn.XLOOKUP(Profesores[[#This Row],[Nombre]],base_de_datos[Profesor],base_de_datos[Academia],1))=Profesores[[#Headers],[IID]],"x","")</f>
        <v/>
      </c>
      <c r="AG101" s="6" t="str">
        <f>IF((_xlfn.XLOOKUP(Profesores[[#This Row],[Nombre]],base_de_datos[Profesor],base_de_datos[Academia],1))=Profesores[[#Headers],[BIO]],"x","")</f>
        <v/>
      </c>
      <c r="AH101" s="6" t="s">
        <v>543</v>
      </c>
      <c r="AJ101" s="6">
        <f>TRUNC(IFERROR(Profesores[[#This Row],[Ex Inglés]]*677/100,0),0)</f>
        <v>0</v>
      </c>
    </row>
    <row r="102" spans="1:36" ht="12" hidden="1" customHeight="1">
      <c r="B102" s="6">
        <v>152</v>
      </c>
      <c r="C102" s="4" t="s">
        <v>484</v>
      </c>
      <c r="D102" s="4" t="s">
        <v>498</v>
      </c>
      <c r="E102" s="56">
        <v>167298</v>
      </c>
      <c r="F102" s="133" t="s">
        <v>389</v>
      </c>
      <c r="G102" s="33" t="s">
        <v>1034</v>
      </c>
      <c r="H102" s="33" t="s">
        <v>1035</v>
      </c>
      <c r="I102" s="33" t="s">
        <v>1036</v>
      </c>
      <c r="J102" s="58">
        <v>32905</v>
      </c>
      <c r="M102" s="53">
        <v>4492731641</v>
      </c>
      <c r="N102" s="53" t="s">
        <v>1037</v>
      </c>
      <c r="O102" s="128" t="s">
        <v>1038</v>
      </c>
      <c r="P102" s="4">
        <v>122</v>
      </c>
      <c r="Q102" s="4" t="s">
        <v>1039</v>
      </c>
      <c r="R102" s="4" t="s">
        <v>491</v>
      </c>
      <c r="S102" s="4" t="s">
        <v>491</v>
      </c>
      <c r="T102" s="6">
        <v>20270</v>
      </c>
      <c r="U102" s="4"/>
      <c r="V102" s="4" t="str">
        <f>IF((_xlfn.XLOOKUP(Profesores[[#This Row],[Nombre]],base_de_datos[Profesor],base_de_datos[Academia],1))=Profesores[[#Headers],[MEC]],"x","")</f>
        <v/>
      </c>
      <c r="W102" s="4" t="str">
        <f>IF((_xlfn.XLOOKUP(Profesores[[#This Row],[Nombre]],base_de_datos[Profesor],base_de_datos[Academia],1))=Profesores[[#Headers],[COM]],"x","")</f>
        <v>x</v>
      </c>
      <c r="Y102" s="4" t="str">
        <f>IF((_xlfn.XLOOKUP(Profesores[[#This Row],[Nombre]],base_de_datos[Profesor],base_de_datos[Academia],1))=Profesores[[#Headers],[DOP]],"x","")</f>
        <v/>
      </c>
      <c r="Z102" s="4" t="str">
        <f>IF((_xlfn.XLOOKUP(Profesores[[#This Row],[Nombre]],base_de_datos[Profesor],base_de_datos[Academia],1))=Profesores[[#Headers],[ETF]],"x","")</f>
        <v/>
      </c>
      <c r="AA102" s="4" t="str">
        <f>IF((_xlfn.XLOOKUP(Profesores[[#This Row],[Nombre]],base_de_datos[Profesor],base_de_datos[Academia],1))=Profesores[[#Headers],[MAT]],"x","")</f>
        <v/>
      </c>
      <c r="AB102" s="4" t="str">
        <f>IF((_xlfn.XLOOKUP(Profesores[[#This Row],[Nombre]],base_de_datos[Profesor],base_de_datos[Academia],1))=Profesores[[#Headers],[EMP]],"x","")</f>
        <v/>
      </c>
      <c r="AC102" s="6" t="str">
        <f>IF((_xlfn.XLOOKUP(Profesores[[#This Row],[Nombre]],base_de_datos[Profesor],base_de_datos[Academia],1))=Profesores[[#Headers],[AIC]],"x","")</f>
        <v/>
      </c>
      <c r="AD102" s="4" t="str">
        <f>IF((_xlfn.XLOOKUP(Profesores[[#This Row],[Nombre]],base_de_datos[Profesor],base_de_datos[Academia],1))=Profesores[[#Headers],[ESC]],"x","")</f>
        <v/>
      </c>
      <c r="AE102" s="6" t="str">
        <f>IF((_xlfn.XLOOKUP(Profesores[[#This Row],[Nombre]],base_de_datos[Profesor],base_de_datos[Academia],1))=Profesores[[#Headers],[HUM]],"x","")</f>
        <v/>
      </c>
      <c r="AF102" s="4" t="str">
        <f>IF((_xlfn.XLOOKUP(Profesores[[#This Row],[Nombre]],base_de_datos[Profesor],base_de_datos[Academia],1))=Profesores[[#Headers],[IID]],"x","")</f>
        <v/>
      </c>
      <c r="AG102" s="6" t="str">
        <f>IF((_xlfn.XLOOKUP(Profesores[[#This Row],[Nombre]],base_de_datos[Profesor],base_de_datos[Academia],1))=Profesores[[#Headers],[BIO]],"x","")</f>
        <v/>
      </c>
      <c r="AJ102" s="6">
        <f>TRUNC(IFERROR(Profesores[[#This Row],[Ex Inglés]]*677/100,0),0)</f>
        <v>0</v>
      </c>
    </row>
    <row r="103" spans="1:36" ht="12" hidden="1" customHeight="1">
      <c r="B103" s="6">
        <v>22</v>
      </c>
      <c r="C103" s="2" t="s">
        <v>499</v>
      </c>
      <c r="D103" s="2" t="s">
        <v>485</v>
      </c>
      <c r="E103" s="66">
        <v>238283</v>
      </c>
      <c r="F103" s="134" t="s">
        <v>391</v>
      </c>
      <c r="G103" s="34" t="s">
        <v>1040</v>
      </c>
      <c r="H103" s="34" t="s">
        <v>1041</v>
      </c>
      <c r="I103" s="34" t="s">
        <v>526</v>
      </c>
      <c r="J103" s="57">
        <v>29924</v>
      </c>
      <c r="K103" s="34" t="s">
        <v>515</v>
      </c>
      <c r="L103" s="4" t="s">
        <v>504</v>
      </c>
      <c r="M103" s="53">
        <v>4442634071</v>
      </c>
      <c r="N103" s="195" t="s">
        <v>1042</v>
      </c>
      <c r="O103" s="128" t="s">
        <v>1043</v>
      </c>
      <c r="P103" s="4">
        <v>106</v>
      </c>
      <c r="Q103" s="4" t="s">
        <v>1044</v>
      </c>
      <c r="R103" s="4" t="s">
        <v>1045</v>
      </c>
      <c r="S103" s="4" t="s">
        <v>1046</v>
      </c>
      <c r="T103" s="6">
        <v>89338</v>
      </c>
      <c r="U103" s="4">
        <v>0</v>
      </c>
      <c r="V103" s="4" t="str">
        <f>IF((_xlfn.XLOOKUP(Profesores[[#This Row],[Nombre]],base_de_datos[Profesor],base_de_datos[Academia],1))=Profesores[[#Headers],[MEC]],"x","")</f>
        <v/>
      </c>
      <c r="W103" s="4" t="str">
        <f>IF((_xlfn.XLOOKUP(Profesores[[#This Row],[Nombre]],base_de_datos[Profesor],base_de_datos[Academia],1))=Profesores[[#Headers],[COM]],"x","")</f>
        <v/>
      </c>
      <c r="X103" s="4" t="s">
        <v>67</v>
      </c>
      <c r="Y103" s="4" t="str">
        <f>IF((_xlfn.XLOOKUP(Profesores[[#This Row],[Nombre]],base_de_datos[Profesor],base_de_datos[Academia],1))=Profesores[[#Headers],[DOP]],"x","")</f>
        <v/>
      </c>
      <c r="Z103" s="4" t="str">
        <f>IF((_xlfn.XLOOKUP(Profesores[[#This Row],[Nombre]],base_de_datos[Profesor],base_de_datos[Academia],1))=Profesores[[#Headers],[ETF]],"x","")</f>
        <v/>
      </c>
      <c r="AA103" s="4" t="str">
        <f>IF((_xlfn.XLOOKUP(Profesores[[#This Row],[Nombre]],base_de_datos[Profesor],base_de_datos[Academia],1))=Profesores[[#Headers],[MAT]],"x","")</f>
        <v/>
      </c>
      <c r="AB103" s="4" t="str">
        <f>IF((_xlfn.XLOOKUP(Profesores[[#This Row],[Nombre]],base_de_datos[Profesor],base_de_datos[Academia],1))=Profesores[[#Headers],[EMP]],"x","")</f>
        <v/>
      </c>
      <c r="AC103" s="6" t="str">
        <f>IF((_xlfn.XLOOKUP(Profesores[[#This Row],[Nombre]],base_de_datos[Profesor],base_de_datos[Academia],1))=Profesores[[#Headers],[AIC]],"x","")</f>
        <v/>
      </c>
      <c r="AD103" s="4" t="str">
        <f>IF((_xlfn.XLOOKUP(Profesores[[#This Row],[Nombre]],base_de_datos[Profesor],base_de_datos[Academia],1))=Profesores[[#Headers],[ESC]],"x","")</f>
        <v/>
      </c>
      <c r="AE103" s="6" t="str">
        <f>IF((_xlfn.XLOOKUP(Profesores[[#This Row],[Nombre]],base_de_datos[Profesor],base_de_datos[Academia],1))=Profesores[[#Headers],[HUM]],"x","")</f>
        <v/>
      </c>
      <c r="AF103" s="4" t="str">
        <f>IF((_xlfn.XLOOKUP(Profesores[[#This Row],[Nombre]],base_de_datos[Profesor],base_de_datos[Academia],1))=Profesores[[#Headers],[IID]],"x","")</f>
        <v/>
      </c>
      <c r="AG103" s="6" t="str">
        <f>IF((_xlfn.XLOOKUP(Profesores[[#This Row],[Nombre]],base_de_datos[Profesor],base_de_datos[Academia],1))=Profesores[[#Headers],[BIO]],"x","")</f>
        <v/>
      </c>
      <c r="AH103" s="6">
        <v>26.14</v>
      </c>
      <c r="AI103" s="6" t="s">
        <v>597</v>
      </c>
      <c r="AJ103" s="6">
        <f>TRUNC(IFERROR(Profesores[[#This Row],[Ex Inglés]]*677/100,0),0)</f>
        <v>176</v>
      </c>
    </row>
    <row r="104" spans="1:36" ht="12" hidden="1" customHeight="1">
      <c r="B104" s="6">
        <v>92</v>
      </c>
      <c r="C104" s="4" t="s">
        <v>497</v>
      </c>
      <c r="D104" s="4" t="s">
        <v>498</v>
      </c>
      <c r="E104" s="56">
        <v>245160</v>
      </c>
      <c r="F104" s="133" t="s">
        <v>396</v>
      </c>
      <c r="G104" s="33" t="s">
        <v>1047</v>
      </c>
      <c r="H104" s="33" t="s">
        <v>1048</v>
      </c>
      <c r="I104" s="33" t="s">
        <v>1049</v>
      </c>
      <c r="J104" s="58">
        <v>28477</v>
      </c>
      <c r="K104" s="33" t="s">
        <v>515</v>
      </c>
      <c r="L104" s="4" t="s">
        <v>504</v>
      </c>
      <c r="M104" s="53">
        <v>4497697100</v>
      </c>
      <c r="N104" s="89" t="s">
        <v>1050</v>
      </c>
      <c r="O104" s="128" t="s">
        <v>958</v>
      </c>
      <c r="P104" s="4">
        <v>515</v>
      </c>
      <c r="Q104" s="4" t="s">
        <v>1051</v>
      </c>
      <c r="R104" s="4" t="s">
        <v>902</v>
      </c>
      <c r="T104" s="6">
        <v>20921</v>
      </c>
      <c r="U104" s="4">
        <v>0</v>
      </c>
      <c r="V104" s="4" t="str">
        <f>IF((_xlfn.XLOOKUP(Profesores[[#This Row],[Nombre]],base_de_datos[Profesor],base_de_datos[Academia],1))=Profesores[[#Headers],[MEC]],"x","")</f>
        <v/>
      </c>
      <c r="W104" s="4" t="str">
        <f>IF((_xlfn.XLOOKUP(Profesores[[#This Row],[Nombre]],base_de_datos[Profesor],base_de_datos[Academia],1))=Profesores[[#Headers],[COM]],"x","")</f>
        <v/>
      </c>
      <c r="Y104" s="4" t="str">
        <f>IF((_xlfn.XLOOKUP(Profesores[[#This Row],[Nombre]],base_de_datos[Profesor],base_de_datos[Academia],1))=Profesores[[#Headers],[DOP]],"x","")</f>
        <v/>
      </c>
      <c r="Z104" s="4" t="str">
        <f>IF((_xlfn.XLOOKUP(Profesores[[#This Row],[Nombre]],base_de_datos[Profesor],base_de_datos[Academia],1))=Profesores[[#Headers],[ETF]],"x","")</f>
        <v/>
      </c>
      <c r="AA104" s="4" t="str">
        <f>IF((_xlfn.XLOOKUP(Profesores[[#This Row],[Nombre]],base_de_datos[Profesor],base_de_datos[Academia],1))=Profesores[[#Headers],[MAT]],"x","")</f>
        <v/>
      </c>
      <c r="AB104" s="4" t="str">
        <f>IF((_xlfn.XLOOKUP(Profesores[[#This Row],[Nombre]],base_de_datos[Profesor],base_de_datos[Academia],1))=Profesores[[#Headers],[EMP]],"x","")</f>
        <v/>
      </c>
      <c r="AC104" s="6" t="str">
        <f>IF((_xlfn.XLOOKUP(Profesores[[#This Row],[Nombre]],base_de_datos[Profesor],base_de_datos[Academia],1))=Profesores[[#Headers],[AIC]],"x","")</f>
        <v/>
      </c>
      <c r="AD104" s="4" t="str">
        <f>IF((_xlfn.XLOOKUP(Profesores[[#This Row],[Nombre]],base_de_datos[Profesor],base_de_datos[Academia],1))=Profesores[[#Headers],[ESC]],"x","")</f>
        <v/>
      </c>
      <c r="AE104" s="6" t="str">
        <f>IF((_xlfn.XLOOKUP(Profesores[[#This Row],[Nombre]],base_de_datos[Profesor],base_de_datos[Academia],1))=Profesores[[#Headers],[HUM]],"x","")</f>
        <v/>
      </c>
      <c r="AF104" s="4" t="str">
        <f>IF((_xlfn.XLOOKUP(Profesores[[#This Row],[Nombre]],base_de_datos[Profesor],base_de_datos[Academia],1))=Profesores[[#Headers],[IID]],"x","")</f>
        <v>x</v>
      </c>
      <c r="AG104" s="6" t="str">
        <f>IF((_xlfn.XLOOKUP(Profesores[[#This Row],[Nombre]],base_de_datos[Profesor],base_de_datos[Academia],1))=Profesores[[#Headers],[BIO]],"x","")</f>
        <v/>
      </c>
      <c r="AJ104" s="6">
        <f>TRUNC(IFERROR(Profesores[[#This Row],[Ex Inglés]]*677/100,0),0)</f>
        <v>0</v>
      </c>
    </row>
    <row r="105" spans="1:36" ht="12" hidden="1" customHeight="1">
      <c r="B105" s="4" t="s">
        <v>1052</v>
      </c>
      <c r="E105" s="56"/>
      <c r="F105" s="6" t="s">
        <v>1053</v>
      </c>
      <c r="J105" s="4"/>
      <c r="M105" s="53"/>
      <c r="N105" s="53"/>
      <c r="O105" s="128"/>
      <c r="T105" s="6"/>
      <c r="U105" s="4">
        <v>1</v>
      </c>
      <c r="V105" s="4" t="str">
        <f>IF((_xlfn.XLOOKUP(Profesores[[#This Row],[Nombre]],base_de_datos[Profesor],base_de_datos[Academia],1))=Profesores[[#Headers],[MEC]],"x","")</f>
        <v/>
      </c>
      <c r="W105" s="4" t="str">
        <f>IF((_xlfn.XLOOKUP(Profesores[[#This Row],[Nombre]],base_de_datos[Profesor],base_de_datos[Academia],1))=Profesores[[#Headers],[COM]],"x","")</f>
        <v/>
      </c>
      <c r="Y105" s="4" t="str">
        <f>IF((_xlfn.XLOOKUP(Profesores[[#This Row],[Nombre]],base_de_datos[Profesor],base_de_datos[Academia],1))=Profesores[[#Headers],[DOP]],"x","")</f>
        <v/>
      </c>
      <c r="Z105" s="4" t="str">
        <f>IF((_xlfn.XLOOKUP(Profesores[[#This Row],[Nombre]],base_de_datos[Profesor],base_de_datos[Academia],1))=Profesores[[#Headers],[ETF]],"x","")</f>
        <v/>
      </c>
      <c r="AA105" s="4" t="str">
        <f>IF((_xlfn.XLOOKUP(Profesores[[#This Row],[Nombre]],base_de_datos[Profesor],base_de_datos[Academia],1))=Profesores[[#Headers],[MAT]],"x","")</f>
        <v/>
      </c>
      <c r="AB105" s="4" t="str">
        <f>IF((_xlfn.XLOOKUP(Profesores[[#This Row],[Nombre]],base_de_datos[Profesor],base_de_datos[Academia],1))=Profesores[[#Headers],[EMP]],"x","")</f>
        <v/>
      </c>
      <c r="AC105" s="6" t="str">
        <f>IF((_xlfn.XLOOKUP(Profesores[[#This Row],[Nombre]],base_de_datos[Profesor],base_de_datos[Academia],1))=Profesores[[#Headers],[AIC]],"x","")</f>
        <v/>
      </c>
      <c r="AD105" s="4" t="str">
        <f>IF((_xlfn.XLOOKUP(Profesores[[#This Row],[Nombre]],base_de_datos[Profesor],base_de_datos[Academia],1))=Profesores[[#Headers],[ESC]],"x","")</f>
        <v/>
      </c>
      <c r="AE105" s="6" t="str">
        <f>IF((_xlfn.XLOOKUP(Profesores[[#This Row],[Nombre]],base_de_datos[Profesor],base_de_datos[Academia],1))=Profesores[[#Headers],[HUM]],"x","")</f>
        <v/>
      </c>
      <c r="AF105" s="4" t="str">
        <f>IF((_xlfn.XLOOKUP(Profesores[[#This Row],[Nombre]],base_de_datos[Profesor],base_de_datos[Academia],1))=Profesores[[#Headers],[IID]],"x","")</f>
        <v/>
      </c>
      <c r="AG105" s="6" t="str">
        <f>IF((_xlfn.XLOOKUP(Profesores[[#This Row],[Nombre]],base_de_datos[Profesor],base_de_datos[Academia],1))=Profesores[[#Headers],[BIO]],"x","")</f>
        <v/>
      </c>
      <c r="AH105" s="6" t="s">
        <v>543</v>
      </c>
      <c r="AJ105" s="6">
        <f>TRUNC(IFERROR(Profesores[[#This Row],[Ex Inglés]]*677/100,0),0)</f>
        <v>0</v>
      </c>
    </row>
    <row r="106" spans="1:36" ht="12" hidden="1" customHeight="1">
      <c r="B106" s="6">
        <v>20</v>
      </c>
      <c r="C106" s="2" t="s">
        <v>497</v>
      </c>
      <c r="D106" s="2" t="s">
        <v>485</v>
      </c>
      <c r="E106" s="66">
        <v>146252</v>
      </c>
      <c r="F106" s="134" t="s">
        <v>11</v>
      </c>
      <c r="G106" s="34" t="s">
        <v>1054</v>
      </c>
      <c r="H106" s="34" t="s">
        <v>1055</v>
      </c>
      <c r="I106" s="34" t="s">
        <v>1056</v>
      </c>
      <c r="J106" s="57">
        <v>23775</v>
      </c>
      <c r="K106" s="33" t="s">
        <v>515</v>
      </c>
      <c r="L106" s="4" t="s">
        <v>504</v>
      </c>
      <c r="M106" s="53">
        <v>4492607809</v>
      </c>
      <c r="N106" s="89" t="s">
        <v>1057</v>
      </c>
      <c r="O106" s="128" t="s">
        <v>1058</v>
      </c>
      <c r="P106" s="4">
        <v>1206</v>
      </c>
      <c r="Q106" s="4" t="s">
        <v>1059</v>
      </c>
      <c r="R106" s="4" t="s">
        <v>491</v>
      </c>
      <c r="S106" s="4" t="s">
        <v>491</v>
      </c>
      <c r="T106" s="6">
        <v>20140</v>
      </c>
      <c r="U106" s="4"/>
      <c r="V106" s="4" t="str">
        <f>IF((_xlfn.XLOOKUP(Profesores[[#This Row],[Nombre]],base_de_datos[Profesor],base_de_datos[Academia],1))=Profesores[[#Headers],[MEC]],"x","")</f>
        <v/>
      </c>
      <c r="W106" s="4" t="str">
        <f>IF((_xlfn.XLOOKUP(Profesores[[#This Row],[Nombre]],base_de_datos[Profesor],base_de_datos[Academia],1))=Profesores[[#Headers],[COM]],"x","")</f>
        <v/>
      </c>
      <c r="Y106" s="4" t="str">
        <f>IF((_xlfn.XLOOKUP(Profesores[[#This Row],[Nombre]],base_de_datos[Profesor],base_de_datos[Academia],1))=Profesores[[#Headers],[DOP]],"x","")</f>
        <v/>
      </c>
      <c r="Z106" s="4" t="str">
        <f>IF((_xlfn.XLOOKUP(Profesores[[#This Row],[Nombre]],base_de_datos[Profesor],base_de_datos[Academia],1))=Profesores[[#Headers],[ETF]],"x","")</f>
        <v/>
      </c>
      <c r="AA106" s="4" t="s">
        <v>595</v>
      </c>
      <c r="AB106" s="4" t="str">
        <f>IF((_xlfn.XLOOKUP(Profesores[[#This Row],[Nombre]],base_de_datos[Profesor],base_de_datos[Academia],1))=Profesores[[#Headers],[EMP]],"x","")</f>
        <v/>
      </c>
      <c r="AC106" s="6" t="str">
        <f>IF((_xlfn.XLOOKUP(Profesores[[#This Row],[Nombre]],base_de_datos[Profesor],base_de_datos[Academia],1))=Profesores[[#Headers],[AIC]],"x","")</f>
        <v/>
      </c>
      <c r="AD106" s="4" t="str">
        <f>IF((_xlfn.XLOOKUP(Profesores[[#This Row],[Nombre]],base_de_datos[Profesor],base_de_datos[Academia],1))=Profesores[[#Headers],[ESC]],"x","")</f>
        <v/>
      </c>
      <c r="AE106" s="6" t="str">
        <f>IF((_xlfn.XLOOKUP(Profesores[[#This Row],[Nombre]],base_de_datos[Profesor],base_de_datos[Academia],1))=Profesores[[#Headers],[HUM]],"x","")</f>
        <v/>
      </c>
      <c r="AF106" s="4" t="str">
        <f>IF((_xlfn.XLOOKUP(Profesores[[#This Row],[Nombre]],base_de_datos[Profesor],base_de_datos[Academia],1))=Profesores[[#Headers],[IID]],"x","")</f>
        <v/>
      </c>
      <c r="AG106" s="6" t="str">
        <f>IF((_xlfn.XLOOKUP(Profesores[[#This Row],[Nombre]],base_de_datos[Profesor],base_de_datos[Academia],1))=Profesores[[#Headers],[BIO]],"x","")</f>
        <v/>
      </c>
      <c r="AJ106" s="6">
        <f>TRUNC(IFERROR(Profesores[[#This Row],[Ex Inglés]]*677/100,0),0)</f>
        <v>0</v>
      </c>
    </row>
    <row r="107" spans="1:36" s="135" customFormat="1" ht="12" hidden="1" customHeight="1">
      <c r="A107" s="227"/>
      <c r="B107" s="6">
        <v>128</v>
      </c>
      <c r="C107" s="4" t="s">
        <v>497</v>
      </c>
      <c r="D107" s="4" t="s">
        <v>511</v>
      </c>
      <c r="E107" s="56">
        <v>180577</v>
      </c>
      <c r="F107" s="202" t="s">
        <v>400</v>
      </c>
      <c r="G107" s="33" t="s">
        <v>1060</v>
      </c>
      <c r="H107" s="33" t="s">
        <v>1061</v>
      </c>
      <c r="I107" s="33" t="s">
        <v>784</v>
      </c>
      <c r="J107" s="58">
        <v>29714</v>
      </c>
      <c r="K107" s="33"/>
      <c r="L107" s="4" t="s">
        <v>504</v>
      </c>
      <c r="M107" s="53">
        <v>4494659714</v>
      </c>
      <c r="N107" s="89" t="s">
        <v>1062</v>
      </c>
      <c r="O107" s="128" t="s">
        <v>1063</v>
      </c>
      <c r="P107" s="4">
        <v>202</v>
      </c>
      <c r="Q107" s="33" t="s">
        <v>594</v>
      </c>
      <c r="R107" s="4" t="s">
        <v>491</v>
      </c>
      <c r="S107" s="4" t="s">
        <v>491</v>
      </c>
      <c r="T107" s="6">
        <v>20000</v>
      </c>
      <c r="U107" s="4"/>
      <c r="V107" s="4" t="str">
        <f>IF((_xlfn.XLOOKUP(Profesores[[#This Row],[Nombre]],base_de_datos[Profesor],base_de_datos[Academia],1))=Profesores[[#Headers],[MEC]],"x","")</f>
        <v/>
      </c>
      <c r="W107" s="4" t="str">
        <f>IF((_xlfn.XLOOKUP(Profesores[[#This Row],[Nombre]],base_de_datos[Profesor],base_de_datos[Academia],1))=Profesores[[#Headers],[COM]],"x","")</f>
        <v/>
      </c>
      <c r="X107" s="4"/>
      <c r="Y107" s="4" t="str">
        <f>IF((_xlfn.XLOOKUP(Profesores[[#This Row],[Nombre]],base_de_datos[Profesor],base_de_datos[Academia],1))=Profesores[[#Headers],[DOP]],"x","")</f>
        <v/>
      </c>
      <c r="Z107" s="4" t="str">
        <f>IF((_xlfn.XLOOKUP(Profesores[[#This Row],[Nombre]],base_de_datos[Profesor],base_de_datos[Academia],1))=Profesores[[#Headers],[ETF]],"x","")</f>
        <v/>
      </c>
      <c r="AA107" s="4" t="str">
        <f>IF((_xlfn.XLOOKUP(Profesores[[#This Row],[Nombre]],base_de_datos[Profesor],base_de_datos[Academia],1))=Profesores[[#Headers],[MAT]],"x","")</f>
        <v/>
      </c>
      <c r="AB107" s="4" t="str">
        <f>IF((_xlfn.XLOOKUP(Profesores[[#This Row],[Nombre]],base_de_datos[Profesor],base_de_datos[Academia],1))=Profesores[[#Headers],[EMP]],"x","")</f>
        <v/>
      </c>
      <c r="AC107" s="6" t="str">
        <f>IF((_xlfn.XLOOKUP(Profesores[[#This Row],[Nombre]],base_de_datos[Profesor],base_de_datos[Academia],1))=Profesores[[#Headers],[AIC]],"x","")</f>
        <v/>
      </c>
      <c r="AD107" s="4" t="str">
        <f>IF((_xlfn.XLOOKUP(Profesores[[#This Row],[Nombre]],base_de_datos[Profesor],base_de_datos[Academia],1))=Profesores[[#Headers],[ESC]],"x","")</f>
        <v/>
      </c>
      <c r="AE107" s="6" t="str">
        <f>IF((_xlfn.XLOOKUP(Profesores[[#This Row],[Nombre]],base_de_datos[Profesor],base_de_datos[Academia],1))=Profesores[[#Headers],[HUM]],"x","")</f>
        <v>x</v>
      </c>
      <c r="AF107" s="4" t="str">
        <f>IF((_xlfn.XLOOKUP(Profesores[[#This Row],[Nombre]],base_de_datos[Profesor],base_de_datos[Academia],1))=Profesores[[#Headers],[IID]],"x","")</f>
        <v/>
      </c>
      <c r="AG107" s="6" t="str">
        <f>IF((_xlfn.XLOOKUP(Profesores[[#This Row],[Nombre]],base_de_datos[Profesor],base_de_datos[Academia],1))=Profesores[[#Headers],[BIO]],"x","")</f>
        <v/>
      </c>
      <c r="AH107" s="6"/>
      <c r="AI107" s="6"/>
      <c r="AJ107" s="6">
        <f>TRUNC(IFERROR(Profesores[[#This Row],[Ex Inglés]]*677/100,0),0)</f>
        <v>0</v>
      </c>
    </row>
    <row r="108" spans="1:36" ht="12" hidden="1" customHeight="1">
      <c r="B108" s="6">
        <v>23</v>
      </c>
      <c r="C108" s="2" t="s">
        <v>484</v>
      </c>
      <c r="D108" s="2" t="s">
        <v>485</v>
      </c>
      <c r="E108" s="66">
        <v>84178</v>
      </c>
      <c r="F108" s="134" t="s">
        <v>397</v>
      </c>
      <c r="G108" s="34" t="s">
        <v>1064</v>
      </c>
      <c r="H108" s="34" t="s">
        <v>717</v>
      </c>
      <c r="I108" s="34" t="s">
        <v>1065</v>
      </c>
      <c r="J108" s="57">
        <v>24096</v>
      </c>
      <c r="K108" s="33" t="s">
        <v>515</v>
      </c>
      <c r="L108" s="4" t="s">
        <v>65</v>
      </c>
      <c r="M108" s="53" t="s">
        <v>1066</v>
      </c>
      <c r="N108" s="89" t="s">
        <v>1067</v>
      </c>
      <c r="O108" s="128" t="s">
        <v>1068</v>
      </c>
      <c r="P108" s="4">
        <v>135</v>
      </c>
      <c r="Q108" s="4" t="s">
        <v>1069</v>
      </c>
      <c r="R108" s="4" t="s">
        <v>491</v>
      </c>
      <c r="S108" s="4" t="s">
        <v>491</v>
      </c>
      <c r="T108" s="6">
        <v>20126</v>
      </c>
      <c r="U108" s="10"/>
      <c r="V108" s="4"/>
      <c r="W108" s="4" t="str">
        <f>IF((_xlfn.XLOOKUP(Profesores[[#This Row],[Nombre]],base_de_datos[Profesor],base_de_datos[Academia],1))=Profesores[[#Headers],[COM]],"x","")</f>
        <v/>
      </c>
      <c r="Y108" s="4" t="str">
        <f>IF((_xlfn.XLOOKUP(Profesores[[#This Row],[Nombre]],base_de_datos[Profesor],base_de_datos[Academia],1))=Profesores[[#Headers],[DOP]],"x","")</f>
        <v/>
      </c>
      <c r="Z108" s="4" t="str">
        <f>IF((_xlfn.XLOOKUP(Profesores[[#This Row],[Nombre]],base_de_datos[Profesor],base_de_datos[Academia],1))=Profesores[[#Headers],[ETF]],"x","")</f>
        <v/>
      </c>
      <c r="AA108" s="4" t="str">
        <f>IF((_xlfn.XLOOKUP(Profesores[[#This Row],[Nombre]],base_de_datos[Profesor],base_de_datos[Academia],1))=Profesores[[#Headers],[MAT]],"x","")</f>
        <v>x</v>
      </c>
      <c r="AB108" s="4" t="str">
        <f>IF((_xlfn.XLOOKUP(Profesores[[#This Row],[Nombre]],base_de_datos[Profesor],base_de_datos[Academia],1))=Profesores[[#Headers],[EMP]],"x","")</f>
        <v/>
      </c>
      <c r="AC108" s="6" t="str">
        <f>IF((_xlfn.XLOOKUP(Profesores[[#This Row],[Nombre]],base_de_datos[Profesor],base_de_datos[Academia],1))=Profesores[[#Headers],[AIC]],"x","")</f>
        <v/>
      </c>
      <c r="AD108" s="4" t="str">
        <f>IF((_xlfn.XLOOKUP(Profesores[[#This Row],[Nombre]],base_de_datos[Profesor],base_de_datos[Academia],1))=Profesores[[#Headers],[ESC]],"x","")</f>
        <v/>
      </c>
      <c r="AE108" s="6" t="str">
        <f>IF((_xlfn.XLOOKUP(Profesores[[#This Row],[Nombre]],base_de_datos[Profesor],base_de_datos[Academia],1))=Profesores[[#Headers],[HUM]],"x","")</f>
        <v/>
      </c>
      <c r="AF108" s="4" t="str">
        <f>IF((_xlfn.XLOOKUP(Profesores[[#This Row],[Nombre]],base_de_datos[Profesor],base_de_datos[Academia],1))=Profesores[[#Headers],[IID]],"x","")</f>
        <v/>
      </c>
      <c r="AG108" s="6" t="str">
        <f>IF((_xlfn.XLOOKUP(Profesores[[#This Row],[Nombre]],base_de_datos[Profesor],base_de_datos[Academia],1))=Profesores[[#Headers],[BIO]],"x","")</f>
        <v/>
      </c>
      <c r="AJ108" s="6">
        <f>TRUNC(IFERROR(Profesores[[#This Row],[Ex Inglés]]*677/100,0),0)</f>
        <v>0</v>
      </c>
    </row>
    <row r="109" spans="1:36" ht="12" hidden="1" customHeight="1">
      <c r="B109" s="6">
        <v>24</v>
      </c>
      <c r="C109" s="2" t="s">
        <v>510</v>
      </c>
      <c r="D109" s="2" t="s">
        <v>485</v>
      </c>
      <c r="E109" s="66">
        <v>190454</v>
      </c>
      <c r="F109" s="134" t="s">
        <v>407</v>
      </c>
      <c r="G109" s="34" t="s">
        <v>1070</v>
      </c>
      <c r="H109" s="34" t="s">
        <v>1071</v>
      </c>
      <c r="I109" s="34"/>
      <c r="J109" s="57">
        <v>28974</v>
      </c>
      <c r="K109" s="34" t="s">
        <v>515</v>
      </c>
      <c r="L109" s="4" t="s">
        <v>504</v>
      </c>
      <c r="M109" s="53">
        <v>4494062676</v>
      </c>
      <c r="N109" s="54" t="s">
        <v>1072</v>
      </c>
      <c r="O109" s="128" t="s">
        <v>673</v>
      </c>
      <c r="P109" s="4">
        <v>120</v>
      </c>
      <c r="Q109" s="4" t="s">
        <v>1073</v>
      </c>
      <c r="R109" s="4" t="s">
        <v>491</v>
      </c>
      <c r="S109" s="4" t="s">
        <v>491</v>
      </c>
      <c r="T109" s="6">
        <v>20218</v>
      </c>
      <c r="U109" s="4"/>
      <c r="V109" s="4" t="str">
        <f>IF((_xlfn.XLOOKUP(Profesores[[#This Row],[Nombre]],base_de_datos[Profesor],base_de_datos[Academia],1))=Profesores[[#Headers],[MEC]],"x","")</f>
        <v/>
      </c>
      <c r="W109" s="4" t="str">
        <f>IF((_xlfn.XLOOKUP(Profesores[[#This Row],[Nombre]],base_de_datos[Profesor],base_de_datos[Academia],1))=Profesores[[#Headers],[COM]],"x","")</f>
        <v/>
      </c>
      <c r="Y109" s="4" t="str">
        <f>IF((_xlfn.XLOOKUP(Profesores[[#This Row],[Nombre]],base_de_datos[Profesor],base_de_datos[Academia],1))=Profesores[[#Headers],[DOP]],"x","")</f>
        <v/>
      </c>
      <c r="Z109" s="4" t="str">
        <f>IF((_xlfn.XLOOKUP(Profesores[[#This Row],[Nombre]],base_de_datos[Profesor],base_de_datos[Academia],1))=Profesores[[#Headers],[ETF]],"x","")</f>
        <v>x</v>
      </c>
      <c r="AA109" s="4" t="str">
        <f>IF((_xlfn.XLOOKUP(Profesores[[#This Row],[Nombre]],base_de_datos[Profesor],base_de_datos[Academia],1))=Profesores[[#Headers],[MAT]],"x","")</f>
        <v/>
      </c>
      <c r="AB109" s="4" t="str">
        <f>IF((_xlfn.XLOOKUP(Profesores[[#This Row],[Nombre]],base_de_datos[Profesor],base_de_datos[Academia],1))=Profesores[[#Headers],[EMP]],"x","")</f>
        <v/>
      </c>
      <c r="AC109" s="6" t="str">
        <f>IF((_xlfn.XLOOKUP(Profesores[[#This Row],[Nombre]],base_de_datos[Profesor],base_de_datos[Academia],1))=Profesores[[#Headers],[AIC]],"x","")</f>
        <v/>
      </c>
      <c r="AD109" s="4" t="str">
        <f>IF((_xlfn.XLOOKUP(Profesores[[#This Row],[Nombre]],base_de_datos[Profesor],base_de_datos[Academia],1))=Profesores[[#Headers],[ESC]],"x","")</f>
        <v/>
      </c>
      <c r="AE109" s="6" t="str">
        <f>IF((_xlfn.XLOOKUP(Profesores[[#This Row],[Nombre]],base_de_datos[Profesor],base_de_datos[Academia],1))=Profesores[[#Headers],[HUM]],"x","")</f>
        <v/>
      </c>
      <c r="AF109" s="4" t="str">
        <f>IF((_xlfn.XLOOKUP(Profesores[[#This Row],[Nombre]],base_de_datos[Profesor],base_de_datos[Academia],1))=Profesores[[#Headers],[IID]],"x","")</f>
        <v/>
      </c>
      <c r="AG109" s="6" t="str">
        <f>IF((_xlfn.XLOOKUP(Profesores[[#This Row],[Nombre]],base_de_datos[Profesor],base_de_datos[Academia],1))=Profesores[[#Headers],[BIO]],"x","")</f>
        <v/>
      </c>
      <c r="AJ109" s="6">
        <f>TRUNC(IFERROR(Profesores[[#This Row],[Ex Inglés]]*677/100,0),0)</f>
        <v>0</v>
      </c>
    </row>
    <row r="110" spans="1:36" ht="12" hidden="1" customHeight="1">
      <c r="B110" s="6">
        <v>34</v>
      </c>
      <c r="C110" s="4" t="s">
        <v>499</v>
      </c>
      <c r="D110" s="4" t="s">
        <v>494</v>
      </c>
      <c r="E110" s="56">
        <v>144753</v>
      </c>
      <c r="F110" s="133" t="s">
        <v>409</v>
      </c>
      <c r="G110" s="33" t="s">
        <v>1074</v>
      </c>
      <c r="H110" s="33" t="s">
        <v>836</v>
      </c>
      <c r="I110" s="33" t="s">
        <v>723</v>
      </c>
      <c r="J110" s="58">
        <v>27854</v>
      </c>
      <c r="K110" s="34" t="s">
        <v>515</v>
      </c>
      <c r="L110" s="4" t="s">
        <v>504</v>
      </c>
      <c r="M110" s="53">
        <v>4491068620</v>
      </c>
      <c r="N110" s="89" t="s">
        <v>1075</v>
      </c>
      <c r="O110" s="128" t="s">
        <v>1076</v>
      </c>
      <c r="P110" s="4">
        <v>409</v>
      </c>
      <c r="Q110" s="4" t="s">
        <v>1077</v>
      </c>
      <c r="R110" s="4" t="s">
        <v>491</v>
      </c>
      <c r="S110" s="4" t="s">
        <v>491</v>
      </c>
      <c r="T110" s="6">
        <v>20127</v>
      </c>
      <c r="U110" s="4"/>
      <c r="V110" s="4" t="str">
        <f>IF((_xlfn.XLOOKUP(Profesores[[#This Row],[Nombre]],base_de_datos[Profesor],base_de_datos[Academia],1))=Profesores[[#Headers],[MEC]],"x","")</f>
        <v/>
      </c>
      <c r="W110" s="4" t="str">
        <f>IF((_xlfn.XLOOKUP(Profesores[[#This Row],[Nombre]],base_de_datos[Profesor],base_de_datos[Academia],1))=Profesores[[#Headers],[COM]],"x","")</f>
        <v/>
      </c>
      <c r="X110" s="4" t="s">
        <v>67</v>
      </c>
      <c r="Y110" s="4" t="str">
        <f>IF((_xlfn.XLOOKUP(Profesores[[#This Row],[Nombre]],base_de_datos[Profesor],base_de_datos[Academia],1))=Profesores[[#Headers],[DOP]],"x","")</f>
        <v/>
      </c>
      <c r="Z110" s="4" t="str">
        <f>IF((_xlfn.XLOOKUP(Profesores[[#This Row],[Nombre]],base_de_datos[Profesor],base_de_datos[Academia],1))=Profesores[[#Headers],[ETF]],"x","")</f>
        <v/>
      </c>
      <c r="AA110" s="4" t="str">
        <f>IF((_xlfn.XLOOKUP(Profesores[[#This Row],[Nombre]],base_de_datos[Profesor],base_de_datos[Academia],1))=Profesores[[#Headers],[MAT]],"x","")</f>
        <v/>
      </c>
      <c r="AB110" s="4" t="str">
        <f>IF((_xlfn.XLOOKUP(Profesores[[#This Row],[Nombre]],base_de_datos[Profesor],base_de_datos[Academia],1))=Profesores[[#Headers],[EMP]],"x","")</f>
        <v/>
      </c>
      <c r="AC110" s="6" t="str">
        <f>IF((_xlfn.XLOOKUP(Profesores[[#This Row],[Nombre]],base_de_datos[Profesor],base_de_datos[Academia],1))=Profesores[[#Headers],[AIC]],"x","")</f>
        <v/>
      </c>
      <c r="AD110" s="4" t="str">
        <f>IF((_xlfn.XLOOKUP(Profesores[[#This Row],[Nombre]],base_de_datos[Profesor],base_de_datos[Academia],1))=Profesores[[#Headers],[ESC]],"x","")</f>
        <v/>
      </c>
      <c r="AE110" s="6" t="str">
        <f>IF((_xlfn.XLOOKUP(Profesores[[#This Row],[Nombre]],base_de_datos[Profesor],base_de_datos[Academia],1))=Profesores[[#Headers],[HUM]],"x","")</f>
        <v/>
      </c>
      <c r="AF110" s="4" t="str">
        <f>IF((_xlfn.XLOOKUP(Profesores[[#This Row],[Nombre]],base_de_datos[Profesor],base_de_datos[Academia],1))=Profesores[[#Headers],[IID]],"x","")</f>
        <v/>
      </c>
      <c r="AG110" s="6" t="str">
        <f>IF((_xlfn.XLOOKUP(Profesores[[#This Row],[Nombre]],base_de_datos[Profesor],base_de_datos[Academia],1))=Profesores[[#Headers],[BIO]],"x","")</f>
        <v/>
      </c>
      <c r="AJ110" s="6">
        <f>TRUNC(IFERROR(Profesores[[#This Row],[Ex Inglés]]*677/100,0),0)</f>
        <v>0</v>
      </c>
    </row>
    <row r="111" spans="1:36" ht="12" hidden="1" customHeight="1">
      <c r="B111" s="6">
        <v>143</v>
      </c>
      <c r="C111" s="4" t="s">
        <v>497</v>
      </c>
      <c r="D111" s="4" t="s">
        <v>498</v>
      </c>
      <c r="E111" s="56">
        <v>152199</v>
      </c>
      <c r="F111" s="133" t="s">
        <v>404</v>
      </c>
      <c r="G111" s="33" t="s">
        <v>1078</v>
      </c>
      <c r="H111" s="33" t="s">
        <v>688</v>
      </c>
      <c r="I111" s="33" t="s">
        <v>1079</v>
      </c>
      <c r="J111" s="58">
        <v>26087</v>
      </c>
      <c r="K111" s="33" t="s">
        <v>515</v>
      </c>
      <c r="L111" s="33" t="s">
        <v>504</v>
      </c>
      <c r="M111" s="53">
        <v>4493729299</v>
      </c>
      <c r="N111" s="54" t="s">
        <v>1080</v>
      </c>
      <c r="O111" s="8" t="s">
        <v>1081</v>
      </c>
      <c r="P111" s="132">
        <v>315</v>
      </c>
      <c r="Q111" s="6" t="s">
        <v>1082</v>
      </c>
      <c r="R111" s="6" t="s">
        <v>491</v>
      </c>
      <c r="S111" s="6" t="s">
        <v>491</v>
      </c>
      <c r="T111" s="6">
        <v>20230</v>
      </c>
      <c r="U111" s="4"/>
      <c r="V111" s="4" t="str">
        <f>IF((_xlfn.XLOOKUP(Profesores[[#This Row],[Nombre]],base_de_datos[Profesor],base_de_datos[Academia],1))=Profesores[[#Headers],[MEC]],"x","")</f>
        <v/>
      </c>
      <c r="W111" s="4" t="str">
        <f>IF((_xlfn.XLOOKUP(Profesores[[#This Row],[Nombre]],base_de_datos[Profesor],base_de_datos[Academia],1))=Profesores[[#Headers],[COM]],"x","")</f>
        <v/>
      </c>
      <c r="Y111" s="4" t="str">
        <f>IF((_xlfn.XLOOKUP(Profesores[[#This Row],[Nombre]],base_de_datos[Profesor],base_de_datos[Academia],1))=Profesores[[#Headers],[DOP]],"x","")</f>
        <v/>
      </c>
      <c r="Z111" s="4" t="str">
        <f>IF((_xlfn.XLOOKUP(Profesores[[#This Row],[Nombre]],base_de_datos[Profesor],base_de_datos[Academia],1))=Profesores[[#Headers],[ETF]],"x","")</f>
        <v/>
      </c>
      <c r="AA111" s="4" t="str">
        <f>IF((_xlfn.XLOOKUP(Profesores[[#This Row],[Nombre]],base_de_datos[Profesor],base_de_datos[Academia],1))=Profesores[[#Headers],[MAT]],"x","")</f>
        <v>x</v>
      </c>
      <c r="AB111" s="4" t="str">
        <f>IF((_xlfn.XLOOKUP(Profesores[[#This Row],[Nombre]],base_de_datos[Profesor],base_de_datos[Academia],1))=Profesores[[#Headers],[EMP]],"x","")</f>
        <v/>
      </c>
      <c r="AC111" s="6" t="str">
        <f>IF((_xlfn.XLOOKUP(Profesores[[#This Row],[Nombre]],base_de_datos[Profesor],base_de_datos[Academia],1))=Profesores[[#Headers],[AIC]],"x","")</f>
        <v/>
      </c>
      <c r="AD111" s="4" t="str">
        <f>IF((_xlfn.XLOOKUP(Profesores[[#This Row],[Nombre]],base_de_datos[Profesor],base_de_datos[Academia],1))=Profesores[[#Headers],[ESC]],"x","")</f>
        <v/>
      </c>
      <c r="AE111" s="6" t="str">
        <f>IF((_xlfn.XLOOKUP(Profesores[[#This Row],[Nombre]],base_de_datos[Profesor],base_de_datos[Academia],1))=Profesores[[#Headers],[HUM]],"x","")</f>
        <v/>
      </c>
      <c r="AF111" s="4" t="str">
        <f>IF((_xlfn.XLOOKUP(Profesores[[#This Row],[Nombre]],base_de_datos[Profesor],base_de_datos[Academia],1))=Profesores[[#Headers],[IID]],"x","")</f>
        <v/>
      </c>
      <c r="AG111" s="6" t="str">
        <f>IF((_xlfn.XLOOKUP(Profesores[[#This Row],[Nombre]],base_de_datos[Profesor],base_de_datos[Academia],1))=Profesores[[#Headers],[BIO]],"x","")</f>
        <v/>
      </c>
      <c r="AJ111" s="6">
        <f>TRUNC(IFERROR(Profesores[[#This Row],[Ex Inglés]]*677/100,0),0)</f>
        <v>0</v>
      </c>
    </row>
    <row r="112" spans="1:36" ht="12" hidden="1" customHeight="1">
      <c r="C112" s="4" t="s">
        <v>493</v>
      </c>
      <c r="D112" s="4" t="s">
        <v>498</v>
      </c>
      <c r="E112" s="56">
        <v>203575</v>
      </c>
      <c r="F112" s="133" t="s">
        <v>415</v>
      </c>
      <c r="G112" s="33" t="s">
        <v>1083</v>
      </c>
      <c r="H112" s="33" t="s">
        <v>661</v>
      </c>
      <c r="I112" s="33" t="s">
        <v>1084</v>
      </c>
      <c r="J112" s="58">
        <v>32970</v>
      </c>
      <c r="M112" s="53">
        <v>4499157710</v>
      </c>
      <c r="N112" s="136" t="s">
        <v>1085</v>
      </c>
      <c r="O112" s="128" t="s">
        <v>1086</v>
      </c>
      <c r="P112" s="4">
        <v>311</v>
      </c>
      <c r="Q112" s="4" t="s">
        <v>1087</v>
      </c>
      <c r="R112" s="4" t="s">
        <v>491</v>
      </c>
      <c r="S112" s="4" t="s">
        <v>491</v>
      </c>
      <c r="T112" s="6"/>
      <c r="U112" s="4">
        <v>1</v>
      </c>
      <c r="V112" s="4" t="str">
        <f>IF((_xlfn.XLOOKUP(Profesores[[#This Row],[Nombre]],base_de_datos[Profesor],base_de_datos[Academia],1))=Profesores[[#Headers],[MEC]],"x","")</f>
        <v/>
      </c>
      <c r="W112" s="4" t="str">
        <f>IF((_xlfn.XLOOKUP(Profesores[[#This Row],[Nombre]],base_de_datos[Profesor],base_de_datos[Academia],1))=Profesores[[#Headers],[COM]],"x","")</f>
        <v/>
      </c>
      <c r="Y112" s="4" t="str">
        <f>IF((_xlfn.XLOOKUP(Profesores[[#This Row],[Nombre]],base_de_datos[Profesor],base_de_datos[Academia],1))=Profesores[[#Headers],[DOP]],"x","")</f>
        <v/>
      </c>
      <c r="Z112" s="4" t="str">
        <f>IF((_xlfn.XLOOKUP(Profesores[[#This Row],[Nombre]],base_de_datos[Profesor],base_de_datos[Academia],1))=Profesores[[#Headers],[ETF]],"x","")</f>
        <v>x</v>
      </c>
      <c r="AA112" s="4" t="str">
        <f>IF((_xlfn.XLOOKUP(Profesores[[#This Row],[Nombre]],base_de_datos[Profesor],base_de_datos[Academia],1))=Profesores[[#Headers],[MAT]],"x","")</f>
        <v/>
      </c>
      <c r="AB112" s="4" t="str">
        <f>IF((_xlfn.XLOOKUP(Profesores[[#This Row],[Nombre]],base_de_datos[Profesor],base_de_datos[Academia],1))=Profesores[[#Headers],[EMP]],"x","")</f>
        <v/>
      </c>
      <c r="AC112" s="6" t="str">
        <f>IF((_xlfn.XLOOKUP(Profesores[[#This Row],[Nombre]],base_de_datos[Profesor],base_de_datos[Academia],1))=Profesores[[#Headers],[AIC]],"x","")</f>
        <v/>
      </c>
      <c r="AD112" s="4" t="str">
        <f>IF((_xlfn.XLOOKUP(Profesores[[#This Row],[Nombre]],base_de_datos[Profesor],base_de_datos[Academia],1))=Profesores[[#Headers],[ESC]],"x","")</f>
        <v/>
      </c>
      <c r="AE112" s="6" t="str">
        <f>IF((_xlfn.XLOOKUP(Profesores[[#This Row],[Nombre]],base_de_datos[Profesor],base_de_datos[Academia],1))=Profesores[[#Headers],[HUM]],"x","")</f>
        <v/>
      </c>
      <c r="AF112" s="4" t="str">
        <f>IF((_xlfn.XLOOKUP(Profesores[[#This Row],[Nombre]],base_de_datos[Profesor],base_de_datos[Academia],1))=Profesores[[#Headers],[IID]],"x","")</f>
        <v/>
      </c>
      <c r="AG112" s="6" t="str">
        <f>IF((_xlfn.XLOOKUP(Profesores[[#This Row],[Nombre]],base_de_datos[Profesor],base_de_datos[Academia],1))=Profesores[[#Headers],[BIO]],"x","")</f>
        <v/>
      </c>
      <c r="AH112" s="6" t="s">
        <v>596</v>
      </c>
      <c r="AI112" s="6" t="s">
        <v>597</v>
      </c>
      <c r="AJ112" s="6">
        <f>TRUNC(IFERROR(Profesores[[#This Row],[Ex Inglés]]*677/100,0),0)</f>
        <v>0</v>
      </c>
    </row>
    <row r="113" spans="1:36" ht="12" hidden="1" customHeight="1">
      <c r="B113" s="6">
        <v>27</v>
      </c>
      <c r="C113" s="2" t="s">
        <v>497</v>
      </c>
      <c r="D113" s="2" t="s">
        <v>485</v>
      </c>
      <c r="E113" s="66">
        <v>144746</v>
      </c>
      <c r="F113" s="134" t="s">
        <v>418</v>
      </c>
      <c r="G113" s="34" t="s">
        <v>1088</v>
      </c>
      <c r="H113" s="34" t="s">
        <v>910</v>
      </c>
      <c r="I113" s="34" t="s">
        <v>1089</v>
      </c>
      <c r="J113" s="57">
        <v>28804</v>
      </c>
      <c r="K113" s="34" t="s">
        <v>515</v>
      </c>
      <c r="L113" s="4" t="s">
        <v>504</v>
      </c>
      <c r="M113" s="53">
        <v>4499116124</v>
      </c>
      <c r="N113" s="54" t="s">
        <v>1090</v>
      </c>
      <c r="O113" s="128" t="s">
        <v>1091</v>
      </c>
      <c r="P113" s="4" t="s">
        <v>1092</v>
      </c>
      <c r="Q113" s="4" t="s">
        <v>1093</v>
      </c>
      <c r="R113" s="4" t="s">
        <v>491</v>
      </c>
      <c r="S113" s="4" t="s">
        <v>491</v>
      </c>
      <c r="T113" s="6">
        <v>20286</v>
      </c>
      <c r="U113" s="4"/>
      <c r="V113" s="4" t="str">
        <f>IF((_xlfn.XLOOKUP(Profesores[[#This Row],[Nombre]],base_de_datos[Profesor],base_de_datos[Academia],1))=Profesores[[#Headers],[MEC]],"x","")</f>
        <v/>
      </c>
      <c r="W113" s="4" t="str">
        <f>IF((_xlfn.XLOOKUP(Profesores[[#This Row],[Nombre]],base_de_datos[Profesor],base_de_datos[Academia],1))=Profesores[[#Headers],[COM]],"x","")</f>
        <v/>
      </c>
      <c r="X113" s="4" t="s">
        <v>67</v>
      </c>
      <c r="Y113" s="4" t="str">
        <f>IF((_xlfn.XLOOKUP(Profesores[[#This Row],[Nombre]],base_de_datos[Profesor],base_de_datos[Academia],1))=Profesores[[#Headers],[DOP]],"x","")</f>
        <v/>
      </c>
      <c r="Z113" s="4" t="str">
        <f>IF((_xlfn.XLOOKUP(Profesores[[#This Row],[Nombre]],base_de_datos[Profesor],base_de_datos[Academia],1))=Profesores[[#Headers],[ETF]],"x","")</f>
        <v/>
      </c>
      <c r="AA113" s="4" t="str">
        <f>IF((_xlfn.XLOOKUP(Profesores[[#This Row],[Nombre]],base_de_datos[Profesor],base_de_datos[Academia],1))=Profesores[[#Headers],[MAT]],"x","")</f>
        <v/>
      </c>
      <c r="AB113" s="4" t="str">
        <f>IF((_xlfn.XLOOKUP(Profesores[[#This Row],[Nombre]],base_de_datos[Profesor],base_de_datos[Academia],1))=Profesores[[#Headers],[EMP]],"x","")</f>
        <v/>
      </c>
      <c r="AC113" s="6" t="str">
        <f>IF((_xlfn.XLOOKUP(Profesores[[#This Row],[Nombre]],base_de_datos[Profesor],base_de_datos[Academia],1))=Profesores[[#Headers],[AIC]],"x","")</f>
        <v/>
      </c>
      <c r="AD113" s="4" t="str">
        <f>IF((_xlfn.XLOOKUP(Profesores[[#This Row],[Nombre]],base_de_datos[Profesor],base_de_datos[Academia],1))=Profesores[[#Headers],[ESC]],"x","")</f>
        <v/>
      </c>
      <c r="AE113" s="6" t="str">
        <f>IF((_xlfn.XLOOKUP(Profesores[[#This Row],[Nombre]],base_de_datos[Profesor],base_de_datos[Academia],1))=Profesores[[#Headers],[HUM]],"x","")</f>
        <v/>
      </c>
      <c r="AF113" s="4" t="str">
        <f>IF((_xlfn.XLOOKUP(Profesores[[#This Row],[Nombre]],base_de_datos[Profesor],base_de_datos[Academia],1))=Profesores[[#Headers],[IID]],"x","")</f>
        <v/>
      </c>
      <c r="AG113" s="6" t="str">
        <f>IF((_xlfn.XLOOKUP(Profesores[[#This Row],[Nombre]],base_de_datos[Profesor],base_de_datos[Academia],1))=Profesores[[#Headers],[BIO]],"x","")</f>
        <v/>
      </c>
      <c r="AJ113" s="6">
        <f>TRUNC(IFERROR(Profesores[[#This Row],[Ex Inglés]]*677/100,0),0)</f>
        <v>0</v>
      </c>
    </row>
    <row r="114" spans="1:36" ht="12" hidden="1" customHeight="1">
      <c r="B114" s="6">
        <v>29</v>
      </c>
      <c r="C114" s="2" t="s">
        <v>497</v>
      </c>
      <c r="D114" s="2" t="s">
        <v>485</v>
      </c>
      <c r="E114" s="66">
        <v>146544</v>
      </c>
      <c r="F114" s="134" t="s">
        <v>421</v>
      </c>
      <c r="G114" s="34" t="s">
        <v>1094</v>
      </c>
      <c r="H114" s="34" t="s">
        <v>525</v>
      </c>
      <c r="I114" s="34" t="s">
        <v>526</v>
      </c>
      <c r="J114" s="57">
        <v>31639</v>
      </c>
      <c r="K114" s="34" t="s">
        <v>515</v>
      </c>
      <c r="L114" s="4" t="s">
        <v>504</v>
      </c>
      <c r="M114" s="53">
        <v>4499069797</v>
      </c>
      <c r="N114" s="54" t="s">
        <v>1095</v>
      </c>
      <c r="O114" s="128" t="s">
        <v>825</v>
      </c>
      <c r="P114" s="4" t="s">
        <v>826</v>
      </c>
      <c r="Q114" s="4" t="s">
        <v>827</v>
      </c>
      <c r="R114" s="4" t="s">
        <v>491</v>
      </c>
      <c r="S114" s="4" t="s">
        <v>491</v>
      </c>
      <c r="T114" s="6">
        <v>20100</v>
      </c>
      <c r="U114" s="4">
        <v>2</v>
      </c>
      <c r="V114" s="4" t="str">
        <f>IF((_xlfn.XLOOKUP(Profesores[[#This Row],[Nombre]],base_de_datos[Profesor],base_de_datos[Academia],1))=Profesores[[#Headers],[MEC]],"x","")</f>
        <v/>
      </c>
      <c r="W114" s="4" t="str">
        <f>IF((_xlfn.XLOOKUP(Profesores[[#This Row],[Nombre]],base_de_datos[Profesor],base_de_datos[Academia],1))=Profesores[[#Headers],[COM]],"x","")</f>
        <v/>
      </c>
      <c r="Y114" s="4" t="str">
        <f>IF((_xlfn.XLOOKUP(Profesores[[#This Row],[Nombre]],base_de_datos[Profesor],base_de_datos[Academia],1))=Profesores[[#Headers],[DOP]],"x","")</f>
        <v/>
      </c>
      <c r="Z114" s="4" t="str">
        <f>IF((_xlfn.XLOOKUP(Profesores[[#This Row],[Nombre]],base_de_datos[Profesor],base_de_datos[Academia],1))=Profesores[[#Headers],[ETF]],"x","")</f>
        <v/>
      </c>
      <c r="AA114" s="4" t="str">
        <f>IF((_xlfn.XLOOKUP(Profesores[[#This Row],[Nombre]],base_de_datos[Profesor],base_de_datos[Academia],1))=Profesores[[#Headers],[MAT]],"x","")</f>
        <v/>
      </c>
      <c r="AB114" s="4" t="str">
        <f>IF((_xlfn.XLOOKUP(Profesores[[#This Row],[Nombre]],base_de_datos[Profesor],base_de_datos[Academia],1))=Profesores[[#Headers],[EMP]],"x","")</f>
        <v>x</v>
      </c>
      <c r="AC114" s="6" t="str">
        <f>IF((_xlfn.XLOOKUP(Profesores[[#This Row],[Nombre]],base_de_datos[Profesor],base_de_datos[Academia],1))=Profesores[[#Headers],[AIC]],"x","")</f>
        <v/>
      </c>
      <c r="AD114" s="4" t="str">
        <f>IF((_xlfn.XLOOKUP(Profesores[[#This Row],[Nombre]],base_de_datos[Profesor],base_de_datos[Academia],1))=Profesores[[#Headers],[ESC]],"x","")</f>
        <v/>
      </c>
      <c r="AE114" s="6" t="str">
        <f>IF((_xlfn.XLOOKUP(Profesores[[#This Row],[Nombre]],base_de_datos[Profesor],base_de_datos[Academia],1))=Profesores[[#Headers],[HUM]],"x","")</f>
        <v/>
      </c>
      <c r="AF114" s="4" t="str">
        <f>IF((_xlfn.XLOOKUP(Profesores[[#This Row],[Nombre]],base_de_datos[Profesor],base_de_datos[Academia],1))=Profesores[[#Headers],[IID]],"x","")</f>
        <v/>
      </c>
      <c r="AG114" s="6" t="str">
        <f>IF((_xlfn.XLOOKUP(Profesores[[#This Row],[Nombre]],base_de_datos[Profesor],base_de_datos[Academia],1))=Profesores[[#Headers],[BIO]],"x","")</f>
        <v/>
      </c>
      <c r="AH114" s="6" t="s">
        <v>543</v>
      </c>
      <c r="AI114" s="6" t="s">
        <v>597</v>
      </c>
      <c r="AJ114" s="6">
        <f>TRUNC(IFERROR(Profesores[[#This Row],[Ex Inglés]]*677/100,0),0)</f>
        <v>0</v>
      </c>
    </row>
    <row r="115" spans="1:36" ht="12" hidden="1" customHeight="1">
      <c r="B115" s="6">
        <v>155</v>
      </c>
      <c r="C115" s="4" t="s">
        <v>493</v>
      </c>
      <c r="D115" s="4" t="s">
        <v>498</v>
      </c>
      <c r="E115" s="86">
        <v>179057</v>
      </c>
      <c r="F115" s="133" t="s">
        <v>423</v>
      </c>
      <c r="G115" s="33" t="s">
        <v>1096</v>
      </c>
      <c r="H115" s="33" t="s">
        <v>1097</v>
      </c>
      <c r="I115" s="33" t="s">
        <v>1098</v>
      </c>
      <c r="J115" s="58">
        <v>34943</v>
      </c>
      <c r="M115" s="53">
        <v>4494647773</v>
      </c>
      <c r="N115" s="54" t="s">
        <v>1099</v>
      </c>
      <c r="O115" s="128" t="s">
        <v>1100</v>
      </c>
      <c r="P115" s="4">
        <v>123</v>
      </c>
      <c r="Q115" s="4" t="s">
        <v>1101</v>
      </c>
      <c r="R115" s="4" t="s">
        <v>491</v>
      </c>
      <c r="S115" s="4" t="s">
        <v>491</v>
      </c>
      <c r="T115" s="6">
        <v>20200</v>
      </c>
      <c r="U115" s="4">
        <v>1</v>
      </c>
      <c r="V115" s="4" t="str">
        <f>IF((_xlfn.XLOOKUP(Profesores[[#This Row],[Nombre]],base_de_datos[Profesor],base_de_datos[Academia],1))=Profesores[[#Headers],[MEC]],"x","")</f>
        <v/>
      </c>
      <c r="W115" s="4" t="str">
        <f>IF((_xlfn.XLOOKUP(Profesores[[#This Row],[Nombre]],base_de_datos[Profesor],base_de_datos[Academia],1))=Profesores[[#Headers],[COM]],"x","")</f>
        <v/>
      </c>
      <c r="Y115" s="4" t="str">
        <f>IF((_xlfn.XLOOKUP(Profesores[[#This Row],[Nombre]],base_de_datos[Profesor],base_de_datos[Academia],1))=Profesores[[#Headers],[DOP]],"x","")</f>
        <v/>
      </c>
      <c r="Z115" s="4" t="str">
        <f>IF((_xlfn.XLOOKUP(Profesores[[#This Row],[Nombre]],base_de_datos[Profesor],base_de_datos[Academia],1))=Profesores[[#Headers],[ETF]],"x","")</f>
        <v/>
      </c>
      <c r="AA115" s="4" t="str">
        <f>IF((_xlfn.XLOOKUP(Profesores[[#This Row],[Nombre]],base_de_datos[Profesor],base_de_datos[Academia],1))=Profesores[[#Headers],[MAT]],"x","")</f>
        <v/>
      </c>
      <c r="AB115" s="4" t="str">
        <f>IF((_xlfn.XLOOKUP(Profesores[[#This Row],[Nombre]],base_de_datos[Profesor],base_de_datos[Academia],1))=Profesores[[#Headers],[EMP]],"x","")</f>
        <v/>
      </c>
      <c r="AC115" s="6" t="str">
        <f>IF((_xlfn.XLOOKUP(Profesores[[#This Row],[Nombre]],base_de_datos[Profesor],base_de_datos[Academia],1))=Profesores[[#Headers],[AIC]],"x","")</f>
        <v/>
      </c>
      <c r="AD115" s="4" t="str">
        <f>IF((_xlfn.XLOOKUP(Profesores[[#This Row],[Nombre]],base_de_datos[Profesor],base_de_datos[Academia],1))=Profesores[[#Headers],[ESC]],"x","")</f>
        <v/>
      </c>
      <c r="AE115" s="6" t="str">
        <f>IF((_xlfn.XLOOKUP(Profesores[[#This Row],[Nombre]],base_de_datos[Profesor],base_de_datos[Academia],1))=Profesores[[#Headers],[HUM]],"x","")</f>
        <v/>
      </c>
      <c r="AF115" s="4" t="str">
        <f>IF((_xlfn.XLOOKUP(Profesores[[#This Row],[Nombre]],base_de_datos[Profesor],base_de_datos[Academia],1))=Profesores[[#Headers],[IID]],"x","")</f>
        <v>x</v>
      </c>
      <c r="AG115" s="6" t="str">
        <f>IF((_xlfn.XLOOKUP(Profesores[[#This Row],[Nombre]],base_de_datos[Profesor],base_de_datos[Academia],1))=Profesores[[#Headers],[BIO]],"x","")</f>
        <v/>
      </c>
      <c r="AH115" s="6" t="s">
        <v>543</v>
      </c>
      <c r="AJ115" s="6">
        <f>TRUNC(IFERROR(Profesores[[#This Row],[Ex Inglés]]*677/100,0),0)</f>
        <v>0</v>
      </c>
    </row>
    <row r="116" spans="1:36" ht="12" hidden="1" customHeight="1">
      <c r="B116" s="6">
        <v>70</v>
      </c>
      <c r="C116" s="4" t="s">
        <v>510</v>
      </c>
      <c r="D116" s="4" t="s">
        <v>498</v>
      </c>
      <c r="E116" s="56">
        <v>160343</v>
      </c>
      <c r="F116" s="133" t="s">
        <v>425</v>
      </c>
      <c r="G116" s="33" t="s">
        <v>1096</v>
      </c>
      <c r="H116" s="33" t="s">
        <v>1102</v>
      </c>
      <c r="I116" s="33" t="s">
        <v>1103</v>
      </c>
      <c r="J116" s="58">
        <v>29967</v>
      </c>
      <c r="K116" s="33" t="s">
        <v>515</v>
      </c>
      <c r="L116" s="4" t="s">
        <v>504</v>
      </c>
      <c r="M116" s="53">
        <v>4491797249</v>
      </c>
      <c r="N116" s="54" t="s">
        <v>1104</v>
      </c>
      <c r="O116" s="128" t="s">
        <v>1105</v>
      </c>
      <c r="P116" s="4">
        <v>113</v>
      </c>
      <c r="Q116" s="4" t="s">
        <v>1106</v>
      </c>
      <c r="R116" s="4" t="s">
        <v>491</v>
      </c>
      <c r="S116" s="4" t="s">
        <v>491</v>
      </c>
      <c r="T116" s="6">
        <v>20124</v>
      </c>
      <c r="U116" s="4"/>
      <c r="V116" s="4" t="str">
        <f>IF((_xlfn.XLOOKUP(Profesores[[#This Row],[Nombre]],base_de_datos[Profesor],base_de_datos[Academia],1))=Profesores[[#Headers],[MEC]],"x","")</f>
        <v/>
      </c>
      <c r="W116" s="4" t="str">
        <f>IF((_xlfn.XLOOKUP(Profesores[[#This Row],[Nombre]],base_de_datos[Profesor],base_de_datos[Academia],1))=Profesores[[#Headers],[COM]],"x","")</f>
        <v/>
      </c>
      <c r="X116" s="4" t="s">
        <v>67</v>
      </c>
      <c r="Y116" s="4" t="str">
        <f>IF((_xlfn.XLOOKUP(Profesores[[#This Row],[Nombre]],base_de_datos[Profesor],base_de_datos[Academia],1))=Profesores[[#Headers],[DOP]],"x","")</f>
        <v/>
      </c>
      <c r="Z116" s="4" t="str">
        <f>IF((_xlfn.XLOOKUP(Profesores[[#This Row],[Nombre]],base_de_datos[Profesor],base_de_datos[Academia],1))=Profesores[[#Headers],[ETF]],"x","")</f>
        <v/>
      </c>
      <c r="AA116" s="4" t="str">
        <f>IF((_xlfn.XLOOKUP(Profesores[[#This Row],[Nombre]],base_de_datos[Profesor],base_de_datos[Academia],1))=Profesores[[#Headers],[MAT]],"x","")</f>
        <v/>
      </c>
      <c r="AB116" s="4" t="str">
        <f>IF((_xlfn.XLOOKUP(Profesores[[#This Row],[Nombre]],base_de_datos[Profesor],base_de_datos[Academia],1))=Profesores[[#Headers],[EMP]],"x","")</f>
        <v/>
      </c>
      <c r="AC116" s="6" t="str">
        <f>IF((_xlfn.XLOOKUP(Profesores[[#This Row],[Nombre]],base_de_datos[Profesor],base_de_datos[Academia],1))=Profesores[[#Headers],[AIC]],"x","")</f>
        <v/>
      </c>
      <c r="AD116" s="4" t="str">
        <f>IF((_xlfn.XLOOKUP(Profesores[[#This Row],[Nombre]],base_de_datos[Profesor],base_de_datos[Academia],1))=Profesores[[#Headers],[ESC]],"x","")</f>
        <v/>
      </c>
      <c r="AE116" s="6" t="str">
        <f>IF((_xlfn.XLOOKUP(Profesores[[#This Row],[Nombre]],base_de_datos[Profesor],base_de_datos[Academia],1))=Profesores[[#Headers],[HUM]],"x","")</f>
        <v/>
      </c>
      <c r="AF116" s="4" t="str">
        <f>IF((_xlfn.XLOOKUP(Profesores[[#This Row],[Nombre]],base_de_datos[Profesor],base_de_datos[Academia],1))=Profesores[[#Headers],[IID]],"x","")</f>
        <v/>
      </c>
      <c r="AG116" s="6" t="str">
        <f>IF((_xlfn.XLOOKUP(Profesores[[#This Row],[Nombre]],base_de_datos[Profesor],base_de_datos[Academia],1))=Profesores[[#Headers],[BIO]],"x","")</f>
        <v/>
      </c>
      <c r="AJ116" s="6">
        <f>TRUNC(IFERROR(Profesores[[#This Row],[Ex Inglés]]*677/100,0),0)</f>
        <v>0</v>
      </c>
    </row>
    <row r="117" spans="1:36" ht="12" hidden="1" customHeight="1">
      <c r="B117" s="6">
        <v>30</v>
      </c>
      <c r="C117" s="2" t="s">
        <v>484</v>
      </c>
      <c r="D117" s="2" t="s">
        <v>485</v>
      </c>
      <c r="E117" s="66">
        <v>117571</v>
      </c>
      <c r="F117" s="134" t="s">
        <v>428</v>
      </c>
      <c r="G117" s="34" t="s">
        <v>1107</v>
      </c>
      <c r="H117" s="34" t="s">
        <v>1108</v>
      </c>
      <c r="I117" s="34" t="s">
        <v>1109</v>
      </c>
      <c r="J117" s="57">
        <v>32417</v>
      </c>
      <c r="K117" s="34" t="s">
        <v>515</v>
      </c>
      <c r="L117" s="4" t="s">
        <v>504</v>
      </c>
      <c r="M117" s="53">
        <v>3331911089</v>
      </c>
      <c r="N117" s="54" t="s">
        <v>1110</v>
      </c>
      <c r="O117" s="128" t="s">
        <v>1111</v>
      </c>
      <c r="P117" s="4">
        <v>22</v>
      </c>
      <c r="Q117" s="4" t="s">
        <v>1112</v>
      </c>
      <c r="R117" s="4" t="s">
        <v>491</v>
      </c>
      <c r="S117" s="4" t="s">
        <v>491</v>
      </c>
      <c r="T117" s="6">
        <v>20126</v>
      </c>
      <c r="U117" s="4">
        <v>1</v>
      </c>
      <c r="V117" s="4" t="str">
        <f>IF((_xlfn.XLOOKUP(Profesores[[#This Row],[Nombre]],base_de_datos[Profesor],base_de_datos[Academia],1))=Profesores[[#Headers],[MEC]],"x","")</f>
        <v/>
      </c>
      <c r="W117" s="4" t="str">
        <f>IF((_xlfn.XLOOKUP(Profesores[[#This Row],[Nombre]],base_de_datos[Profesor],base_de_datos[Academia],1))=Profesores[[#Headers],[COM]],"x","")</f>
        <v>x</v>
      </c>
      <c r="Y117" s="4" t="str">
        <f>IF((_xlfn.XLOOKUP(Profesores[[#This Row],[Nombre]],base_de_datos[Profesor],base_de_datos[Academia],1))=Profesores[[#Headers],[DOP]],"x","")</f>
        <v/>
      </c>
      <c r="Z117" s="4" t="str">
        <f>IF((_xlfn.XLOOKUP(Profesores[[#This Row],[Nombre]],base_de_datos[Profesor],base_de_datos[Academia],1))=Profesores[[#Headers],[ETF]],"x","")</f>
        <v/>
      </c>
      <c r="AA117" s="4" t="str">
        <f>IF((_xlfn.XLOOKUP(Profesores[[#This Row],[Nombre]],base_de_datos[Profesor],base_de_datos[Academia],1))=Profesores[[#Headers],[MAT]],"x","")</f>
        <v/>
      </c>
      <c r="AB117" s="4" t="str">
        <f>IF((_xlfn.XLOOKUP(Profesores[[#This Row],[Nombre]],base_de_datos[Profesor],base_de_datos[Academia],1))=Profesores[[#Headers],[EMP]],"x","")</f>
        <v/>
      </c>
      <c r="AC117" s="6" t="str">
        <f>IF((_xlfn.XLOOKUP(Profesores[[#This Row],[Nombre]],base_de_datos[Profesor],base_de_datos[Academia],1))=Profesores[[#Headers],[AIC]],"x","")</f>
        <v/>
      </c>
      <c r="AD117" s="4" t="str">
        <f>IF((_xlfn.XLOOKUP(Profesores[[#This Row],[Nombre]],base_de_datos[Profesor],base_de_datos[Academia],1))=Profesores[[#Headers],[ESC]],"x","")</f>
        <v/>
      </c>
      <c r="AE117" s="6" t="str">
        <f>IF((_xlfn.XLOOKUP(Profesores[[#This Row],[Nombre]],base_de_datos[Profesor],base_de_datos[Academia],1))=Profesores[[#Headers],[HUM]],"x","")</f>
        <v/>
      </c>
      <c r="AF117" s="4" t="str">
        <f>IF((_xlfn.XLOOKUP(Profesores[[#This Row],[Nombre]],base_de_datos[Profesor],base_de_datos[Academia],1))=Profesores[[#Headers],[IID]],"x","")</f>
        <v/>
      </c>
      <c r="AG117" s="6" t="str">
        <f>IF((_xlfn.XLOOKUP(Profesores[[#This Row],[Nombre]],base_de_datos[Profesor],base_de_datos[Academia],1))=Profesores[[#Headers],[BIO]],"x","")</f>
        <v/>
      </c>
      <c r="AH117" s="6" t="s">
        <v>543</v>
      </c>
      <c r="AI117" s="6" t="s">
        <v>597</v>
      </c>
      <c r="AJ117" s="6">
        <f>TRUNC(IFERROR(Profesores[[#This Row],[Ex Inglés]]*677/100,0),0)</f>
        <v>0</v>
      </c>
    </row>
    <row r="118" spans="1:36" s="135" customFormat="1" ht="12" hidden="1" customHeight="1">
      <c r="A118" s="227"/>
      <c r="B118" s="6">
        <v>77</v>
      </c>
      <c r="C118" s="4" t="s">
        <v>497</v>
      </c>
      <c r="D118" s="4" t="s">
        <v>498</v>
      </c>
      <c r="E118" s="56">
        <v>209763</v>
      </c>
      <c r="F118" s="133" t="s">
        <v>430</v>
      </c>
      <c r="G118" s="33" t="s">
        <v>1113</v>
      </c>
      <c r="H118" s="33" t="s">
        <v>805</v>
      </c>
      <c r="I118" s="33" t="s">
        <v>619</v>
      </c>
      <c r="J118" s="58">
        <v>31393</v>
      </c>
      <c r="K118" s="33" t="s">
        <v>515</v>
      </c>
      <c r="L118" s="4" t="s">
        <v>504</v>
      </c>
      <c r="M118" s="53">
        <v>4491980904</v>
      </c>
      <c r="N118" s="54" t="s">
        <v>1114</v>
      </c>
      <c r="O118" s="128" t="s">
        <v>1115</v>
      </c>
      <c r="P118" s="4">
        <v>209</v>
      </c>
      <c r="Q118" s="4" t="s">
        <v>1116</v>
      </c>
      <c r="R118" s="4" t="s">
        <v>491</v>
      </c>
      <c r="S118" s="4" t="s">
        <v>491</v>
      </c>
      <c r="T118" s="6">
        <v>20050</v>
      </c>
      <c r="U118" s="4">
        <v>1</v>
      </c>
      <c r="V118" s="4" t="str">
        <f>IF((_xlfn.XLOOKUP(Profesores[[#This Row],[Nombre]],base_de_datos[Profesor],base_de_datos[Academia],1))=Profesores[[#Headers],[MEC]],"x","")</f>
        <v/>
      </c>
      <c r="W118" s="4" t="str">
        <f>IF((_xlfn.XLOOKUP(Profesores[[#This Row],[Nombre]],base_de_datos[Profesor],base_de_datos[Academia],1))=Profesores[[#Headers],[COM]],"x","")</f>
        <v/>
      </c>
      <c r="X118" s="4"/>
      <c r="Y118" s="4" t="str">
        <f>IF((_xlfn.XLOOKUP(Profesores[[#This Row],[Nombre]],base_de_datos[Profesor],base_de_datos[Academia],1))=Profesores[[#Headers],[DOP]],"x","")</f>
        <v/>
      </c>
      <c r="Z118" s="4" t="str">
        <f>IF((_xlfn.XLOOKUP(Profesores[[#This Row],[Nombre]],base_de_datos[Profesor],base_de_datos[Academia],1))=Profesores[[#Headers],[ETF]],"x","")</f>
        <v>x</v>
      </c>
      <c r="AA118" s="4" t="str">
        <f>IF((_xlfn.XLOOKUP(Profesores[[#This Row],[Nombre]],base_de_datos[Profesor],base_de_datos[Academia],1))=Profesores[[#Headers],[MAT]],"x","")</f>
        <v/>
      </c>
      <c r="AB118" s="4" t="str">
        <f>IF((_xlfn.XLOOKUP(Profesores[[#This Row],[Nombre]],base_de_datos[Profesor],base_de_datos[Academia],1))=Profesores[[#Headers],[EMP]],"x","")</f>
        <v/>
      </c>
      <c r="AC118" s="6" t="str">
        <f>IF((_xlfn.XLOOKUP(Profesores[[#This Row],[Nombre]],base_de_datos[Profesor],base_de_datos[Academia],1))=Profesores[[#Headers],[AIC]],"x","")</f>
        <v/>
      </c>
      <c r="AD118" s="4" t="str">
        <f>IF((_xlfn.XLOOKUP(Profesores[[#This Row],[Nombre]],base_de_datos[Profesor],base_de_datos[Academia],1))=Profesores[[#Headers],[ESC]],"x","")</f>
        <v/>
      </c>
      <c r="AE118" s="6" t="str">
        <f>IF((_xlfn.XLOOKUP(Profesores[[#This Row],[Nombre]],base_de_datos[Profesor],base_de_datos[Academia],1))=Profesores[[#Headers],[HUM]],"x","")</f>
        <v/>
      </c>
      <c r="AF118" s="4" t="str">
        <f>IF((_xlfn.XLOOKUP(Profesores[[#This Row],[Nombre]],base_de_datos[Profesor],base_de_datos[Academia],1))=Profesores[[#Headers],[IID]],"x","")</f>
        <v/>
      </c>
      <c r="AG118" s="6" t="str">
        <f>IF((_xlfn.XLOOKUP(Profesores[[#This Row],[Nombre]],base_de_datos[Profesor],base_de_datos[Academia],1))=Profesores[[#Headers],[BIO]],"x","")</f>
        <v/>
      </c>
      <c r="AH118" s="6" t="s">
        <v>543</v>
      </c>
      <c r="AI118" s="6" t="s">
        <v>597</v>
      </c>
      <c r="AJ118" s="6">
        <f>TRUNC(IFERROR(Profesores[[#This Row],[Ex Inglés]]*677/100,0),0)</f>
        <v>0</v>
      </c>
    </row>
    <row r="119" spans="1:36" s="135" customFormat="1" ht="12" hidden="1" customHeight="1">
      <c r="A119" s="227"/>
      <c r="B119" s="6">
        <v>59</v>
      </c>
      <c r="C119" s="4" t="s">
        <v>493</v>
      </c>
      <c r="D119" s="4" t="s">
        <v>498</v>
      </c>
      <c r="E119" s="56">
        <v>157312</v>
      </c>
      <c r="F119" s="133" t="s">
        <v>432</v>
      </c>
      <c r="G119" s="33" t="s">
        <v>1117</v>
      </c>
      <c r="H119" s="33" t="s">
        <v>1118</v>
      </c>
      <c r="I119" s="33" t="s">
        <v>723</v>
      </c>
      <c r="J119" s="58">
        <v>34101</v>
      </c>
      <c r="K119" s="33" t="s">
        <v>515</v>
      </c>
      <c r="L119" s="4" t="s">
        <v>504</v>
      </c>
      <c r="M119" s="53">
        <v>4493290726</v>
      </c>
      <c r="N119" s="54" t="s">
        <v>1119</v>
      </c>
      <c r="O119" s="128" t="s">
        <v>1120</v>
      </c>
      <c r="P119" s="4">
        <v>504</v>
      </c>
      <c r="Q119" s="4" t="s">
        <v>1121</v>
      </c>
      <c r="R119" s="4" t="s">
        <v>491</v>
      </c>
      <c r="S119" s="4" t="s">
        <v>491</v>
      </c>
      <c r="T119" s="6">
        <v>20126</v>
      </c>
      <c r="U119" s="4">
        <v>2</v>
      </c>
      <c r="V119" s="4" t="str">
        <f>IF((_xlfn.XLOOKUP(Profesores[[#This Row],[Nombre]],base_de_datos[Profesor],base_de_datos[Academia],1))=Profesores[[#Headers],[MEC]],"x","")</f>
        <v/>
      </c>
      <c r="W119" s="4" t="str">
        <f>IF((_xlfn.XLOOKUP(Profesores[[#This Row],[Nombre]],base_de_datos[Profesor],base_de_datos[Academia],1))=Profesores[[#Headers],[COM]],"x","")</f>
        <v>x</v>
      </c>
      <c r="X119" s="4"/>
      <c r="Y119" s="4" t="str">
        <f>IF((_xlfn.XLOOKUP(Profesores[[#This Row],[Nombre]],base_de_datos[Profesor],base_de_datos[Academia],1))=Profesores[[#Headers],[DOP]],"x","")</f>
        <v/>
      </c>
      <c r="Z119" s="4" t="str">
        <f>IF((_xlfn.XLOOKUP(Profesores[[#This Row],[Nombre]],base_de_datos[Profesor],base_de_datos[Academia],1))=Profesores[[#Headers],[ETF]],"x","")</f>
        <v/>
      </c>
      <c r="AA119" s="4" t="str">
        <f>IF((_xlfn.XLOOKUP(Profesores[[#This Row],[Nombre]],base_de_datos[Profesor],base_de_datos[Academia],1))=Profesores[[#Headers],[MAT]],"x","")</f>
        <v/>
      </c>
      <c r="AB119" s="4" t="str">
        <f>IF((_xlfn.XLOOKUP(Profesores[[#This Row],[Nombre]],base_de_datos[Profesor],base_de_datos[Academia],1))=Profesores[[#Headers],[EMP]],"x","")</f>
        <v/>
      </c>
      <c r="AC119" s="6" t="str">
        <f>IF((_xlfn.XLOOKUP(Profesores[[#This Row],[Nombre]],base_de_datos[Profesor],base_de_datos[Academia],1))=Profesores[[#Headers],[AIC]],"x","")</f>
        <v/>
      </c>
      <c r="AD119" s="4" t="str">
        <f>IF((_xlfn.XLOOKUP(Profesores[[#This Row],[Nombre]],base_de_datos[Profesor],base_de_datos[Academia],1))=Profesores[[#Headers],[ESC]],"x","")</f>
        <v/>
      </c>
      <c r="AE119" s="6" t="str">
        <f>IF((_xlfn.XLOOKUP(Profesores[[#This Row],[Nombre]],base_de_datos[Profesor],base_de_datos[Academia],1))=Profesores[[#Headers],[HUM]],"x","")</f>
        <v/>
      </c>
      <c r="AF119" s="4" t="str">
        <f>IF((_xlfn.XLOOKUP(Profesores[[#This Row],[Nombre]],base_de_datos[Profesor],base_de_datos[Academia],1))=Profesores[[#Headers],[IID]],"x","")</f>
        <v/>
      </c>
      <c r="AG119" s="6" t="str">
        <f>IF((_xlfn.XLOOKUP(Profesores[[#This Row],[Nombre]],base_de_datos[Profesor],base_de_datos[Academia],1))=Profesores[[#Headers],[BIO]],"x","")</f>
        <v/>
      </c>
      <c r="AH119" s="6">
        <v>69.86</v>
      </c>
      <c r="AI119" s="6" t="s">
        <v>597</v>
      </c>
      <c r="AJ119" s="6">
        <f>TRUNC(IFERROR(Profesores[[#This Row],[Ex Inglés]]*677/100,0),0)</f>
        <v>472</v>
      </c>
    </row>
    <row r="120" spans="1:36" ht="12" hidden="1" customHeight="1">
      <c r="B120" s="6">
        <v>87</v>
      </c>
      <c r="C120" s="4" t="s">
        <v>484</v>
      </c>
      <c r="D120" s="4" t="s">
        <v>498</v>
      </c>
      <c r="E120" s="88">
        <v>248790</v>
      </c>
      <c r="F120" s="133" t="s">
        <v>412</v>
      </c>
      <c r="G120" s="33" t="s">
        <v>1122</v>
      </c>
      <c r="H120" s="33" t="s">
        <v>1123</v>
      </c>
      <c r="I120" s="33" t="s">
        <v>876</v>
      </c>
      <c r="J120" s="58">
        <v>34223</v>
      </c>
      <c r="K120" s="33" t="s">
        <v>515</v>
      </c>
      <c r="L120" s="4" t="s">
        <v>504</v>
      </c>
      <c r="M120" s="53">
        <v>4495371715</v>
      </c>
      <c r="N120" s="89" t="s">
        <v>1124</v>
      </c>
      <c r="O120" s="128" t="s">
        <v>1125</v>
      </c>
      <c r="P120" s="4" t="s">
        <v>1126</v>
      </c>
      <c r="Q120" s="4" t="s">
        <v>1127</v>
      </c>
      <c r="R120" s="4" t="s">
        <v>491</v>
      </c>
      <c r="S120" s="4" t="s">
        <v>491</v>
      </c>
      <c r="T120" s="6">
        <v>20267</v>
      </c>
      <c r="U120" s="4">
        <v>2</v>
      </c>
      <c r="V120" s="4" t="str">
        <f>IF((_xlfn.XLOOKUP(Profesores[[#This Row],[Nombre]],base_de_datos[Profesor],base_de_datos[Academia],1))=Profesores[[#Headers],[MEC]],"x","")</f>
        <v/>
      </c>
      <c r="W120" s="4" t="str">
        <f>IF((_xlfn.XLOOKUP(Profesores[[#This Row],[Nombre]],base_de_datos[Profesor],base_de_datos[Academia],1))=Profesores[[#Headers],[COM]],"x","")</f>
        <v/>
      </c>
      <c r="Y120" s="4" t="str">
        <f>IF((_xlfn.XLOOKUP(Profesores[[#This Row],[Nombre]],base_de_datos[Profesor],base_de_datos[Academia],1))=Profesores[[#Headers],[DOP]],"x","")</f>
        <v/>
      </c>
      <c r="Z120" s="4" t="str">
        <f>IF((_xlfn.XLOOKUP(Profesores[[#This Row],[Nombre]],base_de_datos[Profesor],base_de_datos[Academia],1))=Profesores[[#Headers],[ETF]],"x","")</f>
        <v/>
      </c>
      <c r="AA120" s="4" t="str">
        <f>IF((_xlfn.XLOOKUP(Profesores[[#This Row],[Nombre]],base_de_datos[Profesor],base_de_datos[Academia],1))=Profesores[[#Headers],[MAT]],"x","")</f>
        <v>x</v>
      </c>
      <c r="AB120" s="4" t="str">
        <f>IF((_xlfn.XLOOKUP(Profesores[[#This Row],[Nombre]],base_de_datos[Profesor],base_de_datos[Academia],1))=Profesores[[#Headers],[EMP]],"x","")</f>
        <v/>
      </c>
      <c r="AC120" s="6" t="str">
        <f>IF((_xlfn.XLOOKUP(Profesores[[#This Row],[Nombre]],base_de_datos[Profesor],base_de_datos[Academia],1))=Profesores[[#Headers],[AIC]],"x","")</f>
        <v/>
      </c>
      <c r="AD120" s="4" t="str">
        <f>IF((_xlfn.XLOOKUP(Profesores[[#This Row],[Nombre]],base_de_datos[Profesor],base_de_datos[Academia],1))=Profesores[[#Headers],[ESC]],"x","")</f>
        <v/>
      </c>
      <c r="AE120" s="6" t="str">
        <f>IF((_xlfn.XLOOKUP(Profesores[[#This Row],[Nombre]],base_de_datos[Profesor],base_de_datos[Academia],1))=Profesores[[#Headers],[HUM]],"x","")</f>
        <v/>
      </c>
      <c r="AF120" s="4" t="str">
        <f>IF((_xlfn.XLOOKUP(Profesores[[#This Row],[Nombre]],base_de_datos[Profesor],base_de_datos[Academia],1))=Profesores[[#Headers],[IID]],"x","")</f>
        <v/>
      </c>
      <c r="AG120" s="6" t="str">
        <f>IF((_xlfn.XLOOKUP(Profesores[[#This Row],[Nombre]],base_de_datos[Profesor],base_de_datos[Academia],1))=Profesores[[#Headers],[BIO]],"x","")</f>
        <v/>
      </c>
      <c r="AH120" s="6" t="s">
        <v>543</v>
      </c>
      <c r="AI120" s="6" t="s">
        <v>597</v>
      </c>
      <c r="AJ120" s="6">
        <f>TRUNC(IFERROR(Profesores[[#This Row],[Ex Inglés]]*677/100,0),0)</f>
        <v>0</v>
      </c>
    </row>
    <row r="121" spans="1:36" ht="12" hidden="1" customHeight="1">
      <c r="B121" s="6">
        <v>31</v>
      </c>
      <c r="C121" s="2" t="s">
        <v>510</v>
      </c>
      <c r="D121" s="2" t="s">
        <v>485</v>
      </c>
      <c r="E121" s="66">
        <v>2031</v>
      </c>
      <c r="F121" s="134" t="s">
        <v>437</v>
      </c>
      <c r="G121" s="34" t="s">
        <v>1128</v>
      </c>
      <c r="H121" s="34" t="s">
        <v>862</v>
      </c>
      <c r="I121" s="34" t="s">
        <v>1129</v>
      </c>
      <c r="J121" s="57">
        <v>28917</v>
      </c>
      <c r="K121" s="34" t="s">
        <v>515</v>
      </c>
      <c r="L121" s="4" t="s">
        <v>504</v>
      </c>
      <c r="M121" s="53">
        <v>4494362880</v>
      </c>
      <c r="N121" s="54" t="s">
        <v>1130</v>
      </c>
      <c r="O121" s="128" t="s">
        <v>1131</v>
      </c>
      <c r="P121" s="4">
        <v>113</v>
      </c>
      <c r="Q121" s="4" t="s">
        <v>1132</v>
      </c>
      <c r="R121" s="4" t="s">
        <v>491</v>
      </c>
      <c r="S121" s="4" t="s">
        <v>491</v>
      </c>
      <c r="T121" s="6">
        <v>20270</v>
      </c>
      <c r="U121" s="4"/>
      <c r="V121" s="4" t="str">
        <f>IF((_xlfn.XLOOKUP(Profesores[[#This Row],[Nombre]],base_de_datos[Profesor],base_de_datos[Academia],1))=Profesores[[#Headers],[MEC]],"x","")</f>
        <v/>
      </c>
      <c r="W121" s="4" t="str">
        <f>IF((_xlfn.XLOOKUP(Profesores[[#This Row],[Nombre]],base_de_datos[Profesor],base_de_datos[Academia],1))=Profesores[[#Headers],[COM]],"x","")</f>
        <v>x</v>
      </c>
      <c r="Y121" s="4" t="str">
        <f>IF((_xlfn.XLOOKUP(Profesores[[#This Row],[Nombre]],base_de_datos[Profesor],base_de_datos[Academia],1))=Profesores[[#Headers],[DOP]],"x","")</f>
        <v/>
      </c>
      <c r="Z121" s="4" t="str">
        <f>IF((_xlfn.XLOOKUP(Profesores[[#This Row],[Nombre]],base_de_datos[Profesor],base_de_datos[Academia],1))=Profesores[[#Headers],[ETF]],"x","")</f>
        <v/>
      </c>
      <c r="AA121" s="4" t="str">
        <f>IF((_xlfn.XLOOKUP(Profesores[[#This Row],[Nombre]],base_de_datos[Profesor],base_de_datos[Academia],1))=Profesores[[#Headers],[MAT]],"x","")</f>
        <v/>
      </c>
      <c r="AB121" s="4" t="str">
        <f>IF((_xlfn.XLOOKUP(Profesores[[#This Row],[Nombre]],base_de_datos[Profesor],base_de_datos[Academia],1))=Profesores[[#Headers],[EMP]],"x","")</f>
        <v/>
      </c>
      <c r="AC121" s="6" t="str">
        <f>IF((_xlfn.XLOOKUP(Profesores[[#This Row],[Nombre]],base_de_datos[Profesor],base_de_datos[Academia],1))=Profesores[[#Headers],[AIC]],"x","")</f>
        <v/>
      </c>
      <c r="AD121" s="4" t="str">
        <f>IF((_xlfn.XLOOKUP(Profesores[[#This Row],[Nombre]],base_de_datos[Profesor],base_de_datos[Academia],1))=Profesores[[#Headers],[ESC]],"x","")</f>
        <v/>
      </c>
      <c r="AE121" s="6" t="str">
        <f>IF((_xlfn.XLOOKUP(Profesores[[#This Row],[Nombre]],base_de_datos[Profesor],base_de_datos[Academia],1))=Profesores[[#Headers],[HUM]],"x","")</f>
        <v/>
      </c>
      <c r="AF121" s="4" t="str">
        <f>IF((_xlfn.XLOOKUP(Profesores[[#This Row],[Nombre]],base_de_datos[Profesor],base_de_datos[Academia],1))=Profesores[[#Headers],[IID]],"x","")</f>
        <v/>
      </c>
      <c r="AG121" s="6" t="str">
        <f>IF((_xlfn.XLOOKUP(Profesores[[#This Row],[Nombre]],base_de_datos[Profesor],base_de_datos[Academia],1))=Profesores[[#Headers],[BIO]],"x","")</f>
        <v/>
      </c>
      <c r="AJ121" s="6">
        <f>TRUNC(IFERROR(Profesores[[#This Row],[Ex Inglés]]*677/100,0),0)</f>
        <v>0</v>
      </c>
    </row>
    <row r="122" spans="1:36" ht="12" hidden="1" customHeight="1">
      <c r="C122" s="2"/>
      <c r="D122" s="2"/>
      <c r="E122" s="66"/>
      <c r="F122" s="1"/>
      <c r="G122" s="34"/>
      <c r="H122" s="34"/>
      <c r="I122" s="34"/>
      <c r="J122" s="57"/>
      <c r="K122" s="34"/>
      <c r="M122" s="53"/>
      <c r="N122" s="54"/>
      <c r="O122" s="128"/>
      <c r="T122" s="6"/>
      <c r="U122" s="4"/>
      <c r="V122" s="4"/>
      <c r="Y122" s="4" t="str">
        <f>IF((_xlfn.XLOOKUP(Profesores[[#This Row],[Nombre]],base_de_datos[Profesor],base_de_datos[Academia],1))=Profesores[[#Headers],[DOP]],"x","")</f>
        <v/>
      </c>
      <c r="Z122" s="4" t="str">
        <f>IF((_xlfn.XLOOKUP(Profesores[[#This Row],[Nombre]],base_de_datos[Profesor],base_de_datos[Academia],1))=Profesores[[#Headers],[ETF]],"x","")</f>
        <v/>
      </c>
      <c r="AA122" s="4" t="str">
        <f>IF((_xlfn.XLOOKUP(Profesores[[#This Row],[Nombre]],base_de_datos[Profesor],base_de_datos[Academia],1))=Profesores[[#Headers],[MAT]],"x","")</f>
        <v/>
      </c>
      <c r="AB122" s="4" t="str">
        <f>IF((_xlfn.XLOOKUP(Profesores[[#This Row],[Nombre]],base_de_datos[Profesor],base_de_datos[Academia],1))=Profesores[[#Headers],[EMP]],"x","")</f>
        <v/>
      </c>
      <c r="AC122" s="6" t="str">
        <f>IF((_xlfn.XLOOKUP(Profesores[[#This Row],[Nombre]],base_de_datos[Profesor],base_de_datos[Academia],1))=Profesores[[#Headers],[AIC]],"x","")</f>
        <v/>
      </c>
      <c r="AD122" s="4" t="str">
        <f>IF((_xlfn.XLOOKUP(Profesores[[#This Row],[Nombre]],base_de_datos[Profesor],base_de_datos[Academia],1))=Profesores[[#Headers],[ESC]],"x","")</f>
        <v/>
      </c>
      <c r="AE122" s="6" t="str">
        <f>IF((_xlfn.XLOOKUP(Profesores[[#This Row],[Nombre]],base_de_datos[Profesor],base_de_datos[Academia],1))=Profesores[[#Headers],[HUM]],"x","")</f>
        <v/>
      </c>
      <c r="AF122" s="4" t="str">
        <f>IF((_xlfn.XLOOKUP(Profesores[[#This Row],[Nombre]],base_de_datos[Profesor],base_de_datos[Academia],1))=Profesores[[#Headers],[IID]],"x","")</f>
        <v/>
      </c>
      <c r="AG122" s="6" t="str">
        <f>IF((_xlfn.XLOOKUP(Profesores[[#This Row],[Nombre]],base_de_datos[Profesor],base_de_datos[Academia],1))=Profesores[[#Headers],[BIO]],"x","")</f>
        <v/>
      </c>
    </row>
    <row r="123" spans="1:36" ht="12" hidden="1" customHeight="1">
      <c r="C123" s="2"/>
      <c r="D123" s="2"/>
      <c r="E123" s="66"/>
      <c r="F123" s="1"/>
      <c r="G123" s="34"/>
      <c r="H123" s="34"/>
      <c r="I123" s="34"/>
      <c r="J123" s="57"/>
      <c r="K123" s="34"/>
      <c r="M123" s="53"/>
      <c r="N123" s="54"/>
      <c r="O123" s="128"/>
      <c r="T123" s="6"/>
      <c r="U123" s="4"/>
      <c r="V123" s="4"/>
      <c r="Y123" s="4" t="str">
        <f>IF((_xlfn.XLOOKUP(Profesores[[#This Row],[Nombre]],base_de_datos[Profesor],base_de_datos[Academia],1))=Profesores[[#Headers],[DOP]],"x","")</f>
        <v/>
      </c>
      <c r="Z123" s="4" t="str">
        <f>IF((_xlfn.XLOOKUP(Profesores[[#This Row],[Nombre]],base_de_datos[Profesor],base_de_datos[Academia],1))=Profesores[[#Headers],[ETF]],"x","")</f>
        <v/>
      </c>
      <c r="AA123" s="4" t="str">
        <f>IF((_xlfn.XLOOKUP(Profesores[[#This Row],[Nombre]],base_de_datos[Profesor],base_de_datos[Academia],1))=Profesores[[#Headers],[MAT]],"x","")</f>
        <v/>
      </c>
      <c r="AB123" s="4" t="str">
        <f>IF((_xlfn.XLOOKUP(Profesores[[#This Row],[Nombre]],base_de_datos[Profesor],base_de_datos[Academia],1))=Profesores[[#Headers],[EMP]],"x","")</f>
        <v/>
      </c>
      <c r="AC123" s="6" t="str">
        <f>IF((_xlfn.XLOOKUP(Profesores[[#This Row],[Nombre]],base_de_datos[Profesor],base_de_datos[Academia],1))=Profesores[[#Headers],[AIC]],"x","")</f>
        <v/>
      </c>
      <c r="AD123" s="4" t="str">
        <f>IF((_xlfn.XLOOKUP(Profesores[[#This Row],[Nombre]],base_de_datos[Profesor],base_de_datos[Academia],1))=Profesores[[#Headers],[ESC]],"x","")</f>
        <v/>
      </c>
      <c r="AE123" s="6" t="str">
        <f>IF((_xlfn.XLOOKUP(Profesores[[#This Row],[Nombre]],base_de_datos[Profesor],base_de_datos[Academia],1))=Profesores[[#Headers],[HUM]],"x","")</f>
        <v/>
      </c>
      <c r="AF123" s="4" t="str">
        <f>IF((_xlfn.XLOOKUP(Profesores[[#This Row],[Nombre]],base_de_datos[Profesor],base_de_datos[Academia],1))=Profesores[[#Headers],[IID]],"x","")</f>
        <v/>
      </c>
      <c r="AG123" s="6" t="str">
        <f>IF((_xlfn.XLOOKUP(Profesores[[#This Row],[Nombre]],base_de_datos[Profesor],base_de_datos[Academia],1))=Profesores[[#Headers],[BIO]],"x","")</f>
        <v/>
      </c>
    </row>
    <row r="124" spans="1:36" ht="12" hidden="1" customHeight="1">
      <c r="E124" s="224"/>
      <c r="J124" s="58"/>
      <c r="M124" s="53"/>
      <c r="N124" s="138"/>
      <c r="O124" s="128"/>
      <c r="R124" s="223"/>
      <c r="S124" s="223"/>
      <c r="T124" s="223"/>
      <c r="U124" s="4"/>
      <c r="V124" s="4"/>
      <c r="Y124" s="4" t="str">
        <f>IF((_xlfn.XLOOKUP(Profesores[[#This Row],[Nombre]],base_de_datos[Profesor],base_de_datos[Academia],1))=Profesores[[#Headers],[DOP]],"x","")</f>
        <v/>
      </c>
      <c r="Z124" s="4" t="str">
        <f>IF((_xlfn.XLOOKUP(Profesores[[#This Row],[Nombre]],base_de_datos[Profesor],base_de_datos[Academia],1))=Profesores[[#Headers],[ETF]],"x","")</f>
        <v/>
      </c>
      <c r="AA124" s="4" t="str">
        <f>IF((_xlfn.XLOOKUP(Profesores[[#This Row],[Nombre]],base_de_datos[Profesor],base_de_datos[Academia],1))=Profesores[[#Headers],[MAT]],"x","")</f>
        <v/>
      </c>
      <c r="AB124" s="4" t="str">
        <f>IF((_xlfn.XLOOKUP(Profesores[[#This Row],[Nombre]],base_de_datos[Profesor],base_de_datos[Academia],1))=Profesores[[#Headers],[EMP]],"x","")</f>
        <v/>
      </c>
      <c r="AC124" s="6" t="str">
        <f>IF((_xlfn.XLOOKUP(Profesores[[#This Row],[Nombre]],base_de_datos[Profesor],base_de_datos[Academia],1))=Profesores[[#Headers],[AIC]],"x","")</f>
        <v/>
      </c>
      <c r="AD124" s="4" t="str">
        <f>IF((_xlfn.XLOOKUP(Profesores[[#This Row],[Nombre]],base_de_datos[Profesor],base_de_datos[Academia],1))=Profesores[[#Headers],[ESC]],"x","")</f>
        <v/>
      </c>
      <c r="AE124" s="6" t="str">
        <f>IF((_xlfn.XLOOKUP(Profesores[[#This Row],[Nombre]],base_de_datos[Profesor],base_de_datos[Academia],1))=Profesores[[#Headers],[HUM]],"x","")</f>
        <v/>
      </c>
      <c r="AF124" s="4" t="str">
        <f>IF((_xlfn.XLOOKUP(Profesores[[#This Row],[Nombre]],base_de_datos[Profesor],base_de_datos[Academia],1))=Profesores[[#Headers],[IID]],"x","")</f>
        <v/>
      </c>
      <c r="AG124" s="6" t="str">
        <f>IF((_xlfn.XLOOKUP(Profesores[[#This Row],[Nombre]],base_de_datos[Profesor],base_de_datos[Academia],1))=Profesores[[#Headers],[BIO]],"x","")</f>
        <v/>
      </c>
    </row>
    <row r="125" spans="1:36" s="135" customFormat="1" ht="12" hidden="1" customHeight="1">
      <c r="A125" s="227"/>
      <c r="B125" s="6"/>
      <c r="C125" s="2"/>
      <c r="D125" s="2"/>
      <c r="E125" s="66"/>
      <c r="F125" s="1"/>
      <c r="G125" s="34"/>
      <c r="H125" s="34"/>
      <c r="I125" s="34"/>
      <c r="J125" s="57"/>
      <c r="K125" s="34"/>
      <c r="L125" s="4"/>
      <c r="M125" s="53"/>
      <c r="N125" s="54"/>
      <c r="O125" s="128"/>
      <c r="P125" s="4"/>
      <c r="Q125" s="4"/>
      <c r="R125" s="4"/>
      <c r="S125" s="4"/>
      <c r="T125" s="6"/>
      <c r="U125" s="4"/>
      <c r="V125" s="4"/>
      <c r="W125" s="4"/>
      <c r="X125" s="4"/>
      <c r="Y125" s="4" t="str">
        <f>IF((_xlfn.XLOOKUP(Profesores[[#This Row],[Nombre]],base_de_datos[Profesor],base_de_datos[Academia],1))=Profesores[[#Headers],[DOP]],"x","")</f>
        <v/>
      </c>
      <c r="Z125" s="4" t="str">
        <f>IF((_xlfn.XLOOKUP(Profesores[[#This Row],[Nombre]],base_de_datos[Profesor],base_de_datos[Academia],1))=Profesores[[#Headers],[ETF]],"x","")</f>
        <v/>
      </c>
      <c r="AA125" s="4" t="str">
        <f>IF((_xlfn.XLOOKUP(Profesores[[#This Row],[Nombre]],base_de_datos[Profesor],base_de_datos[Academia],1))=Profesores[[#Headers],[MAT]],"x","")</f>
        <v/>
      </c>
      <c r="AB125" s="4" t="str">
        <f>IF((_xlfn.XLOOKUP(Profesores[[#This Row],[Nombre]],base_de_datos[Profesor],base_de_datos[Academia],1))=Profesores[[#Headers],[EMP]],"x","")</f>
        <v/>
      </c>
      <c r="AC125" s="6" t="str">
        <f>IF((_xlfn.XLOOKUP(Profesores[[#This Row],[Nombre]],base_de_datos[Profesor],base_de_datos[Academia],1))=Profesores[[#Headers],[AIC]],"x","")</f>
        <v/>
      </c>
      <c r="AD125" s="4" t="str">
        <f>IF((_xlfn.XLOOKUP(Profesores[[#This Row],[Nombre]],base_de_datos[Profesor],base_de_datos[Academia],1))=Profesores[[#Headers],[ESC]],"x","")</f>
        <v/>
      </c>
      <c r="AE125" s="6" t="str">
        <f>IF((_xlfn.XLOOKUP(Profesores[[#This Row],[Nombre]],base_de_datos[Profesor],base_de_datos[Academia],1))=Profesores[[#Headers],[HUM]],"x","")</f>
        <v/>
      </c>
      <c r="AF125" s="4" t="str">
        <f>IF((_xlfn.XLOOKUP(Profesores[[#This Row],[Nombre]],base_de_datos[Profesor],base_de_datos[Academia],1))=Profesores[[#Headers],[IID]],"x","")</f>
        <v/>
      </c>
      <c r="AG125" s="6" t="str">
        <f>IF((_xlfn.XLOOKUP(Profesores[[#This Row],[Nombre]],base_de_datos[Profesor],base_de_datos[Academia],1))=Profesores[[#Headers],[BIO]],"x","")</f>
        <v/>
      </c>
      <c r="AH125" s="6"/>
      <c r="AI125" s="6"/>
      <c r="AJ125" s="6"/>
    </row>
    <row r="126" spans="1:36" ht="12" hidden="1" customHeight="1">
      <c r="C126" s="2"/>
      <c r="D126" s="2"/>
      <c r="E126" s="66"/>
      <c r="G126" s="34"/>
      <c r="H126" s="34"/>
      <c r="I126" s="34"/>
      <c r="J126" s="57"/>
      <c r="K126" s="34"/>
      <c r="M126" s="53"/>
      <c r="N126" s="54"/>
      <c r="O126" s="128"/>
      <c r="T126" s="6"/>
      <c r="U126" s="4"/>
      <c r="V126" s="4"/>
      <c r="Y126" s="4" t="str">
        <f>IF((_xlfn.XLOOKUP(Profesores[[#This Row],[Nombre]],base_de_datos[Profesor],base_de_datos[Academia],1))=Profesores[[#Headers],[DOP]],"x","")</f>
        <v/>
      </c>
      <c r="Z126" s="4" t="str">
        <f>IF((_xlfn.XLOOKUP(Profesores[[#This Row],[Nombre]],base_de_datos[Profesor],base_de_datos[Academia],1))=Profesores[[#Headers],[ETF]],"x","")</f>
        <v/>
      </c>
      <c r="AA126" s="4" t="str">
        <f>IF((_xlfn.XLOOKUP(Profesores[[#This Row],[Nombre]],base_de_datos[Profesor],base_de_datos[Academia],1))=Profesores[[#Headers],[MAT]],"x","")</f>
        <v/>
      </c>
      <c r="AB126" s="4" t="str">
        <f>IF((_xlfn.XLOOKUP(Profesores[[#This Row],[Nombre]],base_de_datos[Profesor],base_de_datos[Academia],1))=Profesores[[#Headers],[EMP]],"x","")</f>
        <v/>
      </c>
      <c r="AC126" s="6" t="str">
        <f>IF((_xlfn.XLOOKUP(Profesores[[#This Row],[Nombre]],base_de_datos[Profesor],base_de_datos[Academia],1))=Profesores[[#Headers],[AIC]],"x","")</f>
        <v/>
      </c>
      <c r="AD126" s="4" t="str">
        <f>IF((_xlfn.XLOOKUP(Profesores[[#This Row],[Nombre]],base_de_datos[Profesor],base_de_datos[Academia],1))=Profesores[[#Headers],[ESC]],"x","")</f>
        <v/>
      </c>
      <c r="AE126" s="6" t="str">
        <f>IF((_xlfn.XLOOKUP(Profesores[[#This Row],[Nombre]],base_de_datos[Profesor],base_de_datos[Academia],1))=Profesores[[#Headers],[HUM]],"x","")</f>
        <v/>
      </c>
      <c r="AF126" s="4" t="str">
        <f>IF((_xlfn.XLOOKUP(Profesores[[#This Row],[Nombre]],base_de_datos[Profesor],base_de_datos[Academia],1))=Profesores[[#Headers],[IID]],"x","")</f>
        <v/>
      </c>
      <c r="AG126" s="6" t="str">
        <f>IF((_xlfn.XLOOKUP(Profesores[[#This Row],[Nombre]],base_de_datos[Profesor],base_de_datos[Academia],1))=Profesores[[#Headers],[BIO]],"x","")</f>
        <v/>
      </c>
    </row>
    <row r="127" spans="1:36" ht="12" hidden="1" customHeight="1">
      <c r="C127" s="2"/>
      <c r="D127" s="2"/>
      <c r="E127" s="66"/>
      <c r="F127" s="1"/>
      <c r="G127" s="34"/>
      <c r="H127" s="34"/>
      <c r="I127" s="34"/>
      <c r="J127" s="57"/>
      <c r="K127" s="34"/>
      <c r="M127" s="53"/>
      <c r="N127" s="54"/>
      <c r="O127" s="128"/>
      <c r="T127" s="6"/>
      <c r="U127" s="4"/>
      <c r="V127" s="4" t="str">
        <f>IF((_xlfn.XLOOKUP(Profesores[[#This Row],[Nombre]],base_de_datos[Profesor],base_de_datos[Academia],1))=Profesores[[#Headers],[MEC]],"x","")</f>
        <v/>
      </c>
      <c r="W127" s="4" t="str">
        <f>IF((_xlfn.XLOOKUP(Profesores[[#This Row],[Nombre]],base_de_datos[Profesor],base_de_datos[Academia],1))=Profesores[[#Headers],[COM]],"x","")</f>
        <v/>
      </c>
      <c r="Y127" s="4" t="str">
        <f>IF((_xlfn.XLOOKUP(Profesores[[#This Row],[Nombre]],base_de_datos[Profesor],base_de_datos[Academia],1))=Profesores[[#Headers],[DOP]],"x","")</f>
        <v/>
      </c>
      <c r="Z127" s="4" t="str">
        <f>IF((_xlfn.XLOOKUP(Profesores[[#This Row],[Nombre]],base_de_datos[Profesor],base_de_datos[Academia],1))=Profesores[[#Headers],[ETF]],"x","")</f>
        <v/>
      </c>
      <c r="AA127" s="4" t="str">
        <f>IF((_xlfn.XLOOKUP(Profesores[[#This Row],[Nombre]],base_de_datos[Profesor],base_de_datos[Academia],1))=Profesores[[#Headers],[MAT]],"x","")</f>
        <v/>
      </c>
      <c r="AB127" s="4" t="str">
        <f>IF((_xlfn.XLOOKUP(Profesores[[#This Row],[Nombre]],base_de_datos[Profesor],base_de_datos[Academia],1))=Profesores[[#Headers],[EMP]],"x","")</f>
        <v/>
      </c>
      <c r="AC127" s="6" t="str">
        <f>IF((_xlfn.XLOOKUP(Profesores[[#This Row],[Nombre]],base_de_datos[Profesor],base_de_datos[Academia],1))=Profesores[[#Headers],[AIC]],"x","")</f>
        <v/>
      </c>
      <c r="AD127" s="4" t="str">
        <f>IF((_xlfn.XLOOKUP(Profesores[[#This Row],[Nombre]],base_de_datos[Profesor],base_de_datos[Academia],1))=Profesores[[#Headers],[ESC]],"x","")</f>
        <v/>
      </c>
      <c r="AE127" s="6" t="str">
        <f>IF((_xlfn.XLOOKUP(Profesores[[#This Row],[Nombre]],base_de_datos[Profesor],base_de_datos[Academia],1))=Profesores[[#Headers],[HUM]],"x","")</f>
        <v/>
      </c>
      <c r="AF127" s="4" t="str">
        <f>IF((_xlfn.XLOOKUP(Profesores[[#This Row],[Nombre]],base_de_datos[Profesor],base_de_datos[Academia],1))=Profesores[[#Headers],[IID]],"x","")</f>
        <v/>
      </c>
      <c r="AG127" s="6" t="str">
        <f>IF((_xlfn.XLOOKUP(Profesores[[#This Row],[Nombre]],base_de_datos[Profesor],base_de_datos[Academia],1))=Profesores[[#Headers],[BIO]],"x","")</f>
        <v/>
      </c>
    </row>
    <row r="128" spans="1:36" ht="12" hidden="1" customHeight="1">
      <c r="C128" s="2"/>
      <c r="D128" s="2"/>
      <c r="E128" s="66"/>
      <c r="F128" s="1"/>
      <c r="G128" s="34"/>
      <c r="H128" s="34"/>
      <c r="I128" s="34"/>
      <c r="J128" s="57"/>
      <c r="K128" s="34"/>
      <c r="M128" s="53"/>
      <c r="N128" s="54"/>
      <c r="O128" s="128"/>
      <c r="T128" s="6"/>
      <c r="U128" s="4"/>
      <c r="V128" s="4" t="str">
        <f>IF((_xlfn.XLOOKUP(Profesores[[#This Row],[Nombre]],base_de_datos[Profesor],base_de_datos[Academia],1))=Profesores[[#Headers],[MEC]],"x","")</f>
        <v/>
      </c>
      <c r="W128" s="4" t="str">
        <f>IF((_xlfn.XLOOKUP(Profesores[[#This Row],[Nombre]],base_de_datos[Profesor],base_de_datos[Academia],1))=Profesores[[#Headers],[COM]],"x","")</f>
        <v/>
      </c>
      <c r="Y128" s="4" t="str">
        <f>IF((_xlfn.XLOOKUP(Profesores[[#This Row],[Nombre]],base_de_datos[Profesor],base_de_datos[Academia],1))=Profesores[[#Headers],[DOP]],"x","")</f>
        <v/>
      </c>
      <c r="Z128" s="4" t="str">
        <f>IF((_xlfn.XLOOKUP(Profesores[[#This Row],[Nombre]],base_de_datos[Profesor],base_de_datos[Academia],1))=Profesores[[#Headers],[ETF]],"x","")</f>
        <v/>
      </c>
      <c r="AA128" s="4" t="str">
        <f>IF((_xlfn.XLOOKUP(Profesores[[#This Row],[Nombre]],base_de_datos[Profesor],base_de_datos[Academia],1))=Profesores[[#Headers],[MAT]],"x","")</f>
        <v/>
      </c>
      <c r="AB128" s="4" t="str">
        <f>IF((_xlfn.XLOOKUP(Profesores[[#This Row],[Nombre]],base_de_datos[Profesor],base_de_datos[Academia],1))=Profesores[[#Headers],[EMP]],"x","")</f>
        <v/>
      </c>
      <c r="AC128" s="6" t="str">
        <f>IF((_xlfn.XLOOKUP(Profesores[[#This Row],[Nombre]],base_de_datos[Profesor],base_de_datos[Academia],1))=Profesores[[#Headers],[AIC]],"x","")</f>
        <v/>
      </c>
      <c r="AD128" s="4" t="str">
        <f>IF((_xlfn.XLOOKUP(Profesores[[#This Row],[Nombre]],base_de_datos[Profesor],base_de_datos[Academia],1))=Profesores[[#Headers],[ESC]],"x","")</f>
        <v/>
      </c>
      <c r="AE128" s="6" t="str">
        <f>IF((_xlfn.XLOOKUP(Profesores[[#This Row],[Nombre]],base_de_datos[Profesor],base_de_datos[Academia],1))=Profesores[[#Headers],[HUM]],"x","")</f>
        <v/>
      </c>
      <c r="AF128" s="4" t="str">
        <f>IF((_xlfn.XLOOKUP(Profesores[[#This Row],[Nombre]],base_de_datos[Profesor],base_de_datos[Academia],1))=Profesores[[#Headers],[IID]],"x","")</f>
        <v/>
      </c>
      <c r="AG128" s="6" t="str">
        <f>IF((_xlfn.XLOOKUP(Profesores[[#This Row],[Nombre]],base_de_datos[Profesor],base_de_datos[Academia],1))=Profesores[[#Headers],[BIO]],"x","")</f>
        <v/>
      </c>
    </row>
    <row r="129" spans="1:36" ht="12" hidden="1" customHeight="1">
      <c r="C129" s="2"/>
      <c r="D129" s="2"/>
      <c r="E129" s="66"/>
      <c r="F129" s="1"/>
      <c r="G129" s="34"/>
      <c r="H129" s="34"/>
      <c r="I129" s="34"/>
      <c r="J129" s="57"/>
      <c r="K129" s="34"/>
      <c r="M129" s="53"/>
      <c r="N129" s="54"/>
      <c r="O129" s="128"/>
      <c r="T129" s="6"/>
      <c r="U129" s="4"/>
      <c r="V129" s="4" t="str">
        <f>IF((_xlfn.XLOOKUP(Profesores[[#This Row],[Nombre]],base_de_datos[Profesor],base_de_datos[Academia],1))=Profesores[[#Headers],[MEC]],"x","")</f>
        <v/>
      </c>
      <c r="W129" s="4" t="str">
        <f>IF((_xlfn.XLOOKUP(Profesores[[#This Row],[Nombre]],base_de_datos[Profesor],base_de_datos[Academia],1))=Profesores[[#Headers],[COM]],"x","")</f>
        <v/>
      </c>
      <c r="Y129" s="4" t="str">
        <f>IF((_xlfn.XLOOKUP(Profesores[[#This Row],[Nombre]],base_de_datos[Profesor],base_de_datos[Academia],1))=Profesores[[#Headers],[DOP]],"x","")</f>
        <v/>
      </c>
      <c r="Z129" s="4" t="str">
        <f>IF((_xlfn.XLOOKUP(Profesores[[#This Row],[Nombre]],base_de_datos[Profesor],base_de_datos[Academia],1))=Profesores[[#Headers],[ETF]],"x","")</f>
        <v/>
      </c>
      <c r="AA129" s="4" t="str">
        <f>IF((_xlfn.XLOOKUP(Profesores[[#This Row],[Nombre]],base_de_datos[Profesor],base_de_datos[Academia],1))=Profesores[[#Headers],[MAT]],"x","")</f>
        <v/>
      </c>
      <c r="AB129" s="4" t="str">
        <f>IF((_xlfn.XLOOKUP(Profesores[[#This Row],[Nombre]],base_de_datos[Profesor],base_de_datos[Academia],1))=Profesores[[#Headers],[EMP]],"x","")</f>
        <v/>
      </c>
      <c r="AC129" s="6" t="str">
        <f>IF((_xlfn.XLOOKUP(Profesores[[#This Row],[Nombre]],base_de_datos[Profesor],base_de_datos[Academia],1))=Profesores[[#Headers],[AIC]],"x","")</f>
        <v/>
      </c>
      <c r="AD129" s="4" t="str">
        <f>IF((_xlfn.XLOOKUP(Profesores[[#This Row],[Nombre]],base_de_datos[Profesor],base_de_datos[Academia],1))=Profesores[[#Headers],[ESC]],"x","")</f>
        <v/>
      </c>
      <c r="AE129" s="6" t="str">
        <f>IF((_xlfn.XLOOKUP(Profesores[[#This Row],[Nombre]],base_de_datos[Profesor],base_de_datos[Academia],1))=Profesores[[#Headers],[HUM]],"x","")</f>
        <v/>
      </c>
      <c r="AF129" s="4" t="str">
        <f>IF((_xlfn.XLOOKUP(Profesores[[#This Row],[Nombre]],base_de_datos[Profesor],base_de_datos[Academia],1))=Profesores[[#Headers],[IID]],"x","")</f>
        <v/>
      </c>
      <c r="AG129" s="6" t="str">
        <f>IF((_xlfn.XLOOKUP(Profesores[[#This Row],[Nombre]],base_de_datos[Profesor],base_de_datos[Academia],1))=Profesores[[#Headers],[BIO]],"x","")</f>
        <v/>
      </c>
    </row>
    <row r="130" spans="1:36" ht="12" hidden="1" customHeight="1">
      <c r="C130" s="2"/>
      <c r="D130" s="2"/>
      <c r="E130" s="66"/>
      <c r="F130" s="1"/>
      <c r="G130" s="34"/>
      <c r="H130" s="34"/>
      <c r="I130" s="34"/>
      <c r="J130" s="57"/>
      <c r="K130" s="34"/>
      <c r="M130" s="53"/>
      <c r="N130" s="54"/>
      <c r="O130" s="128"/>
      <c r="T130" s="6"/>
      <c r="U130" s="4"/>
      <c r="V130" s="4" t="str">
        <f>IF((_xlfn.XLOOKUP(Profesores[[#This Row],[Nombre]],base_de_datos[Profesor],base_de_datos[Academia],1))=Profesores[[#Headers],[MEC]],"x","")</f>
        <v/>
      </c>
      <c r="W130" s="4" t="str">
        <f>IF((_xlfn.XLOOKUP(Profesores[[#This Row],[Nombre]],base_de_datos[Profesor],base_de_datos[Academia],1))=Profesores[[#Headers],[COM]],"x","")</f>
        <v/>
      </c>
      <c r="Y130" s="4" t="str">
        <f>IF((_xlfn.XLOOKUP(Profesores[[#This Row],[Nombre]],base_de_datos[Profesor],base_de_datos[Academia],1))=Profesores[[#Headers],[DOP]],"x","")</f>
        <v/>
      </c>
      <c r="Z130" s="4" t="str">
        <f>IF((_xlfn.XLOOKUP(Profesores[[#This Row],[Nombre]],base_de_datos[Profesor],base_de_datos[Academia],1))=Profesores[[#Headers],[ETF]],"x","")</f>
        <v/>
      </c>
      <c r="AA130" s="4" t="str">
        <f>IF((_xlfn.XLOOKUP(Profesores[[#This Row],[Nombre]],base_de_datos[Profesor],base_de_datos[Academia],1))=Profesores[[#Headers],[MAT]],"x","")</f>
        <v/>
      </c>
      <c r="AB130" s="4" t="str">
        <f>IF((_xlfn.XLOOKUP(Profesores[[#This Row],[Nombre]],base_de_datos[Profesor],base_de_datos[Academia],1))=Profesores[[#Headers],[EMP]],"x","")</f>
        <v/>
      </c>
      <c r="AC130" s="6" t="str">
        <f>IF((_xlfn.XLOOKUP(Profesores[[#This Row],[Nombre]],base_de_datos[Profesor],base_de_datos[Academia],1))=Profesores[[#Headers],[AIC]],"x","")</f>
        <v/>
      </c>
      <c r="AD130" s="4" t="str">
        <f>IF((_xlfn.XLOOKUP(Profesores[[#This Row],[Nombre]],base_de_datos[Profesor],base_de_datos[Academia],1))=Profesores[[#Headers],[ESC]],"x","")</f>
        <v/>
      </c>
      <c r="AE130" s="6" t="str">
        <f>IF((_xlfn.XLOOKUP(Profesores[[#This Row],[Nombre]],base_de_datos[Profesor],base_de_datos[Academia],1))=Profesores[[#Headers],[HUM]],"x","")</f>
        <v/>
      </c>
      <c r="AF130" s="4" t="str">
        <f>IF((_xlfn.XLOOKUP(Profesores[[#This Row],[Nombre]],base_de_datos[Profesor],base_de_datos[Academia],1))=Profesores[[#Headers],[IID]],"x","")</f>
        <v/>
      </c>
      <c r="AG130" s="6" t="str">
        <f>IF((_xlfn.XLOOKUP(Profesores[[#This Row],[Nombre]],base_de_datos[Profesor],base_de_datos[Academia],1))=Profesores[[#Headers],[BIO]],"x","")</f>
        <v/>
      </c>
    </row>
    <row r="131" spans="1:36" s="135" customFormat="1" ht="12" hidden="1" customHeight="1">
      <c r="A131" s="227"/>
      <c r="B131" s="6"/>
      <c r="C131" s="4"/>
      <c r="D131" s="4"/>
      <c r="E131" s="56"/>
      <c r="F131" s="6"/>
      <c r="G131" s="33"/>
      <c r="H131" s="33"/>
      <c r="I131" s="33"/>
      <c r="J131" s="58"/>
      <c r="K131" s="33"/>
      <c r="L131" s="4"/>
      <c r="M131" s="192"/>
      <c r="N131" s="137"/>
      <c r="O131" s="128"/>
      <c r="P131" s="4"/>
      <c r="Q131" s="4"/>
      <c r="R131" s="4"/>
      <c r="S131" s="4"/>
      <c r="T131" s="6"/>
      <c r="U131" s="4"/>
      <c r="V131" s="4" t="str">
        <f>IF((_xlfn.XLOOKUP(Profesores[[#This Row],[Nombre]],base_de_datos[Profesor],base_de_datos[Academia],1))=Profesores[[#Headers],[MEC]],"x","")</f>
        <v/>
      </c>
      <c r="W131" s="4" t="str">
        <f>IF((_xlfn.XLOOKUP(Profesores[[#This Row],[Nombre]],base_de_datos[Profesor],base_de_datos[Academia],1))=Profesores[[#Headers],[COM]],"x","")</f>
        <v/>
      </c>
      <c r="X131" s="4"/>
      <c r="Y131" s="4" t="str">
        <f>IF((_xlfn.XLOOKUP(Profesores[[#This Row],[Nombre]],base_de_datos[Profesor],base_de_datos[Academia],1))=Profesores[[#Headers],[DOP]],"x","")</f>
        <v/>
      </c>
      <c r="Z131" s="4" t="str">
        <f>IF((_xlfn.XLOOKUP(Profesores[[#This Row],[Nombre]],base_de_datos[Profesor],base_de_datos[Academia],1))=Profesores[[#Headers],[ETF]],"x","")</f>
        <v/>
      </c>
      <c r="AA131" s="4" t="str">
        <f>IF((_xlfn.XLOOKUP(Profesores[[#This Row],[Nombre]],base_de_datos[Profesor],base_de_datos[Academia],1))=Profesores[[#Headers],[MAT]],"x","")</f>
        <v/>
      </c>
      <c r="AB131" s="4" t="str">
        <f>IF((_xlfn.XLOOKUP(Profesores[[#This Row],[Nombre]],base_de_datos[Profesor],base_de_datos[Academia],1))=Profesores[[#Headers],[EMP]],"x","")</f>
        <v/>
      </c>
      <c r="AC131" s="6" t="str">
        <f>IF((_xlfn.XLOOKUP(Profesores[[#This Row],[Nombre]],base_de_datos[Profesor],base_de_datos[Academia],1))=Profesores[[#Headers],[AIC]],"x","")</f>
        <v/>
      </c>
      <c r="AD131" s="4" t="str">
        <f>IF((_xlfn.XLOOKUP(Profesores[[#This Row],[Nombre]],base_de_datos[Profesor],base_de_datos[Academia],1))=Profesores[[#Headers],[ESC]],"x","")</f>
        <v/>
      </c>
      <c r="AE131" s="6" t="str">
        <f>IF((_xlfn.XLOOKUP(Profesores[[#This Row],[Nombre]],base_de_datos[Profesor],base_de_datos[Academia],1))=Profesores[[#Headers],[HUM]],"x","")</f>
        <v/>
      </c>
      <c r="AF131" s="4" t="str">
        <f>IF((_xlfn.XLOOKUP(Profesores[[#This Row],[Nombre]],base_de_datos[Profesor],base_de_datos[Academia],1))=Profesores[[#Headers],[IID]],"x","")</f>
        <v/>
      </c>
      <c r="AG131" s="6" t="str">
        <f>IF((_xlfn.XLOOKUP(Profesores[[#This Row],[Nombre]],base_de_datos[Profesor],base_de_datos[Academia],1))=Profesores[[#Headers],[BIO]],"x","")</f>
        <v/>
      </c>
      <c r="AH131" s="6"/>
      <c r="AI131" s="6"/>
      <c r="AJ131" s="6"/>
    </row>
    <row r="132" spans="1:36" ht="12" hidden="1" customHeight="1">
      <c r="E132" s="56"/>
      <c r="J132" s="58"/>
      <c r="M132" s="53"/>
      <c r="N132" s="89"/>
      <c r="O132" s="128"/>
      <c r="T132" s="6"/>
      <c r="U132" s="4"/>
      <c r="V132" s="4" t="str">
        <f>IF((_xlfn.XLOOKUP(Profesores[[#This Row],[Nombre]],base_de_datos[Profesor],base_de_datos[Academia],1))=Profesores[[#Headers],[MEC]],"x","")</f>
        <v/>
      </c>
      <c r="W132" s="4" t="str">
        <f>IF((_xlfn.XLOOKUP(Profesores[[#This Row],[Nombre]],base_de_datos[Profesor],base_de_datos[Academia],1))=Profesores[[#Headers],[COM]],"x","")</f>
        <v/>
      </c>
      <c r="Y132" s="4" t="str">
        <f>IF((_xlfn.XLOOKUP(Profesores[[#This Row],[Nombre]],base_de_datos[Profesor],base_de_datos[Academia],1))=Profesores[[#Headers],[DOP]],"x","")</f>
        <v/>
      </c>
      <c r="Z132" s="4" t="str">
        <f>IF((_xlfn.XLOOKUP(Profesores[[#This Row],[Nombre]],base_de_datos[Profesor],base_de_datos[Academia],1))=Profesores[[#Headers],[ETF]],"x","")</f>
        <v/>
      </c>
      <c r="AA132" s="4" t="str">
        <f>IF((_xlfn.XLOOKUP(Profesores[[#This Row],[Nombre]],base_de_datos[Profesor],base_de_datos[Academia],1))=Profesores[[#Headers],[MAT]],"x","")</f>
        <v/>
      </c>
      <c r="AB132" s="4" t="str">
        <f>IF((_xlfn.XLOOKUP(Profesores[[#This Row],[Nombre]],base_de_datos[Profesor],base_de_datos[Academia],1))=Profesores[[#Headers],[EMP]],"x","")</f>
        <v/>
      </c>
      <c r="AC132" s="6" t="str">
        <f>IF((_xlfn.XLOOKUP(Profesores[[#This Row],[Nombre]],base_de_datos[Profesor],base_de_datos[Academia],1))=Profesores[[#Headers],[AIC]],"x","")</f>
        <v/>
      </c>
      <c r="AD132" s="4" t="str">
        <f>IF((_xlfn.XLOOKUP(Profesores[[#This Row],[Nombre]],base_de_datos[Profesor],base_de_datos[Academia],1))=Profesores[[#Headers],[ESC]],"x","")</f>
        <v/>
      </c>
      <c r="AE132" s="6" t="str">
        <f>IF((_xlfn.XLOOKUP(Profesores[[#This Row],[Nombre]],base_de_datos[Profesor],base_de_datos[Academia],1))=Profesores[[#Headers],[HUM]],"x","")</f>
        <v/>
      </c>
      <c r="AF132" s="4" t="str">
        <f>IF((_xlfn.XLOOKUP(Profesores[[#This Row],[Nombre]],base_de_datos[Profesor],base_de_datos[Academia],1))=Profesores[[#Headers],[IID]],"x","")</f>
        <v/>
      </c>
      <c r="AG132" s="6" t="str">
        <f>IF((_xlfn.XLOOKUP(Profesores[[#This Row],[Nombre]],base_de_datos[Profesor],base_de_datos[Academia],1))=Profesores[[#Headers],[BIO]],"x","")</f>
        <v/>
      </c>
    </row>
    <row r="133" spans="1:36" ht="12" hidden="1" customHeight="1">
      <c r="C133" s="4" t="s">
        <v>484</v>
      </c>
      <c r="D133" s="4" t="s">
        <v>498</v>
      </c>
      <c r="E133" s="224" t="s">
        <v>1133</v>
      </c>
      <c r="F133" s="133" t="s">
        <v>434</v>
      </c>
      <c r="G133" s="33" t="s">
        <v>1134</v>
      </c>
      <c r="H133" s="33" t="s">
        <v>1135</v>
      </c>
      <c r="I133" s="33" t="s">
        <v>1136</v>
      </c>
      <c r="J133" s="58">
        <v>35302</v>
      </c>
      <c r="M133" s="53">
        <v>4499089460</v>
      </c>
      <c r="N133" s="138" t="s">
        <v>1137</v>
      </c>
      <c r="O133" s="128" t="s">
        <v>1138</v>
      </c>
      <c r="P133" s="4">
        <v>1129</v>
      </c>
      <c r="Q133" s="4" t="s">
        <v>1139</v>
      </c>
      <c r="R133" s="223" t="s">
        <v>491</v>
      </c>
      <c r="S133" s="223" t="s">
        <v>491</v>
      </c>
      <c r="T133" s="223">
        <v>20280</v>
      </c>
      <c r="U133" s="4"/>
      <c r="V133" s="4" t="str">
        <f>IF((_xlfn.XLOOKUP(Profesores[[#This Row],[Nombre]],base_de_datos[Profesor],base_de_datos[Academia],1))=Profesores[[#Headers],[MEC]],"x","")</f>
        <v/>
      </c>
      <c r="W133" s="4" t="str">
        <f>IF((_xlfn.XLOOKUP(Profesores[[#This Row],[Nombre]],base_de_datos[Profesor],base_de_datos[Academia],1))=Profesores[[#Headers],[COM]],"x","")</f>
        <v/>
      </c>
      <c r="Y133" s="4" t="str">
        <f>IF((_xlfn.XLOOKUP(Profesores[[#This Row],[Nombre]],base_de_datos[Profesor],base_de_datos[Academia],1))=Profesores[[#Headers],[DOP]],"x","")</f>
        <v/>
      </c>
      <c r="Z133" s="4" t="str">
        <f>IF((_xlfn.XLOOKUP(Profesores[[#This Row],[Nombre]],base_de_datos[Profesor],base_de_datos[Academia],1))=Profesores[[#Headers],[ETF]],"x","")</f>
        <v/>
      </c>
      <c r="AA133" s="4" t="str">
        <f>IF((_xlfn.XLOOKUP(Profesores[[#This Row],[Nombre]],base_de_datos[Profesor],base_de_datos[Academia],1))=Profesores[[#Headers],[MAT]],"x","")</f>
        <v>x</v>
      </c>
      <c r="AB133" s="4" t="str">
        <f>IF((_xlfn.XLOOKUP(Profesores[[#This Row],[Nombre]],base_de_datos[Profesor],base_de_datos[Academia],1))=Profesores[[#Headers],[EMP]],"x","")</f>
        <v/>
      </c>
      <c r="AC133" s="6" t="str">
        <f>IF((_xlfn.XLOOKUP(Profesores[[#This Row],[Nombre]],base_de_datos[Profesor],base_de_datos[Academia],1))=Profesores[[#Headers],[AIC]],"x","")</f>
        <v/>
      </c>
      <c r="AD133" s="4" t="str">
        <f>IF((_xlfn.XLOOKUP(Profesores[[#This Row],[Nombre]],base_de_datos[Profesor],base_de_datos[Academia],1))=Profesores[[#Headers],[ESC]],"x","")</f>
        <v/>
      </c>
      <c r="AE133" s="6" t="str">
        <f>IF((_xlfn.XLOOKUP(Profesores[[#This Row],[Nombre]],base_de_datos[Profesor],base_de_datos[Academia],1))=Profesores[[#Headers],[HUM]],"x","")</f>
        <v/>
      </c>
      <c r="AF133" s="4" t="str">
        <f>IF((_xlfn.XLOOKUP(Profesores[[#This Row],[Nombre]],base_de_datos[Profesor],base_de_datos[Academia],1))=Profesores[[#Headers],[IID]],"x","")</f>
        <v/>
      </c>
      <c r="AG133" s="6" t="str">
        <f>IF((_xlfn.XLOOKUP(Profesores[[#This Row],[Nombre]],base_de_datos[Profesor],base_de_datos[Academia],1))=Profesores[[#Headers],[BIO]],"x","")</f>
        <v/>
      </c>
      <c r="AJ133" s="6">
        <f>TRUNC(IFERROR(Profesores[[#This Row],[Ex Inglés]]*677/100,0),0)</f>
        <v>0</v>
      </c>
    </row>
  </sheetData>
  <sortState xmlns:xlrd2="http://schemas.microsoft.com/office/spreadsheetml/2017/richdata2" ref="AW1:AX26">
    <sortCondition ref="AW1:AW26"/>
  </sortState>
  <phoneticPr fontId="8" type="noConversion"/>
  <conditionalFormatting sqref="M3:M4 O3:S4 O23:S23 M6 U15 T16:U21 M5:S5 T3:U5 M7:U14 T12:T20 M12:S22 M71:T89">
    <cfRule type="containsBlanks" dxfId="8886" priority="9024">
      <formula>LEN(TRIM(M3))=0</formula>
    </cfRule>
  </conditionalFormatting>
  <conditionalFormatting sqref="U22">
    <cfRule type="containsBlanks" dxfId="8885" priority="9022">
      <formula>LEN(TRIM(U22))=0</formula>
    </cfRule>
  </conditionalFormatting>
  <conditionalFormatting sqref="M23:N23 U23">
    <cfRule type="containsBlanks" dxfId="8884" priority="9021">
      <formula>LEN(TRIM(M23))=0</formula>
    </cfRule>
  </conditionalFormatting>
  <conditionalFormatting sqref="T19:T22">
    <cfRule type="containsBlanks" dxfId="8883" priority="9018">
      <formula>LEN(TRIM(T19))=0</formula>
    </cfRule>
  </conditionalFormatting>
  <conditionalFormatting sqref="T20:T23">
    <cfRule type="containsBlanks" dxfId="8882" priority="9017">
      <formula>LEN(TRIM(T20))=0</formula>
    </cfRule>
  </conditionalFormatting>
  <conditionalFormatting sqref="M29:M33">
    <cfRule type="containsBlanks" dxfId="8881" priority="9001">
      <formula>LEN(TRIM(M29))=0</formula>
    </cfRule>
  </conditionalFormatting>
  <conditionalFormatting sqref="M34:M38">
    <cfRule type="containsBlanks" dxfId="8880" priority="8998">
      <formula>LEN(TRIM(M34))=0</formula>
    </cfRule>
  </conditionalFormatting>
  <conditionalFormatting sqref="N34:N38">
    <cfRule type="containsBlanks" dxfId="8879" priority="8997">
      <formula>LEN(TRIM(N34))=0</formula>
    </cfRule>
  </conditionalFormatting>
  <conditionalFormatting sqref="M36:M40">
    <cfRule type="containsBlanks" dxfId="8878" priority="8993">
      <formula>LEN(TRIM(M36))=0</formula>
    </cfRule>
  </conditionalFormatting>
  <conditionalFormatting sqref="N36:N40">
    <cfRule type="containsBlanks" dxfId="8877" priority="8992">
      <formula>LEN(TRIM(N36))=0</formula>
    </cfRule>
  </conditionalFormatting>
  <conditionalFormatting sqref="M37:M41">
    <cfRule type="containsBlanks" dxfId="8876" priority="8991">
      <formula>LEN(TRIM(M37))=0</formula>
    </cfRule>
  </conditionalFormatting>
  <conditionalFormatting sqref="N37:N41">
    <cfRule type="containsBlanks" dxfId="8875" priority="8990">
      <formula>LEN(TRIM(N37))=0</formula>
    </cfRule>
  </conditionalFormatting>
  <conditionalFormatting sqref="O37:O41">
    <cfRule type="containsBlanks" dxfId="8874" priority="8989">
      <formula>LEN(TRIM(O37))=0</formula>
    </cfRule>
  </conditionalFormatting>
  <conditionalFormatting sqref="Q37:Q41">
    <cfRule type="containsBlanks" dxfId="8873" priority="8988">
      <formula>LEN(TRIM(Q37))=0</formula>
    </cfRule>
  </conditionalFormatting>
  <conditionalFormatting sqref="M42:M46">
    <cfRule type="containsBlanks" dxfId="8872" priority="8983">
      <formula>LEN(TRIM(M42))=0</formula>
    </cfRule>
  </conditionalFormatting>
  <conditionalFormatting sqref="N42:N46">
    <cfRule type="containsBlanks" dxfId="8871" priority="8982">
      <formula>LEN(TRIM(N42))=0</formula>
    </cfRule>
  </conditionalFormatting>
  <conditionalFormatting sqref="O42:O46">
    <cfRule type="containsBlanks" dxfId="8870" priority="8981">
      <formula>LEN(TRIM(O42))=0</formula>
    </cfRule>
  </conditionalFormatting>
  <conditionalFormatting sqref="P42:P46">
    <cfRule type="containsBlanks" dxfId="8869" priority="8980">
      <formula>LEN(TRIM(P42))=0</formula>
    </cfRule>
  </conditionalFormatting>
  <conditionalFormatting sqref="Q42:Q46">
    <cfRule type="containsBlanks" dxfId="8868" priority="8979">
      <formula>LEN(TRIM(Q42))=0</formula>
    </cfRule>
  </conditionalFormatting>
  <conditionalFormatting sqref="T42:T46">
    <cfRule type="containsBlanks" dxfId="8867" priority="8978">
      <formula>LEN(TRIM(T42))=0</formula>
    </cfRule>
  </conditionalFormatting>
  <conditionalFormatting sqref="M47:M51">
    <cfRule type="containsBlanks" dxfId="8866" priority="8977">
      <formula>LEN(TRIM(M47))=0</formula>
    </cfRule>
  </conditionalFormatting>
  <conditionalFormatting sqref="N47:N51">
    <cfRule type="containsBlanks" dxfId="8865" priority="8976">
      <formula>LEN(TRIM(N47))=0</formula>
    </cfRule>
  </conditionalFormatting>
  <conditionalFormatting sqref="O51:Q51">
    <cfRule type="containsBlanks" dxfId="8864" priority="8975">
      <formula>LEN(TRIM(O51))=0</formula>
    </cfRule>
  </conditionalFormatting>
  <conditionalFormatting sqref="N54:N58">
    <cfRule type="containsBlanks" dxfId="8863" priority="8972">
      <formula>LEN(TRIM(N54))=0</formula>
    </cfRule>
  </conditionalFormatting>
  <conditionalFormatting sqref="M54:M58">
    <cfRule type="containsBlanks" dxfId="8862" priority="8971">
      <formula>LEN(TRIM(M54))=0</formula>
    </cfRule>
  </conditionalFormatting>
  <conditionalFormatting sqref="O58:Q58">
    <cfRule type="containsBlanks" dxfId="8861" priority="8970">
      <formula>LEN(TRIM(O58))=0</formula>
    </cfRule>
  </conditionalFormatting>
  <conditionalFormatting sqref="M51:M55">
    <cfRule type="containsBlanks" dxfId="8860" priority="8966">
      <formula>LEN(TRIM(M51))=0</formula>
    </cfRule>
  </conditionalFormatting>
  <conditionalFormatting sqref="N51:N55">
    <cfRule type="containsBlanks" dxfId="8859" priority="8965">
      <formula>LEN(TRIM(N51))=0</formula>
    </cfRule>
  </conditionalFormatting>
  <conditionalFormatting sqref="O55:Q55">
    <cfRule type="containsBlanks" dxfId="8858" priority="8964">
      <formula>LEN(TRIM(O55))=0</formula>
    </cfRule>
  </conditionalFormatting>
  <conditionalFormatting sqref="M52:M56">
    <cfRule type="containsBlanks" dxfId="8857" priority="8963">
      <formula>LEN(TRIM(M52))=0</formula>
    </cfRule>
  </conditionalFormatting>
  <conditionalFormatting sqref="N52:N56">
    <cfRule type="containsBlanks" dxfId="8856" priority="8962">
      <formula>LEN(TRIM(N52))=0</formula>
    </cfRule>
  </conditionalFormatting>
  <conditionalFormatting sqref="O56:Q56">
    <cfRule type="containsBlanks" dxfId="8855" priority="8961">
      <formula>LEN(TRIM(O56))=0</formula>
    </cfRule>
  </conditionalFormatting>
  <conditionalFormatting sqref="N53:N57">
    <cfRule type="containsBlanks" dxfId="8854" priority="8959">
      <formula>LEN(TRIM(N53))=0</formula>
    </cfRule>
  </conditionalFormatting>
  <conditionalFormatting sqref="M55:M60">
    <cfRule type="containsBlanks" dxfId="8853" priority="8957">
      <formula>LEN(TRIM(M55))=0</formula>
    </cfRule>
  </conditionalFormatting>
  <conditionalFormatting sqref="N55:N60">
    <cfRule type="containsBlanks" dxfId="8852" priority="8956">
      <formula>LEN(TRIM(N55))=0</formula>
    </cfRule>
  </conditionalFormatting>
  <conditionalFormatting sqref="O60:Q60">
    <cfRule type="containsBlanks" dxfId="8851" priority="8955">
      <formula>LEN(TRIM(O60))=0</formula>
    </cfRule>
  </conditionalFormatting>
  <conditionalFormatting sqref="N57:N62">
    <cfRule type="containsBlanks" dxfId="8850" priority="8954">
      <formula>LEN(TRIM(N57))=0</formula>
    </cfRule>
  </conditionalFormatting>
  <conditionalFormatting sqref="O62:Q62">
    <cfRule type="containsBlanks" dxfId="8849" priority="8953">
      <formula>LEN(TRIM(O62))=0</formula>
    </cfRule>
  </conditionalFormatting>
  <conditionalFormatting sqref="O64:Q64">
    <cfRule type="containsBlanks" dxfId="8848" priority="8946">
      <formula>LEN(TRIM(O64))=0</formula>
    </cfRule>
  </conditionalFormatting>
  <conditionalFormatting sqref="M59:M64">
    <cfRule type="containsBlanks" dxfId="8847" priority="8948">
      <formula>LEN(TRIM(M59))=0</formula>
    </cfRule>
  </conditionalFormatting>
  <conditionalFormatting sqref="N59:N64">
    <cfRule type="containsBlanks" dxfId="8846" priority="8947">
      <formula>LEN(TRIM(N59))=0</formula>
    </cfRule>
  </conditionalFormatting>
  <conditionalFormatting sqref="AH3:AH81">
    <cfRule type="cellIs" dxfId="8845" priority="8943" operator="between">
      <formula>0.1</formula>
      <formula>100</formula>
    </cfRule>
    <cfRule type="cellIs" dxfId="8844" priority="8944" operator="equal">
      <formula>"Incompleto"</formula>
    </cfRule>
    <cfRule type="cellIs" dxfId="8843" priority="8945" operator="equal">
      <formula>"No inscrito"</formula>
    </cfRule>
  </conditionalFormatting>
  <conditionalFormatting sqref="AH2:AH81">
    <cfRule type="cellIs" dxfId="8842" priority="8942" operator="equal">
      <formula>""""""</formula>
    </cfRule>
  </conditionalFormatting>
  <conditionalFormatting sqref="AH76">
    <cfRule type="cellIs" dxfId="8841" priority="8932" operator="between">
      <formula>0.1</formula>
      <formula>100</formula>
    </cfRule>
    <cfRule type="cellIs" dxfId="8840" priority="8933" operator="equal">
      <formula>"No inscrito"</formula>
    </cfRule>
    <cfRule type="cellIs" dxfId="8839" priority="8934" operator="equal">
      <formula>"Incompleto"</formula>
    </cfRule>
  </conditionalFormatting>
  <conditionalFormatting sqref="M72:M77">
    <cfRule type="containsBlanks" dxfId="8838" priority="8927">
      <formula>LEN(TRIM(M72))=0</formula>
    </cfRule>
  </conditionalFormatting>
  <conditionalFormatting sqref="N72:N77">
    <cfRule type="containsBlanks" dxfId="8837" priority="8926">
      <formula>LEN(TRIM(N72))=0</formula>
    </cfRule>
  </conditionalFormatting>
  <conditionalFormatting sqref="O77:Q77">
    <cfRule type="containsBlanks" dxfId="8836" priority="8925">
      <formula>LEN(TRIM(O77))=0</formula>
    </cfRule>
  </conditionalFormatting>
  <conditionalFormatting sqref="M73:M78">
    <cfRule type="containsBlanks" dxfId="8835" priority="8921">
      <formula>LEN(TRIM(M73))=0</formula>
    </cfRule>
  </conditionalFormatting>
  <conditionalFormatting sqref="N73:N78">
    <cfRule type="containsBlanks" dxfId="8834" priority="8920">
      <formula>LEN(TRIM(N73))=0</formula>
    </cfRule>
  </conditionalFormatting>
  <conditionalFormatting sqref="O78:Q78">
    <cfRule type="containsBlanks" dxfId="8833" priority="8919">
      <formula>LEN(TRIM(O78))=0</formula>
    </cfRule>
  </conditionalFormatting>
  <conditionalFormatting sqref="N74:N79">
    <cfRule type="containsBlanks" dxfId="8832" priority="8917">
      <formula>LEN(TRIM(N74))=0</formula>
    </cfRule>
  </conditionalFormatting>
  <conditionalFormatting sqref="N75:N80">
    <cfRule type="containsBlanks" dxfId="8831" priority="8914">
      <formula>LEN(TRIM(N75))=0</formula>
    </cfRule>
  </conditionalFormatting>
  <conditionalFormatting sqref="M75:M80">
    <cfRule type="containsBlanks" dxfId="8830" priority="8915">
      <formula>LEN(TRIM(M75))=0</formula>
    </cfRule>
  </conditionalFormatting>
  <conditionalFormatting sqref="O80:Q80">
    <cfRule type="containsBlanks" dxfId="8829" priority="8913">
      <formula>LEN(TRIM(O80))=0</formula>
    </cfRule>
  </conditionalFormatting>
  <conditionalFormatting sqref="M82:M87">
    <cfRule type="containsBlanks" dxfId="8828" priority="8909">
      <formula>LEN(TRIM(M82))=0</formula>
    </cfRule>
  </conditionalFormatting>
  <conditionalFormatting sqref="M15:T15">
    <cfRule type="containsBlanks" dxfId="8827" priority="8908">
      <formula>LEN(TRIM(M15))=0</formula>
    </cfRule>
  </conditionalFormatting>
  <conditionalFormatting sqref="N76:T76">
    <cfRule type="containsBlanks" dxfId="8826" priority="8899">
      <formula>LEN(TRIM(N76))=0</formula>
    </cfRule>
  </conditionalFormatting>
  <conditionalFormatting sqref="M93:S93">
    <cfRule type="containsBlanks" dxfId="8825" priority="8898">
      <formula>LEN(TRIM(M93))=0</formula>
    </cfRule>
  </conditionalFormatting>
  <conditionalFormatting sqref="T88:T93">
    <cfRule type="containsBlanks" dxfId="8824" priority="8897">
      <formula>LEN(TRIM(T88))=0</formula>
    </cfRule>
  </conditionalFormatting>
  <conditionalFormatting sqref="N96:T96">
    <cfRule type="containsBlanks" dxfId="8823" priority="8896">
      <formula>LEN(TRIM(N96))=0</formula>
    </cfRule>
  </conditionalFormatting>
  <conditionalFormatting sqref="N93:N98">
    <cfRule type="containsBlanks" dxfId="8822" priority="8895">
      <formula>LEN(TRIM(N93))=0</formula>
    </cfRule>
  </conditionalFormatting>
  <conditionalFormatting sqref="O98:Q98">
    <cfRule type="containsBlanks" dxfId="8821" priority="8894">
      <formula>LEN(TRIM(O98))=0</formula>
    </cfRule>
  </conditionalFormatting>
  <conditionalFormatting sqref="M57:M62">
    <cfRule type="containsBlanks" dxfId="8820" priority="8893">
      <formula>LEN(TRIM(M57))=0</formula>
    </cfRule>
  </conditionalFormatting>
  <conditionalFormatting sqref="AH78">
    <cfRule type="cellIs" dxfId="8819" priority="8890" operator="between">
      <formula>0.1</formula>
      <formula>100</formula>
    </cfRule>
    <cfRule type="cellIs" dxfId="8818" priority="8891" operator="equal">
      <formula>"Incompleto"</formula>
    </cfRule>
    <cfRule type="cellIs" dxfId="8817" priority="8892" operator="equal">
      <formula>"No inscrito"</formula>
    </cfRule>
  </conditionalFormatting>
  <conditionalFormatting sqref="AH78">
    <cfRule type="cellIs" dxfId="8816" priority="8889" operator="equal">
      <formula>""""""</formula>
    </cfRule>
  </conditionalFormatting>
  <conditionalFormatting sqref="AH82">
    <cfRule type="cellIs" dxfId="8815" priority="8878" operator="between">
      <formula>0.1</formula>
      <formula>100</formula>
    </cfRule>
    <cfRule type="cellIs" dxfId="8814" priority="8879" operator="equal">
      <formula>"Incompleto"</formula>
    </cfRule>
    <cfRule type="cellIs" dxfId="8813" priority="8880" operator="equal">
      <formula>"No inscrito"</formula>
    </cfRule>
  </conditionalFormatting>
  <conditionalFormatting sqref="AH82">
    <cfRule type="cellIs" dxfId="8812" priority="8877" operator="equal">
      <formula>""""""</formula>
    </cfRule>
  </conditionalFormatting>
  <conditionalFormatting sqref="AH85">
    <cfRule type="cellIs" dxfId="8811" priority="8870" operator="between">
      <formula>0.1</formula>
      <formula>100</formula>
    </cfRule>
    <cfRule type="cellIs" dxfId="8810" priority="8871" operator="equal">
      <formula>"Incompleto"</formula>
    </cfRule>
    <cfRule type="cellIs" dxfId="8809" priority="8872" operator="equal">
      <formula>"No inscrito"</formula>
    </cfRule>
  </conditionalFormatting>
  <conditionalFormatting sqref="AH85">
    <cfRule type="cellIs" dxfId="8808" priority="8869" operator="equal">
      <formula>""""""</formula>
    </cfRule>
  </conditionalFormatting>
  <conditionalFormatting sqref="AH86">
    <cfRule type="cellIs" dxfId="8807" priority="8862" operator="between">
      <formula>0.1</formula>
      <formula>100</formula>
    </cfRule>
    <cfRule type="cellIs" dxfId="8806" priority="8863" operator="equal">
      <formula>"Incompleto"</formula>
    </cfRule>
    <cfRule type="cellIs" dxfId="8805" priority="8864" operator="equal">
      <formula>"No inscrito"</formula>
    </cfRule>
  </conditionalFormatting>
  <conditionalFormatting sqref="AH86">
    <cfRule type="cellIs" dxfId="8804" priority="8861" operator="equal">
      <formula>""""""</formula>
    </cfRule>
  </conditionalFormatting>
  <conditionalFormatting sqref="AH88">
    <cfRule type="cellIs" dxfId="8803" priority="8838" operator="between">
      <formula>0.1</formula>
      <formula>100</formula>
    </cfRule>
    <cfRule type="cellIs" dxfId="8802" priority="8839" operator="equal">
      <formula>"Incompleto"</formula>
    </cfRule>
    <cfRule type="cellIs" dxfId="8801" priority="8840" operator="equal">
      <formula>"No inscrito"</formula>
    </cfRule>
  </conditionalFormatting>
  <conditionalFormatting sqref="AH88">
    <cfRule type="cellIs" dxfId="8800" priority="8837" operator="equal">
      <formula>""""""</formula>
    </cfRule>
  </conditionalFormatting>
  <conditionalFormatting sqref="AH89:AH90">
    <cfRule type="cellIs" dxfId="8799" priority="8830" operator="between">
      <formula>0.1</formula>
      <formula>100</formula>
    </cfRule>
    <cfRule type="cellIs" dxfId="8798" priority="8831" operator="equal">
      <formula>"Incompleto"</formula>
    </cfRule>
    <cfRule type="cellIs" dxfId="8797" priority="8832" operator="equal">
      <formula>"No inscrito"</formula>
    </cfRule>
  </conditionalFormatting>
  <conditionalFormatting sqref="AH89:AH90">
    <cfRule type="cellIs" dxfId="8796" priority="8829" operator="equal">
      <formula>""""""</formula>
    </cfRule>
  </conditionalFormatting>
  <conditionalFormatting sqref="AH91">
    <cfRule type="cellIs" dxfId="8795" priority="8822" operator="between">
      <formula>0.1</formula>
      <formula>100</formula>
    </cfRule>
    <cfRule type="cellIs" dxfId="8794" priority="8823" operator="equal">
      <formula>"Incompleto"</formula>
    </cfRule>
    <cfRule type="cellIs" dxfId="8793" priority="8824" operator="equal">
      <formula>"No inscrito"</formula>
    </cfRule>
  </conditionalFormatting>
  <conditionalFormatting sqref="AH91">
    <cfRule type="cellIs" dxfId="8792" priority="8821" operator="equal">
      <formula>""""""</formula>
    </cfRule>
  </conditionalFormatting>
  <conditionalFormatting sqref="AH93">
    <cfRule type="cellIs" dxfId="8791" priority="8798" operator="between">
      <formula>0.1</formula>
      <formula>100</formula>
    </cfRule>
    <cfRule type="cellIs" dxfId="8790" priority="8799" operator="equal">
      <formula>"Incompleto"</formula>
    </cfRule>
    <cfRule type="cellIs" dxfId="8789" priority="8800" operator="equal">
      <formula>"No inscrito"</formula>
    </cfRule>
  </conditionalFormatting>
  <conditionalFormatting sqref="AH93">
    <cfRule type="cellIs" dxfId="8788" priority="8797" operator="equal">
      <formula>""""""</formula>
    </cfRule>
  </conditionalFormatting>
  <conditionalFormatting sqref="AH94">
    <cfRule type="cellIs" dxfId="8787" priority="8794" operator="between">
      <formula>0.1</formula>
      <formula>100</formula>
    </cfRule>
    <cfRule type="cellIs" dxfId="8786" priority="8795" operator="equal">
      <formula>"Incompleto"</formula>
    </cfRule>
    <cfRule type="cellIs" dxfId="8785" priority="8796" operator="equal">
      <formula>"No inscrito"</formula>
    </cfRule>
  </conditionalFormatting>
  <conditionalFormatting sqref="AH94">
    <cfRule type="cellIs" dxfId="8784" priority="8793" operator="equal">
      <formula>""""""</formula>
    </cfRule>
  </conditionalFormatting>
  <conditionalFormatting sqref="AH96">
    <cfRule type="cellIs" dxfId="8783" priority="8790" operator="between">
      <formula>0.1</formula>
      <formula>100</formula>
    </cfRule>
    <cfRule type="cellIs" dxfId="8782" priority="8791" operator="equal">
      <formula>"Incompleto"</formula>
    </cfRule>
    <cfRule type="cellIs" dxfId="8781" priority="8792" operator="equal">
      <formula>"No inscrito"</formula>
    </cfRule>
  </conditionalFormatting>
  <conditionalFormatting sqref="AH96">
    <cfRule type="cellIs" dxfId="8780" priority="8789" operator="equal">
      <formula>""""""</formula>
    </cfRule>
  </conditionalFormatting>
  <conditionalFormatting sqref="AH99">
    <cfRule type="cellIs" dxfId="8779" priority="8770" operator="between">
      <formula>0.1</formula>
      <formula>100</formula>
    </cfRule>
    <cfRule type="cellIs" dxfId="8778" priority="8771" operator="equal">
      <formula>"Incompleto"</formula>
    </cfRule>
    <cfRule type="cellIs" dxfId="8777" priority="8772" operator="equal">
      <formula>"No inscrito"</formula>
    </cfRule>
  </conditionalFormatting>
  <conditionalFormatting sqref="AH99">
    <cfRule type="cellIs" dxfId="8776" priority="8769" operator="equal">
      <formula>""""""</formula>
    </cfRule>
  </conditionalFormatting>
  <conditionalFormatting sqref="AH100">
    <cfRule type="cellIs" dxfId="8775" priority="8766" operator="between">
      <formula>0.1</formula>
      <formula>100</formula>
    </cfRule>
    <cfRule type="cellIs" dxfId="8774" priority="8767" operator="equal">
      <formula>"Incompleto"</formula>
    </cfRule>
    <cfRule type="cellIs" dxfId="8773" priority="8768" operator="equal">
      <formula>"No inscrito"</formula>
    </cfRule>
  </conditionalFormatting>
  <conditionalFormatting sqref="AH100">
    <cfRule type="cellIs" dxfId="8772" priority="8765" operator="equal">
      <formula>""""""</formula>
    </cfRule>
  </conditionalFormatting>
  <conditionalFormatting sqref="M100:T100">
    <cfRule type="containsBlanks" dxfId="8771" priority="8764">
      <formula>LEN(TRIM(M100))=0</formula>
    </cfRule>
  </conditionalFormatting>
  <conditionalFormatting sqref="M106:T106">
    <cfRule type="containsBlanks" dxfId="8770" priority="8762">
      <formula>LEN(TRIM(M106))=0</formula>
    </cfRule>
  </conditionalFormatting>
  <conditionalFormatting sqref="O107:S107">
    <cfRule type="containsBlanks" dxfId="8769" priority="8761">
      <formula>LEN(TRIM(O107))=0</formula>
    </cfRule>
  </conditionalFormatting>
  <conditionalFormatting sqref="M107:N107">
    <cfRule type="containsBlanks" dxfId="8768" priority="8760">
      <formula>LEN(TRIM(M107))=0</formula>
    </cfRule>
  </conditionalFormatting>
  <conditionalFormatting sqref="T102:T107">
    <cfRule type="containsBlanks" dxfId="8767" priority="8759">
      <formula>LEN(TRIM(T102))=0</formula>
    </cfRule>
  </conditionalFormatting>
  <conditionalFormatting sqref="M70:T70">
    <cfRule type="containsBlanks" dxfId="8766" priority="8757">
      <formula>LEN(TRIM(M70))=0</formula>
    </cfRule>
  </conditionalFormatting>
  <conditionalFormatting sqref="M71:S71">
    <cfRule type="containsBlanks" dxfId="8765" priority="8754">
      <formula>LEN(TRIM(M71))=0</formula>
    </cfRule>
  </conditionalFormatting>
  <conditionalFormatting sqref="T66:T71">
    <cfRule type="containsBlanks" dxfId="8764" priority="8753">
      <formula>LEN(TRIM(T66))=0</formula>
    </cfRule>
  </conditionalFormatting>
  <conditionalFormatting sqref="M85:M90">
    <cfRule type="containsBlanks" dxfId="8763" priority="8752">
      <formula>LEN(TRIM(M85))=0</formula>
    </cfRule>
  </conditionalFormatting>
  <conditionalFormatting sqref="M53:M57">
    <cfRule type="containsBlanks" dxfId="8762" priority="8750">
      <formula>LEN(TRIM(M53))=0</formula>
    </cfRule>
  </conditionalFormatting>
  <conditionalFormatting sqref="U13">
    <cfRule type="containsBlanks" dxfId="8761" priority="8749">
      <formula>LEN(TRIM(U13))=0</formula>
    </cfRule>
  </conditionalFormatting>
  <conditionalFormatting sqref="M14:N14 U14">
    <cfRule type="containsBlanks" dxfId="8760" priority="8748">
      <formula>LEN(TRIM(M14))=0</formula>
    </cfRule>
  </conditionalFormatting>
  <conditionalFormatting sqref="T12:T13">
    <cfRule type="containsBlanks" dxfId="8759" priority="8747">
      <formula>LEN(TRIM(T12))=0</formula>
    </cfRule>
  </conditionalFormatting>
  <conditionalFormatting sqref="T13:T14">
    <cfRule type="containsBlanks" dxfId="8758" priority="8746">
      <formula>LEN(TRIM(T13))=0</formula>
    </cfRule>
  </conditionalFormatting>
  <conditionalFormatting sqref="M21:M24">
    <cfRule type="containsBlanks" dxfId="8757" priority="8745">
      <formula>LEN(TRIM(M21))=0</formula>
    </cfRule>
  </conditionalFormatting>
  <conditionalFormatting sqref="M25:M29">
    <cfRule type="containsBlanks" dxfId="8756" priority="8744">
      <formula>LEN(TRIM(M25))=0</formula>
    </cfRule>
  </conditionalFormatting>
  <conditionalFormatting sqref="N25:N29">
    <cfRule type="containsBlanks" dxfId="8755" priority="8743">
      <formula>LEN(TRIM(N25))=0</formula>
    </cfRule>
  </conditionalFormatting>
  <conditionalFormatting sqref="M27:M31">
    <cfRule type="containsBlanks" dxfId="8754" priority="8742">
      <formula>LEN(TRIM(M27))=0</formula>
    </cfRule>
  </conditionalFormatting>
  <conditionalFormatting sqref="N27:N31">
    <cfRule type="containsBlanks" dxfId="8753" priority="8741">
      <formula>LEN(TRIM(N27))=0</formula>
    </cfRule>
  </conditionalFormatting>
  <conditionalFormatting sqref="M28:M32">
    <cfRule type="containsBlanks" dxfId="8752" priority="8740">
      <formula>LEN(TRIM(M28))=0</formula>
    </cfRule>
  </conditionalFormatting>
  <conditionalFormatting sqref="N28:N32">
    <cfRule type="containsBlanks" dxfId="8751" priority="8739">
      <formula>LEN(TRIM(N28))=0</formula>
    </cfRule>
  </conditionalFormatting>
  <conditionalFormatting sqref="O28:O32">
    <cfRule type="containsBlanks" dxfId="8750" priority="8738">
      <formula>LEN(TRIM(O28))=0</formula>
    </cfRule>
  </conditionalFormatting>
  <conditionalFormatting sqref="Q28:Q32">
    <cfRule type="containsBlanks" dxfId="8749" priority="8737">
      <formula>LEN(TRIM(Q28))=0</formula>
    </cfRule>
  </conditionalFormatting>
  <conditionalFormatting sqref="M33:M37">
    <cfRule type="containsBlanks" dxfId="8748" priority="8736">
      <formula>LEN(TRIM(M33))=0</formula>
    </cfRule>
  </conditionalFormatting>
  <conditionalFormatting sqref="N33:N37">
    <cfRule type="containsBlanks" dxfId="8747" priority="8735">
      <formula>LEN(TRIM(N33))=0</formula>
    </cfRule>
  </conditionalFormatting>
  <conditionalFormatting sqref="O33:O37">
    <cfRule type="containsBlanks" dxfId="8746" priority="8734">
      <formula>LEN(TRIM(O33))=0</formula>
    </cfRule>
  </conditionalFormatting>
  <conditionalFormatting sqref="P33:P37">
    <cfRule type="containsBlanks" dxfId="8745" priority="8733">
      <formula>LEN(TRIM(P33))=0</formula>
    </cfRule>
  </conditionalFormatting>
  <conditionalFormatting sqref="Q33:Q37">
    <cfRule type="containsBlanks" dxfId="8744" priority="8732">
      <formula>LEN(TRIM(Q33))=0</formula>
    </cfRule>
  </conditionalFormatting>
  <conditionalFormatting sqref="T33:T37">
    <cfRule type="containsBlanks" dxfId="8743" priority="8731">
      <formula>LEN(TRIM(T33))=0</formula>
    </cfRule>
  </conditionalFormatting>
  <conditionalFormatting sqref="M38:M42">
    <cfRule type="containsBlanks" dxfId="8742" priority="8730">
      <formula>LEN(TRIM(M38))=0</formula>
    </cfRule>
  </conditionalFormatting>
  <conditionalFormatting sqref="N38:N42">
    <cfRule type="containsBlanks" dxfId="8741" priority="8729">
      <formula>LEN(TRIM(N38))=0</formula>
    </cfRule>
  </conditionalFormatting>
  <conditionalFormatting sqref="O42:Q42">
    <cfRule type="containsBlanks" dxfId="8740" priority="8728">
      <formula>LEN(TRIM(O42))=0</formula>
    </cfRule>
  </conditionalFormatting>
  <conditionalFormatting sqref="N45:N49">
    <cfRule type="containsBlanks" dxfId="8739" priority="8727">
      <formula>LEN(TRIM(N45))=0</formula>
    </cfRule>
  </conditionalFormatting>
  <conditionalFormatting sqref="M45:M49">
    <cfRule type="containsBlanks" dxfId="8738" priority="8726">
      <formula>LEN(TRIM(M45))=0</formula>
    </cfRule>
  </conditionalFormatting>
  <conditionalFormatting sqref="O49:Q49">
    <cfRule type="containsBlanks" dxfId="8737" priority="8725">
      <formula>LEN(TRIM(O49))=0</formula>
    </cfRule>
  </conditionalFormatting>
  <conditionalFormatting sqref="M42:M46">
    <cfRule type="containsBlanks" dxfId="8736" priority="8724">
      <formula>LEN(TRIM(M42))=0</formula>
    </cfRule>
  </conditionalFormatting>
  <conditionalFormatting sqref="N42:N46">
    <cfRule type="containsBlanks" dxfId="8735" priority="8723">
      <formula>LEN(TRIM(N42))=0</formula>
    </cfRule>
  </conditionalFormatting>
  <conditionalFormatting sqref="O46:Q46">
    <cfRule type="containsBlanks" dxfId="8734" priority="8722">
      <formula>LEN(TRIM(O46))=0</formula>
    </cfRule>
  </conditionalFormatting>
  <conditionalFormatting sqref="M43:M47">
    <cfRule type="containsBlanks" dxfId="8733" priority="8721">
      <formula>LEN(TRIM(M43))=0</formula>
    </cfRule>
  </conditionalFormatting>
  <conditionalFormatting sqref="N43:N47">
    <cfRule type="containsBlanks" dxfId="8732" priority="8720">
      <formula>LEN(TRIM(N43))=0</formula>
    </cfRule>
  </conditionalFormatting>
  <conditionalFormatting sqref="O47:Q47">
    <cfRule type="containsBlanks" dxfId="8731" priority="8719">
      <formula>LEN(TRIM(O47))=0</formula>
    </cfRule>
  </conditionalFormatting>
  <conditionalFormatting sqref="N44:N48">
    <cfRule type="containsBlanks" dxfId="8730" priority="8718">
      <formula>LEN(TRIM(N44))=0</formula>
    </cfRule>
  </conditionalFormatting>
  <conditionalFormatting sqref="M47:M51">
    <cfRule type="containsBlanks" dxfId="8729" priority="8717">
      <formula>LEN(TRIM(M47))=0</formula>
    </cfRule>
  </conditionalFormatting>
  <conditionalFormatting sqref="N47:N51">
    <cfRule type="containsBlanks" dxfId="8728" priority="8716">
      <formula>LEN(TRIM(N47))=0</formula>
    </cfRule>
  </conditionalFormatting>
  <conditionalFormatting sqref="O51:Q51">
    <cfRule type="containsBlanks" dxfId="8727" priority="8715">
      <formula>LEN(TRIM(O51))=0</formula>
    </cfRule>
  </conditionalFormatting>
  <conditionalFormatting sqref="N49:N53">
    <cfRule type="containsBlanks" dxfId="8726" priority="8714">
      <formula>LEN(TRIM(N49))=0</formula>
    </cfRule>
  </conditionalFormatting>
  <conditionalFormatting sqref="O53:Q53">
    <cfRule type="containsBlanks" dxfId="8725" priority="8713">
      <formula>LEN(TRIM(O53))=0</formula>
    </cfRule>
  </conditionalFormatting>
  <conditionalFormatting sqref="O55:Q55">
    <cfRule type="containsBlanks" dxfId="8724" priority="8710">
      <formula>LEN(TRIM(O55))=0</formula>
    </cfRule>
  </conditionalFormatting>
  <conditionalFormatting sqref="M51:M55">
    <cfRule type="containsBlanks" dxfId="8723" priority="8712">
      <formula>LEN(TRIM(M51))=0</formula>
    </cfRule>
  </conditionalFormatting>
  <conditionalFormatting sqref="N51:N55">
    <cfRule type="containsBlanks" dxfId="8722" priority="8711">
      <formula>LEN(TRIM(N51))=0</formula>
    </cfRule>
  </conditionalFormatting>
  <conditionalFormatting sqref="AH67">
    <cfRule type="cellIs" dxfId="8721" priority="8707" operator="between">
      <formula>0.1</formula>
      <formula>100</formula>
    </cfRule>
    <cfRule type="cellIs" dxfId="8720" priority="8708" operator="equal">
      <formula>"No inscrito"</formula>
    </cfRule>
    <cfRule type="cellIs" dxfId="8719" priority="8709" operator="equal">
      <formula>"Incompleto"</formula>
    </cfRule>
  </conditionalFormatting>
  <conditionalFormatting sqref="M63:M68">
    <cfRule type="containsBlanks" dxfId="8718" priority="8706">
      <formula>LEN(TRIM(M63))=0</formula>
    </cfRule>
  </conditionalFormatting>
  <conditionalFormatting sqref="N63:N68">
    <cfRule type="containsBlanks" dxfId="8717" priority="8705">
      <formula>LEN(TRIM(N63))=0</formula>
    </cfRule>
  </conditionalFormatting>
  <conditionalFormatting sqref="O68:Q68">
    <cfRule type="containsBlanks" dxfId="8716" priority="8704">
      <formula>LEN(TRIM(O68))=0</formula>
    </cfRule>
  </conditionalFormatting>
  <conditionalFormatting sqref="M64:M69">
    <cfRule type="containsBlanks" dxfId="8715" priority="8703">
      <formula>LEN(TRIM(M64))=0</formula>
    </cfRule>
  </conditionalFormatting>
  <conditionalFormatting sqref="N64:N69">
    <cfRule type="containsBlanks" dxfId="8714" priority="8702">
      <formula>LEN(TRIM(N64))=0</formula>
    </cfRule>
  </conditionalFormatting>
  <conditionalFormatting sqref="O69:Q69">
    <cfRule type="containsBlanks" dxfId="8713" priority="8701">
      <formula>LEN(TRIM(O69))=0</formula>
    </cfRule>
  </conditionalFormatting>
  <conditionalFormatting sqref="N65:N70">
    <cfRule type="containsBlanks" dxfId="8712" priority="8700">
      <formula>LEN(TRIM(N65))=0</formula>
    </cfRule>
  </conditionalFormatting>
  <conditionalFormatting sqref="N66:N71">
    <cfRule type="containsBlanks" dxfId="8711" priority="8698">
      <formula>LEN(TRIM(N66))=0</formula>
    </cfRule>
  </conditionalFormatting>
  <conditionalFormatting sqref="M66:M71">
    <cfRule type="containsBlanks" dxfId="8710" priority="8699">
      <formula>LEN(TRIM(M66))=0</formula>
    </cfRule>
  </conditionalFormatting>
  <conditionalFormatting sqref="O71:Q71">
    <cfRule type="containsBlanks" dxfId="8709" priority="8697">
      <formula>LEN(TRIM(O71))=0</formula>
    </cfRule>
  </conditionalFormatting>
  <conditionalFormatting sqref="M73:M78">
    <cfRule type="containsBlanks" dxfId="8708" priority="8696">
      <formula>LEN(TRIM(M73))=0</formula>
    </cfRule>
  </conditionalFormatting>
  <conditionalFormatting sqref="N67:T67">
    <cfRule type="containsBlanks" dxfId="8707" priority="8695">
      <formula>LEN(TRIM(N67))=0</formula>
    </cfRule>
  </conditionalFormatting>
  <conditionalFormatting sqref="M84:S84">
    <cfRule type="containsBlanks" dxfId="8706" priority="8694">
      <formula>LEN(TRIM(M84))=0</formula>
    </cfRule>
  </conditionalFormatting>
  <conditionalFormatting sqref="T79:T84">
    <cfRule type="containsBlanks" dxfId="8705" priority="8693">
      <formula>LEN(TRIM(T79))=0</formula>
    </cfRule>
  </conditionalFormatting>
  <conditionalFormatting sqref="N87:T87">
    <cfRule type="containsBlanks" dxfId="8704" priority="8692">
      <formula>LEN(TRIM(N87))=0</formula>
    </cfRule>
  </conditionalFormatting>
  <conditionalFormatting sqref="N84:N89">
    <cfRule type="containsBlanks" dxfId="8703" priority="8691">
      <formula>LEN(TRIM(N84))=0</formula>
    </cfRule>
  </conditionalFormatting>
  <conditionalFormatting sqref="O89:Q89">
    <cfRule type="containsBlanks" dxfId="8702" priority="8690">
      <formula>LEN(TRIM(O89))=0</formula>
    </cfRule>
  </conditionalFormatting>
  <conditionalFormatting sqref="M49:M53">
    <cfRule type="containsBlanks" dxfId="8701" priority="8689">
      <formula>LEN(TRIM(M49))=0</formula>
    </cfRule>
  </conditionalFormatting>
  <conditionalFormatting sqref="AH69">
    <cfRule type="cellIs" dxfId="8700" priority="8686" operator="between">
      <formula>0.1</formula>
      <formula>100</formula>
    </cfRule>
    <cfRule type="cellIs" dxfId="8699" priority="8687" operator="equal">
      <formula>"Incompleto"</formula>
    </cfRule>
    <cfRule type="cellIs" dxfId="8698" priority="8688" operator="equal">
      <formula>"No inscrito"</formula>
    </cfRule>
  </conditionalFormatting>
  <conditionalFormatting sqref="AH69">
    <cfRule type="cellIs" dxfId="8697" priority="8685" operator="equal">
      <formula>""""""</formula>
    </cfRule>
  </conditionalFormatting>
  <conditionalFormatting sqref="AH73">
    <cfRule type="cellIs" dxfId="8696" priority="8682" operator="between">
      <formula>0.1</formula>
      <formula>100</formula>
    </cfRule>
    <cfRule type="cellIs" dxfId="8695" priority="8683" operator="equal">
      <formula>"Incompleto"</formula>
    </cfRule>
    <cfRule type="cellIs" dxfId="8694" priority="8684" operator="equal">
      <formula>"No inscrito"</formula>
    </cfRule>
  </conditionalFormatting>
  <conditionalFormatting sqref="AH73">
    <cfRule type="cellIs" dxfId="8693" priority="8681" operator="equal">
      <formula>""""""</formula>
    </cfRule>
  </conditionalFormatting>
  <conditionalFormatting sqref="AH76">
    <cfRule type="cellIs" dxfId="8692" priority="8678" operator="between">
      <formula>0.1</formula>
      <formula>100</formula>
    </cfRule>
    <cfRule type="cellIs" dxfId="8691" priority="8679" operator="equal">
      <formula>"Incompleto"</formula>
    </cfRule>
    <cfRule type="cellIs" dxfId="8690" priority="8680" operator="equal">
      <formula>"No inscrito"</formula>
    </cfRule>
  </conditionalFormatting>
  <conditionalFormatting sqref="AH76">
    <cfRule type="cellIs" dxfId="8689" priority="8677" operator="equal">
      <formula>""""""</formula>
    </cfRule>
  </conditionalFormatting>
  <conditionalFormatting sqref="AH77">
    <cfRule type="cellIs" dxfId="8688" priority="8674" operator="between">
      <formula>0.1</formula>
      <formula>100</formula>
    </cfRule>
    <cfRule type="cellIs" dxfId="8687" priority="8675" operator="equal">
      <formula>"Incompleto"</formula>
    </cfRule>
    <cfRule type="cellIs" dxfId="8686" priority="8676" operator="equal">
      <formula>"No inscrito"</formula>
    </cfRule>
  </conditionalFormatting>
  <conditionalFormatting sqref="AH77">
    <cfRule type="cellIs" dxfId="8685" priority="8673" operator="equal">
      <formula>""""""</formula>
    </cfRule>
  </conditionalFormatting>
  <conditionalFormatting sqref="AH79">
    <cfRule type="cellIs" dxfId="8684" priority="8670" operator="between">
      <formula>0.1</formula>
      <formula>100</formula>
    </cfRule>
    <cfRule type="cellIs" dxfId="8683" priority="8671" operator="equal">
      <formula>"Incompleto"</formula>
    </cfRule>
    <cfRule type="cellIs" dxfId="8682" priority="8672" operator="equal">
      <formula>"No inscrito"</formula>
    </cfRule>
  </conditionalFormatting>
  <conditionalFormatting sqref="AH79">
    <cfRule type="cellIs" dxfId="8681" priority="8669" operator="equal">
      <formula>""""""</formula>
    </cfRule>
  </conditionalFormatting>
  <conditionalFormatting sqref="AH80:AH81">
    <cfRule type="cellIs" dxfId="8680" priority="8666" operator="between">
      <formula>0.1</formula>
      <formula>100</formula>
    </cfRule>
    <cfRule type="cellIs" dxfId="8679" priority="8667" operator="equal">
      <formula>"Incompleto"</formula>
    </cfRule>
    <cfRule type="cellIs" dxfId="8678" priority="8668" operator="equal">
      <formula>"No inscrito"</formula>
    </cfRule>
  </conditionalFormatting>
  <conditionalFormatting sqref="AH80:AH81">
    <cfRule type="cellIs" dxfId="8677" priority="8665" operator="equal">
      <formula>""""""</formula>
    </cfRule>
  </conditionalFormatting>
  <conditionalFormatting sqref="AH82">
    <cfRule type="cellIs" dxfId="8676" priority="8662" operator="between">
      <formula>0.1</formula>
      <formula>100</formula>
    </cfRule>
    <cfRule type="cellIs" dxfId="8675" priority="8663" operator="equal">
      <formula>"Incompleto"</formula>
    </cfRule>
    <cfRule type="cellIs" dxfId="8674" priority="8664" operator="equal">
      <formula>"No inscrito"</formula>
    </cfRule>
  </conditionalFormatting>
  <conditionalFormatting sqref="AH82">
    <cfRule type="cellIs" dxfId="8673" priority="8661" operator="equal">
      <formula>""""""</formula>
    </cfRule>
  </conditionalFormatting>
  <conditionalFormatting sqref="AH84">
    <cfRule type="cellIs" dxfId="8672" priority="8658" operator="between">
      <formula>0.1</formula>
      <formula>100</formula>
    </cfRule>
    <cfRule type="cellIs" dxfId="8671" priority="8659" operator="equal">
      <formula>"Incompleto"</formula>
    </cfRule>
    <cfRule type="cellIs" dxfId="8670" priority="8660" operator="equal">
      <formula>"No inscrito"</formula>
    </cfRule>
  </conditionalFormatting>
  <conditionalFormatting sqref="AH84">
    <cfRule type="cellIs" dxfId="8669" priority="8657" operator="equal">
      <formula>""""""</formula>
    </cfRule>
  </conditionalFormatting>
  <conditionalFormatting sqref="AH85">
    <cfRule type="cellIs" dxfId="8668" priority="8654" operator="between">
      <formula>0.1</formula>
      <formula>100</formula>
    </cfRule>
    <cfRule type="cellIs" dxfId="8667" priority="8655" operator="equal">
      <formula>"Incompleto"</formula>
    </cfRule>
    <cfRule type="cellIs" dxfId="8666" priority="8656" operator="equal">
      <formula>"No inscrito"</formula>
    </cfRule>
  </conditionalFormatting>
  <conditionalFormatting sqref="AH85">
    <cfRule type="cellIs" dxfId="8665" priority="8653" operator="equal">
      <formula>""""""</formula>
    </cfRule>
  </conditionalFormatting>
  <conditionalFormatting sqref="AH87">
    <cfRule type="cellIs" dxfId="8664" priority="8650" operator="between">
      <formula>0.1</formula>
      <formula>100</formula>
    </cfRule>
    <cfRule type="cellIs" dxfId="8663" priority="8651" operator="equal">
      <formula>"Incompleto"</formula>
    </cfRule>
    <cfRule type="cellIs" dxfId="8662" priority="8652" operator="equal">
      <formula>"No inscrito"</formula>
    </cfRule>
  </conditionalFormatting>
  <conditionalFormatting sqref="AH87">
    <cfRule type="cellIs" dxfId="8661" priority="8649" operator="equal">
      <formula>""""""</formula>
    </cfRule>
  </conditionalFormatting>
  <conditionalFormatting sqref="AH90">
    <cfRule type="cellIs" dxfId="8660" priority="8646" operator="between">
      <formula>0.1</formula>
      <formula>100</formula>
    </cfRule>
    <cfRule type="cellIs" dxfId="8659" priority="8647" operator="equal">
      <formula>"Incompleto"</formula>
    </cfRule>
    <cfRule type="cellIs" dxfId="8658" priority="8648" operator="equal">
      <formula>"No inscrito"</formula>
    </cfRule>
  </conditionalFormatting>
  <conditionalFormatting sqref="AH90">
    <cfRule type="cellIs" dxfId="8657" priority="8645" operator="equal">
      <formula>""""""</formula>
    </cfRule>
  </conditionalFormatting>
  <conditionalFormatting sqref="AH91">
    <cfRule type="cellIs" dxfId="8656" priority="8642" operator="between">
      <formula>0.1</formula>
      <formula>100</formula>
    </cfRule>
    <cfRule type="cellIs" dxfId="8655" priority="8643" operator="equal">
      <formula>"Incompleto"</formula>
    </cfRule>
    <cfRule type="cellIs" dxfId="8654" priority="8644" operator="equal">
      <formula>"No inscrito"</formula>
    </cfRule>
  </conditionalFormatting>
  <conditionalFormatting sqref="AH91">
    <cfRule type="cellIs" dxfId="8653" priority="8641" operator="equal">
      <formula>""""""</formula>
    </cfRule>
  </conditionalFormatting>
  <conditionalFormatting sqref="M91:T91">
    <cfRule type="containsBlanks" dxfId="8652" priority="8640">
      <formula>LEN(TRIM(M91))=0</formula>
    </cfRule>
  </conditionalFormatting>
  <conditionalFormatting sqref="M97:T97">
    <cfRule type="containsBlanks" dxfId="8651" priority="8639">
      <formula>LEN(TRIM(M97))=0</formula>
    </cfRule>
  </conditionalFormatting>
  <conditionalFormatting sqref="O98:S98">
    <cfRule type="containsBlanks" dxfId="8650" priority="8638">
      <formula>LEN(TRIM(O98))=0</formula>
    </cfRule>
  </conditionalFormatting>
  <conditionalFormatting sqref="M98:N98">
    <cfRule type="containsBlanks" dxfId="8649" priority="8637">
      <formula>LEN(TRIM(M98))=0</formula>
    </cfRule>
  </conditionalFormatting>
  <conditionalFormatting sqref="T93:T98">
    <cfRule type="containsBlanks" dxfId="8648" priority="8636">
      <formula>LEN(TRIM(T93))=0</formula>
    </cfRule>
  </conditionalFormatting>
  <conditionalFormatting sqref="M61:T61">
    <cfRule type="containsBlanks" dxfId="8647" priority="8635">
      <formula>LEN(TRIM(M61))=0</formula>
    </cfRule>
  </conditionalFormatting>
  <conditionalFormatting sqref="M62:S62">
    <cfRule type="containsBlanks" dxfId="8646" priority="8634">
      <formula>LEN(TRIM(M62))=0</formula>
    </cfRule>
  </conditionalFormatting>
  <conditionalFormatting sqref="T57:T62">
    <cfRule type="containsBlanks" dxfId="8645" priority="8633">
      <formula>LEN(TRIM(T57))=0</formula>
    </cfRule>
  </conditionalFormatting>
  <conditionalFormatting sqref="M76:M81">
    <cfRule type="containsBlanks" dxfId="8644" priority="8632">
      <formula>LEN(TRIM(M76))=0</formula>
    </cfRule>
  </conditionalFormatting>
  <conditionalFormatting sqref="M44:M48">
    <cfRule type="containsBlanks" dxfId="8643" priority="8631">
      <formula>LEN(TRIM(M44))=0</formula>
    </cfRule>
  </conditionalFormatting>
  <conditionalFormatting sqref="M78:T84 M69:T75">
    <cfRule type="containsBlanks" dxfId="8642" priority="8630">
      <formula>LEN(TRIM(M69))=0</formula>
    </cfRule>
  </conditionalFormatting>
  <conditionalFormatting sqref="M29:M33">
    <cfRule type="containsBlanks" dxfId="8641" priority="8629">
      <formula>LEN(TRIM(M29))=0</formula>
    </cfRule>
  </conditionalFormatting>
  <conditionalFormatting sqref="N29:N33">
    <cfRule type="containsBlanks" dxfId="8640" priority="8628">
      <formula>LEN(TRIM(N29))=0</formula>
    </cfRule>
  </conditionalFormatting>
  <conditionalFormatting sqref="M31:M35">
    <cfRule type="containsBlanks" dxfId="8639" priority="8627">
      <formula>LEN(TRIM(M31))=0</formula>
    </cfRule>
  </conditionalFormatting>
  <conditionalFormatting sqref="N31:N35">
    <cfRule type="containsBlanks" dxfId="8638" priority="8626">
      <formula>LEN(TRIM(N31))=0</formula>
    </cfRule>
  </conditionalFormatting>
  <conditionalFormatting sqref="M32:M36">
    <cfRule type="containsBlanks" dxfId="8637" priority="8625">
      <formula>LEN(TRIM(M32))=0</formula>
    </cfRule>
  </conditionalFormatting>
  <conditionalFormatting sqref="N32:N36">
    <cfRule type="containsBlanks" dxfId="8636" priority="8624">
      <formula>LEN(TRIM(N32))=0</formula>
    </cfRule>
  </conditionalFormatting>
  <conditionalFormatting sqref="O32:O36">
    <cfRule type="containsBlanks" dxfId="8635" priority="8623">
      <formula>LEN(TRIM(O32))=0</formula>
    </cfRule>
  </conditionalFormatting>
  <conditionalFormatting sqref="Q32:Q36">
    <cfRule type="containsBlanks" dxfId="8634" priority="8622">
      <formula>LEN(TRIM(Q32))=0</formula>
    </cfRule>
  </conditionalFormatting>
  <conditionalFormatting sqref="M37:M41">
    <cfRule type="containsBlanks" dxfId="8633" priority="8621">
      <formula>LEN(TRIM(M37))=0</formula>
    </cfRule>
  </conditionalFormatting>
  <conditionalFormatting sqref="N37:N41">
    <cfRule type="containsBlanks" dxfId="8632" priority="8620">
      <formula>LEN(TRIM(N37))=0</formula>
    </cfRule>
  </conditionalFormatting>
  <conditionalFormatting sqref="O37:O41">
    <cfRule type="containsBlanks" dxfId="8631" priority="8619">
      <formula>LEN(TRIM(O37))=0</formula>
    </cfRule>
  </conditionalFormatting>
  <conditionalFormatting sqref="P37:P41">
    <cfRule type="containsBlanks" dxfId="8630" priority="8618">
      <formula>LEN(TRIM(P37))=0</formula>
    </cfRule>
  </conditionalFormatting>
  <conditionalFormatting sqref="Q37:Q41">
    <cfRule type="containsBlanks" dxfId="8629" priority="8617">
      <formula>LEN(TRIM(Q37))=0</formula>
    </cfRule>
  </conditionalFormatting>
  <conditionalFormatting sqref="T37:T41">
    <cfRule type="containsBlanks" dxfId="8628" priority="8616">
      <formula>LEN(TRIM(T37))=0</formula>
    </cfRule>
  </conditionalFormatting>
  <conditionalFormatting sqref="M42:M46">
    <cfRule type="containsBlanks" dxfId="8627" priority="8615">
      <formula>LEN(TRIM(M42))=0</formula>
    </cfRule>
  </conditionalFormatting>
  <conditionalFormatting sqref="N42:N46">
    <cfRule type="containsBlanks" dxfId="8626" priority="8614">
      <formula>LEN(TRIM(N42))=0</formula>
    </cfRule>
  </conditionalFormatting>
  <conditionalFormatting sqref="O46:Q46">
    <cfRule type="containsBlanks" dxfId="8625" priority="8613">
      <formula>LEN(TRIM(O46))=0</formula>
    </cfRule>
  </conditionalFormatting>
  <conditionalFormatting sqref="N49:N53">
    <cfRule type="containsBlanks" dxfId="8624" priority="8612">
      <formula>LEN(TRIM(N49))=0</formula>
    </cfRule>
  </conditionalFormatting>
  <conditionalFormatting sqref="M49:M53">
    <cfRule type="containsBlanks" dxfId="8623" priority="8611">
      <formula>LEN(TRIM(M49))=0</formula>
    </cfRule>
  </conditionalFormatting>
  <conditionalFormatting sqref="O53:Q53">
    <cfRule type="containsBlanks" dxfId="8622" priority="8610">
      <formula>LEN(TRIM(O53))=0</formula>
    </cfRule>
  </conditionalFormatting>
  <conditionalFormatting sqref="M46:M50">
    <cfRule type="containsBlanks" dxfId="8621" priority="8609">
      <formula>LEN(TRIM(M46))=0</formula>
    </cfRule>
  </conditionalFormatting>
  <conditionalFormatting sqref="N46:N50">
    <cfRule type="containsBlanks" dxfId="8620" priority="8608">
      <formula>LEN(TRIM(N46))=0</formula>
    </cfRule>
  </conditionalFormatting>
  <conditionalFormatting sqref="O50:Q50">
    <cfRule type="containsBlanks" dxfId="8619" priority="8607">
      <formula>LEN(TRIM(O50))=0</formula>
    </cfRule>
  </conditionalFormatting>
  <conditionalFormatting sqref="M47:M51">
    <cfRule type="containsBlanks" dxfId="8618" priority="8606">
      <formula>LEN(TRIM(M47))=0</formula>
    </cfRule>
  </conditionalFormatting>
  <conditionalFormatting sqref="N47:N51">
    <cfRule type="containsBlanks" dxfId="8617" priority="8605">
      <formula>LEN(TRIM(N47))=0</formula>
    </cfRule>
  </conditionalFormatting>
  <conditionalFormatting sqref="O51:Q51">
    <cfRule type="containsBlanks" dxfId="8616" priority="8604">
      <formula>LEN(TRIM(O51))=0</formula>
    </cfRule>
  </conditionalFormatting>
  <conditionalFormatting sqref="N48:N52">
    <cfRule type="containsBlanks" dxfId="8615" priority="8603">
      <formula>LEN(TRIM(N48))=0</formula>
    </cfRule>
  </conditionalFormatting>
  <conditionalFormatting sqref="M51:M55">
    <cfRule type="containsBlanks" dxfId="8614" priority="8602">
      <formula>LEN(TRIM(M51))=0</formula>
    </cfRule>
  </conditionalFormatting>
  <conditionalFormatting sqref="N51:N55">
    <cfRule type="containsBlanks" dxfId="8613" priority="8601">
      <formula>LEN(TRIM(N51))=0</formula>
    </cfRule>
  </conditionalFormatting>
  <conditionalFormatting sqref="O55:Q55">
    <cfRule type="containsBlanks" dxfId="8612" priority="8600">
      <formula>LEN(TRIM(O55))=0</formula>
    </cfRule>
  </conditionalFormatting>
  <conditionalFormatting sqref="N53:N57">
    <cfRule type="containsBlanks" dxfId="8611" priority="8599">
      <formula>LEN(TRIM(N53))=0</formula>
    </cfRule>
  </conditionalFormatting>
  <conditionalFormatting sqref="O57:Q57">
    <cfRule type="containsBlanks" dxfId="8610" priority="8598">
      <formula>LEN(TRIM(O57))=0</formula>
    </cfRule>
  </conditionalFormatting>
  <conditionalFormatting sqref="O59:Q59">
    <cfRule type="containsBlanks" dxfId="8609" priority="8595">
      <formula>LEN(TRIM(O59))=0</formula>
    </cfRule>
  </conditionalFormatting>
  <conditionalFormatting sqref="M54:M59">
    <cfRule type="containsBlanks" dxfId="8608" priority="8597">
      <formula>LEN(TRIM(M54))=0</formula>
    </cfRule>
  </conditionalFormatting>
  <conditionalFormatting sqref="N54:N59">
    <cfRule type="containsBlanks" dxfId="8607" priority="8596">
      <formula>LEN(TRIM(N54))=0</formula>
    </cfRule>
  </conditionalFormatting>
  <conditionalFormatting sqref="AH71">
    <cfRule type="cellIs" dxfId="8606" priority="8592" operator="between">
      <formula>0.1</formula>
      <formula>100</formula>
    </cfRule>
    <cfRule type="cellIs" dxfId="8605" priority="8593" operator="equal">
      <formula>"No inscrito"</formula>
    </cfRule>
    <cfRule type="cellIs" dxfId="8604" priority="8594" operator="equal">
      <formula>"Incompleto"</formula>
    </cfRule>
  </conditionalFormatting>
  <conditionalFormatting sqref="M67:M72">
    <cfRule type="containsBlanks" dxfId="8603" priority="8591">
      <formula>LEN(TRIM(M67))=0</formula>
    </cfRule>
  </conditionalFormatting>
  <conditionalFormatting sqref="N67:N72">
    <cfRule type="containsBlanks" dxfId="8602" priority="8590">
      <formula>LEN(TRIM(N67))=0</formula>
    </cfRule>
  </conditionalFormatting>
  <conditionalFormatting sqref="O72:Q72">
    <cfRule type="containsBlanks" dxfId="8601" priority="8589">
      <formula>LEN(TRIM(O72))=0</formula>
    </cfRule>
  </conditionalFormatting>
  <conditionalFormatting sqref="M68:M73">
    <cfRule type="containsBlanks" dxfId="8600" priority="8588">
      <formula>LEN(TRIM(M68))=0</formula>
    </cfRule>
  </conditionalFormatting>
  <conditionalFormatting sqref="N68:N73">
    <cfRule type="containsBlanks" dxfId="8599" priority="8587">
      <formula>LEN(TRIM(N68))=0</formula>
    </cfRule>
  </conditionalFormatting>
  <conditionalFormatting sqref="O73:Q73">
    <cfRule type="containsBlanks" dxfId="8598" priority="8586">
      <formula>LEN(TRIM(O73))=0</formula>
    </cfRule>
  </conditionalFormatting>
  <conditionalFormatting sqref="N69:N74">
    <cfRule type="containsBlanks" dxfId="8597" priority="8585">
      <formula>LEN(TRIM(N69))=0</formula>
    </cfRule>
  </conditionalFormatting>
  <conditionalFormatting sqref="N70:N75">
    <cfRule type="containsBlanks" dxfId="8596" priority="8583">
      <formula>LEN(TRIM(N70))=0</formula>
    </cfRule>
  </conditionalFormatting>
  <conditionalFormatting sqref="M70:M75">
    <cfRule type="containsBlanks" dxfId="8595" priority="8584">
      <formula>LEN(TRIM(M70))=0</formula>
    </cfRule>
  </conditionalFormatting>
  <conditionalFormatting sqref="O75:Q75">
    <cfRule type="containsBlanks" dxfId="8594" priority="8582">
      <formula>LEN(TRIM(O75))=0</formula>
    </cfRule>
  </conditionalFormatting>
  <conditionalFormatting sqref="M77:M82">
    <cfRule type="containsBlanks" dxfId="8593" priority="8581">
      <formula>LEN(TRIM(M77))=0</formula>
    </cfRule>
  </conditionalFormatting>
  <conditionalFormatting sqref="N71:T71">
    <cfRule type="containsBlanks" dxfId="8592" priority="8580">
      <formula>LEN(TRIM(N71))=0</formula>
    </cfRule>
  </conditionalFormatting>
  <conditionalFormatting sqref="M88:S88">
    <cfRule type="containsBlanks" dxfId="8591" priority="8579">
      <formula>LEN(TRIM(M88))=0</formula>
    </cfRule>
  </conditionalFormatting>
  <conditionalFormatting sqref="T83:T88">
    <cfRule type="containsBlanks" dxfId="8590" priority="8578">
      <formula>LEN(TRIM(T83))=0</formula>
    </cfRule>
  </conditionalFormatting>
  <conditionalFormatting sqref="N91:T91">
    <cfRule type="containsBlanks" dxfId="8589" priority="8577">
      <formula>LEN(TRIM(N91))=0</formula>
    </cfRule>
  </conditionalFormatting>
  <conditionalFormatting sqref="N88:N93">
    <cfRule type="containsBlanks" dxfId="8588" priority="8576">
      <formula>LEN(TRIM(N88))=0</formula>
    </cfRule>
  </conditionalFormatting>
  <conditionalFormatting sqref="O93:Q93">
    <cfRule type="containsBlanks" dxfId="8587" priority="8575">
      <formula>LEN(TRIM(O93))=0</formula>
    </cfRule>
  </conditionalFormatting>
  <conditionalFormatting sqref="M53:M57">
    <cfRule type="containsBlanks" dxfId="8586" priority="8574">
      <formula>LEN(TRIM(M53))=0</formula>
    </cfRule>
  </conditionalFormatting>
  <conditionalFormatting sqref="AH73">
    <cfRule type="cellIs" dxfId="8585" priority="8571" operator="between">
      <formula>0.1</formula>
      <formula>100</formula>
    </cfRule>
    <cfRule type="cellIs" dxfId="8584" priority="8572" operator="equal">
      <formula>"Incompleto"</formula>
    </cfRule>
    <cfRule type="cellIs" dxfId="8583" priority="8573" operator="equal">
      <formula>"No inscrito"</formula>
    </cfRule>
  </conditionalFormatting>
  <conditionalFormatting sqref="AH73">
    <cfRule type="cellIs" dxfId="8582" priority="8570" operator="equal">
      <formula>""""""</formula>
    </cfRule>
  </conditionalFormatting>
  <conditionalFormatting sqref="AH77">
    <cfRule type="cellIs" dxfId="8581" priority="8567" operator="between">
      <formula>0.1</formula>
      <formula>100</formula>
    </cfRule>
    <cfRule type="cellIs" dxfId="8580" priority="8568" operator="equal">
      <formula>"Incompleto"</formula>
    </cfRule>
    <cfRule type="cellIs" dxfId="8579" priority="8569" operator="equal">
      <formula>"No inscrito"</formula>
    </cfRule>
  </conditionalFormatting>
  <conditionalFormatting sqref="AH77">
    <cfRule type="cellIs" dxfId="8578" priority="8566" operator="equal">
      <formula>""""""</formula>
    </cfRule>
  </conditionalFormatting>
  <conditionalFormatting sqref="AH80">
    <cfRule type="cellIs" dxfId="8577" priority="8563" operator="between">
      <formula>0.1</formula>
      <formula>100</formula>
    </cfRule>
    <cfRule type="cellIs" dxfId="8576" priority="8564" operator="equal">
      <formula>"Incompleto"</formula>
    </cfRule>
    <cfRule type="cellIs" dxfId="8575" priority="8565" operator="equal">
      <formula>"No inscrito"</formula>
    </cfRule>
  </conditionalFormatting>
  <conditionalFormatting sqref="AH80">
    <cfRule type="cellIs" dxfId="8574" priority="8562" operator="equal">
      <formula>""""""</formula>
    </cfRule>
  </conditionalFormatting>
  <conditionalFormatting sqref="AH81">
    <cfRule type="cellIs" dxfId="8573" priority="8559" operator="between">
      <formula>0.1</formula>
      <formula>100</formula>
    </cfRule>
    <cfRule type="cellIs" dxfId="8572" priority="8560" operator="equal">
      <formula>"Incompleto"</formula>
    </cfRule>
    <cfRule type="cellIs" dxfId="8571" priority="8561" operator="equal">
      <formula>"No inscrito"</formula>
    </cfRule>
  </conditionalFormatting>
  <conditionalFormatting sqref="AH81">
    <cfRule type="cellIs" dxfId="8570" priority="8558" operator="equal">
      <formula>""""""</formula>
    </cfRule>
  </conditionalFormatting>
  <conditionalFormatting sqref="AH83">
    <cfRule type="cellIs" dxfId="8569" priority="8555" operator="between">
      <formula>0.1</formula>
      <formula>100</formula>
    </cfRule>
    <cfRule type="cellIs" dxfId="8568" priority="8556" operator="equal">
      <formula>"Incompleto"</formula>
    </cfRule>
    <cfRule type="cellIs" dxfId="8567" priority="8557" operator="equal">
      <formula>"No inscrito"</formula>
    </cfRule>
  </conditionalFormatting>
  <conditionalFormatting sqref="AH83">
    <cfRule type="cellIs" dxfId="8566" priority="8554" operator="equal">
      <formula>""""""</formula>
    </cfRule>
  </conditionalFormatting>
  <conditionalFormatting sqref="AH84:AH85">
    <cfRule type="cellIs" dxfId="8565" priority="8551" operator="between">
      <formula>0.1</formula>
      <formula>100</formula>
    </cfRule>
    <cfRule type="cellIs" dxfId="8564" priority="8552" operator="equal">
      <formula>"Incompleto"</formula>
    </cfRule>
    <cfRule type="cellIs" dxfId="8563" priority="8553" operator="equal">
      <formula>"No inscrito"</formula>
    </cfRule>
  </conditionalFormatting>
  <conditionalFormatting sqref="AH84:AH85">
    <cfRule type="cellIs" dxfId="8562" priority="8550" operator="equal">
      <formula>""""""</formula>
    </cfRule>
  </conditionalFormatting>
  <conditionalFormatting sqref="AH86">
    <cfRule type="cellIs" dxfId="8561" priority="8547" operator="between">
      <formula>0.1</formula>
      <formula>100</formula>
    </cfRule>
    <cfRule type="cellIs" dxfId="8560" priority="8548" operator="equal">
      <formula>"Incompleto"</formula>
    </cfRule>
    <cfRule type="cellIs" dxfId="8559" priority="8549" operator="equal">
      <formula>"No inscrito"</formula>
    </cfRule>
  </conditionalFormatting>
  <conditionalFormatting sqref="AH86">
    <cfRule type="cellIs" dxfId="8558" priority="8546" operator="equal">
      <formula>""""""</formula>
    </cfRule>
  </conditionalFormatting>
  <conditionalFormatting sqref="AH88">
    <cfRule type="cellIs" dxfId="8557" priority="8543" operator="between">
      <formula>0.1</formula>
      <formula>100</formula>
    </cfRule>
    <cfRule type="cellIs" dxfId="8556" priority="8544" operator="equal">
      <formula>"Incompleto"</formula>
    </cfRule>
    <cfRule type="cellIs" dxfId="8555" priority="8545" operator="equal">
      <formula>"No inscrito"</formula>
    </cfRule>
  </conditionalFormatting>
  <conditionalFormatting sqref="AH88">
    <cfRule type="cellIs" dxfId="8554" priority="8542" operator="equal">
      <formula>""""""</formula>
    </cfRule>
  </conditionalFormatting>
  <conditionalFormatting sqref="AH89">
    <cfRule type="cellIs" dxfId="8553" priority="8539" operator="between">
      <formula>0.1</formula>
      <formula>100</formula>
    </cfRule>
    <cfRule type="cellIs" dxfId="8552" priority="8540" operator="equal">
      <formula>"Incompleto"</formula>
    </cfRule>
    <cfRule type="cellIs" dxfId="8551" priority="8541" operator="equal">
      <formula>"No inscrito"</formula>
    </cfRule>
  </conditionalFormatting>
  <conditionalFormatting sqref="AH89">
    <cfRule type="cellIs" dxfId="8550" priority="8538" operator="equal">
      <formula>""""""</formula>
    </cfRule>
  </conditionalFormatting>
  <conditionalFormatting sqref="AH91">
    <cfRule type="cellIs" dxfId="8549" priority="8535" operator="between">
      <formula>0.1</formula>
      <formula>100</formula>
    </cfRule>
    <cfRule type="cellIs" dxfId="8548" priority="8536" operator="equal">
      <formula>"Incompleto"</formula>
    </cfRule>
    <cfRule type="cellIs" dxfId="8547" priority="8537" operator="equal">
      <formula>"No inscrito"</formula>
    </cfRule>
  </conditionalFormatting>
  <conditionalFormatting sqref="AH91">
    <cfRule type="cellIs" dxfId="8546" priority="8534" operator="equal">
      <formula>""""""</formula>
    </cfRule>
  </conditionalFormatting>
  <conditionalFormatting sqref="AH94">
    <cfRule type="cellIs" dxfId="8545" priority="8531" operator="between">
      <formula>0.1</formula>
      <formula>100</formula>
    </cfRule>
    <cfRule type="cellIs" dxfId="8544" priority="8532" operator="equal">
      <formula>"Incompleto"</formula>
    </cfRule>
    <cfRule type="cellIs" dxfId="8543" priority="8533" operator="equal">
      <formula>"No inscrito"</formula>
    </cfRule>
  </conditionalFormatting>
  <conditionalFormatting sqref="AH94">
    <cfRule type="cellIs" dxfId="8542" priority="8530" operator="equal">
      <formula>""""""</formula>
    </cfRule>
  </conditionalFormatting>
  <conditionalFormatting sqref="AH95">
    <cfRule type="cellIs" dxfId="8541" priority="8527" operator="between">
      <formula>0.1</formula>
      <formula>100</formula>
    </cfRule>
    <cfRule type="cellIs" dxfId="8540" priority="8528" operator="equal">
      <formula>"Incompleto"</formula>
    </cfRule>
    <cfRule type="cellIs" dxfId="8539" priority="8529" operator="equal">
      <formula>"No inscrito"</formula>
    </cfRule>
  </conditionalFormatting>
  <conditionalFormatting sqref="AH95">
    <cfRule type="cellIs" dxfId="8538" priority="8526" operator="equal">
      <formula>""""""</formula>
    </cfRule>
  </conditionalFormatting>
  <conditionalFormatting sqref="M95:T95">
    <cfRule type="containsBlanks" dxfId="8537" priority="8525">
      <formula>LEN(TRIM(M95))=0</formula>
    </cfRule>
  </conditionalFormatting>
  <conditionalFormatting sqref="M101:T101">
    <cfRule type="containsBlanks" dxfId="8536" priority="8524">
      <formula>LEN(TRIM(M101))=0</formula>
    </cfRule>
  </conditionalFormatting>
  <conditionalFormatting sqref="O102:S102">
    <cfRule type="containsBlanks" dxfId="8535" priority="8523">
      <formula>LEN(TRIM(O102))=0</formula>
    </cfRule>
  </conditionalFormatting>
  <conditionalFormatting sqref="M102:N102">
    <cfRule type="containsBlanks" dxfId="8534" priority="8522">
      <formula>LEN(TRIM(M102))=0</formula>
    </cfRule>
  </conditionalFormatting>
  <conditionalFormatting sqref="T97:T98 T100:T102">
    <cfRule type="containsBlanks" dxfId="8533" priority="8521">
      <formula>LEN(TRIM(T97))=0</formula>
    </cfRule>
  </conditionalFormatting>
  <conditionalFormatting sqref="M65:T65">
    <cfRule type="containsBlanks" dxfId="8532" priority="8520">
      <formula>LEN(TRIM(M65))=0</formula>
    </cfRule>
  </conditionalFormatting>
  <conditionalFormatting sqref="M66:S66">
    <cfRule type="containsBlanks" dxfId="8531" priority="8519">
      <formula>LEN(TRIM(M66))=0</formula>
    </cfRule>
  </conditionalFormatting>
  <conditionalFormatting sqref="T61:T66">
    <cfRule type="containsBlanks" dxfId="8530" priority="8518">
      <formula>LEN(TRIM(T61))=0</formula>
    </cfRule>
  </conditionalFormatting>
  <conditionalFormatting sqref="M80:M85">
    <cfRule type="containsBlanks" dxfId="8529" priority="8517">
      <formula>LEN(TRIM(M80))=0</formula>
    </cfRule>
  </conditionalFormatting>
  <conditionalFormatting sqref="M48:M52">
    <cfRule type="containsBlanks" dxfId="8528" priority="8516">
      <formula>LEN(TRIM(M48))=0</formula>
    </cfRule>
  </conditionalFormatting>
  <conditionalFormatting sqref="M28:M32">
    <cfRule type="containsBlanks" dxfId="8527" priority="8515">
      <formula>LEN(TRIM(M28))=0</formula>
    </cfRule>
  </conditionalFormatting>
  <conditionalFormatting sqref="N28:N32">
    <cfRule type="containsBlanks" dxfId="8526" priority="8514">
      <formula>LEN(TRIM(N28))=0</formula>
    </cfRule>
  </conditionalFormatting>
  <conditionalFormatting sqref="O28:O32">
    <cfRule type="containsBlanks" dxfId="8525" priority="8513">
      <formula>LEN(TRIM(O28))=0</formula>
    </cfRule>
  </conditionalFormatting>
  <conditionalFormatting sqref="P28:P32">
    <cfRule type="containsBlanks" dxfId="8524" priority="8512">
      <formula>LEN(TRIM(P28))=0</formula>
    </cfRule>
  </conditionalFormatting>
  <conditionalFormatting sqref="Q28:Q32">
    <cfRule type="containsBlanks" dxfId="8523" priority="8511">
      <formula>LEN(TRIM(Q28))=0</formula>
    </cfRule>
  </conditionalFormatting>
  <conditionalFormatting sqref="T28:T32">
    <cfRule type="containsBlanks" dxfId="8522" priority="8510">
      <formula>LEN(TRIM(T28))=0</formula>
    </cfRule>
  </conditionalFormatting>
  <conditionalFormatting sqref="M33:M37">
    <cfRule type="containsBlanks" dxfId="8521" priority="8509">
      <formula>LEN(TRIM(M33))=0</formula>
    </cfRule>
  </conditionalFormatting>
  <conditionalFormatting sqref="N33:N37">
    <cfRule type="containsBlanks" dxfId="8520" priority="8508">
      <formula>LEN(TRIM(N33))=0</formula>
    </cfRule>
  </conditionalFormatting>
  <conditionalFormatting sqref="O37:Q37">
    <cfRule type="containsBlanks" dxfId="8519" priority="8507">
      <formula>LEN(TRIM(O37))=0</formula>
    </cfRule>
  </conditionalFormatting>
  <conditionalFormatting sqref="N40:N44">
    <cfRule type="containsBlanks" dxfId="8518" priority="8506">
      <formula>LEN(TRIM(N40))=0</formula>
    </cfRule>
  </conditionalFormatting>
  <conditionalFormatting sqref="M40:M44">
    <cfRule type="containsBlanks" dxfId="8517" priority="8505">
      <formula>LEN(TRIM(M40))=0</formula>
    </cfRule>
  </conditionalFormatting>
  <conditionalFormatting sqref="O44:Q44">
    <cfRule type="containsBlanks" dxfId="8516" priority="8504">
      <formula>LEN(TRIM(O44))=0</formula>
    </cfRule>
  </conditionalFormatting>
  <conditionalFormatting sqref="M37:M41">
    <cfRule type="containsBlanks" dxfId="8515" priority="8503">
      <formula>LEN(TRIM(M37))=0</formula>
    </cfRule>
  </conditionalFormatting>
  <conditionalFormatting sqref="N37:N41">
    <cfRule type="containsBlanks" dxfId="8514" priority="8502">
      <formula>LEN(TRIM(N37))=0</formula>
    </cfRule>
  </conditionalFormatting>
  <conditionalFormatting sqref="O41:Q41">
    <cfRule type="containsBlanks" dxfId="8513" priority="8501">
      <formula>LEN(TRIM(O41))=0</formula>
    </cfRule>
  </conditionalFormatting>
  <conditionalFormatting sqref="M38:M42">
    <cfRule type="containsBlanks" dxfId="8512" priority="8500">
      <formula>LEN(TRIM(M38))=0</formula>
    </cfRule>
  </conditionalFormatting>
  <conditionalFormatting sqref="N38:N42">
    <cfRule type="containsBlanks" dxfId="8511" priority="8499">
      <formula>LEN(TRIM(N38))=0</formula>
    </cfRule>
  </conditionalFormatting>
  <conditionalFormatting sqref="O42:Q42">
    <cfRule type="containsBlanks" dxfId="8510" priority="8498">
      <formula>LEN(TRIM(O42))=0</formula>
    </cfRule>
  </conditionalFormatting>
  <conditionalFormatting sqref="N39:N43">
    <cfRule type="containsBlanks" dxfId="8509" priority="8497">
      <formula>LEN(TRIM(N39))=0</formula>
    </cfRule>
  </conditionalFormatting>
  <conditionalFormatting sqref="M42:M46">
    <cfRule type="containsBlanks" dxfId="8508" priority="8496">
      <formula>LEN(TRIM(M42))=0</formula>
    </cfRule>
  </conditionalFormatting>
  <conditionalFormatting sqref="N42:N46">
    <cfRule type="containsBlanks" dxfId="8507" priority="8495">
      <formula>LEN(TRIM(N42))=0</formula>
    </cfRule>
  </conditionalFormatting>
  <conditionalFormatting sqref="O46:Q46">
    <cfRule type="containsBlanks" dxfId="8506" priority="8494">
      <formula>LEN(TRIM(O46))=0</formula>
    </cfRule>
  </conditionalFormatting>
  <conditionalFormatting sqref="N44:N48">
    <cfRule type="containsBlanks" dxfId="8505" priority="8493">
      <formula>LEN(TRIM(N44))=0</formula>
    </cfRule>
  </conditionalFormatting>
  <conditionalFormatting sqref="O48:Q48">
    <cfRule type="containsBlanks" dxfId="8504" priority="8492">
      <formula>LEN(TRIM(O48))=0</formula>
    </cfRule>
  </conditionalFormatting>
  <conditionalFormatting sqref="O50:Q50">
    <cfRule type="containsBlanks" dxfId="8503" priority="8489">
      <formula>LEN(TRIM(O50))=0</formula>
    </cfRule>
  </conditionalFormatting>
  <conditionalFormatting sqref="M46:M50">
    <cfRule type="containsBlanks" dxfId="8502" priority="8491">
      <formula>LEN(TRIM(M46))=0</formula>
    </cfRule>
  </conditionalFormatting>
  <conditionalFormatting sqref="N46:N50">
    <cfRule type="containsBlanks" dxfId="8501" priority="8490">
      <formula>LEN(TRIM(N46))=0</formula>
    </cfRule>
  </conditionalFormatting>
  <conditionalFormatting sqref="AH62">
    <cfRule type="cellIs" dxfId="8500" priority="8486" operator="between">
      <formula>0.1</formula>
      <formula>100</formula>
    </cfRule>
    <cfRule type="cellIs" dxfId="8499" priority="8487" operator="equal">
      <formula>"No inscrito"</formula>
    </cfRule>
    <cfRule type="cellIs" dxfId="8498" priority="8488" operator="equal">
      <formula>"Incompleto"</formula>
    </cfRule>
  </conditionalFormatting>
  <conditionalFormatting sqref="M58:M63">
    <cfRule type="containsBlanks" dxfId="8497" priority="8485">
      <formula>LEN(TRIM(M58))=0</formula>
    </cfRule>
  </conditionalFormatting>
  <conditionalFormatting sqref="N58:N63">
    <cfRule type="containsBlanks" dxfId="8496" priority="8484">
      <formula>LEN(TRIM(N58))=0</formula>
    </cfRule>
  </conditionalFormatting>
  <conditionalFormatting sqref="O63:Q63">
    <cfRule type="containsBlanks" dxfId="8495" priority="8483">
      <formula>LEN(TRIM(O63))=0</formula>
    </cfRule>
  </conditionalFormatting>
  <conditionalFormatting sqref="M59:M64">
    <cfRule type="containsBlanks" dxfId="8494" priority="8482">
      <formula>LEN(TRIM(M59))=0</formula>
    </cfRule>
  </conditionalFormatting>
  <conditionalFormatting sqref="N59:N64">
    <cfRule type="containsBlanks" dxfId="8493" priority="8481">
      <formula>LEN(TRIM(N59))=0</formula>
    </cfRule>
  </conditionalFormatting>
  <conditionalFormatting sqref="O64:Q64">
    <cfRule type="containsBlanks" dxfId="8492" priority="8480">
      <formula>LEN(TRIM(O64))=0</formula>
    </cfRule>
  </conditionalFormatting>
  <conditionalFormatting sqref="N60:N65">
    <cfRule type="containsBlanks" dxfId="8491" priority="8479">
      <formula>LEN(TRIM(N60))=0</formula>
    </cfRule>
  </conditionalFormatting>
  <conditionalFormatting sqref="N61:N66">
    <cfRule type="containsBlanks" dxfId="8490" priority="8477">
      <formula>LEN(TRIM(N61))=0</formula>
    </cfRule>
  </conditionalFormatting>
  <conditionalFormatting sqref="M61:M66">
    <cfRule type="containsBlanks" dxfId="8489" priority="8478">
      <formula>LEN(TRIM(M61))=0</formula>
    </cfRule>
  </conditionalFormatting>
  <conditionalFormatting sqref="O66:Q66">
    <cfRule type="containsBlanks" dxfId="8488" priority="8476">
      <formula>LEN(TRIM(O66))=0</formula>
    </cfRule>
  </conditionalFormatting>
  <conditionalFormatting sqref="M68:M73">
    <cfRule type="containsBlanks" dxfId="8487" priority="8475">
      <formula>LEN(TRIM(M68))=0</formula>
    </cfRule>
  </conditionalFormatting>
  <conditionalFormatting sqref="N62:T62">
    <cfRule type="containsBlanks" dxfId="8486" priority="8474">
      <formula>LEN(TRIM(N62))=0</formula>
    </cfRule>
  </conditionalFormatting>
  <conditionalFormatting sqref="M79:S79">
    <cfRule type="containsBlanks" dxfId="8485" priority="8473">
      <formula>LEN(TRIM(M79))=0</formula>
    </cfRule>
  </conditionalFormatting>
  <conditionalFormatting sqref="T74:T79">
    <cfRule type="containsBlanks" dxfId="8484" priority="8472">
      <formula>LEN(TRIM(T74))=0</formula>
    </cfRule>
  </conditionalFormatting>
  <conditionalFormatting sqref="N82:T82">
    <cfRule type="containsBlanks" dxfId="8483" priority="8471">
      <formula>LEN(TRIM(N82))=0</formula>
    </cfRule>
  </conditionalFormatting>
  <conditionalFormatting sqref="N79:N84">
    <cfRule type="containsBlanks" dxfId="8482" priority="8470">
      <formula>LEN(TRIM(N79))=0</formula>
    </cfRule>
  </conditionalFormatting>
  <conditionalFormatting sqref="O84:Q84">
    <cfRule type="containsBlanks" dxfId="8481" priority="8469">
      <formula>LEN(TRIM(O84))=0</formula>
    </cfRule>
  </conditionalFormatting>
  <conditionalFormatting sqref="M44:M48">
    <cfRule type="containsBlanks" dxfId="8480" priority="8468">
      <formula>LEN(TRIM(M44))=0</formula>
    </cfRule>
  </conditionalFormatting>
  <conditionalFormatting sqref="AH64">
    <cfRule type="cellIs" dxfId="8479" priority="8465" operator="between">
      <formula>0.1</formula>
      <formula>100</formula>
    </cfRule>
    <cfRule type="cellIs" dxfId="8478" priority="8466" operator="equal">
      <formula>"Incompleto"</formula>
    </cfRule>
    <cfRule type="cellIs" dxfId="8477" priority="8467" operator="equal">
      <formula>"No inscrito"</formula>
    </cfRule>
  </conditionalFormatting>
  <conditionalFormatting sqref="AH64">
    <cfRule type="cellIs" dxfId="8476" priority="8464" operator="equal">
      <formula>""""""</formula>
    </cfRule>
  </conditionalFormatting>
  <conditionalFormatting sqref="AH68">
    <cfRule type="cellIs" dxfId="8475" priority="8461" operator="between">
      <formula>0.1</formula>
      <formula>100</formula>
    </cfRule>
    <cfRule type="cellIs" dxfId="8474" priority="8462" operator="equal">
      <formula>"Incompleto"</formula>
    </cfRule>
    <cfRule type="cellIs" dxfId="8473" priority="8463" operator="equal">
      <formula>"No inscrito"</formula>
    </cfRule>
  </conditionalFormatting>
  <conditionalFormatting sqref="AH68">
    <cfRule type="cellIs" dxfId="8472" priority="8460" operator="equal">
      <formula>""""""</formula>
    </cfRule>
  </conditionalFormatting>
  <conditionalFormatting sqref="AH71">
    <cfRule type="cellIs" dxfId="8471" priority="8457" operator="between">
      <formula>0.1</formula>
      <formula>100</formula>
    </cfRule>
    <cfRule type="cellIs" dxfId="8470" priority="8458" operator="equal">
      <formula>"Incompleto"</formula>
    </cfRule>
    <cfRule type="cellIs" dxfId="8469" priority="8459" operator="equal">
      <formula>"No inscrito"</formula>
    </cfRule>
  </conditionalFormatting>
  <conditionalFormatting sqref="AH71">
    <cfRule type="cellIs" dxfId="8468" priority="8456" operator="equal">
      <formula>""""""</formula>
    </cfRule>
  </conditionalFormatting>
  <conditionalFormatting sqref="AH72">
    <cfRule type="cellIs" dxfId="8467" priority="8453" operator="between">
      <formula>0.1</formula>
      <formula>100</formula>
    </cfRule>
    <cfRule type="cellIs" dxfId="8466" priority="8454" operator="equal">
      <formula>"Incompleto"</formula>
    </cfRule>
    <cfRule type="cellIs" dxfId="8465" priority="8455" operator="equal">
      <formula>"No inscrito"</formula>
    </cfRule>
  </conditionalFormatting>
  <conditionalFormatting sqref="AH72">
    <cfRule type="cellIs" dxfId="8464" priority="8452" operator="equal">
      <formula>""""""</formula>
    </cfRule>
  </conditionalFormatting>
  <conditionalFormatting sqref="AH74">
    <cfRule type="cellIs" dxfId="8463" priority="8449" operator="between">
      <formula>0.1</formula>
      <formula>100</formula>
    </cfRule>
    <cfRule type="cellIs" dxfId="8462" priority="8450" operator="equal">
      <formula>"Incompleto"</formula>
    </cfRule>
    <cfRule type="cellIs" dxfId="8461" priority="8451" operator="equal">
      <formula>"No inscrito"</formula>
    </cfRule>
  </conditionalFormatting>
  <conditionalFormatting sqref="AH74">
    <cfRule type="cellIs" dxfId="8460" priority="8448" operator="equal">
      <formula>""""""</formula>
    </cfRule>
  </conditionalFormatting>
  <conditionalFormatting sqref="AH75:AH76">
    <cfRule type="cellIs" dxfId="8459" priority="8445" operator="between">
      <formula>0.1</formula>
      <formula>100</formula>
    </cfRule>
    <cfRule type="cellIs" dxfId="8458" priority="8446" operator="equal">
      <formula>"Incompleto"</formula>
    </cfRule>
    <cfRule type="cellIs" dxfId="8457" priority="8447" operator="equal">
      <formula>"No inscrito"</formula>
    </cfRule>
  </conditionalFormatting>
  <conditionalFormatting sqref="AH75:AH76">
    <cfRule type="cellIs" dxfId="8456" priority="8444" operator="equal">
      <formula>""""""</formula>
    </cfRule>
  </conditionalFormatting>
  <conditionalFormatting sqref="AH77">
    <cfRule type="cellIs" dxfId="8455" priority="8441" operator="between">
      <formula>0.1</formula>
      <formula>100</formula>
    </cfRule>
    <cfRule type="cellIs" dxfId="8454" priority="8442" operator="equal">
      <formula>"Incompleto"</formula>
    </cfRule>
    <cfRule type="cellIs" dxfId="8453" priority="8443" operator="equal">
      <formula>"No inscrito"</formula>
    </cfRule>
  </conditionalFormatting>
  <conditionalFormatting sqref="AH77">
    <cfRule type="cellIs" dxfId="8452" priority="8440" operator="equal">
      <formula>""""""</formula>
    </cfRule>
  </conditionalFormatting>
  <conditionalFormatting sqref="AH79">
    <cfRule type="cellIs" dxfId="8451" priority="8437" operator="between">
      <formula>0.1</formula>
      <formula>100</formula>
    </cfRule>
    <cfRule type="cellIs" dxfId="8450" priority="8438" operator="equal">
      <formula>"Incompleto"</formula>
    </cfRule>
    <cfRule type="cellIs" dxfId="8449" priority="8439" operator="equal">
      <formula>"No inscrito"</formula>
    </cfRule>
  </conditionalFormatting>
  <conditionalFormatting sqref="AH79">
    <cfRule type="cellIs" dxfId="8448" priority="8436" operator="equal">
      <formula>""""""</formula>
    </cfRule>
  </conditionalFormatting>
  <conditionalFormatting sqref="AH80">
    <cfRule type="cellIs" dxfId="8447" priority="8433" operator="between">
      <formula>0.1</formula>
      <formula>100</formula>
    </cfRule>
    <cfRule type="cellIs" dxfId="8446" priority="8434" operator="equal">
      <formula>"Incompleto"</formula>
    </cfRule>
    <cfRule type="cellIs" dxfId="8445" priority="8435" operator="equal">
      <formula>"No inscrito"</formula>
    </cfRule>
  </conditionalFormatting>
  <conditionalFormatting sqref="AH80">
    <cfRule type="cellIs" dxfId="8444" priority="8432" operator="equal">
      <formula>""""""</formula>
    </cfRule>
  </conditionalFormatting>
  <conditionalFormatting sqref="AH82">
    <cfRule type="cellIs" dxfId="8443" priority="8429" operator="between">
      <formula>0.1</formula>
      <formula>100</formula>
    </cfRule>
    <cfRule type="cellIs" dxfId="8442" priority="8430" operator="equal">
      <formula>"Incompleto"</formula>
    </cfRule>
    <cfRule type="cellIs" dxfId="8441" priority="8431" operator="equal">
      <formula>"No inscrito"</formula>
    </cfRule>
  </conditionalFormatting>
  <conditionalFormatting sqref="AH82">
    <cfRule type="cellIs" dxfId="8440" priority="8428" operator="equal">
      <formula>""""""</formula>
    </cfRule>
  </conditionalFormatting>
  <conditionalFormatting sqref="AH85">
    <cfRule type="cellIs" dxfId="8439" priority="8425" operator="between">
      <formula>0.1</formula>
      <formula>100</formula>
    </cfRule>
    <cfRule type="cellIs" dxfId="8438" priority="8426" operator="equal">
      <formula>"Incompleto"</formula>
    </cfRule>
    <cfRule type="cellIs" dxfId="8437" priority="8427" operator="equal">
      <formula>"No inscrito"</formula>
    </cfRule>
  </conditionalFormatting>
  <conditionalFormatting sqref="AH85">
    <cfRule type="cellIs" dxfId="8436" priority="8424" operator="equal">
      <formula>""""""</formula>
    </cfRule>
  </conditionalFormatting>
  <conditionalFormatting sqref="AH86">
    <cfRule type="cellIs" dxfId="8435" priority="8421" operator="between">
      <formula>0.1</formula>
      <formula>100</formula>
    </cfRule>
    <cfRule type="cellIs" dxfId="8434" priority="8422" operator="equal">
      <formula>"Incompleto"</formula>
    </cfRule>
    <cfRule type="cellIs" dxfId="8433" priority="8423" operator="equal">
      <formula>"No inscrito"</formula>
    </cfRule>
  </conditionalFormatting>
  <conditionalFormatting sqref="AH86">
    <cfRule type="cellIs" dxfId="8432" priority="8420" operator="equal">
      <formula>""""""</formula>
    </cfRule>
  </conditionalFormatting>
  <conditionalFormatting sqref="M86:T86">
    <cfRule type="containsBlanks" dxfId="8431" priority="8419">
      <formula>LEN(TRIM(M86))=0</formula>
    </cfRule>
  </conditionalFormatting>
  <conditionalFormatting sqref="M92:T92">
    <cfRule type="containsBlanks" dxfId="8430" priority="8418">
      <formula>LEN(TRIM(M92))=0</formula>
    </cfRule>
  </conditionalFormatting>
  <conditionalFormatting sqref="O93:S93">
    <cfRule type="containsBlanks" dxfId="8429" priority="8417">
      <formula>LEN(TRIM(O93))=0</formula>
    </cfRule>
  </conditionalFormatting>
  <conditionalFormatting sqref="M93:N93">
    <cfRule type="containsBlanks" dxfId="8428" priority="8416">
      <formula>LEN(TRIM(M93))=0</formula>
    </cfRule>
  </conditionalFormatting>
  <conditionalFormatting sqref="T88:T93">
    <cfRule type="containsBlanks" dxfId="8427" priority="8415">
      <formula>LEN(TRIM(T88))=0</formula>
    </cfRule>
  </conditionalFormatting>
  <conditionalFormatting sqref="M56:T56">
    <cfRule type="containsBlanks" dxfId="8426" priority="8414">
      <formula>LEN(TRIM(M56))=0</formula>
    </cfRule>
  </conditionalFormatting>
  <conditionalFormatting sqref="M57:S57">
    <cfRule type="containsBlanks" dxfId="8425" priority="8413">
      <formula>LEN(TRIM(M57))=0</formula>
    </cfRule>
  </conditionalFormatting>
  <conditionalFormatting sqref="T53:T57">
    <cfRule type="containsBlanks" dxfId="8424" priority="8412">
      <formula>LEN(TRIM(T53))=0</formula>
    </cfRule>
  </conditionalFormatting>
  <conditionalFormatting sqref="M71:M76">
    <cfRule type="containsBlanks" dxfId="8423" priority="8411">
      <formula>LEN(TRIM(M71))=0</formula>
    </cfRule>
  </conditionalFormatting>
  <conditionalFormatting sqref="M39:M43">
    <cfRule type="containsBlanks" dxfId="8422" priority="8410">
      <formula>LEN(TRIM(M39))=0</formula>
    </cfRule>
  </conditionalFormatting>
  <conditionalFormatting sqref="M80:T86 M71:T77">
    <cfRule type="containsBlanks" dxfId="8421" priority="8409">
      <formula>LEN(TRIM(M71))=0</formula>
    </cfRule>
  </conditionalFormatting>
  <conditionalFormatting sqref="N51:N55">
    <cfRule type="containsBlanks" dxfId="8420" priority="8408">
      <formula>LEN(TRIM(N51))=0</formula>
    </cfRule>
  </conditionalFormatting>
  <conditionalFormatting sqref="M51:M55">
    <cfRule type="containsBlanks" dxfId="8419" priority="8407">
      <formula>LEN(TRIM(M51))=0</formula>
    </cfRule>
  </conditionalFormatting>
  <conditionalFormatting sqref="O55:Q55">
    <cfRule type="containsBlanks" dxfId="8418" priority="8406">
      <formula>LEN(TRIM(O55))=0</formula>
    </cfRule>
  </conditionalFormatting>
  <conditionalFormatting sqref="M48:M52">
    <cfRule type="containsBlanks" dxfId="8417" priority="8405">
      <formula>LEN(TRIM(M48))=0</formula>
    </cfRule>
  </conditionalFormatting>
  <conditionalFormatting sqref="N48:N52">
    <cfRule type="containsBlanks" dxfId="8416" priority="8404">
      <formula>LEN(TRIM(N48))=0</formula>
    </cfRule>
  </conditionalFormatting>
  <conditionalFormatting sqref="O52:Q52">
    <cfRule type="containsBlanks" dxfId="8415" priority="8403">
      <formula>LEN(TRIM(O52))=0</formula>
    </cfRule>
  </conditionalFormatting>
  <conditionalFormatting sqref="M49:M53">
    <cfRule type="containsBlanks" dxfId="8414" priority="8402">
      <formula>LEN(TRIM(M49))=0</formula>
    </cfRule>
  </conditionalFormatting>
  <conditionalFormatting sqref="N49:N53">
    <cfRule type="containsBlanks" dxfId="8413" priority="8401">
      <formula>LEN(TRIM(N49))=0</formula>
    </cfRule>
  </conditionalFormatting>
  <conditionalFormatting sqref="O53:Q53">
    <cfRule type="containsBlanks" dxfId="8412" priority="8400">
      <formula>LEN(TRIM(O53))=0</formula>
    </cfRule>
  </conditionalFormatting>
  <conditionalFormatting sqref="N50:N54">
    <cfRule type="containsBlanks" dxfId="8411" priority="8399">
      <formula>LEN(TRIM(N50))=0</formula>
    </cfRule>
  </conditionalFormatting>
  <conditionalFormatting sqref="M53:M57">
    <cfRule type="containsBlanks" dxfId="8410" priority="8398">
      <formula>LEN(TRIM(M53))=0</formula>
    </cfRule>
  </conditionalFormatting>
  <conditionalFormatting sqref="N53:N57">
    <cfRule type="containsBlanks" dxfId="8409" priority="8397">
      <formula>LEN(TRIM(N53))=0</formula>
    </cfRule>
  </conditionalFormatting>
  <conditionalFormatting sqref="O57:Q57">
    <cfRule type="containsBlanks" dxfId="8408" priority="8396">
      <formula>LEN(TRIM(O57))=0</formula>
    </cfRule>
  </conditionalFormatting>
  <conditionalFormatting sqref="N54:N59">
    <cfRule type="containsBlanks" dxfId="8407" priority="8395">
      <formula>LEN(TRIM(N54))=0</formula>
    </cfRule>
  </conditionalFormatting>
  <conditionalFormatting sqref="O59:Q59">
    <cfRule type="containsBlanks" dxfId="8406" priority="8394">
      <formula>LEN(TRIM(O59))=0</formula>
    </cfRule>
  </conditionalFormatting>
  <conditionalFormatting sqref="O61:Q61">
    <cfRule type="containsBlanks" dxfId="8405" priority="8391">
      <formula>LEN(TRIM(O61))=0</formula>
    </cfRule>
  </conditionalFormatting>
  <conditionalFormatting sqref="M56:M61">
    <cfRule type="containsBlanks" dxfId="8404" priority="8393">
      <formula>LEN(TRIM(M56))=0</formula>
    </cfRule>
  </conditionalFormatting>
  <conditionalFormatting sqref="N56:N61">
    <cfRule type="containsBlanks" dxfId="8403" priority="8392">
      <formula>LEN(TRIM(N56))=0</formula>
    </cfRule>
  </conditionalFormatting>
  <conditionalFormatting sqref="AH73">
    <cfRule type="cellIs" dxfId="8402" priority="8388" operator="between">
      <formula>0.1</formula>
      <formula>100</formula>
    </cfRule>
    <cfRule type="cellIs" dxfId="8401" priority="8389" operator="equal">
      <formula>"No inscrito"</formula>
    </cfRule>
    <cfRule type="cellIs" dxfId="8400" priority="8390" operator="equal">
      <formula>"Incompleto"</formula>
    </cfRule>
  </conditionalFormatting>
  <conditionalFormatting sqref="M69:M74">
    <cfRule type="containsBlanks" dxfId="8399" priority="8387">
      <formula>LEN(TRIM(M69))=0</formula>
    </cfRule>
  </conditionalFormatting>
  <conditionalFormatting sqref="N69:N74">
    <cfRule type="containsBlanks" dxfId="8398" priority="8386">
      <formula>LEN(TRIM(N69))=0</formula>
    </cfRule>
  </conditionalFormatting>
  <conditionalFormatting sqref="O74:Q74">
    <cfRule type="containsBlanks" dxfId="8397" priority="8385">
      <formula>LEN(TRIM(O74))=0</formula>
    </cfRule>
  </conditionalFormatting>
  <conditionalFormatting sqref="M70:M75">
    <cfRule type="containsBlanks" dxfId="8396" priority="8384">
      <formula>LEN(TRIM(M70))=0</formula>
    </cfRule>
  </conditionalFormatting>
  <conditionalFormatting sqref="N70:N75">
    <cfRule type="containsBlanks" dxfId="8395" priority="8383">
      <formula>LEN(TRIM(N70))=0</formula>
    </cfRule>
  </conditionalFormatting>
  <conditionalFormatting sqref="O75:Q75">
    <cfRule type="containsBlanks" dxfId="8394" priority="8382">
      <formula>LEN(TRIM(O75))=0</formula>
    </cfRule>
  </conditionalFormatting>
  <conditionalFormatting sqref="N71:N76">
    <cfRule type="containsBlanks" dxfId="8393" priority="8381">
      <formula>LEN(TRIM(N71))=0</formula>
    </cfRule>
  </conditionalFormatting>
  <conditionalFormatting sqref="N72:N77">
    <cfRule type="containsBlanks" dxfId="8392" priority="8379">
      <formula>LEN(TRIM(N72))=0</formula>
    </cfRule>
  </conditionalFormatting>
  <conditionalFormatting sqref="M72:M77">
    <cfRule type="containsBlanks" dxfId="8391" priority="8380">
      <formula>LEN(TRIM(M72))=0</formula>
    </cfRule>
  </conditionalFormatting>
  <conditionalFormatting sqref="O77:Q77">
    <cfRule type="containsBlanks" dxfId="8390" priority="8378">
      <formula>LEN(TRIM(O77))=0</formula>
    </cfRule>
  </conditionalFormatting>
  <conditionalFormatting sqref="M79:M84">
    <cfRule type="containsBlanks" dxfId="8389" priority="8377">
      <formula>LEN(TRIM(M79))=0</formula>
    </cfRule>
  </conditionalFormatting>
  <conditionalFormatting sqref="N73:T73">
    <cfRule type="containsBlanks" dxfId="8388" priority="8376">
      <formula>LEN(TRIM(N73))=0</formula>
    </cfRule>
  </conditionalFormatting>
  <conditionalFormatting sqref="M90:S90">
    <cfRule type="containsBlanks" dxfId="8387" priority="8375">
      <formula>LEN(TRIM(M90))=0</formula>
    </cfRule>
  </conditionalFormatting>
  <conditionalFormatting sqref="T85:T90">
    <cfRule type="containsBlanks" dxfId="8386" priority="8374">
      <formula>LEN(TRIM(T85))=0</formula>
    </cfRule>
  </conditionalFormatting>
  <conditionalFormatting sqref="N93:T93">
    <cfRule type="containsBlanks" dxfId="8385" priority="8373">
      <formula>LEN(TRIM(N93))=0</formula>
    </cfRule>
  </conditionalFormatting>
  <conditionalFormatting sqref="N90:N95">
    <cfRule type="containsBlanks" dxfId="8384" priority="8372">
      <formula>LEN(TRIM(N90))=0</formula>
    </cfRule>
  </conditionalFormatting>
  <conditionalFormatting sqref="O95:Q95">
    <cfRule type="containsBlanks" dxfId="8383" priority="8371">
      <formula>LEN(TRIM(O95))=0</formula>
    </cfRule>
  </conditionalFormatting>
  <conditionalFormatting sqref="M54:M59">
    <cfRule type="containsBlanks" dxfId="8382" priority="8370">
      <formula>LEN(TRIM(M54))=0</formula>
    </cfRule>
  </conditionalFormatting>
  <conditionalFormatting sqref="AH75">
    <cfRule type="cellIs" dxfId="8381" priority="8367" operator="between">
      <formula>0.1</formula>
      <formula>100</formula>
    </cfRule>
    <cfRule type="cellIs" dxfId="8380" priority="8368" operator="equal">
      <formula>"Incompleto"</formula>
    </cfRule>
    <cfRule type="cellIs" dxfId="8379" priority="8369" operator="equal">
      <formula>"No inscrito"</formula>
    </cfRule>
  </conditionalFormatting>
  <conditionalFormatting sqref="AH75">
    <cfRule type="cellIs" dxfId="8378" priority="8366" operator="equal">
      <formula>""""""</formula>
    </cfRule>
  </conditionalFormatting>
  <conditionalFormatting sqref="AH79">
    <cfRule type="cellIs" dxfId="8377" priority="8363" operator="between">
      <formula>0.1</formula>
      <formula>100</formula>
    </cfRule>
    <cfRule type="cellIs" dxfId="8376" priority="8364" operator="equal">
      <formula>"Incompleto"</formula>
    </cfRule>
    <cfRule type="cellIs" dxfId="8375" priority="8365" operator="equal">
      <formula>"No inscrito"</formula>
    </cfRule>
  </conditionalFormatting>
  <conditionalFormatting sqref="AH79">
    <cfRule type="cellIs" dxfId="8374" priority="8362" operator="equal">
      <formula>""""""</formula>
    </cfRule>
  </conditionalFormatting>
  <conditionalFormatting sqref="AH82">
    <cfRule type="cellIs" dxfId="8373" priority="8359" operator="between">
      <formula>0.1</formula>
      <formula>100</formula>
    </cfRule>
    <cfRule type="cellIs" dxfId="8372" priority="8360" operator="equal">
      <formula>"Incompleto"</formula>
    </cfRule>
    <cfRule type="cellIs" dxfId="8371" priority="8361" operator="equal">
      <formula>"No inscrito"</formula>
    </cfRule>
  </conditionalFormatting>
  <conditionalFormatting sqref="AH82">
    <cfRule type="cellIs" dxfId="8370" priority="8358" operator="equal">
      <formula>""""""</formula>
    </cfRule>
  </conditionalFormatting>
  <conditionalFormatting sqref="AH83">
    <cfRule type="cellIs" dxfId="8369" priority="8355" operator="between">
      <formula>0.1</formula>
      <formula>100</formula>
    </cfRule>
    <cfRule type="cellIs" dxfId="8368" priority="8356" operator="equal">
      <formula>"Incompleto"</formula>
    </cfRule>
    <cfRule type="cellIs" dxfId="8367" priority="8357" operator="equal">
      <formula>"No inscrito"</formula>
    </cfRule>
  </conditionalFormatting>
  <conditionalFormatting sqref="AH83">
    <cfRule type="cellIs" dxfId="8366" priority="8354" operator="equal">
      <formula>""""""</formula>
    </cfRule>
  </conditionalFormatting>
  <conditionalFormatting sqref="AH85">
    <cfRule type="cellIs" dxfId="8365" priority="8351" operator="between">
      <formula>0.1</formula>
      <formula>100</formula>
    </cfRule>
    <cfRule type="cellIs" dxfId="8364" priority="8352" operator="equal">
      <formula>"Incompleto"</formula>
    </cfRule>
    <cfRule type="cellIs" dxfId="8363" priority="8353" operator="equal">
      <formula>"No inscrito"</formula>
    </cfRule>
  </conditionalFormatting>
  <conditionalFormatting sqref="AH85">
    <cfRule type="cellIs" dxfId="8362" priority="8350" operator="equal">
      <formula>""""""</formula>
    </cfRule>
  </conditionalFormatting>
  <conditionalFormatting sqref="AH86:AH87">
    <cfRule type="cellIs" dxfId="8361" priority="8347" operator="between">
      <formula>0.1</formula>
      <formula>100</formula>
    </cfRule>
    <cfRule type="cellIs" dxfId="8360" priority="8348" operator="equal">
      <formula>"Incompleto"</formula>
    </cfRule>
    <cfRule type="cellIs" dxfId="8359" priority="8349" operator="equal">
      <formula>"No inscrito"</formula>
    </cfRule>
  </conditionalFormatting>
  <conditionalFormatting sqref="AH86:AH87">
    <cfRule type="cellIs" dxfId="8358" priority="8346" operator="equal">
      <formula>""""""</formula>
    </cfRule>
  </conditionalFormatting>
  <conditionalFormatting sqref="AH88">
    <cfRule type="cellIs" dxfId="8357" priority="8343" operator="between">
      <formula>0.1</formula>
      <formula>100</formula>
    </cfRule>
    <cfRule type="cellIs" dxfId="8356" priority="8344" operator="equal">
      <formula>"Incompleto"</formula>
    </cfRule>
    <cfRule type="cellIs" dxfId="8355" priority="8345" operator="equal">
      <formula>"No inscrito"</formula>
    </cfRule>
  </conditionalFormatting>
  <conditionalFormatting sqref="AH88">
    <cfRule type="cellIs" dxfId="8354" priority="8342" operator="equal">
      <formula>""""""</formula>
    </cfRule>
  </conditionalFormatting>
  <conditionalFormatting sqref="AH90">
    <cfRule type="cellIs" dxfId="8353" priority="8339" operator="between">
      <formula>0.1</formula>
      <formula>100</formula>
    </cfRule>
    <cfRule type="cellIs" dxfId="8352" priority="8340" operator="equal">
      <formula>"Incompleto"</formula>
    </cfRule>
    <cfRule type="cellIs" dxfId="8351" priority="8341" operator="equal">
      <formula>"No inscrito"</formula>
    </cfRule>
  </conditionalFormatting>
  <conditionalFormatting sqref="AH90">
    <cfRule type="cellIs" dxfId="8350" priority="8338" operator="equal">
      <formula>""""""</formula>
    </cfRule>
  </conditionalFormatting>
  <conditionalFormatting sqref="AH91">
    <cfRule type="cellIs" dxfId="8349" priority="8335" operator="between">
      <formula>0.1</formula>
      <formula>100</formula>
    </cfRule>
    <cfRule type="cellIs" dxfId="8348" priority="8336" operator="equal">
      <formula>"Incompleto"</formula>
    </cfRule>
    <cfRule type="cellIs" dxfId="8347" priority="8337" operator="equal">
      <formula>"No inscrito"</formula>
    </cfRule>
  </conditionalFormatting>
  <conditionalFormatting sqref="AH91">
    <cfRule type="cellIs" dxfId="8346" priority="8334" operator="equal">
      <formula>""""""</formula>
    </cfRule>
  </conditionalFormatting>
  <conditionalFormatting sqref="AH93">
    <cfRule type="cellIs" dxfId="8345" priority="8331" operator="between">
      <formula>0.1</formula>
      <formula>100</formula>
    </cfRule>
    <cfRule type="cellIs" dxfId="8344" priority="8332" operator="equal">
      <formula>"Incompleto"</formula>
    </cfRule>
    <cfRule type="cellIs" dxfId="8343" priority="8333" operator="equal">
      <formula>"No inscrito"</formula>
    </cfRule>
  </conditionalFormatting>
  <conditionalFormatting sqref="AH93">
    <cfRule type="cellIs" dxfId="8342" priority="8330" operator="equal">
      <formula>""""""</formula>
    </cfRule>
  </conditionalFormatting>
  <conditionalFormatting sqref="AH96">
    <cfRule type="cellIs" dxfId="8341" priority="8327" operator="between">
      <formula>0.1</formula>
      <formula>100</formula>
    </cfRule>
    <cfRule type="cellIs" dxfId="8340" priority="8328" operator="equal">
      <formula>"Incompleto"</formula>
    </cfRule>
    <cfRule type="cellIs" dxfId="8339" priority="8329" operator="equal">
      <formula>"No inscrito"</formula>
    </cfRule>
  </conditionalFormatting>
  <conditionalFormatting sqref="AH96">
    <cfRule type="cellIs" dxfId="8338" priority="8326" operator="equal">
      <formula>""""""</formula>
    </cfRule>
  </conditionalFormatting>
  <conditionalFormatting sqref="AH97">
    <cfRule type="cellIs" dxfId="8337" priority="8323" operator="between">
      <formula>0.1</formula>
      <formula>100</formula>
    </cfRule>
    <cfRule type="cellIs" dxfId="8336" priority="8324" operator="equal">
      <formula>"Incompleto"</formula>
    </cfRule>
    <cfRule type="cellIs" dxfId="8335" priority="8325" operator="equal">
      <formula>"No inscrito"</formula>
    </cfRule>
  </conditionalFormatting>
  <conditionalFormatting sqref="AH97">
    <cfRule type="cellIs" dxfId="8334" priority="8322" operator="equal">
      <formula>""""""</formula>
    </cfRule>
  </conditionalFormatting>
  <conditionalFormatting sqref="M97:T97">
    <cfRule type="containsBlanks" dxfId="8333" priority="8321">
      <formula>LEN(TRIM(M97))=0</formula>
    </cfRule>
  </conditionalFormatting>
  <conditionalFormatting sqref="M103:T103">
    <cfRule type="containsBlanks" dxfId="8332" priority="8320">
      <formula>LEN(TRIM(M103))=0</formula>
    </cfRule>
  </conditionalFormatting>
  <conditionalFormatting sqref="O104:S104">
    <cfRule type="containsBlanks" dxfId="8331" priority="8319">
      <formula>LEN(TRIM(O104))=0</formula>
    </cfRule>
  </conditionalFormatting>
  <conditionalFormatting sqref="M104:N104">
    <cfRule type="containsBlanks" dxfId="8330" priority="8318">
      <formula>LEN(TRIM(M104))=0</formula>
    </cfRule>
  </conditionalFormatting>
  <conditionalFormatting sqref="T100:T104">
    <cfRule type="containsBlanks" dxfId="8329" priority="8317">
      <formula>LEN(TRIM(T100))=0</formula>
    </cfRule>
  </conditionalFormatting>
  <conditionalFormatting sqref="M67:T67">
    <cfRule type="containsBlanks" dxfId="8328" priority="8316">
      <formula>LEN(TRIM(M67))=0</formula>
    </cfRule>
  </conditionalFormatting>
  <conditionalFormatting sqref="M68:S68">
    <cfRule type="containsBlanks" dxfId="8327" priority="8315">
      <formula>LEN(TRIM(M68))=0</formula>
    </cfRule>
  </conditionalFormatting>
  <conditionalFormatting sqref="T63:T68">
    <cfRule type="containsBlanks" dxfId="8326" priority="8314">
      <formula>LEN(TRIM(T63))=0</formula>
    </cfRule>
  </conditionalFormatting>
  <conditionalFormatting sqref="M82:M87">
    <cfRule type="containsBlanks" dxfId="8325" priority="8313">
      <formula>LEN(TRIM(M82))=0</formula>
    </cfRule>
  </conditionalFormatting>
  <conditionalFormatting sqref="M50:M54">
    <cfRule type="containsBlanks" dxfId="8324" priority="8312">
      <formula>LEN(TRIM(M50))=0</formula>
    </cfRule>
  </conditionalFormatting>
  <conditionalFormatting sqref="O52:Q52">
    <cfRule type="containsBlanks" dxfId="8323" priority="8309">
      <formula>LEN(TRIM(O52))=0</formula>
    </cfRule>
  </conditionalFormatting>
  <conditionalFormatting sqref="M48:M52">
    <cfRule type="containsBlanks" dxfId="8322" priority="8311">
      <formula>LEN(TRIM(M48))=0</formula>
    </cfRule>
  </conditionalFormatting>
  <conditionalFormatting sqref="N48:N52">
    <cfRule type="containsBlanks" dxfId="8321" priority="8310">
      <formula>LEN(TRIM(N48))=0</formula>
    </cfRule>
  </conditionalFormatting>
  <conditionalFormatting sqref="AH64">
    <cfRule type="cellIs" dxfId="8320" priority="8306" operator="between">
      <formula>0.1</formula>
      <formula>100</formula>
    </cfRule>
    <cfRule type="cellIs" dxfId="8319" priority="8307" operator="equal">
      <formula>"No inscrito"</formula>
    </cfRule>
    <cfRule type="cellIs" dxfId="8318" priority="8308" operator="equal">
      <formula>"Incompleto"</formula>
    </cfRule>
  </conditionalFormatting>
  <conditionalFormatting sqref="M60:M65">
    <cfRule type="containsBlanks" dxfId="8317" priority="8305">
      <formula>LEN(TRIM(M60))=0</formula>
    </cfRule>
  </conditionalFormatting>
  <conditionalFormatting sqref="N60:N65">
    <cfRule type="containsBlanks" dxfId="8316" priority="8304">
      <formula>LEN(TRIM(N60))=0</formula>
    </cfRule>
  </conditionalFormatting>
  <conditionalFormatting sqref="O65:Q65">
    <cfRule type="containsBlanks" dxfId="8315" priority="8303">
      <formula>LEN(TRIM(O65))=0</formula>
    </cfRule>
  </conditionalFormatting>
  <conditionalFormatting sqref="M61:M66">
    <cfRule type="containsBlanks" dxfId="8314" priority="8302">
      <formula>LEN(TRIM(M61))=0</formula>
    </cfRule>
  </conditionalFormatting>
  <conditionalFormatting sqref="N61:N66">
    <cfRule type="containsBlanks" dxfId="8313" priority="8301">
      <formula>LEN(TRIM(N61))=0</formula>
    </cfRule>
  </conditionalFormatting>
  <conditionalFormatting sqref="O66:Q66">
    <cfRule type="containsBlanks" dxfId="8312" priority="8300">
      <formula>LEN(TRIM(O66))=0</formula>
    </cfRule>
  </conditionalFormatting>
  <conditionalFormatting sqref="N62:N67">
    <cfRule type="containsBlanks" dxfId="8311" priority="8299">
      <formula>LEN(TRIM(N62))=0</formula>
    </cfRule>
  </conditionalFormatting>
  <conditionalFormatting sqref="N63:N68">
    <cfRule type="containsBlanks" dxfId="8310" priority="8297">
      <formula>LEN(TRIM(N63))=0</formula>
    </cfRule>
  </conditionalFormatting>
  <conditionalFormatting sqref="M63:M68">
    <cfRule type="containsBlanks" dxfId="8309" priority="8298">
      <formula>LEN(TRIM(M63))=0</formula>
    </cfRule>
  </conditionalFormatting>
  <conditionalFormatting sqref="O68:Q68">
    <cfRule type="containsBlanks" dxfId="8308" priority="8296">
      <formula>LEN(TRIM(O68))=0</formula>
    </cfRule>
  </conditionalFormatting>
  <conditionalFormatting sqref="M70:M75">
    <cfRule type="containsBlanks" dxfId="8307" priority="8295">
      <formula>LEN(TRIM(M70))=0</formula>
    </cfRule>
  </conditionalFormatting>
  <conditionalFormatting sqref="N64:T64">
    <cfRule type="containsBlanks" dxfId="8306" priority="8294">
      <formula>LEN(TRIM(N64))=0</formula>
    </cfRule>
  </conditionalFormatting>
  <conditionalFormatting sqref="M81:S81">
    <cfRule type="containsBlanks" dxfId="8305" priority="8293">
      <formula>LEN(TRIM(M81))=0</formula>
    </cfRule>
  </conditionalFormatting>
  <conditionalFormatting sqref="T76:T81">
    <cfRule type="containsBlanks" dxfId="8304" priority="8292">
      <formula>LEN(TRIM(T76))=0</formula>
    </cfRule>
  </conditionalFormatting>
  <conditionalFormatting sqref="N84:T84">
    <cfRule type="containsBlanks" dxfId="8303" priority="8291">
      <formula>LEN(TRIM(N84))=0</formula>
    </cfRule>
  </conditionalFormatting>
  <conditionalFormatting sqref="N81:N86">
    <cfRule type="containsBlanks" dxfId="8302" priority="8290">
      <formula>LEN(TRIM(N81))=0</formula>
    </cfRule>
  </conditionalFormatting>
  <conditionalFormatting sqref="O86:Q86">
    <cfRule type="containsBlanks" dxfId="8301" priority="8289">
      <formula>LEN(TRIM(O86))=0</formula>
    </cfRule>
  </conditionalFormatting>
  <conditionalFormatting sqref="AH66">
    <cfRule type="cellIs" dxfId="8300" priority="8286" operator="between">
      <formula>0.1</formula>
      <formula>100</formula>
    </cfRule>
    <cfRule type="cellIs" dxfId="8299" priority="8287" operator="equal">
      <formula>"Incompleto"</formula>
    </cfRule>
    <cfRule type="cellIs" dxfId="8298" priority="8288" operator="equal">
      <formula>"No inscrito"</formula>
    </cfRule>
  </conditionalFormatting>
  <conditionalFormatting sqref="AH66">
    <cfRule type="cellIs" dxfId="8297" priority="8285" operator="equal">
      <formula>""""""</formula>
    </cfRule>
  </conditionalFormatting>
  <conditionalFormatting sqref="AH70">
    <cfRule type="cellIs" dxfId="8296" priority="8282" operator="between">
      <formula>0.1</formula>
      <formula>100</formula>
    </cfRule>
    <cfRule type="cellIs" dxfId="8295" priority="8283" operator="equal">
      <formula>"Incompleto"</formula>
    </cfRule>
    <cfRule type="cellIs" dxfId="8294" priority="8284" operator="equal">
      <formula>"No inscrito"</formula>
    </cfRule>
  </conditionalFormatting>
  <conditionalFormatting sqref="AH70">
    <cfRule type="cellIs" dxfId="8293" priority="8281" operator="equal">
      <formula>""""""</formula>
    </cfRule>
  </conditionalFormatting>
  <conditionalFormatting sqref="AH73">
    <cfRule type="cellIs" dxfId="8292" priority="8278" operator="between">
      <formula>0.1</formula>
      <formula>100</formula>
    </cfRule>
    <cfRule type="cellIs" dxfId="8291" priority="8279" operator="equal">
      <formula>"Incompleto"</formula>
    </cfRule>
    <cfRule type="cellIs" dxfId="8290" priority="8280" operator="equal">
      <formula>"No inscrito"</formula>
    </cfRule>
  </conditionalFormatting>
  <conditionalFormatting sqref="AH73">
    <cfRule type="cellIs" dxfId="8289" priority="8277" operator="equal">
      <formula>""""""</formula>
    </cfRule>
  </conditionalFormatting>
  <conditionalFormatting sqref="AH74">
    <cfRule type="cellIs" dxfId="8288" priority="8274" operator="between">
      <formula>0.1</formula>
      <formula>100</formula>
    </cfRule>
    <cfRule type="cellIs" dxfId="8287" priority="8275" operator="equal">
      <formula>"Incompleto"</formula>
    </cfRule>
    <cfRule type="cellIs" dxfId="8286" priority="8276" operator="equal">
      <formula>"No inscrito"</formula>
    </cfRule>
  </conditionalFormatting>
  <conditionalFormatting sqref="AH74">
    <cfRule type="cellIs" dxfId="8285" priority="8273" operator="equal">
      <formula>""""""</formula>
    </cfRule>
  </conditionalFormatting>
  <conditionalFormatting sqref="AH76">
    <cfRule type="cellIs" dxfId="8284" priority="8270" operator="between">
      <formula>0.1</formula>
      <formula>100</formula>
    </cfRule>
    <cfRule type="cellIs" dxfId="8283" priority="8271" operator="equal">
      <formula>"Incompleto"</formula>
    </cfRule>
    <cfRule type="cellIs" dxfId="8282" priority="8272" operator="equal">
      <formula>"No inscrito"</formula>
    </cfRule>
  </conditionalFormatting>
  <conditionalFormatting sqref="AH76">
    <cfRule type="cellIs" dxfId="8281" priority="8269" operator="equal">
      <formula>""""""</formula>
    </cfRule>
  </conditionalFormatting>
  <conditionalFormatting sqref="AH77:AH78">
    <cfRule type="cellIs" dxfId="8280" priority="8266" operator="between">
      <formula>0.1</formula>
      <formula>100</formula>
    </cfRule>
    <cfRule type="cellIs" dxfId="8279" priority="8267" operator="equal">
      <formula>"Incompleto"</formula>
    </cfRule>
    <cfRule type="cellIs" dxfId="8278" priority="8268" operator="equal">
      <formula>"No inscrito"</formula>
    </cfRule>
  </conditionalFormatting>
  <conditionalFormatting sqref="AH77:AH78">
    <cfRule type="cellIs" dxfId="8277" priority="8265" operator="equal">
      <formula>""""""</formula>
    </cfRule>
  </conditionalFormatting>
  <conditionalFormatting sqref="AH79">
    <cfRule type="cellIs" dxfId="8276" priority="8262" operator="between">
      <formula>0.1</formula>
      <formula>100</formula>
    </cfRule>
    <cfRule type="cellIs" dxfId="8275" priority="8263" operator="equal">
      <formula>"Incompleto"</formula>
    </cfRule>
    <cfRule type="cellIs" dxfId="8274" priority="8264" operator="equal">
      <formula>"No inscrito"</formula>
    </cfRule>
  </conditionalFormatting>
  <conditionalFormatting sqref="AH79">
    <cfRule type="cellIs" dxfId="8273" priority="8261" operator="equal">
      <formula>""""""</formula>
    </cfRule>
  </conditionalFormatting>
  <conditionalFormatting sqref="AH81">
    <cfRule type="cellIs" dxfId="8272" priority="8258" operator="between">
      <formula>0.1</formula>
      <formula>100</formula>
    </cfRule>
    <cfRule type="cellIs" dxfId="8271" priority="8259" operator="equal">
      <formula>"Incompleto"</formula>
    </cfRule>
    <cfRule type="cellIs" dxfId="8270" priority="8260" operator="equal">
      <formula>"No inscrito"</formula>
    </cfRule>
  </conditionalFormatting>
  <conditionalFormatting sqref="AH81">
    <cfRule type="cellIs" dxfId="8269" priority="8257" operator="equal">
      <formula>""""""</formula>
    </cfRule>
  </conditionalFormatting>
  <conditionalFormatting sqref="AH82">
    <cfRule type="cellIs" dxfId="8268" priority="8254" operator="between">
      <formula>0.1</formula>
      <formula>100</formula>
    </cfRule>
    <cfRule type="cellIs" dxfId="8267" priority="8255" operator="equal">
      <formula>"Incompleto"</formula>
    </cfRule>
    <cfRule type="cellIs" dxfId="8266" priority="8256" operator="equal">
      <formula>"No inscrito"</formula>
    </cfRule>
  </conditionalFormatting>
  <conditionalFormatting sqref="AH82">
    <cfRule type="cellIs" dxfId="8265" priority="8253" operator="equal">
      <formula>""""""</formula>
    </cfRule>
  </conditionalFormatting>
  <conditionalFormatting sqref="AH84">
    <cfRule type="cellIs" dxfId="8264" priority="8250" operator="between">
      <formula>0.1</formula>
      <formula>100</formula>
    </cfRule>
    <cfRule type="cellIs" dxfId="8263" priority="8251" operator="equal">
      <formula>"Incompleto"</formula>
    </cfRule>
    <cfRule type="cellIs" dxfId="8262" priority="8252" operator="equal">
      <formula>"No inscrito"</formula>
    </cfRule>
  </conditionalFormatting>
  <conditionalFormatting sqref="AH84">
    <cfRule type="cellIs" dxfId="8261" priority="8249" operator="equal">
      <formula>""""""</formula>
    </cfRule>
  </conditionalFormatting>
  <conditionalFormatting sqref="AH87">
    <cfRule type="cellIs" dxfId="8260" priority="8246" operator="between">
      <formula>0.1</formula>
      <formula>100</formula>
    </cfRule>
    <cfRule type="cellIs" dxfId="8259" priority="8247" operator="equal">
      <formula>"Incompleto"</formula>
    </cfRule>
    <cfRule type="cellIs" dxfId="8258" priority="8248" operator="equal">
      <formula>"No inscrito"</formula>
    </cfRule>
  </conditionalFormatting>
  <conditionalFormatting sqref="AH87">
    <cfRule type="cellIs" dxfId="8257" priority="8245" operator="equal">
      <formula>""""""</formula>
    </cfRule>
  </conditionalFormatting>
  <conditionalFormatting sqref="AH88">
    <cfRule type="cellIs" dxfId="8256" priority="8242" operator="between">
      <formula>0.1</formula>
      <formula>100</formula>
    </cfRule>
    <cfRule type="cellIs" dxfId="8255" priority="8243" operator="equal">
      <formula>"Incompleto"</formula>
    </cfRule>
    <cfRule type="cellIs" dxfId="8254" priority="8244" operator="equal">
      <formula>"No inscrito"</formula>
    </cfRule>
  </conditionalFormatting>
  <conditionalFormatting sqref="AH88">
    <cfRule type="cellIs" dxfId="8253" priority="8241" operator="equal">
      <formula>""""""</formula>
    </cfRule>
  </conditionalFormatting>
  <conditionalFormatting sqref="M88:T88">
    <cfRule type="containsBlanks" dxfId="8252" priority="8240">
      <formula>LEN(TRIM(M88))=0</formula>
    </cfRule>
  </conditionalFormatting>
  <conditionalFormatting sqref="M94:T94">
    <cfRule type="containsBlanks" dxfId="8251" priority="8239">
      <formula>LEN(TRIM(M94))=0</formula>
    </cfRule>
  </conditionalFormatting>
  <conditionalFormatting sqref="O95:S95">
    <cfRule type="containsBlanks" dxfId="8250" priority="8238">
      <formula>LEN(TRIM(O95))=0</formula>
    </cfRule>
  </conditionalFormatting>
  <conditionalFormatting sqref="M95:N95">
    <cfRule type="containsBlanks" dxfId="8249" priority="8237">
      <formula>LEN(TRIM(M95))=0</formula>
    </cfRule>
  </conditionalFormatting>
  <conditionalFormatting sqref="T90:T95">
    <cfRule type="containsBlanks" dxfId="8248" priority="8236">
      <formula>LEN(TRIM(T90))=0</formula>
    </cfRule>
  </conditionalFormatting>
  <conditionalFormatting sqref="M58:T58">
    <cfRule type="containsBlanks" dxfId="8247" priority="8235">
      <formula>LEN(TRIM(M58))=0</formula>
    </cfRule>
  </conditionalFormatting>
  <conditionalFormatting sqref="M59:S59">
    <cfRule type="containsBlanks" dxfId="8246" priority="8234">
      <formula>LEN(TRIM(M59))=0</formula>
    </cfRule>
  </conditionalFormatting>
  <conditionalFormatting sqref="T54:T59">
    <cfRule type="containsBlanks" dxfId="8245" priority="8233">
      <formula>LEN(TRIM(T54))=0</formula>
    </cfRule>
  </conditionalFormatting>
  <conditionalFormatting sqref="M73:M78">
    <cfRule type="containsBlanks" dxfId="8244" priority="8232">
      <formula>LEN(TRIM(M73))=0</formula>
    </cfRule>
  </conditionalFormatting>
  <conditionalFormatting sqref="M75:T81 M66:T72">
    <cfRule type="containsBlanks" dxfId="8243" priority="8231">
      <formula>LEN(TRIM(M66))=0</formula>
    </cfRule>
  </conditionalFormatting>
  <conditionalFormatting sqref="M48:M52">
    <cfRule type="containsBlanks" dxfId="8242" priority="8230">
      <formula>LEN(TRIM(M48))=0</formula>
    </cfRule>
  </conditionalFormatting>
  <conditionalFormatting sqref="N48:N52">
    <cfRule type="containsBlanks" dxfId="8241" priority="8229">
      <formula>LEN(TRIM(N48))=0</formula>
    </cfRule>
  </conditionalFormatting>
  <conditionalFormatting sqref="O52:Q52">
    <cfRule type="containsBlanks" dxfId="8240" priority="8228">
      <formula>LEN(TRIM(O52))=0</formula>
    </cfRule>
  </conditionalFormatting>
  <conditionalFormatting sqref="N50:N54">
    <cfRule type="containsBlanks" dxfId="8239" priority="8227">
      <formula>LEN(TRIM(N50))=0</formula>
    </cfRule>
  </conditionalFormatting>
  <conditionalFormatting sqref="O54:Q54">
    <cfRule type="containsBlanks" dxfId="8238" priority="8226">
      <formula>LEN(TRIM(O54))=0</formula>
    </cfRule>
  </conditionalFormatting>
  <conditionalFormatting sqref="O56:Q56">
    <cfRule type="containsBlanks" dxfId="8237" priority="8223">
      <formula>LEN(TRIM(O56))=0</formula>
    </cfRule>
  </conditionalFormatting>
  <conditionalFormatting sqref="M52:M56">
    <cfRule type="containsBlanks" dxfId="8236" priority="8225">
      <formula>LEN(TRIM(M52))=0</formula>
    </cfRule>
  </conditionalFormatting>
  <conditionalFormatting sqref="N52:N56">
    <cfRule type="containsBlanks" dxfId="8235" priority="8224">
      <formula>LEN(TRIM(N52))=0</formula>
    </cfRule>
  </conditionalFormatting>
  <conditionalFormatting sqref="AH68">
    <cfRule type="cellIs" dxfId="8234" priority="8220" operator="between">
      <formula>0.1</formula>
      <formula>100</formula>
    </cfRule>
    <cfRule type="cellIs" dxfId="8233" priority="8221" operator="equal">
      <formula>"No inscrito"</formula>
    </cfRule>
    <cfRule type="cellIs" dxfId="8232" priority="8222" operator="equal">
      <formula>"Incompleto"</formula>
    </cfRule>
  </conditionalFormatting>
  <conditionalFormatting sqref="M64:M69">
    <cfRule type="containsBlanks" dxfId="8231" priority="8219">
      <formula>LEN(TRIM(M64))=0</formula>
    </cfRule>
  </conditionalFormatting>
  <conditionalFormatting sqref="N64:N69">
    <cfRule type="containsBlanks" dxfId="8230" priority="8218">
      <formula>LEN(TRIM(N64))=0</formula>
    </cfRule>
  </conditionalFormatting>
  <conditionalFormatting sqref="O69:Q69">
    <cfRule type="containsBlanks" dxfId="8229" priority="8217">
      <formula>LEN(TRIM(O69))=0</formula>
    </cfRule>
  </conditionalFormatting>
  <conditionalFormatting sqref="M65:M70">
    <cfRule type="containsBlanks" dxfId="8228" priority="8216">
      <formula>LEN(TRIM(M65))=0</formula>
    </cfRule>
  </conditionalFormatting>
  <conditionalFormatting sqref="N65:N70">
    <cfRule type="containsBlanks" dxfId="8227" priority="8215">
      <formula>LEN(TRIM(N65))=0</formula>
    </cfRule>
  </conditionalFormatting>
  <conditionalFormatting sqref="O70:Q70">
    <cfRule type="containsBlanks" dxfId="8226" priority="8214">
      <formula>LEN(TRIM(O70))=0</formula>
    </cfRule>
  </conditionalFormatting>
  <conditionalFormatting sqref="N66:N71">
    <cfRule type="containsBlanks" dxfId="8225" priority="8213">
      <formula>LEN(TRIM(N66))=0</formula>
    </cfRule>
  </conditionalFormatting>
  <conditionalFormatting sqref="N67:N72">
    <cfRule type="containsBlanks" dxfId="8224" priority="8211">
      <formula>LEN(TRIM(N67))=0</formula>
    </cfRule>
  </conditionalFormatting>
  <conditionalFormatting sqref="M67:M72">
    <cfRule type="containsBlanks" dxfId="8223" priority="8212">
      <formula>LEN(TRIM(M67))=0</formula>
    </cfRule>
  </conditionalFormatting>
  <conditionalFormatting sqref="O72:Q72">
    <cfRule type="containsBlanks" dxfId="8222" priority="8210">
      <formula>LEN(TRIM(O72))=0</formula>
    </cfRule>
  </conditionalFormatting>
  <conditionalFormatting sqref="M74:M79">
    <cfRule type="containsBlanks" dxfId="8221" priority="8209">
      <formula>LEN(TRIM(M74))=0</formula>
    </cfRule>
  </conditionalFormatting>
  <conditionalFormatting sqref="N68:T68">
    <cfRule type="containsBlanks" dxfId="8220" priority="8208">
      <formula>LEN(TRIM(N68))=0</formula>
    </cfRule>
  </conditionalFormatting>
  <conditionalFormatting sqref="M85:S85">
    <cfRule type="containsBlanks" dxfId="8219" priority="8207">
      <formula>LEN(TRIM(M85))=0</formula>
    </cfRule>
  </conditionalFormatting>
  <conditionalFormatting sqref="T80:T85">
    <cfRule type="containsBlanks" dxfId="8218" priority="8206">
      <formula>LEN(TRIM(T80))=0</formula>
    </cfRule>
  </conditionalFormatting>
  <conditionalFormatting sqref="N88:T88">
    <cfRule type="containsBlanks" dxfId="8217" priority="8205">
      <formula>LEN(TRIM(N88))=0</formula>
    </cfRule>
  </conditionalFormatting>
  <conditionalFormatting sqref="N85:N90">
    <cfRule type="containsBlanks" dxfId="8216" priority="8204">
      <formula>LEN(TRIM(N85))=0</formula>
    </cfRule>
  </conditionalFormatting>
  <conditionalFormatting sqref="O90:Q90">
    <cfRule type="containsBlanks" dxfId="8215" priority="8203">
      <formula>LEN(TRIM(O90))=0</formula>
    </cfRule>
  </conditionalFormatting>
  <conditionalFormatting sqref="M50:M54">
    <cfRule type="containsBlanks" dxfId="8214" priority="8202">
      <formula>LEN(TRIM(M50))=0</formula>
    </cfRule>
  </conditionalFormatting>
  <conditionalFormatting sqref="AH70">
    <cfRule type="cellIs" dxfId="8213" priority="8199" operator="between">
      <formula>0.1</formula>
      <formula>100</formula>
    </cfRule>
    <cfRule type="cellIs" dxfId="8212" priority="8200" operator="equal">
      <formula>"Incompleto"</formula>
    </cfRule>
    <cfRule type="cellIs" dxfId="8211" priority="8201" operator="equal">
      <formula>"No inscrito"</formula>
    </cfRule>
  </conditionalFormatting>
  <conditionalFormatting sqref="AH70">
    <cfRule type="cellIs" dxfId="8210" priority="8198" operator="equal">
      <formula>""""""</formula>
    </cfRule>
  </conditionalFormatting>
  <conditionalFormatting sqref="AH74">
    <cfRule type="cellIs" dxfId="8209" priority="8195" operator="between">
      <formula>0.1</formula>
      <formula>100</formula>
    </cfRule>
    <cfRule type="cellIs" dxfId="8208" priority="8196" operator="equal">
      <formula>"Incompleto"</formula>
    </cfRule>
    <cfRule type="cellIs" dxfId="8207" priority="8197" operator="equal">
      <formula>"No inscrito"</formula>
    </cfRule>
  </conditionalFormatting>
  <conditionalFormatting sqref="AH74">
    <cfRule type="cellIs" dxfId="8206" priority="8194" operator="equal">
      <formula>""""""</formula>
    </cfRule>
  </conditionalFormatting>
  <conditionalFormatting sqref="AH77">
    <cfRule type="cellIs" dxfId="8205" priority="8191" operator="between">
      <formula>0.1</formula>
      <formula>100</formula>
    </cfRule>
    <cfRule type="cellIs" dxfId="8204" priority="8192" operator="equal">
      <formula>"Incompleto"</formula>
    </cfRule>
    <cfRule type="cellIs" dxfId="8203" priority="8193" operator="equal">
      <formula>"No inscrito"</formula>
    </cfRule>
  </conditionalFormatting>
  <conditionalFormatting sqref="AH77">
    <cfRule type="cellIs" dxfId="8202" priority="8190" operator="equal">
      <formula>""""""</formula>
    </cfRule>
  </conditionalFormatting>
  <conditionalFormatting sqref="AH78">
    <cfRule type="cellIs" dxfId="8201" priority="8187" operator="between">
      <formula>0.1</formula>
      <formula>100</formula>
    </cfRule>
    <cfRule type="cellIs" dxfId="8200" priority="8188" operator="equal">
      <formula>"Incompleto"</formula>
    </cfRule>
    <cfRule type="cellIs" dxfId="8199" priority="8189" operator="equal">
      <formula>"No inscrito"</formula>
    </cfRule>
  </conditionalFormatting>
  <conditionalFormatting sqref="AH78">
    <cfRule type="cellIs" dxfId="8198" priority="8186" operator="equal">
      <formula>""""""</formula>
    </cfRule>
  </conditionalFormatting>
  <conditionalFormatting sqref="AH80">
    <cfRule type="cellIs" dxfId="8197" priority="8183" operator="between">
      <formula>0.1</formula>
      <formula>100</formula>
    </cfRule>
    <cfRule type="cellIs" dxfId="8196" priority="8184" operator="equal">
      <formula>"Incompleto"</formula>
    </cfRule>
    <cfRule type="cellIs" dxfId="8195" priority="8185" operator="equal">
      <formula>"No inscrito"</formula>
    </cfRule>
  </conditionalFormatting>
  <conditionalFormatting sqref="AH80">
    <cfRule type="cellIs" dxfId="8194" priority="8182" operator="equal">
      <formula>""""""</formula>
    </cfRule>
  </conditionalFormatting>
  <conditionalFormatting sqref="AH81:AH82">
    <cfRule type="cellIs" dxfId="8193" priority="8179" operator="between">
      <formula>0.1</formula>
      <formula>100</formula>
    </cfRule>
    <cfRule type="cellIs" dxfId="8192" priority="8180" operator="equal">
      <formula>"Incompleto"</formula>
    </cfRule>
    <cfRule type="cellIs" dxfId="8191" priority="8181" operator="equal">
      <formula>"No inscrito"</formula>
    </cfRule>
  </conditionalFormatting>
  <conditionalFormatting sqref="AH81:AH82">
    <cfRule type="cellIs" dxfId="8190" priority="8178" operator="equal">
      <formula>""""""</formula>
    </cfRule>
  </conditionalFormatting>
  <conditionalFormatting sqref="AH83">
    <cfRule type="cellIs" dxfId="8189" priority="8175" operator="between">
      <formula>0.1</formula>
      <formula>100</formula>
    </cfRule>
    <cfRule type="cellIs" dxfId="8188" priority="8176" operator="equal">
      <formula>"Incompleto"</formula>
    </cfRule>
    <cfRule type="cellIs" dxfId="8187" priority="8177" operator="equal">
      <formula>"No inscrito"</formula>
    </cfRule>
  </conditionalFormatting>
  <conditionalFormatting sqref="AH83">
    <cfRule type="cellIs" dxfId="8186" priority="8174" operator="equal">
      <formula>""""""</formula>
    </cfRule>
  </conditionalFormatting>
  <conditionalFormatting sqref="AH85">
    <cfRule type="cellIs" dxfId="8185" priority="8171" operator="between">
      <formula>0.1</formula>
      <formula>100</formula>
    </cfRule>
    <cfRule type="cellIs" dxfId="8184" priority="8172" operator="equal">
      <formula>"Incompleto"</formula>
    </cfRule>
    <cfRule type="cellIs" dxfId="8183" priority="8173" operator="equal">
      <formula>"No inscrito"</formula>
    </cfRule>
  </conditionalFormatting>
  <conditionalFormatting sqref="AH85">
    <cfRule type="cellIs" dxfId="8182" priority="8170" operator="equal">
      <formula>""""""</formula>
    </cfRule>
  </conditionalFormatting>
  <conditionalFormatting sqref="AH86">
    <cfRule type="cellIs" dxfId="8181" priority="8167" operator="between">
      <formula>0.1</formula>
      <formula>100</formula>
    </cfRule>
    <cfRule type="cellIs" dxfId="8180" priority="8168" operator="equal">
      <formula>"Incompleto"</formula>
    </cfRule>
    <cfRule type="cellIs" dxfId="8179" priority="8169" operator="equal">
      <formula>"No inscrito"</formula>
    </cfRule>
  </conditionalFormatting>
  <conditionalFormatting sqref="AH86">
    <cfRule type="cellIs" dxfId="8178" priority="8166" operator="equal">
      <formula>""""""</formula>
    </cfRule>
  </conditionalFormatting>
  <conditionalFormatting sqref="AH88">
    <cfRule type="cellIs" dxfId="8177" priority="8163" operator="between">
      <formula>0.1</formula>
      <formula>100</formula>
    </cfRule>
    <cfRule type="cellIs" dxfId="8176" priority="8164" operator="equal">
      <formula>"Incompleto"</formula>
    </cfRule>
    <cfRule type="cellIs" dxfId="8175" priority="8165" operator="equal">
      <formula>"No inscrito"</formula>
    </cfRule>
  </conditionalFormatting>
  <conditionalFormatting sqref="AH88">
    <cfRule type="cellIs" dxfId="8174" priority="8162" operator="equal">
      <formula>""""""</formula>
    </cfRule>
  </conditionalFormatting>
  <conditionalFormatting sqref="AH91">
    <cfRule type="cellIs" dxfId="8173" priority="8159" operator="between">
      <formula>0.1</formula>
      <formula>100</formula>
    </cfRule>
    <cfRule type="cellIs" dxfId="8172" priority="8160" operator="equal">
      <formula>"Incompleto"</formula>
    </cfRule>
    <cfRule type="cellIs" dxfId="8171" priority="8161" operator="equal">
      <formula>"No inscrito"</formula>
    </cfRule>
  </conditionalFormatting>
  <conditionalFormatting sqref="AH91">
    <cfRule type="cellIs" dxfId="8170" priority="8158" operator="equal">
      <formula>""""""</formula>
    </cfRule>
  </conditionalFormatting>
  <conditionalFormatting sqref="AH92">
    <cfRule type="cellIs" dxfId="8169" priority="8155" operator="between">
      <formula>0.1</formula>
      <formula>100</formula>
    </cfRule>
    <cfRule type="cellIs" dxfId="8168" priority="8156" operator="equal">
      <formula>"Incompleto"</formula>
    </cfRule>
    <cfRule type="cellIs" dxfId="8167" priority="8157" operator="equal">
      <formula>"No inscrito"</formula>
    </cfRule>
  </conditionalFormatting>
  <conditionalFormatting sqref="AH92">
    <cfRule type="cellIs" dxfId="8166" priority="8154" operator="equal">
      <formula>""""""</formula>
    </cfRule>
  </conditionalFormatting>
  <conditionalFormatting sqref="M92:T92">
    <cfRule type="containsBlanks" dxfId="8165" priority="8153">
      <formula>LEN(TRIM(M92))=0</formula>
    </cfRule>
  </conditionalFormatting>
  <conditionalFormatting sqref="M98:T98">
    <cfRule type="containsBlanks" dxfId="8164" priority="8152">
      <formula>LEN(TRIM(M98))=0</formula>
    </cfRule>
  </conditionalFormatting>
  <conditionalFormatting sqref="T94:T98">
    <cfRule type="containsBlanks" dxfId="8163" priority="8149">
      <formula>LEN(TRIM(T94))=0</formula>
    </cfRule>
  </conditionalFormatting>
  <conditionalFormatting sqref="M62:T62">
    <cfRule type="containsBlanks" dxfId="8162" priority="8148">
      <formula>LEN(TRIM(M62))=0</formula>
    </cfRule>
  </conditionalFormatting>
  <conditionalFormatting sqref="M63:S63">
    <cfRule type="containsBlanks" dxfId="8161" priority="8147">
      <formula>LEN(TRIM(M63))=0</formula>
    </cfRule>
  </conditionalFormatting>
  <conditionalFormatting sqref="T58:T63">
    <cfRule type="containsBlanks" dxfId="8160" priority="8146">
      <formula>LEN(TRIM(T58))=0</formula>
    </cfRule>
  </conditionalFormatting>
  <conditionalFormatting sqref="M77:M82">
    <cfRule type="containsBlanks" dxfId="8159" priority="8145">
      <formula>LEN(TRIM(M77))=0</formula>
    </cfRule>
  </conditionalFormatting>
  <conditionalFormatting sqref="AH59">
    <cfRule type="cellIs" dxfId="8158" priority="8142" operator="between">
      <formula>0.1</formula>
      <formula>100</formula>
    </cfRule>
    <cfRule type="cellIs" dxfId="8157" priority="8143" operator="equal">
      <formula>"No inscrito"</formula>
    </cfRule>
    <cfRule type="cellIs" dxfId="8156" priority="8144" operator="equal">
      <formula>"Incompleto"</formula>
    </cfRule>
  </conditionalFormatting>
  <conditionalFormatting sqref="M55:M60">
    <cfRule type="containsBlanks" dxfId="8155" priority="8141">
      <formula>LEN(TRIM(M55))=0</formula>
    </cfRule>
  </conditionalFormatting>
  <conditionalFormatting sqref="N55:N60">
    <cfRule type="containsBlanks" dxfId="8154" priority="8140">
      <formula>LEN(TRIM(N55))=0</formula>
    </cfRule>
  </conditionalFormatting>
  <conditionalFormatting sqref="O60:Q60">
    <cfRule type="containsBlanks" dxfId="8153" priority="8139">
      <formula>LEN(TRIM(O60))=0</formula>
    </cfRule>
  </conditionalFormatting>
  <conditionalFormatting sqref="M56:M61">
    <cfRule type="containsBlanks" dxfId="8152" priority="8138">
      <formula>LEN(TRIM(M56))=0</formula>
    </cfRule>
  </conditionalFormatting>
  <conditionalFormatting sqref="N56:N61">
    <cfRule type="containsBlanks" dxfId="8151" priority="8137">
      <formula>LEN(TRIM(N56))=0</formula>
    </cfRule>
  </conditionalFormatting>
  <conditionalFormatting sqref="O61:Q61">
    <cfRule type="containsBlanks" dxfId="8150" priority="8136">
      <formula>LEN(TRIM(O61))=0</formula>
    </cfRule>
  </conditionalFormatting>
  <conditionalFormatting sqref="N57:N62">
    <cfRule type="containsBlanks" dxfId="8149" priority="8135">
      <formula>LEN(TRIM(N57))=0</formula>
    </cfRule>
  </conditionalFormatting>
  <conditionalFormatting sqref="N58:N63">
    <cfRule type="containsBlanks" dxfId="8148" priority="8133">
      <formula>LEN(TRIM(N58))=0</formula>
    </cfRule>
  </conditionalFormatting>
  <conditionalFormatting sqref="M58:M63">
    <cfRule type="containsBlanks" dxfId="8147" priority="8134">
      <formula>LEN(TRIM(M58))=0</formula>
    </cfRule>
  </conditionalFormatting>
  <conditionalFormatting sqref="O63:Q63">
    <cfRule type="containsBlanks" dxfId="8146" priority="8132">
      <formula>LEN(TRIM(O63))=0</formula>
    </cfRule>
  </conditionalFormatting>
  <conditionalFormatting sqref="M65:M70">
    <cfRule type="containsBlanks" dxfId="8145" priority="8131">
      <formula>LEN(TRIM(M65))=0</formula>
    </cfRule>
  </conditionalFormatting>
  <conditionalFormatting sqref="N59:T59">
    <cfRule type="containsBlanks" dxfId="8144" priority="8130">
      <formula>LEN(TRIM(N59))=0</formula>
    </cfRule>
  </conditionalFormatting>
  <conditionalFormatting sqref="M76:S76">
    <cfRule type="containsBlanks" dxfId="8143" priority="8129">
      <formula>LEN(TRIM(M76))=0</formula>
    </cfRule>
  </conditionalFormatting>
  <conditionalFormatting sqref="T71:T76">
    <cfRule type="containsBlanks" dxfId="8142" priority="8128">
      <formula>LEN(TRIM(T71))=0</formula>
    </cfRule>
  </conditionalFormatting>
  <conditionalFormatting sqref="N79:T79">
    <cfRule type="containsBlanks" dxfId="8141" priority="8127">
      <formula>LEN(TRIM(N79))=0</formula>
    </cfRule>
  </conditionalFormatting>
  <conditionalFormatting sqref="N76:N81">
    <cfRule type="containsBlanks" dxfId="8140" priority="8126">
      <formula>LEN(TRIM(N76))=0</formula>
    </cfRule>
  </conditionalFormatting>
  <conditionalFormatting sqref="O81:Q81">
    <cfRule type="containsBlanks" dxfId="8139" priority="8125">
      <formula>LEN(TRIM(O81))=0</formula>
    </cfRule>
  </conditionalFormatting>
  <conditionalFormatting sqref="AH61">
    <cfRule type="cellIs" dxfId="8138" priority="8122" operator="between">
      <formula>0.1</formula>
      <formula>100</formula>
    </cfRule>
    <cfRule type="cellIs" dxfId="8137" priority="8123" operator="equal">
      <formula>"Incompleto"</formula>
    </cfRule>
    <cfRule type="cellIs" dxfId="8136" priority="8124" operator="equal">
      <formula>"No inscrito"</formula>
    </cfRule>
  </conditionalFormatting>
  <conditionalFormatting sqref="AH61">
    <cfRule type="cellIs" dxfId="8135" priority="8121" operator="equal">
      <formula>""""""</formula>
    </cfRule>
  </conditionalFormatting>
  <conditionalFormatting sqref="AH65">
    <cfRule type="cellIs" dxfId="8134" priority="8118" operator="between">
      <formula>0.1</formula>
      <formula>100</formula>
    </cfRule>
    <cfRule type="cellIs" dxfId="8133" priority="8119" operator="equal">
      <formula>"Incompleto"</formula>
    </cfRule>
    <cfRule type="cellIs" dxfId="8132" priority="8120" operator="equal">
      <formula>"No inscrito"</formula>
    </cfRule>
  </conditionalFormatting>
  <conditionalFormatting sqref="AH65">
    <cfRule type="cellIs" dxfId="8131" priority="8117" operator="equal">
      <formula>""""""</formula>
    </cfRule>
  </conditionalFormatting>
  <conditionalFormatting sqref="AH68">
    <cfRule type="cellIs" dxfId="8130" priority="8114" operator="between">
      <formula>0.1</formula>
      <formula>100</formula>
    </cfRule>
    <cfRule type="cellIs" dxfId="8129" priority="8115" operator="equal">
      <formula>"Incompleto"</formula>
    </cfRule>
    <cfRule type="cellIs" dxfId="8128" priority="8116" operator="equal">
      <formula>"No inscrito"</formula>
    </cfRule>
  </conditionalFormatting>
  <conditionalFormatting sqref="AH68">
    <cfRule type="cellIs" dxfId="8127" priority="8113" operator="equal">
      <formula>""""""</formula>
    </cfRule>
  </conditionalFormatting>
  <conditionalFormatting sqref="AH69">
    <cfRule type="cellIs" dxfId="8126" priority="8110" operator="between">
      <formula>0.1</formula>
      <formula>100</formula>
    </cfRule>
    <cfRule type="cellIs" dxfId="8125" priority="8111" operator="equal">
      <formula>"Incompleto"</formula>
    </cfRule>
    <cfRule type="cellIs" dxfId="8124" priority="8112" operator="equal">
      <formula>"No inscrito"</formula>
    </cfRule>
  </conditionalFormatting>
  <conditionalFormatting sqref="AH69">
    <cfRule type="cellIs" dxfId="8123" priority="8109" operator="equal">
      <formula>""""""</formula>
    </cfRule>
  </conditionalFormatting>
  <conditionalFormatting sqref="AH71">
    <cfRule type="cellIs" dxfId="8122" priority="8106" operator="between">
      <formula>0.1</formula>
      <formula>100</formula>
    </cfRule>
    <cfRule type="cellIs" dxfId="8121" priority="8107" operator="equal">
      <formula>"Incompleto"</formula>
    </cfRule>
    <cfRule type="cellIs" dxfId="8120" priority="8108" operator="equal">
      <formula>"No inscrito"</formula>
    </cfRule>
  </conditionalFormatting>
  <conditionalFormatting sqref="AH71">
    <cfRule type="cellIs" dxfId="8119" priority="8105" operator="equal">
      <formula>""""""</formula>
    </cfRule>
  </conditionalFormatting>
  <conditionalFormatting sqref="AH72:AH73">
    <cfRule type="cellIs" dxfId="8118" priority="8102" operator="between">
      <formula>0.1</formula>
      <formula>100</formula>
    </cfRule>
    <cfRule type="cellIs" dxfId="8117" priority="8103" operator="equal">
      <formula>"Incompleto"</formula>
    </cfRule>
    <cfRule type="cellIs" dxfId="8116" priority="8104" operator="equal">
      <formula>"No inscrito"</formula>
    </cfRule>
  </conditionalFormatting>
  <conditionalFormatting sqref="AH72:AH73">
    <cfRule type="cellIs" dxfId="8115" priority="8101" operator="equal">
      <formula>""""""</formula>
    </cfRule>
  </conditionalFormatting>
  <conditionalFormatting sqref="AH74">
    <cfRule type="cellIs" dxfId="8114" priority="8098" operator="between">
      <formula>0.1</formula>
      <formula>100</formula>
    </cfRule>
    <cfRule type="cellIs" dxfId="8113" priority="8099" operator="equal">
      <formula>"Incompleto"</formula>
    </cfRule>
    <cfRule type="cellIs" dxfId="8112" priority="8100" operator="equal">
      <formula>"No inscrito"</formula>
    </cfRule>
  </conditionalFormatting>
  <conditionalFormatting sqref="AH74">
    <cfRule type="cellIs" dxfId="8111" priority="8097" operator="equal">
      <formula>""""""</formula>
    </cfRule>
  </conditionalFormatting>
  <conditionalFormatting sqref="AH76">
    <cfRule type="cellIs" dxfId="8110" priority="8094" operator="between">
      <formula>0.1</formula>
      <formula>100</formula>
    </cfRule>
    <cfRule type="cellIs" dxfId="8109" priority="8095" operator="equal">
      <formula>"Incompleto"</formula>
    </cfRule>
    <cfRule type="cellIs" dxfId="8108" priority="8096" operator="equal">
      <formula>"No inscrito"</formula>
    </cfRule>
  </conditionalFormatting>
  <conditionalFormatting sqref="AH76">
    <cfRule type="cellIs" dxfId="8107" priority="8093" operator="equal">
      <formula>""""""</formula>
    </cfRule>
  </conditionalFormatting>
  <conditionalFormatting sqref="AH77">
    <cfRule type="cellIs" dxfId="8106" priority="8090" operator="between">
      <formula>0.1</formula>
      <formula>100</formula>
    </cfRule>
    <cfRule type="cellIs" dxfId="8105" priority="8091" operator="equal">
      <formula>"Incompleto"</formula>
    </cfRule>
    <cfRule type="cellIs" dxfId="8104" priority="8092" operator="equal">
      <formula>"No inscrito"</formula>
    </cfRule>
  </conditionalFormatting>
  <conditionalFormatting sqref="AH77">
    <cfRule type="cellIs" dxfId="8103" priority="8089" operator="equal">
      <formula>""""""</formula>
    </cfRule>
  </conditionalFormatting>
  <conditionalFormatting sqref="AH79">
    <cfRule type="cellIs" dxfId="8102" priority="8086" operator="between">
      <formula>0.1</formula>
      <formula>100</formula>
    </cfRule>
    <cfRule type="cellIs" dxfId="8101" priority="8087" operator="equal">
      <formula>"Incompleto"</formula>
    </cfRule>
    <cfRule type="cellIs" dxfId="8100" priority="8088" operator="equal">
      <formula>"No inscrito"</formula>
    </cfRule>
  </conditionalFormatting>
  <conditionalFormatting sqref="AH79">
    <cfRule type="cellIs" dxfId="8099" priority="8085" operator="equal">
      <formula>""""""</formula>
    </cfRule>
  </conditionalFormatting>
  <conditionalFormatting sqref="AH82">
    <cfRule type="cellIs" dxfId="8098" priority="8082" operator="between">
      <formula>0.1</formula>
      <formula>100</formula>
    </cfRule>
    <cfRule type="cellIs" dxfId="8097" priority="8083" operator="equal">
      <formula>"Incompleto"</formula>
    </cfRule>
    <cfRule type="cellIs" dxfId="8096" priority="8084" operator="equal">
      <formula>"No inscrito"</formula>
    </cfRule>
  </conditionalFormatting>
  <conditionalFormatting sqref="AH82">
    <cfRule type="cellIs" dxfId="8095" priority="8081" operator="equal">
      <formula>""""""</formula>
    </cfRule>
  </conditionalFormatting>
  <conditionalFormatting sqref="AH83">
    <cfRule type="cellIs" dxfId="8094" priority="8078" operator="between">
      <formula>0.1</formula>
      <formula>100</formula>
    </cfRule>
    <cfRule type="cellIs" dxfId="8093" priority="8079" operator="equal">
      <formula>"Incompleto"</formula>
    </cfRule>
    <cfRule type="cellIs" dxfId="8092" priority="8080" operator="equal">
      <formula>"No inscrito"</formula>
    </cfRule>
  </conditionalFormatting>
  <conditionalFormatting sqref="AH83">
    <cfRule type="cellIs" dxfId="8091" priority="8077" operator="equal">
      <formula>""""""</formula>
    </cfRule>
  </conditionalFormatting>
  <conditionalFormatting sqref="M83:T83">
    <cfRule type="containsBlanks" dxfId="8090" priority="8076">
      <formula>LEN(TRIM(M83))=0</formula>
    </cfRule>
  </conditionalFormatting>
  <conditionalFormatting sqref="M89:T89">
    <cfRule type="containsBlanks" dxfId="8089" priority="8075">
      <formula>LEN(TRIM(M89))=0</formula>
    </cfRule>
  </conditionalFormatting>
  <conditionalFormatting sqref="O90:S90">
    <cfRule type="containsBlanks" dxfId="8088" priority="8074">
      <formula>LEN(TRIM(O90))=0</formula>
    </cfRule>
  </conditionalFormatting>
  <conditionalFormatting sqref="M90:N90">
    <cfRule type="containsBlanks" dxfId="8087" priority="8073">
      <formula>LEN(TRIM(M90))=0</formula>
    </cfRule>
  </conditionalFormatting>
  <conditionalFormatting sqref="T85:T90">
    <cfRule type="containsBlanks" dxfId="8086" priority="8072">
      <formula>LEN(TRIM(T85))=0</formula>
    </cfRule>
  </conditionalFormatting>
  <conditionalFormatting sqref="M53:T53">
    <cfRule type="containsBlanks" dxfId="8085" priority="8071">
      <formula>LEN(TRIM(M53))=0</formula>
    </cfRule>
  </conditionalFormatting>
  <conditionalFormatting sqref="M54:S54">
    <cfRule type="containsBlanks" dxfId="8084" priority="8070">
      <formula>LEN(TRIM(M54))=0</formula>
    </cfRule>
  </conditionalFormatting>
  <conditionalFormatting sqref="T50:T54">
    <cfRule type="containsBlanks" dxfId="8083" priority="8069">
      <formula>LEN(TRIM(T50))=0</formula>
    </cfRule>
  </conditionalFormatting>
  <conditionalFormatting sqref="M68:M73">
    <cfRule type="containsBlanks" dxfId="8082" priority="8068">
      <formula>LEN(TRIM(M68))=0</formula>
    </cfRule>
  </conditionalFormatting>
  <conditionalFormatting sqref="M20:N20">
    <cfRule type="containsBlanks" dxfId="8081" priority="8067">
      <formula>LEN(TRIM(M20))=0</formula>
    </cfRule>
  </conditionalFormatting>
  <conditionalFormatting sqref="T17:T19">
    <cfRule type="containsBlanks" dxfId="8080" priority="8066">
      <formula>LEN(TRIM(T17))=0</formula>
    </cfRule>
  </conditionalFormatting>
  <conditionalFormatting sqref="T17:T20">
    <cfRule type="containsBlanks" dxfId="8079" priority="8065">
      <formula>LEN(TRIM(T17))=0</formula>
    </cfRule>
  </conditionalFormatting>
  <conditionalFormatting sqref="M26:M30">
    <cfRule type="containsBlanks" dxfId="8078" priority="8064">
      <formula>LEN(TRIM(M26))=0</formula>
    </cfRule>
  </conditionalFormatting>
  <conditionalFormatting sqref="M31:M35">
    <cfRule type="containsBlanks" dxfId="8077" priority="8063">
      <formula>LEN(TRIM(M31))=0</formula>
    </cfRule>
  </conditionalFormatting>
  <conditionalFormatting sqref="N31:N35">
    <cfRule type="containsBlanks" dxfId="8076" priority="8062">
      <formula>LEN(TRIM(N31))=0</formula>
    </cfRule>
  </conditionalFormatting>
  <conditionalFormatting sqref="M33:M37">
    <cfRule type="containsBlanks" dxfId="8075" priority="8061">
      <formula>LEN(TRIM(M33))=0</formula>
    </cfRule>
  </conditionalFormatting>
  <conditionalFormatting sqref="N33:N37">
    <cfRule type="containsBlanks" dxfId="8074" priority="8060">
      <formula>LEN(TRIM(N33))=0</formula>
    </cfRule>
  </conditionalFormatting>
  <conditionalFormatting sqref="M34:M38">
    <cfRule type="containsBlanks" dxfId="8073" priority="8059">
      <formula>LEN(TRIM(M34))=0</formula>
    </cfRule>
  </conditionalFormatting>
  <conditionalFormatting sqref="N34:N38">
    <cfRule type="containsBlanks" dxfId="8072" priority="8058">
      <formula>LEN(TRIM(N34))=0</formula>
    </cfRule>
  </conditionalFormatting>
  <conditionalFormatting sqref="O34:O38">
    <cfRule type="containsBlanks" dxfId="8071" priority="8057">
      <formula>LEN(TRIM(O34))=0</formula>
    </cfRule>
  </conditionalFormatting>
  <conditionalFormatting sqref="Q34:Q38">
    <cfRule type="containsBlanks" dxfId="8070" priority="8056">
      <formula>LEN(TRIM(Q34))=0</formula>
    </cfRule>
  </conditionalFormatting>
  <conditionalFormatting sqref="M39:M43">
    <cfRule type="containsBlanks" dxfId="8069" priority="8055">
      <formula>LEN(TRIM(M39))=0</formula>
    </cfRule>
  </conditionalFormatting>
  <conditionalFormatting sqref="N39:N43">
    <cfRule type="containsBlanks" dxfId="8068" priority="8054">
      <formula>LEN(TRIM(N39))=0</formula>
    </cfRule>
  </conditionalFormatting>
  <conditionalFormatting sqref="O39:O43">
    <cfRule type="containsBlanks" dxfId="8067" priority="8053">
      <formula>LEN(TRIM(O39))=0</formula>
    </cfRule>
  </conditionalFormatting>
  <conditionalFormatting sqref="P39:P43">
    <cfRule type="containsBlanks" dxfId="8066" priority="8052">
      <formula>LEN(TRIM(P39))=0</formula>
    </cfRule>
  </conditionalFormatting>
  <conditionalFormatting sqref="Q39:Q43">
    <cfRule type="containsBlanks" dxfId="8065" priority="8051">
      <formula>LEN(TRIM(Q39))=0</formula>
    </cfRule>
  </conditionalFormatting>
  <conditionalFormatting sqref="T39:T43">
    <cfRule type="containsBlanks" dxfId="8064" priority="8050">
      <formula>LEN(TRIM(T39))=0</formula>
    </cfRule>
  </conditionalFormatting>
  <conditionalFormatting sqref="M44:M48">
    <cfRule type="containsBlanks" dxfId="8063" priority="8049">
      <formula>LEN(TRIM(M44))=0</formula>
    </cfRule>
  </conditionalFormatting>
  <conditionalFormatting sqref="N44:N48">
    <cfRule type="containsBlanks" dxfId="8062" priority="8048">
      <formula>LEN(TRIM(N44))=0</formula>
    </cfRule>
  </conditionalFormatting>
  <conditionalFormatting sqref="O48:Q48">
    <cfRule type="containsBlanks" dxfId="8061" priority="8047">
      <formula>LEN(TRIM(O48))=0</formula>
    </cfRule>
  </conditionalFormatting>
  <conditionalFormatting sqref="N51:N55">
    <cfRule type="containsBlanks" dxfId="8060" priority="8046">
      <formula>LEN(TRIM(N51))=0</formula>
    </cfRule>
  </conditionalFormatting>
  <conditionalFormatting sqref="M51:M55">
    <cfRule type="containsBlanks" dxfId="8059" priority="8045">
      <formula>LEN(TRIM(M51))=0</formula>
    </cfRule>
  </conditionalFormatting>
  <conditionalFormatting sqref="O55:Q55">
    <cfRule type="containsBlanks" dxfId="8058" priority="8044">
      <formula>LEN(TRIM(O55))=0</formula>
    </cfRule>
  </conditionalFormatting>
  <conditionalFormatting sqref="M48:M52">
    <cfRule type="containsBlanks" dxfId="8057" priority="8043">
      <formula>LEN(TRIM(M48))=0</formula>
    </cfRule>
  </conditionalFormatting>
  <conditionalFormatting sqref="N48:N52">
    <cfRule type="containsBlanks" dxfId="8056" priority="8042">
      <formula>LEN(TRIM(N48))=0</formula>
    </cfRule>
  </conditionalFormatting>
  <conditionalFormatting sqref="O52:Q52">
    <cfRule type="containsBlanks" dxfId="8055" priority="8041">
      <formula>LEN(TRIM(O52))=0</formula>
    </cfRule>
  </conditionalFormatting>
  <conditionalFormatting sqref="M49:M53">
    <cfRule type="containsBlanks" dxfId="8054" priority="8040">
      <formula>LEN(TRIM(M49))=0</formula>
    </cfRule>
  </conditionalFormatting>
  <conditionalFormatting sqref="N49:N53">
    <cfRule type="containsBlanks" dxfId="8053" priority="8039">
      <formula>LEN(TRIM(N49))=0</formula>
    </cfRule>
  </conditionalFormatting>
  <conditionalFormatting sqref="O53:Q53">
    <cfRule type="containsBlanks" dxfId="8052" priority="8038">
      <formula>LEN(TRIM(O53))=0</formula>
    </cfRule>
  </conditionalFormatting>
  <conditionalFormatting sqref="N50:N54">
    <cfRule type="containsBlanks" dxfId="8051" priority="8037">
      <formula>LEN(TRIM(N50))=0</formula>
    </cfRule>
  </conditionalFormatting>
  <conditionalFormatting sqref="M53:M57">
    <cfRule type="containsBlanks" dxfId="8050" priority="8036">
      <formula>LEN(TRIM(M53))=0</formula>
    </cfRule>
  </conditionalFormatting>
  <conditionalFormatting sqref="N53:N57">
    <cfRule type="containsBlanks" dxfId="8049" priority="8035">
      <formula>LEN(TRIM(N53))=0</formula>
    </cfRule>
  </conditionalFormatting>
  <conditionalFormatting sqref="O57:Q57">
    <cfRule type="containsBlanks" dxfId="8048" priority="8034">
      <formula>LEN(TRIM(O57))=0</formula>
    </cfRule>
  </conditionalFormatting>
  <conditionalFormatting sqref="N54:N59">
    <cfRule type="containsBlanks" dxfId="8047" priority="8033">
      <formula>LEN(TRIM(N54))=0</formula>
    </cfRule>
  </conditionalFormatting>
  <conditionalFormatting sqref="O59:Q59">
    <cfRule type="containsBlanks" dxfId="8046" priority="8032">
      <formula>LEN(TRIM(O59))=0</formula>
    </cfRule>
  </conditionalFormatting>
  <conditionalFormatting sqref="O61:Q61">
    <cfRule type="containsBlanks" dxfId="8045" priority="8029">
      <formula>LEN(TRIM(O61))=0</formula>
    </cfRule>
  </conditionalFormatting>
  <conditionalFormatting sqref="M56:M61">
    <cfRule type="containsBlanks" dxfId="8044" priority="8031">
      <formula>LEN(TRIM(M56))=0</formula>
    </cfRule>
  </conditionalFormatting>
  <conditionalFormatting sqref="N56:N61">
    <cfRule type="containsBlanks" dxfId="8043" priority="8030">
      <formula>LEN(TRIM(N56))=0</formula>
    </cfRule>
  </conditionalFormatting>
  <conditionalFormatting sqref="M69:M74">
    <cfRule type="containsBlanks" dxfId="8042" priority="8028">
      <formula>LEN(TRIM(M69))=0</formula>
    </cfRule>
  </conditionalFormatting>
  <conditionalFormatting sqref="N69:N74">
    <cfRule type="containsBlanks" dxfId="8041" priority="8027">
      <formula>LEN(TRIM(N69))=0</formula>
    </cfRule>
  </conditionalFormatting>
  <conditionalFormatting sqref="O74:Q74">
    <cfRule type="containsBlanks" dxfId="8040" priority="8026">
      <formula>LEN(TRIM(O74))=0</formula>
    </cfRule>
  </conditionalFormatting>
  <conditionalFormatting sqref="M70:M75">
    <cfRule type="containsBlanks" dxfId="8039" priority="8025">
      <formula>LEN(TRIM(M70))=0</formula>
    </cfRule>
  </conditionalFormatting>
  <conditionalFormatting sqref="N70:N75">
    <cfRule type="containsBlanks" dxfId="8038" priority="8024">
      <formula>LEN(TRIM(N70))=0</formula>
    </cfRule>
  </conditionalFormatting>
  <conditionalFormatting sqref="O75:Q75">
    <cfRule type="containsBlanks" dxfId="8037" priority="8023">
      <formula>LEN(TRIM(O75))=0</formula>
    </cfRule>
  </conditionalFormatting>
  <conditionalFormatting sqref="N71:N76">
    <cfRule type="containsBlanks" dxfId="8036" priority="8022">
      <formula>LEN(TRIM(N71))=0</formula>
    </cfRule>
  </conditionalFormatting>
  <conditionalFormatting sqref="N72:N77">
    <cfRule type="containsBlanks" dxfId="8035" priority="8020">
      <formula>LEN(TRIM(N72))=0</formula>
    </cfRule>
  </conditionalFormatting>
  <conditionalFormatting sqref="M72:M77">
    <cfRule type="containsBlanks" dxfId="8034" priority="8021">
      <formula>LEN(TRIM(M72))=0</formula>
    </cfRule>
  </conditionalFormatting>
  <conditionalFormatting sqref="O77:Q77">
    <cfRule type="containsBlanks" dxfId="8033" priority="8019">
      <formula>LEN(TRIM(O77))=0</formula>
    </cfRule>
  </conditionalFormatting>
  <conditionalFormatting sqref="M79:M84">
    <cfRule type="containsBlanks" dxfId="8032" priority="8018">
      <formula>LEN(TRIM(M79))=0</formula>
    </cfRule>
  </conditionalFormatting>
  <conditionalFormatting sqref="M12:T12">
    <cfRule type="containsBlanks" dxfId="8031" priority="8017">
      <formula>LEN(TRIM(M12))=0</formula>
    </cfRule>
  </conditionalFormatting>
  <conditionalFormatting sqref="N73:T73">
    <cfRule type="containsBlanks" dxfId="8030" priority="8016">
      <formula>LEN(TRIM(N73))=0</formula>
    </cfRule>
  </conditionalFormatting>
  <conditionalFormatting sqref="M90:S90">
    <cfRule type="containsBlanks" dxfId="8029" priority="8015">
      <formula>LEN(TRIM(M90))=0</formula>
    </cfRule>
  </conditionalFormatting>
  <conditionalFormatting sqref="T85:T90">
    <cfRule type="containsBlanks" dxfId="8028" priority="8014">
      <formula>LEN(TRIM(T85))=0</formula>
    </cfRule>
  </conditionalFormatting>
  <conditionalFormatting sqref="N93:T93">
    <cfRule type="containsBlanks" dxfId="8027" priority="8013">
      <formula>LEN(TRIM(N93))=0</formula>
    </cfRule>
  </conditionalFormatting>
  <conditionalFormatting sqref="N90:N95">
    <cfRule type="containsBlanks" dxfId="8026" priority="8012">
      <formula>LEN(TRIM(N90))=0</formula>
    </cfRule>
  </conditionalFormatting>
  <conditionalFormatting sqref="O95:Q95">
    <cfRule type="containsBlanks" dxfId="8025" priority="8011">
      <formula>LEN(TRIM(O95))=0</formula>
    </cfRule>
  </conditionalFormatting>
  <conditionalFormatting sqref="M54:M59">
    <cfRule type="containsBlanks" dxfId="8024" priority="8010">
      <formula>LEN(TRIM(M54))=0</formula>
    </cfRule>
  </conditionalFormatting>
  <conditionalFormatting sqref="M97:T97">
    <cfRule type="containsBlanks" dxfId="8023" priority="8009">
      <formula>LEN(TRIM(M97))=0</formula>
    </cfRule>
  </conditionalFormatting>
  <conditionalFormatting sqref="M103:T103">
    <cfRule type="containsBlanks" dxfId="8022" priority="8008">
      <formula>LEN(TRIM(M103))=0</formula>
    </cfRule>
  </conditionalFormatting>
  <conditionalFormatting sqref="O104:S104">
    <cfRule type="containsBlanks" dxfId="8021" priority="8007">
      <formula>LEN(TRIM(O104))=0</formula>
    </cfRule>
  </conditionalFormatting>
  <conditionalFormatting sqref="M104:N104">
    <cfRule type="containsBlanks" dxfId="8020" priority="8006">
      <formula>LEN(TRIM(M104))=0</formula>
    </cfRule>
  </conditionalFormatting>
  <conditionalFormatting sqref="T100:T104">
    <cfRule type="containsBlanks" dxfId="8019" priority="8005">
      <formula>LEN(TRIM(T100))=0</formula>
    </cfRule>
  </conditionalFormatting>
  <conditionalFormatting sqref="M67:T67">
    <cfRule type="containsBlanks" dxfId="8018" priority="8004">
      <formula>LEN(TRIM(M67))=0</formula>
    </cfRule>
  </conditionalFormatting>
  <conditionalFormatting sqref="M68:S68">
    <cfRule type="containsBlanks" dxfId="8017" priority="8003">
      <formula>LEN(TRIM(M68))=0</formula>
    </cfRule>
  </conditionalFormatting>
  <conditionalFormatting sqref="T63:T68">
    <cfRule type="containsBlanks" dxfId="8016" priority="8002">
      <formula>LEN(TRIM(T63))=0</formula>
    </cfRule>
  </conditionalFormatting>
  <conditionalFormatting sqref="M82:M87">
    <cfRule type="containsBlanks" dxfId="8015" priority="8001">
      <formula>LEN(TRIM(M82))=0</formula>
    </cfRule>
  </conditionalFormatting>
  <conditionalFormatting sqref="M50:M54">
    <cfRule type="containsBlanks" dxfId="8014" priority="8000">
      <formula>LEN(TRIM(M50))=0</formula>
    </cfRule>
  </conditionalFormatting>
  <conditionalFormatting sqref="M18:M21">
    <cfRule type="containsBlanks" dxfId="8013" priority="7999">
      <formula>LEN(TRIM(M18))=0</formula>
    </cfRule>
  </conditionalFormatting>
  <conditionalFormatting sqref="M23:M26">
    <cfRule type="containsBlanks" dxfId="8012" priority="7998">
      <formula>LEN(TRIM(M23))=0</formula>
    </cfRule>
  </conditionalFormatting>
  <conditionalFormatting sqref="N23:N26">
    <cfRule type="containsBlanks" dxfId="8011" priority="7997">
      <formula>LEN(TRIM(N23))=0</formula>
    </cfRule>
  </conditionalFormatting>
  <conditionalFormatting sqref="M25:M28">
    <cfRule type="containsBlanks" dxfId="8010" priority="7996">
      <formula>LEN(TRIM(M25))=0</formula>
    </cfRule>
  </conditionalFormatting>
  <conditionalFormatting sqref="N25:N28">
    <cfRule type="containsBlanks" dxfId="8009" priority="7995">
      <formula>LEN(TRIM(N25))=0</formula>
    </cfRule>
  </conditionalFormatting>
  <conditionalFormatting sqref="M25:M29">
    <cfRule type="containsBlanks" dxfId="8008" priority="7994">
      <formula>LEN(TRIM(M25))=0</formula>
    </cfRule>
  </conditionalFormatting>
  <conditionalFormatting sqref="N25:N29">
    <cfRule type="containsBlanks" dxfId="8007" priority="7993">
      <formula>LEN(TRIM(N25))=0</formula>
    </cfRule>
  </conditionalFormatting>
  <conditionalFormatting sqref="O25:O29">
    <cfRule type="containsBlanks" dxfId="8006" priority="7992">
      <formula>LEN(TRIM(O25))=0</formula>
    </cfRule>
  </conditionalFormatting>
  <conditionalFormatting sqref="Q25:Q29">
    <cfRule type="containsBlanks" dxfId="8005" priority="7991">
      <formula>LEN(TRIM(Q25))=0</formula>
    </cfRule>
  </conditionalFormatting>
  <conditionalFormatting sqref="M30:M34">
    <cfRule type="containsBlanks" dxfId="8004" priority="7990">
      <formula>LEN(TRIM(M30))=0</formula>
    </cfRule>
  </conditionalFormatting>
  <conditionalFormatting sqref="N30:N34">
    <cfRule type="containsBlanks" dxfId="8003" priority="7989">
      <formula>LEN(TRIM(N30))=0</formula>
    </cfRule>
  </conditionalFormatting>
  <conditionalFormatting sqref="O30:O34">
    <cfRule type="containsBlanks" dxfId="8002" priority="7988">
      <formula>LEN(TRIM(O30))=0</formula>
    </cfRule>
  </conditionalFormatting>
  <conditionalFormatting sqref="P30:P34">
    <cfRule type="containsBlanks" dxfId="8001" priority="7987">
      <formula>LEN(TRIM(P30))=0</formula>
    </cfRule>
  </conditionalFormatting>
  <conditionalFormatting sqref="Q30:Q34">
    <cfRule type="containsBlanks" dxfId="8000" priority="7986">
      <formula>LEN(TRIM(Q30))=0</formula>
    </cfRule>
  </conditionalFormatting>
  <conditionalFormatting sqref="T30:T34">
    <cfRule type="containsBlanks" dxfId="7999" priority="7985">
      <formula>LEN(TRIM(T30))=0</formula>
    </cfRule>
  </conditionalFormatting>
  <conditionalFormatting sqref="M35:M39">
    <cfRule type="containsBlanks" dxfId="7998" priority="7984">
      <formula>LEN(TRIM(M35))=0</formula>
    </cfRule>
  </conditionalFormatting>
  <conditionalFormatting sqref="N35:N39">
    <cfRule type="containsBlanks" dxfId="7997" priority="7983">
      <formula>LEN(TRIM(N35))=0</formula>
    </cfRule>
  </conditionalFormatting>
  <conditionalFormatting sqref="O39:Q39">
    <cfRule type="containsBlanks" dxfId="7996" priority="7982">
      <formula>LEN(TRIM(O39))=0</formula>
    </cfRule>
  </conditionalFormatting>
  <conditionalFormatting sqref="N42:N46">
    <cfRule type="containsBlanks" dxfId="7995" priority="7981">
      <formula>LEN(TRIM(N42))=0</formula>
    </cfRule>
  </conditionalFormatting>
  <conditionalFormatting sqref="M42:M46">
    <cfRule type="containsBlanks" dxfId="7994" priority="7980">
      <formula>LEN(TRIM(M42))=0</formula>
    </cfRule>
  </conditionalFormatting>
  <conditionalFormatting sqref="O46:Q46">
    <cfRule type="containsBlanks" dxfId="7993" priority="7979">
      <formula>LEN(TRIM(O46))=0</formula>
    </cfRule>
  </conditionalFormatting>
  <conditionalFormatting sqref="M39:M43">
    <cfRule type="containsBlanks" dxfId="7992" priority="7978">
      <formula>LEN(TRIM(M39))=0</formula>
    </cfRule>
  </conditionalFormatting>
  <conditionalFormatting sqref="N39:N43">
    <cfRule type="containsBlanks" dxfId="7991" priority="7977">
      <formula>LEN(TRIM(N39))=0</formula>
    </cfRule>
  </conditionalFormatting>
  <conditionalFormatting sqref="O43:Q43">
    <cfRule type="containsBlanks" dxfId="7990" priority="7976">
      <formula>LEN(TRIM(O43))=0</formula>
    </cfRule>
  </conditionalFormatting>
  <conditionalFormatting sqref="M40:M44">
    <cfRule type="containsBlanks" dxfId="7989" priority="7975">
      <formula>LEN(TRIM(M40))=0</formula>
    </cfRule>
  </conditionalFormatting>
  <conditionalFormatting sqref="N40:N44">
    <cfRule type="containsBlanks" dxfId="7988" priority="7974">
      <formula>LEN(TRIM(N40))=0</formula>
    </cfRule>
  </conditionalFormatting>
  <conditionalFormatting sqref="O44:Q44">
    <cfRule type="containsBlanks" dxfId="7987" priority="7973">
      <formula>LEN(TRIM(O44))=0</formula>
    </cfRule>
  </conditionalFormatting>
  <conditionalFormatting sqref="N41:N45">
    <cfRule type="containsBlanks" dxfId="7986" priority="7972">
      <formula>LEN(TRIM(N41))=0</formula>
    </cfRule>
  </conditionalFormatting>
  <conditionalFormatting sqref="M44:M48">
    <cfRule type="containsBlanks" dxfId="7985" priority="7971">
      <formula>LEN(TRIM(M44))=0</formula>
    </cfRule>
  </conditionalFormatting>
  <conditionalFormatting sqref="N44:N48">
    <cfRule type="containsBlanks" dxfId="7984" priority="7970">
      <formula>LEN(TRIM(N44))=0</formula>
    </cfRule>
  </conditionalFormatting>
  <conditionalFormatting sqref="O48:Q48">
    <cfRule type="containsBlanks" dxfId="7983" priority="7969">
      <formula>LEN(TRIM(O48))=0</formula>
    </cfRule>
  </conditionalFormatting>
  <conditionalFormatting sqref="N46:N50">
    <cfRule type="containsBlanks" dxfId="7982" priority="7968">
      <formula>LEN(TRIM(N46))=0</formula>
    </cfRule>
  </conditionalFormatting>
  <conditionalFormatting sqref="O50:Q50">
    <cfRule type="containsBlanks" dxfId="7981" priority="7967">
      <formula>LEN(TRIM(O50))=0</formula>
    </cfRule>
  </conditionalFormatting>
  <conditionalFormatting sqref="O52:Q52">
    <cfRule type="containsBlanks" dxfId="7980" priority="7964">
      <formula>LEN(TRIM(O52))=0</formula>
    </cfRule>
  </conditionalFormatting>
  <conditionalFormatting sqref="M48:M52">
    <cfRule type="containsBlanks" dxfId="7979" priority="7966">
      <formula>LEN(TRIM(M48))=0</formula>
    </cfRule>
  </conditionalFormatting>
  <conditionalFormatting sqref="N48:N52">
    <cfRule type="containsBlanks" dxfId="7978" priority="7965">
      <formula>LEN(TRIM(N48))=0</formula>
    </cfRule>
  </conditionalFormatting>
  <conditionalFormatting sqref="M60:M65">
    <cfRule type="containsBlanks" dxfId="7977" priority="7963">
      <formula>LEN(TRIM(M60))=0</formula>
    </cfRule>
  </conditionalFormatting>
  <conditionalFormatting sqref="N60:N65">
    <cfRule type="containsBlanks" dxfId="7976" priority="7962">
      <formula>LEN(TRIM(N60))=0</formula>
    </cfRule>
  </conditionalFormatting>
  <conditionalFormatting sqref="O65:Q65">
    <cfRule type="containsBlanks" dxfId="7975" priority="7961">
      <formula>LEN(TRIM(O65))=0</formula>
    </cfRule>
  </conditionalFormatting>
  <conditionalFormatting sqref="M61:M66">
    <cfRule type="containsBlanks" dxfId="7974" priority="7960">
      <formula>LEN(TRIM(M61))=0</formula>
    </cfRule>
  </conditionalFormatting>
  <conditionalFormatting sqref="N61:N66">
    <cfRule type="containsBlanks" dxfId="7973" priority="7959">
      <formula>LEN(TRIM(N61))=0</formula>
    </cfRule>
  </conditionalFormatting>
  <conditionalFormatting sqref="O66:Q66">
    <cfRule type="containsBlanks" dxfId="7972" priority="7958">
      <formula>LEN(TRIM(O66))=0</formula>
    </cfRule>
  </conditionalFormatting>
  <conditionalFormatting sqref="N62:N67">
    <cfRule type="containsBlanks" dxfId="7971" priority="7957">
      <formula>LEN(TRIM(N62))=0</formula>
    </cfRule>
  </conditionalFormatting>
  <conditionalFormatting sqref="N63:N68">
    <cfRule type="containsBlanks" dxfId="7970" priority="7955">
      <formula>LEN(TRIM(N63))=0</formula>
    </cfRule>
  </conditionalFormatting>
  <conditionalFormatting sqref="M63:M68">
    <cfRule type="containsBlanks" dxfId="7969" priority="7956">
      <formula>LEN(TRIM(M63))=0</formula>
    </cfRule>
  </conditionalFormatting>
  <conditionalFormatting sqref="O68:Q68">
    <cfRule type="containsBlanks" dxfId="7968" priority="7954">
      <formula>LEN(TRIM(O68))=0</formula>
    </cfRule>
  </conditionalFormatting>
  <conditionalFormatting sqref="M70:M75">
    <cfRule type="containsBlanks" dxfId="7967" priority="7953">
      <formula>LEN(TRIM(M70))=0</formula>
    </cfRule>
  </conditionalFormatting>
  <conditionalFormatting sqref="N64:T64">
    <cfRule type="containsBlanks" dxfId="7966" priority="7952">
      <formula>LEN(TRIM(N64))=0</formula>
    </cfRule>
  </conditionalFormatting>
  <conditionalFormatting sqref="M81:S81">
    <cfRule type="containsBlanks" dxfId="7965" priority="7951">
      <formula>LEN(TRIM(M81))=0</formula>
    </cfRule>
  </conditionalFormatting>
  <conditionalFormatting sqref="T76:T81">
    <cfRule type="containsBlanks" dxfId="7964" priority="7950">
      <formula>LEN(TRIM(T76))=0</formula>
    </cfRule>
  </conditionalFormatting>
  <conditionalFormatting sqref="N84:T84">
    <cfRule type="containsBlanks" dxfId="7963" priority="7949">
      <formula>LEN(TRIM(N84))=0</formula>
    </cfRule>
  </conditionalFormatting>
  <conditionalFormatting sqref="N81:N86">
    <cfRule type="containsBlanks" dxfId="7962" priority="7948">
      <formula>LEN(TRIM(N81))=0</formula>
    </cfRule>
  </conditionalFormatting>
  <conditionalFormatting sqref="O86:Q86">
    <cfRule type="containsBlanks" dxfId="7961" priority="7947">
      <formula>LEN(TRIM(O86))=0</formula>
    </cfRule>
  </conditionalFormatting>
  <conditionalFormatting sqref="M46:M50">
    <cfRule type="containsBlanks" dxfId="7960" priority="7946">
      <formula>LEN(TRIM(M46))=0</formula>
    </cfRule>
  </conditionalFormatting>
  <conditionalFormatting sqref="M88:T88">
    <cfRule type="containsBlanks" dxfId="7959" priority="7945">
      <formula>LEN(TRIM(M88))=0</formula>
    </cfRule>
  </conditionalFormatting>
  <conditionalFormatting sqref="M94:T94">
    <cfRule type="containsBlanks" dxfId="7958" priority="7944">
      <formula>LEN(TRIM(M94))=0</formula>
    </cfRule>
  </conditionalFormatting>
  <conditionalFormatting sqref="O95:S95">
    <cfRule type="containsBlanks" dxfId="7957" priority="7943">
      <formula>LEN(TRIM(O95))=0</formula>
    </cfRule>
  </conditionalFormatting>
  <conditionalFormatting sqref="M95:N95">
    <cfRule type="containsBlanks" dxfId="7956" priority="7942">
      <formula>LEN(TRIM(M95))=0</formula>
    </cfRule>
  </conditionalFormatting>
  <conditionalFormatting sqref="T90:T95">
    <cfRule type="containsBlanks" dxfId="7955" priority="7941">
      <formula>LEN(TRIM(T90))=0</formula>
    </cfRule>
  </conditionalFormatting>
  <conditionalFormatting sqref="M58:T58">
    <cfRule type="containsBlanks" dxfId="7954" priority="7940">
      <formula>LEN(TRIM(M58))=0</formula>
    </cfRule>
  </conditionalFormatting>
  <conditionalFormatting sqref="M59:S59">
    <cfRule type="containsBlanks" dxfId="7953" priority="7939">
      <formula>LEN(TRIM(M59))=0</formula>
    </cfRule>
  </conditionalFormatting>
  <conditionalFormatting sqref="T54:T59">
    <cfRule type="containsBlanks" dxfId="7952" priority="7938">
      <formula>LEN(TRIM(T54))=0</formula>
    </cfRule>
  </conditionalFormatting>
  <conditionalFormatting sqref="M73:M78">
    <cfRule type="containsBlanks" dxfId="7951" priority="7937">
      <formula>LEN(TRIM(M73))=0</formula>
    </cfRule>
  </conditionalFormatting>
  <conditionalFormatting sqref="M41:M45">
    <cfRule type="containsBlanks" dxfId="7950" priority="7936">
      <formula>LEN(TRIM(M41))=0</formula>
    </cfRule>
  </conditionalFormatting>
  <conditionalFormatting sqref="M75:T81 M66:T72">
    <cfRule type="containsBlanks" dxfId="7949" priority="7935">
      <formula>LEN(TRIM(M66))=0</formula>
    </cfRule>
  </conditionalFormatting>
  <conditionalFormatting sqref="M26:M30">
    <cfRule type="containsBlanks" dxfId="7948" priority="7934">
      <formula>LEN(TRIM(M26))=0</formula>
    </cfRule>
  </conditionalFormatting>
  <conditionalFormatting sqref="N26:N30">
    <cfRule type="containsBlanks" dxfId="7947" priority="7933">
      <formula>LEN(TRIM(N26))=0</formula>
    </cfRule>
  </conditionalFormatting>
  <conditionalFormatting sqref="M28:M32">
    <cfRule type="containsBlanks" dxfId="7946" priority="7932">
      <formula>LEN(TRIM(M28))=0</formula>
    </cfRule>
  </conditionalFormatting>
  <conditionalFormatting sqref="N28:N32">
    <cfRule type="containsBlanks" dxfId="7945" priority="7931">
      <formula>LEN(TRIM(N28))=0</formula>
    </cfRule>
  </conditionalFormatting>
  <conditionalFormatting sqref="M29:M33">
    <cfRule type="containsBlanks" dxfId="7944" priority="7930">
      <formula>LEN(TRIM(M29))=0</formula>
    </cfRule>
  </conditionalFormatting>
  <conditionalFormatting sqref="N29:N33">
    <cfRule type="containsBlanks" dxfId="7943" priority="7929">
      <formula>LEN(TRIM(N29))=0</formula>
    </cfRule>
  </conditionalFormatting>
  <conditionalFormatting sqref="O29:O33">
    <cfRule type="containsBlanks" dxfId="7942" priority="7928">
      <formula>LEN(TRIM(O29))=0</formula>
    </cfRule>
  </conditionalFormatting>
  <conditionalFormatting sqref="Q29:Q33">
    <cfRule type="containsBlanks" dxfId="7941" priority="7927">
      <formula>LEN(TRIM(Q29))=0</formula>
    </cfRule>
  </conditionalFormatting>
  <conditionalFormatting sqref="M34:M38">
    <cfRule type="containsBlanks" dxfId="7940" priority="7926">
      <formula>LEN(TRIM(M34))=0</formula>
    </cfRule>
  </conditionalFormatting>
  <conditionalFormatting sqref="N34:N38">
    <cfRule type="containsBlanks" dxfId="7939" priority="7925">
      <formula>LEN(TRIM(N34))=0</formula>
    </cfRule>
  </conditionalFormatting>
  <conditionalFormatting sqref="O34:O38">
    <cfRule type="containsBlanks" dxfId="7938" priority="7924">
      <formula>LEN(TRIM(O34))=0</formula>
    </cfRule>
  </conditionalFormatting>
  <conditionalFormatting sqref="P34:P38">
    <cfRule type="containsBlanks" dxfId="7937" priority="7923">
      <formula>LEN(TRIM(P34))=0</formula>
    </cfRule>
  </conditionalFormatting>
  <conditionalFormatting sqref="Q34:Q38">
    <cfRule type="containsBlanks" dxfId="7936" priority="7922">
      <formula>LEN(TRIM(Q34))=0</formula>
    </cfRule>
  </conditionalFormatting>
  <conditionalFormatting sqref="T34:T38">
    <cfRule type="containsBlanks" dxfId="7935" priority="7921">
      <formula>LEN(TRIM(T34))=0</formula>
    </cfRule>
  </conditionalFormatting>
  <conditionalFormatting sqref="M39:M43">
    <cfRule type="containsBlanks" dxfId="7934" priority="7920">
      <formula>LEN(TRIM(M39))=0</formula>
    </cfRule>
  </conditionalFormatting>
  <conditionalFormatting sqref="N39:N43">
    <cfRule type="containsBlanks" dxfId="7933" priority="7919">
      <formula>LEN(TRIM(N39))=0</formula>
    </cfRule>
  </conditionalFormatting>
  <conditionalFormatting sqref="O43:Q43">
    <cfRule type="containsBlanks" dxfId="7932" priority="7918">
      <formula>LEN(TRIM(O43))=0</formula>
    </cfRule>
  </conditionalFormatting>
  <conditionalFormatting sqref="N46:N50">
    <cfRule type="containsBlanks" dxfId="7931" priority="7917">
      <formula>LEN(TRIM(N46))=0</formula>
    </cfRule>
  </conditionalFormatting>
  <conditionalFormatting sqref="M46:M50">
    <cfRule type="containsBlanks" dxfId="7930" priority="7916">
      <formula>LEN(TRIM(M46))=0</formula>
    </cfRule>
  </conditionalFormatting>
  <conditionalFormatting sqref="O50:Q50">
    <cfRule type="containsBlanks" dxfId="7929" priority="7915">
      <formula>LEN(TRIM(O50))=0</formula>
    </cfRule>
  </conditionalFormatting>
  <conditionalFormatting sqref="M43:M47">
    <cfRule type="containsBlanks" dxfId="7928" priority="7914">
      <formula>LEN(TRIM(M43))=0</formula>
    </cfRule>
  </conditionalFormatting>
  <conditionalFormatting sqref="N43:N47">
    <cfRule type="containsBlanks" dxfId="7927" priority="7913">
      <formula>LEN(TRIM(N43))=0</formula>
    </cfRule>
  </conditionalFormatting>
  <conditionalFormatting sqref="O47:Q47">
    <cfRule type="containsBlanks" dxfId="7926" priority="7912">
      <formula>LEN(TRIM(O47))=0</formula>
    </cfRule>
  </conditionalFormatting>
  <conditionalFormatting sqref="M44:M48">
    <cfRule type="containsBlanks" dxfId="7925" priority="7911">
      <formula>LEN(TRIM(M44))=0</formula>
    </cfRule>
  </conditionalFormatting>
  <conditionalFormatting sqref="N44:N48">
    <cfRule type="containsBlanks" dxfId="7924" priority="7910">
      <formula>LEN(TRIM(N44))=0</formula>
    </cfRule>
  </conditionalFormatting>
  <conditionalFormatting sqref="O48:Q48">
    <cfRule type="containsBlanks" dxfId="7923" priority="7909">
      <formula>LEN(TRIM(O48))=0</formula>
    </cfRule>
  </conditionalFormatting>
  <conditionalFormatting sqref="N45:N49">
    <cfRule type="containsBlanks" dxfId="7922" priority="7908">
      <formula>LEN(TRIM(N45))=0</formula>
    </cfRule>
  </conditionalFormatting>
  <conditionalFormatting sqref="M48:M52">
    <cfRule type="containsBlanks" dxfId="7921" priority="7907">
      <formula>LEN(TRIM(M48))=0</formula>
    </cfRule>
  </conditionalFormatting>
  <conditionalFormatting sqref="N48:N52">
    <cfRule type="containsBlanks" dxfId="7920" priority="7906">
      <formula>LEN(TRIM(N48))=0</formula>
    </cfRule>
  </conditionalFormatting>
  <conditionalFormatting sqref="O52:Q52">
    <cfRule type="containsBlanks" dxfId="7919" priority="7905">
      <formula>LEN(TRIM(O52))=0</formula>
    </cfRule>
  </conditionalFormatting>
  <conditionalFormatting sqref="N50:N54">
    <cfRule type="containsBlanks" dxfId="7918" priority="7904">
      <formula>LEN(TRIM(N50))=0</formula>
    </cfRule>
  </conditionalFormatting>
  <conditionalFormatting sqref="O54:Q54">
    <cfRule type="containsBlanks" dxfId="7917" priority="7903">
      <formula>LEN(TRIM(O54))=0</formula>
    </cfRule>
  </conditionalFormatting>
  <conditionalFormatting sqref="O56:Q56">
    <cfRule type="containsBlanks" dxfId="7916" priority="7900">
      <formula>LEN(TRIM(O56))=0</formula>
    </cfRule>
  </conditionalFormatting>
  <conditionalFormatting sqref="M52:M56">
    <cfRule type="containsBlanks" dxfId="7915" priority="7902">
      <formula>LEN(TRIM(M52))=0</formula>
    </cfRule>
  </conditionalFormatting>
  <conditionalFormatting sqref="N52:N56">
    <cfRule type="containsBlanks" dxfId="7914" priority="7901">
      <formula>LEN(TRIM(N52))=0</formula>
    </cfRule>
  </conditionalFormatting>
  <conditionalFormatting sqref="M64:M69">
    <cfRule type="containsBlanks" dxfId="7913" priority="7899">
      <formula>LEN(TRIM(M64))=0</formula>
    </cfRule>
  </conditionalFormatting>
  <conditionalFormatting sqref="N64:N69">
    <cfRule type="containsBlanks" dxfId="7912" priority="7898">
      <formula>LEN(TRIM(N64))=0</formula>
    </cfRule>
  </conditionalFormatting>
  <conditionalFormatting sqref="O69:Q69">
    <cfRule type="containsBlanks" dxfId="7911" priority="7897">
      <formula>LEN(TRIM(O69))=0</formula>
    </cfRule>
  </conditionalFormatting>
  <conditionalFormatting sqref="M65:M70">
    <cfRule type="containsBlanks" dxfId="7910" priority="7896">
      <formula>LEN(TRIM(M65))=0</formula>
    </cfRule>
  </conditionalFormatting>
  <conditionalFormatting sqref="N65:N70">
    <cfRule type="containsBlanks" dxfId="7909" priority="7895">
      <formula>LEN(TRIM(N65))=0</formula>
    </cfRule>
  </conditionalFormatting>
  <conditionalFormatting sqref="O70:Q70">
    <cfRule type="containsBlanks" dxfId="7908" priority="7894">
      <formula>LEN(TRIM(O70))=0</formula>
    </cfRule>
  </conditionalFormatting>
  <conditionalFormatting sqref="N66:N71">
    <cfRule type="containsBlanks" dxfId="7907" priority="7893">
      <formula>LEN(TRIM(N66))=0</formula>
    </cfRule>
  </conditionalFormatting>
  <conditionalFormatting sqref="N67:N72">
    <cfRule type="containsBlanks" dxfId="7906" priority="7891">
      <formula>LEN(TRIM(N67))=0</formula>
    </cfRule>
  </conditionalFormatting>
  <conditionalFormatting sqref="M67:M72">
    <cfRule type="containsBlanks" dxfId="7905" priority="7892">
      <formula>LEN(TRIM(M67))=0</formula>
    </cfRule>
  </conditionalFormatting>
  <conditionalFormatting sqref="O72:Q72">
    <cfRule type="containsBlanks" dxfId="7904" priority="7890">
      <formula>LEN(TRIM(O72))=0</formula>
    </cfRule>
  </conditionalFormatting>
  <conditionalFormatting sqref="M74:M79">
    <cfRule type="containsBlanks" dxfId="7903" priority="7889">
      <formula>LEN(TRIM(M74))=0</formula>
    </cfRule>
  </conditionalFormatting>
  <conditionalFormatting sqref="N68:T68">
    <cfRule type="containsBlanks" dxfId="7902" priority="7888">
      <formula>LEN(TRIM(N68))=0</formula>
    </cfRule>
  </conditionalFormatting>
  <conditionalFormatting sqref="M85:S85">
    <cfRule type="containsBlanks" dxfId="7901" priority="7887">
      <formula>LEN(TRIM(M85))=0</formula>
    </cfRule>
  </conditionalFormatting>
  <conditionalFormatting sqref="T80:T85">
    <cfRule type="containsBlanks" dxfId="7900" priority="7886">
      <formula>LEN(TRIM(T80))=0</formula>
    </cfRule>
  </conditionalFormatting>
  <conditionalFormatting sqref="N88:T88">
    <cfRule type="containsBlanks" dxfId="7899" priority="7885">
      <formula>LEN(TRIM(N88))=0</formula>
    </cfRule>
  </conditionalFormatting>
  <conditionalFormatting sqref="N85:N90">
    <cfRule type="containsBlanks" dxfId="7898" priority="7884">
      <formula>LEN(TRIM(N85))=0</formula>
    </cfRule>
  </conditionalFormatting>
  <conditionalFormatting sqref="O90:Q90">
    <cfRule type="containsBlanks" dxfId="7897" priority="7883">
      <formula>LEN(TRIM(O90))=0</formula>
    </cfRule>
  </conditionalFormatting>
  <conditionalFormatting sqref="M50:M54">
    <cfRule type="containsBlanks" dxfId="7896" priority="7882">
      <formula>LEN(TRIM(M50))=0</formula>
    </cfRule>
  </conditionalFormatting>
  <conditionalFormatting sqref="M92:T92">
    <cfRule type="containsBlanks" dxfId="7895" priority="7881">
      <formula>LEN(TRIM(M92))=0</formula>
    </cfRule>
  </conditionalFormatting>
  <conditionalFormatting sqref="M98:T98">
    <cfRule type="containsBlanks" dxfId="7894" priority="7880">
      <formula>LEN(TRIM(M98))=0</formula>
    </cfRule>
  </conditionalFormatting>
  <conditionalFormatting sqref="T94:T98">
    <cfRule type="containsBlanks" dxfId="7893" priority="7877">
      <formula>LEN(TRIM(T94))=0</formula>
    </cfRule>
  </conditionalFormatting>
  <conditionalFormatting sqref="M62:T62">
    <cfRule type="containsBlanks" dxfId="7892" priority="7876">
      <formula>LEN(TRIM(M62))=0</formula>
    </cfRule>
  </conditionalFormatting>
  <conditionalFormatting sqref="M63:S63">
    <cfRule type="containsBlanks" dxfId="7891" priority="7875">
      <formula>LEN(TRIM(M63))=0</formula>
    </cfRule>
  </conditionalFormatting>
  <conditionalFormatting sqref="T58:T63">
    <cfRule type="containsBlanks" dxfId="7890" priority="7874">
      <formula>LEN(TRIM(T58))=0</formula>
    </cfRule>
  </conditionalFormatting>
  <conditionalFormatting sqref="M77:M82">
    <cfRule type="containsBlanks" dxfId="7889" priority="7873">
      <formula>LEN(TRIM(M77))=0</formula>
    </cfRule>
  </conditionalFormatting>
  <conditionalFormatting sqref="M45:M49">
    <cfRule type="containsBlanks" dxfId="7888" priority="7872">
      <formula>LEN(TRIM(M45))=0</formula>
    </cfRule>
  </conditionalFormatting>
  <conditionalFormatting sqref="M25:M29">
    <cfRule type="containsBlanks" dxfId="7887" priority="7871">
      <formula>LEN(TRIM(M25))=0</formula>
    </cfRule>
  </conditionalFormatting>
  <conditionalFormatting sqref="N25:N29">
    <cfRule type="containsBlanks" dxfId="7886" priority="7870">
      <formula>LEN(TRIM(N25))=0</formula>
    </cfRule>
  </conditionalFormatting>
  <conditionalFormatting sqref="O25:O29">
    <cfRule type="containsBlanks" dxfId="7885" priority="7869">
      <formula>LEN(TRIM(O25))=0</formula>
    </cfRule>
  </conditionalFormatting>
  <conditionalFormatting sqref="P25:P29">
    <cfRule type="containsBlanks" dxfId="7884" priority="7868">
      <formula>LEN(TRIM(P25))=0</formula>
    </cfRule>
  </conditionalFormatting>
  <conditionalFormatting sqref="Q25:Q29">
    <cfRule type="containsBlanks" dxfId="7883" priority="7867">
      <formula>LEN(TRIM(Q25))=0</formula>
    </cfRule>
  </conditionalFormatting>
  <conditionalFormatting sqref="T25:T29">
    <cfRule type="containsBlanks" dxfId="7882" priority="7866">
      <formula>LEN(TRIM(T25))=0</formula>
    </cfRule>
  </conditionalFormatting>
  <conditionalFormatting sqref="M30:M34">
    <cfRule type="containsBlanks" dxfId="7881" priority="7865">
      <formula>LEN(TRIM(M30))=0</formula>
    </cfRule>
  </conditionalFormatting>
  <conditionalFormatting sqref="N30:N34">
    <cfRule type="containsBlanks" dxfId="7880" priority="7864">
      <formula>LEN(TRIM(N30))=0</formula>
    </cfRule>
  </conditionalFormatting>
  <conditionalFormatting sqref="O34:Q34">
    <cfRule type="containsBlanks" dxfId="7879" priority="7863">
      <formula>LEN(TRIM(O34))=0</formula>
    </cfRule>
  </conditionalFormatting>
  <conditionalFormatting sqref="N37:N41">
    <cfRule type="containsBlanks" dxfId="7878" priority="7862">
      <formula>LEN(TRIM(N37))=0</formula>
    </cfRule>
  </conditionalFormatting>
  <conditionalFormatting sqref="M37:M41">
    <cfRule type="containsBlanks" dxfId="7877" priority="7861">
      <formula>LEN(TRIM(M37))=0</formula>
    </cfRule>
  </conditionalFormatting>
  <conditionalFormatting sqref="O41:Q41">
    <cfRule type="containsBlanks" dxfId="7876" priority="7860">
      <formula>LEN(TRIM(O41))=0</formula>
    </cfRule>
  </conditionalFormatting>
  <conditionalFormatting sqref="M34:M38">
    <cfRule type="containsBlanks" dxfId="7875" priority="7859">
      <formula>LEN(TRIM(M34))=0</formula>
    </cfRule>
  </conditionalFormatting>
  <conditionalFormatting sqref="N34:N38">
    <cfRule type="containsBlanks" dxfId="7874" priority="7858">
      <formula>LEN(TRIM(N34))=0</formula>
    </cfRule>
  </conditionalFormatting>
  <conditionalFormatting sqref="O38:Q38">
    <cfRule type="containsBlanks" dxfId="7873" priority="7857">
      <formula>LEN(TRIM(O38))=0</formula>
    </cfRule>
  </conditionalFormatting>
  <conditionalFormatting sqref="M35:M39">
    <cfRule type="containsBlanks" dxfId="7872" priority="7856">
      <formula>LEN(TRIM(M35))=0</formula>
    </cfRule>
  </conditionalFormatting>
  <conditionalFormatting sqref="N35:N39">
    <cfRule type="containsBlanks" dxfId="7871" priority="7855">
      <formula>LEN(TRIM(N35))=0</formula>
    </cfRule>
  </conditionalFormatting>
  <conditionalFormatting sqref="O39:Q39">
    <cfRule type="containsBlanks" dxfId="7870" priority="7854">
      <formula>LEN(TRIM(O39))=0</formula>
    </cfRule>
  </conditionalFormatting>
  <conditionalFormatting sqref="N36:N40">
    <cfRule type="containsBlanks" dxfId="7869" priority="7853">
      <formula>LEN(TRIM(N36))=0</formula>
    </cfRule>
  </conditionalFormatting>
  <conditionalFormatting sqref="M39:M43">
    <cfRule type="containsBlanks" dxfId="7868" priority="7852">
      <formula>LEN(TRIM(M39))=0</formula>
    </cfRule>
  </conditionalFormatting>
  <conditionalFormatting sqref="N39:N43">
    <cfRule type="containsBlanks" dxfId="7867" priority="7851">
      <formula>LEN(TRIM(N39))=0</formula>
    </cfRule>
  </conditionalFormatting>
  <conditionalFormatting sqref="O43:Q43">
    <cfRule type="containsBlanks" dxfId="7866" priority="7850">
      <formula>LEN(TRIM(O43))=0</formula>
    </cfRule>
  </conditionalFormatting>
  <conditionalFormatting sqref="N41:N45">
    <cfRule type="containsBlanks" dxfId="7865" priority="7849">
      <formula>LEN(TRIM(N41))=0</formula>
    </cfRule>
  </conditionalFormatting>
  <conditionalFormatting sqref="O45:Q45">
    <cfRule type="containsBlanks" dxfId="7864" priority="7848">
      <formula>LEN(TRIM(O45))=0</formula>
    </cfRule>
  </conditionalFormatting>
  <conditionalFormatting sqref="O47:Q47">
    <cfRule type="containsBlanks" dxfId="7863" priority="7845">
      <formula>LEN(TRIM(O47))=0</formula>
    </cfRule>
  </conditionalFormatting>
  <conditionalFormatting sqref="M43:M47">
    <cfRule type="containsBlanks" dxfId="7862" priority="7847">
      <formula>LEN(TRIM(M43))=0</formula>
    </cfRule>
  </conditionalFormatting>
  <conditionalFormatting sqref="N43:N47">
    <cfRule type="containsBlanks" dxfId="7861" priority="7846">
      <formula>LEN(TRIM(N43))=0</formula>
    </cfRule>
  </conditionalFormatting>
  <conditionalFormatting sqref="M55:M60">
    <cfRule type="containsBlanks" dxfId="7860" priority="7844">
      <formula>LEN(TRIM(M55))=0</formula>
    </cfRule>
  </conditionalFormatting>
  <conditionalFormatting sqref="N55:N60">
    <cfRule type="containsBlanks" dxfId="7859" priority="7843">
      <formula>LEN(TRIM(N55))=0</formula>
    </cfRule>
  </conditionalFormatting>
  <conditionalFormatting sqref="O60:Q60">
    <cfRule type="containsBlanks" dxfId="7858" priority="7842">
      <formula>LEN(TRIM(O60))=0</formula>
    </cfRule>
  </conditionalFormatting>
  <conditionalFormatting sqref="M56:M61">
    <cfRule type="containsBlanks" dxfId="7857" priority="7841">
      <formula>LEN(TRIM(M56))=0</formula>
    </cfRule>
  </conditionalFormatting>
  <conditionalFormatting sqref="N56:N61">
    <cfRule type="containsBlanks" dxfId="7856" priority="7840">
      <formula>LEN(TRIM(N56))=0</formula>
    </cfRule>
  </conditionalFormatting>
  <conditionalFormatting sqref="O61:Q61">
    <cfRule type="containsBlanks" dxfId="7855" priority="7839">
      <formula>LEN(TRIM(O61))=0</formula>
    </cfRule>
  </conditionalFormatting>
  <conditionalFormatting sqref="N57:N62">
    <cfRule type="containsBlanks" dxfId="7854" priority="7838">
      <formula>LEN(TRIM(N57))=0</formula>
    </cfRule>
  </conditionalFormatting>
  <conditionalFormatting sqref="N58:N63">
    <cfRule type="containsBlanks" dxfId="7853" priority="7836">
      <formula>LEN(TRIM(N58))=0</formula>
    </cfRule>
  </conditionalFormatting>
  <conditionalFormatting sqref="M58:M63">
    <cfRule type="containsBlanks" dxfId="7852" priority="7837">
      <formula>LEN(TRIM(M58))=0</formula>
    </cfRule>
  </conditionalFormatting>
  <conditionalFormatting sqref="O63:Q63">
    <cfRule type="containsBlanks" dxfId="7851" priority="7835">
      <formula>LEN(TRIM(O63))=0</formula>
    </cfRule>
  </conditionalFormatting>
  <conditionalFormatting sqref="M65:M70">
    <cfRule type="containsBlanks" dxfId="7850" priority="7834">
      <formula>LEN(TRIM(M65))=0</formula>
    </cfRule>
  </conditionalFormatting>
  <conditionalFormatting sqref="N59:T59">
    <cfRule type="containsBlanks" dxfId="7849" priority="7833">
      <formula>LEN(TRIM(N59))=0</formula>
    </cfRule>
  </conditionalFormatting>
  <conditionalFormatting sqref="M76:S76">
    <cfRule type="containsBlanks" dxfId="7848" priority="7832">
      <formula>LEN(TRIM(M76))=0</formula>
    </cfRule>
  </conditionalFormatting>
  <conditionalFormatting sqref="T71:T76">
    <cfRule type="containsBlanks" dxfId="7847" priority="7831">
      <formula>LEN(TRIM(T71))=0</formula>
    </cfRule>
  </conditionalFormatting>
  <conditionalFormatting sqref="N79:T79">
    <cfRule type="containsBlanks" dxfId="7846" priority="7830">
      <formula>LEN(TRIM(N79))=0</formula>
    </cfRule>
  </conditionalFormatting>
  <conditionalFormatting sqref="N76:N81">
    <cfRule type="containsBlanks" dxfId="7845" priority="7829">
      <formula>LEN(TRIM(N76))=0</formula>
    </cfRule>
  </conditionalFormatting>
  <conditionalFormatting sqref="O81:Q81">
    <cfRule type="containsBlanks" dxfId="7844" priority="7828">
      <formula>LEN(TRIM(O81))=0</formula>
    </cfRule>
  </conditionalFormatting>
  <conditionalFormatting sqref="M41:M45">
    <cfRule type="containsBlanks" dxfId="7843" priority="7827">
      <formula>LEN(TRIM(M41))=0</formula>
    </cfRule>
  </conditionalFormatting>
  <conditionalFormatting sqref="M83:T83">
    <cfRule type="containsBlanks" dxfId="7842" priority="7826">
      <formula>LEN(TRIM(M83))=0</formula>
    </cfRule>
  </conditionalFormatting>
  <conditionalFormatting sqref="M89:T89">
    <cfRule type="containsBlanks" dxfId="7841" priority="7825">
      <formula>LEN(TRIM(M89))=0</formula>
    </cfRule>
  </conditionalFormatting>
  <conditionalFormatting sqref="O90:S90">
    <cfRule type="containsBlanks" dxfId="7840" priority="7824">
      <formula>LEN(TRIM(O90))=0</formula>
    </cfRule>
  </conditionalFormatting>
  <conditionalFormatting sqref="M90:N90">
    <cfRule type="containsBlanks" dxfId="7839" priority="7823">
      <formula>LEN(TRIM(M90))=0</formula>
    </cfRule>
  </conditionalFormatting>
  <conditionalFormatting sqref="T85:T90">
    <cfRule type="containsBlanks" dxfId="7838" priority="7822">
      <formula>LEN(TRIM(T85))=0</formula>
    </cfRule>
  </conditionalFormatting>
  <conditionalFormatting sqref="M53:T53">
    <cfRule type="containsBlanks" dxfId="7837" priority="7821">
      <formula>LEN(TRIM(M53))=0</formula>
    </cfRule>
  </conditionalFormatting>
  <conditionalFormatting sqref="M54:S54">
    <cfRule type="containsBlanks" dxfId="7836" priority="7820">
      <formula>LEN(TRIM(M54))=0</formula>
    </cfRule>
  </conditionalFormatting>
  <conditionalFormatting sqref="T50:T54">
    <cfRule type="containsBlanks" dxfId="7835" priority="7819">
      <formula>LEN(TRIM(T50))=0</formula>
    </cfRule>
  </conditionalFormatting>
  <conditionalFormatting sqref="M68:M73">
    <cfRule type="containsBlanks" dxfId="7834" priority="7818">
      <formula>LEN(TRIM(M68))=0</formula>
    </cfRule>
  </conditionalFormatting>
  <conditionalFormatting sqref="M36:M40">
    <cfRule type="containsBlanks" dxfId="7833" priority="7817">
      <formula>LEN(TRIM(M36))=0</formula>
    </cfRule>
  </conditionalFormatting>
  <conditionalFormatting sqref="M77:T83 M68:T74">
    <cfRule type="containsBlanks" dxfId="7832" priority="7816">
      <formula>LEN(TRIM(M68))=0</formula>
    </cfRule>
  </conditionalFormatting>
  <conditionalFormatting sqref="N48:N52">
    <cfRule type="containsBlanks" dxfId="7831" priority="7815">
      <formula>LEN(TRIM(N48))=0</formula>
    </cfRule>
  </conditionalFormatting>
  <conditionalFormatting sqref="M48:M52">
    <cfRule type="containsBlanks" dxfId="7830" priority="7814">
      <formula>LEN(TRIM(M48))=0</formula>
    </cfRule>
  </conditionalFormatting>
  <conditionalFormatting sqref="O52:Q52">
    <cfRule type="containsBlanks" dxfId="7829" priority="7813">
      <formula>LEN(TRIM(O52))=0</formula>
    </cfRule>
  </conditionalFormatting>
  <conditionalFormatting sqref="M45:M49">
    <cfRule type="containsBlanks" dxfId="7828" priority="7812">
      <formula>LEN(TRIM(M45))=0</formula>
    </cfRule>
  </conditionalFormatting>
  <conditionalFormatting sqref="N45:N49">
    <cfRule type="containsBlanks" dxfId="7827" priority="7811">
      <formula>LEN(TRIM(N45))=0</formula>
    </cfRule>
  </conditionalFormatting>
  <conditionalFormatting sqref="O49:Q49">
    <cfRule type="containsBlanks" dxfId="7826" priority="7810">
      <formula>LEN(TRIM(O49))=0</formula>
    </cfRule>
  </conditionalFormatting>
  <conditionalFormatting sqref="M46:M50">
    <cfRule type="containsBlanks" dxfId="7825" priority="7809">
      <formula>LEN(TRIM(M46))=0</formula>
    </cfRule>
  </conditionalFormatting>
  <conditionalFormatting sqref="N46:N50">
    <cfRule type="containsBlanks" dxfId="7824" priority="7808">
      <formula>LEN(TRIM(N46))=0</formula>
    </cfRule>
  </conditionalFormatting>
  <conditionalFormatting sqref="O50:Q50">
    <cfRule type="containsBlanks" dxfId="7823" priority="7807">
      <formula>LEN(TRIM(O50))=0</formula>
    </cfRule>
  </conditionalFormatting>
  <conditionalFormatting sqref="N47:N51">
    <cfRule type="containsBlanks" dxfId="7822" priority="7806">
      <formula>LEN(TRIM(N47))=0</formula>
    </cfRule>
  </conditionalFormatting>
  <conditionalFormatting sqref="M50:M54">
    <cfRule type="containsBlanks" dxfId="7821" priority="7805">
      <formula>LEN(TRIM(M50))=0</formula>
    </cfRule>
  </conditionalFormatting>
  <conditionalFormatting sqref="N50:N54">
    <cfRule type="containsBlanks" dxfId="7820" priority="7804">
      <formula>LEN(TRIM(N50))=0</formula>
    </cfRule>
  </conditionalFormatting>
  <conditionalFormatting sqref="O54:Q54">
    <cfRule type="containsBlanks" dxfId="7819" priority="7803">
      <formula>LEN(TRIM(O54))=0</formula>
    </cfRule>
  </conditionalFormatting>
  <conditionalFormatting sqref="N52:N56">
    <cfRule type="containsBlanks" dxfId="7818" priority="7802">
      <formula>LEN(TRIM(N52))=0</formula>
    </cfRule>
  </conditionalFormatting>
  <conditionalFormatting sqref="O56:Q56">
    <cfRule type="containsBlanks" dxfId="7817" priority="7801">
      <formula>LEN(TRIM(O56))=0</formula>
    </cfRule>
  </conditionalFormatting>
  <conditionalFormatting sqref="O58:Q58">
    <cfRule type="containsBlanks" dxfId="7816" priority="7798">
      <formula>LEN(TRIM(O58))=0</formula>
    </cfRule>
  </conditionalFormatting>
  <conditionalFormatting sqref="M54:M58">
    <cfRule type="containsBlanks" dxfId="7815" priority="7800">
      <formula>LEN(TRIM(M54))=0</formula>
    </cfRule>
  </conditionalFormatting>
  <conditionalFormatting sqref="N54:N58">
    <cfRule type="containsBlanks" dxfId="7814" priority="7799">
      <formula>LEN(TRIM(N54))=0</formula>
    </cfRule>
  </conditionalFormatting>
  <conditionalFormatting sqref="M66:M71">
    <cfRule type="containsBlanks" dxfId="7813" priority="7797">
      <formula>LEN(TRIM(M66))=0</formula>
    </cfRule>
  </conditionalFormatting>
  <conditionalFormatting sqref="N66:N71">
    <cfRule type="containsBlanks" dxfId="7812" priority="7796">
      <formula>LEN(TRIM(N66))=0</formula>
    </cfRule>
  </conditionalFormatting>
  <conditionalFormatting sqref="O71:Q71">
    <cfRule type="containsBlanks" dxfId="7811" priority="7795">
      <formula>LEN(TRIM(O71))=0</formula>
    </cfRule>
  </conditionalFormatting>
  <conditionalFormatting sqref="M67:M72">
    <cfRule type="containsBlanks" dxfId="7810" priority="7794">
      <formula>LEN(TRIM(M67))=0</formula>
    </cfRule>
  </conditionalFormatting>
  <conditionalFormatting sqref="N67:N72">
    <cfRule type="containsBlanks" dxfId="7809" priority="7793">
      <formula>LEN(TRIM(N67))=0</formula>
    </cfRule>
  </conditionalFormatting>
  <conditionalFormatting sqref="O72:Q72">
    <cfRule type="containsBlanks" dxfId="7808" priority="7792">
      <formula>LEN(TRIM(O72))=0</formula>
    </cfRule>
  </conditionalFormatting>
  <conditionalFormatting sqref="N68:N73">
    <cfRule type="containsBlanks" dxfId="7807" priority="7791">
      <formula>LEN(TRIM(N68))=0</formula>
    </cfRule>
  </conditionalFormatting>
  <conditionalFormatting sqref="N69:N74">
    <cfRule type="containsBlanks" dxfId="7806" priority="7789">
      <formula>LEN(TRIM(N69))=0</formula>
    </cfRule>
  </conditionalFormatting>
  <conditionalFormatting sqref="M69:M74">
    <cfRule type="containsBlanks" dxfId="7805" priority="7790">
      <formula>LEN(TRIM(M69))=0</formula>
    </cfRule>
  </conditionalFormatting>
  <conditionalFormatting sqref="O74:Q74">
    <cfRule type="containsBlanks" dxfId="7804" priority="7788">
      <formula>LEN(TRIM(O74))=0</formula>
    </cfRule>
  </conditionalFormatting>
  <conditionalFormatting sqref="M76:M81">
    <cfRule type="containsBlanks" dxfId="7803" priority="7787">
      <formula>LEN(TRIM(M76))=0</formula>
    </cfRule>
  </conditionalFormatting>
  <conditionalFormatting sqref="N70:T70">
    <cfRule type="containsBlanks" dxfId="7802" priority="7786">
      <formula>LEN(TRIM(N70))=0</formula>
    </cfRule>
  </conditionalFormatting>
  <conditionalFormatting sqref="M87:S87">
    <cfRule type="containsBlanks" dxfId="7801" priority="7785">
      <formula>LEN(TRIM(M87))=0</formula>
    </cfRule>
  </conditionalFormatting>
  <conditionalFormatting sqref="T82:T87">
    <cfRule type="containsBlanks" dxfId="7800" priority="7784">
      <formula>LEN(TRIM(T82))=0</formula>
    </cfRule>
  </conditionalFormatting>
  <conditionalFormatting sqref="N90:T90">
    <cfRule type="containsBlanks" dxfId="7799" priority="7783">
      <formula>LEN(TRIM(N90))=0</formula>
    </cfRule>
  </conditionalFormatting>
  <conditionalFormatting sqref="N87:N92">
    <cfRule type="containsBlanks" dxfId="7798" priority="7782">
      <formula>LEN(TRIM(N87))=0</formula>
    </cfRule>
  </conditionalFormatting>
  <conditionalFormatting sqref="O92:Q92">
    <cfRule type="containsBlanks" dxfId="7797" priority="7781">
      <formula>LEN(TRIM(O92))=0</formula>
    </cfRule>
  </conditionalFormatting>
  <conditionalFormatting sqref="M52:M56">
    <cfRule type="containsBlanks" dxfId="7796" priority="7780">
      <formula>LEN(TRIM(M52))=0</formula>
    </cfRule>
  </conditionalFormatting>
  <conditionalFormatting sqref="M94:T94">
    <cfRule type="containsBlanks" dxfId="7795" priority="7779">
      <formula>LEN(TRIM(M94))=0</formula>
    </cfRule>
  </conditionalFormatting>
  <conditionalFormatting sqref="M100:T100">
    <cfRule type="containsBlanks" dxfId="7794" priority="7778">
      <formula>LEN(TRIM(M100))=0</formula>
    </cfRule>
  </conditionalFormatting>
  <conditionalFormatting sqref="O101:S101">
    <cfRule type="containsBlanks" dxfId="7793" priority="7777">
      <formula>LEN(TRIM(O101))=0</formula>
    </cfRule>
  </conditionalFormatting>
  <conditionalFormatting sqref="M101:N101">
    <cfRule type="containsBlanks" dxfId="7792" priority="7776">
      <formula>LEN(TRIM(M101))=0</formula>
    </cfRule>
  </conditionalFormatting>
  <conditionalFormatting sqref="T96:T98 T100:T101">
    <cfRule type="containsBlanks" dxfId="7791" priority="7775">
      <formula>LEN(TRIM(T96))=0</formula>
    </cfRule>
  </conditionalFormatting>
  <conditionalFormatting sqref="M64:T64">
    <cfRule type="containsBlanks" dxfId="7790" priority="7774">
      <formula>LEN(TRIM(M64))=0</formula>
    </cfRule>
  </conditionalFormatting>
  <conditionalFormatting sqref="M65:S65">
    <cfRule type="containsBlanks" dxfId="7789" priority="7773">
      <formula>LEN(TRIM(M65))=0</formula>
    </cfRule>
  </conditionalFormatting>
  <conditionalFormatting sqref="T60:T65">
    <cfRule type="containsBlanks" dxfId="7788" priority="7772">
      <formula>LEN(TRIM(T60))=0</formula>
    </cfRule>
  </conditionalFormatting>
  <conditionalFormatting sqref="M79:M84">
    <cfRule type="containsBlanks" dxfId="7787" priority="7771">
      <formula>LEN(TRIM(M79))=0</formula>
    </cfRule>
  </conditionalFormatting>
  <conditionalFormatting sqref="M47:M51">
    <cfRule type="containsBlanks" dxfId="7786" priority="7770">
      <formula>LEN(TRIM(M47))=0</formula>
    </cfRule>
  </conditionalFormatting>
  <conditionalFormatting sqref="O49:Q49">
    <cfRule type="containsBlanks" dxfId="7785" priority="7767">
      <formula>LEN(TRIM(O49))=0</formula>
    </cfRule>
  </conditionalFormatting>
  <conditionalFormatting sqref="M45:M49">
    <cfRule type="containsBlanks" dxfId="7784" priority="7769">
      <formula>LEN(TRIM(M45))=0</formula>
    </cfRule>
  </conditionalFormatting>
  <conditionalFormatting sqref="N45:N49">
    <cfRule type="containsBlanks" dxfId="7783" priority="7768">
      <formula>LEN(TRIM(N45))=0</formula>
    </cfRule>
  </conditionalFormatting>
  <conditionalFormatting sqref="M57:M62">
    <cfRule type="containsBlanks" dxfId="7782" priority="7766">
      <formula>LEN(TRIM(M57))=0</formula>
    </cfRule>
  </conditionalFormatting>
  <conditionalFormatting sqref="N57:N62">
    <cfRule type="containsBlanks" dxfId="7781" priority="7765">
      <formula>LEN(TRIM(N57))=0</formula>
    </cfRule>
  </conditionalFormatting>
  <conditionalFormatting sqref="O62:Q62">
    <cfRule type="containsBlanks" dxfId="7780" priority="7764">
      <formula>LEN(TRIM(O62))=0</formula>
    </cfRule>
  </conditionalFormatting>
  <conditionalFormatting sqref="M58:M63">
    <cfRule type="containsBlanks" dxfId="7779" priority="7763">
      <formula>LEN(TRIM(M58))=0</formula>
    </cfRule>
  </conditionalFormatting>
  <conditionalFormatting sqref="N58:N63">
    <cfRule type="containsBlanks" dxfId="7778" priority="7762">
      <formula>LEN(TRIM(N58))=0</formula>
    </cfRule>
  </conditionalFormatting>
  <conditionalFormatting sqref="O63:Q63">
    <cfRule type="containsBlanks" dxfId="7777" priority="7761">
      <formula>LEN(TRIM(O63))=0</formula>
    </cfRule>
  </conditionalFormatting>
  <conditionalFormatting sqref="N59:N64">
    <cfRule type="containsBlanks" dxfId="7776" priority="7760">
      <formula>LEN(TRIM(N59))=0</formula>
    </cfRule>
  </conditionalFormatting>
  <conditionalFormatting sqref="N60:N65">
    <cfRule type="containsBlanks" dxfId="7775" priority="7758">
      <formula>LEN(TRIM(N60))=0</formula>
    </cfRule>
  </conditionalFormatting>
  <conditionalFormatting sqref="M60:M65">
    <cfRule type="containsBlanks" dxfId="7774" priority="7759">
      <formula>LEN(TRIM(M60))=0</formula>
    </cfRule>
  </conditionalFormatting>
  <conditionalFormatting sqref="O65:Q65">
    <cfRule type="containsBlanks" dxfId="7773" priority="7757">
      <formula>LEN(TRIM(O65))=0</formula>
    </cfRule>
  </conditionalFormatting>
  <conditionalFormatting sqref="M67:M72">
    <cfRule type="containsBlanks" dxfId="7772" priority="7756">
      <formula>LEN(TRIM(M67))=0</formula>
    </cfRule>
  </conditionalFormatting>
  <conditionalFormatting sqref="N61:T61">
    <cfRule type="containsBlanks" dxfId="7771" priority="7755">
      <formula>LEN(TRIM(N61))=0</formula>
    </cfRule>
  </conditionalFormatting>
  <conditionalFormatting sqref="M78:S78">
    <cfRule type="containsBlanks" dxfId="7770" priority="7754">
      <formula>LEN(TRIM(M78))=0</formula>
    </cfRule>
  </conditionalFormatting>
  <conditionalFormatting sqref="T73:T78">
    <cfRule type="containsBlanks" dxfId="7769" priority="7753">
      <formula>LEN(TRIM(T73))=0</formula>
    </cfRule>
  </conditionalFormatting>
  <conditionalFormatting sqref="N81:T81">
    <cfRule type="containsBlanks" dxfId="7768" priority="7752">
      <formula>LEN(TRIM(N81))=0</formula>
    </cfRule>
  </conditionalFormatting>
  <conditionalFormatting sqref="N78:N83">
    <cfRule type="containsBlanks" dxfId="7767" priority="7751">
      <formula>LEN(TRIM(N78))=0</formula>
    </cfRule>
  </conditionalFormatting>
  <conditionalFormatting sqref="O83:Q83">
    <cfRule type="containsBlanks" dxfId="7766" priority="7750">
      <formula>LEN(TRIM(O83))=0</formula>
    </cfRule>
  </conditionalFormatting>
  <conditionalFormatting sqref="M85:T85">
    <cfRule type="containsBlanks" dxfId="7765" priority="7749">
      <formula>LEN(TRIM(M85))=0</formula>
    </cfRule>
  </conditionalFormatting>
  <conditionalFormatting sqref="M91:T91">
    <cfRule type="containsBlanks" dxfId="7764" priority="7748">
      <formula>LEN(TRIM(M91))=0</formula>
    </cfRule>
  </conditionalFormatting>
  <conditionalFormatting sqref="O92:S92">
    <cfRule type="containsBlanks" dxfId="7763" priority="7747">
      <formula>LEN(TRIM(O92))=0</formula>
    </cfRule>
  </conditionalFormatting>
  <conditionalFormatting sqref="M92:N92">
    <cfRule type="containsBlanks" dxfId="7762" priority="7746">
      <formula>LEN(TRIM(M92))=0</formula>
    </cfRule>
  </conditionalFormatting>
  <conditionalFormatting sqref="T87:T92">
    <cfRule type="containsBlanks" dxfId="7761" priority="7745">
      <formula>LEN(TRIM(T87))=0</formula>
    </cfRule>
  </conditionalFormatting>
  <conditionalFormatting sqref="M55:T55">
    <cfRule type="containsBlanks" dxfId="7760" priority="7744">
      <formula>LEN(TRIM(M55))=0</formula>
    </cfRule>
  </conditionalFormatting>
  <conditionalFormatting sqref="M56:S56">
    <cfRule type="containsBlanks" dxfId="7759" priority="7743">
      <formula>LEN(TRIM(M56))=0</formula>
    </cfRule>
  </conditionalFormatting>
  <conditionalFormatting sqref="T52:T56">
    <cfRule type="containsBlanks" dxfId="7758" priority="7742">
      <formula>LEN(TRIM(T52))=0</formula>
    </cfRule>
  </conditionalFormatting>
  <conditionalFormatting sqref="M70:M75">
    <cfRule type="containsBlanks" dxfId="7757" priority="7741">
      <formula>LEN(TRIM(M70))=0</formula>
    </cfRule>
  </conditionalFormatting>
  <conditionalFormatting sqref="M72:T78 M63:T69">
    <cfRule type="containsBlanks" dxfId="7756" priority="7740">
      <formula>LEN(TRIM(M63))=0</formula>
    </cfRule>
  </conditionalFormatting>
  <conditionalFormatting sqref="M45:M49">
    <cfRule type="containsBlanks" dxfId="7755" priority="7739">
      <formula>LEN(TRIM(M45))=0</formula>
    </cfRule>
  </conditionalFormatting>
  <conditionalFormatting sqref="N45:N49">
    <cfRule type="containsBlanks" dxfId="7754" priority="7738">
      <formula>LEN(TRIM(N45))=0</formula>
    </cfRule>
  </conditionalFormatting>
  <conditionalFormatting sqref="O49:Q49">
    <cfRule type="containsBlanks" dxfId="7753" priority="7737">
      <formula>LEN(TRIM(O49))=0</formula>
    </cfRule>
  </conditionalFormatting>
  <conditionalFormatting sqref="N47:N51">
    <cfRule type="containsBlanks" dxfId="7752" priority="7736">
      <formula>LEN(TRIM(N47))=0</formula>
    </cfRule>
  </conditionalFormatting>
  <conditionalFormatting sqref="O51:Q51">
    <cfRule type="containsBlanks" dxfId="7751" priority="7735">
      <formula>LEN(TRIM(O51))=0</formula>
    </cfRule>
  </conditionalFormatting>
  <conditionalFormatting sqref="O53:Q53">
    <cfRule type="containsBlanks" dxfId="7750" priority="7732">
      <formula>LEN(TRIM(O53))=0</formula>
    </cfRule>
  </conditionalFormatting>
  <conditionalFormatting sqref="M49:M53">
    <cfRule type="containsBlanks" dxfId="7749" priority="7734">
      <formula>LEN(TRIM(M49))=0</formula>
    </cfRule>
  </conditionalFormatting>
  <conditionalFormatting sqref="N49:N53">
    <cfRule type="containsBlanks" dxfId="7748" priority="7733">
      <formula>LEN(TRIM(N49))=0</formula>
    </cfRule>
  </conditionalFormatting>
  <conditionalFormatting sqref="M61:M66">
    <cfRule type="containsBlanks" dxfId="7747" priority="7731">
      <formula>LEN(TRIM(M61))=0</formula>
    </cfRule>
  </conditionalFormatting>
  <conditionalFormatting sqref="N61:N66">
    <cfRule type="containsBlanks" dxfId="7746" priority="7730">
      <formula>LEN(TRIM(N61))=0</formula>
    </cfRule>
  </conditionalFormatting>
  <conditionalFormatting sqref="O66:Q66">
    <cfRule type="containsBlanks" dxfId="7745" priority="7729">
      <formula>LEN(TRIM(O66))=0</formula>
    </cfRule>
  </conditionalFormatting>
  <conditionalFormatting sqref="M62:M67">
    <cfRule type="containsBlanks" dxfId="7744" priority="7728">
      <formula>LEN(TRIM(M62))=0</formula>
    </cfRule>
  </conditionalFormatting>
  <conditionalFormatting sqref="N62:N67">
    <cfRule type="containsBlanks" dxfId="7743" priority="7727">
      <formula>LEN(TRIM(N62))=0</formula>
    </cfRule>
  </conditionalFormatting>
  <conditionalFormatting sqref="O67:Q67">
    <cfRule type="containsBlanks" dxfId="7742" priority="7726">
      <formula>LEN(TRIM(O67))=0</formula>
    </cfRule>
  </conditionalFormatting>
  <conditionalFormatting sqref="N63:N68">
    <cfRule type="containsBlanks" dxfId="7741" priority="7725">
      <formula>LEN(TRIM(N63))=0</formula>
    </cfRule>
  </conditionalFormatting>
  <conditionalFormatting sqref="N64:N69">
    <cfRule type="containsBlanks" dxfId="7740" priority="7723">
      <formula>LEN(TRIM(N64))=0</formula>
    </cfRule>
  </conditionalFormatting>
  <conditionalFormatting sqref="M64:M69">
    <cfRule type="containsBlanks" dxfId="7739" priority="7724">
      <formula>LEN(TRIM(M64))=0</formula>
    </cfRule>
  </conditionalFormatting>
  <conditionalFormatting sqref="O69:Q69">
    <cfRule type="containsBlanks" dxfId="7738" priority="7722">
      <formula>LEN(TRIM(O69))=0</formula>
    </cfRule>
  </conditionalFormatting>
  <conditionalFormatting sqref="M71:M76">
    <cfRule type="containsBlanks" dxfId="7737" priority="7721">
      <formula>LEN(TRIM(M71))=0</formula>
    </cfRule>
  </conditionalFormatting>
  <conditionalFormatting sqref="N65:T65">
    <cfRule type="containsBlanks" dxfId="7736" priority="7720">
      <formula>LEN(TRIM(N65))=0</formula>
    </cfRule>
  </conditionalFormatting>
  <conditionalFormatting sqref="M82:S82">
    <cfRule type="containsBlanks" dxfId="7735" priority="7719">
      <formula>LEN(TRIM(M82))=0</formula>
    </cfRule>
  </conditionalFormatting>
  <conditionalFormatting sqref="T77:T82">
    <cfRule type="containsBlanks" dxfId="7734" priority="7718">
      <formula>LEN(TRIM(T77))=0</formula>
    </cfRule>
  </conditionalFormatting>
  <conditionalFormatting sqref="N85:T85">
    <cfRule type="containsBlanks" dxfId="7733" priority="7717">
      <formula>LEN(TRIM(N85))=0</formula>
    </cfRule>
  </conditionalFormatting>
  <conditionalFormatting sqref="N82:N87">
    <cfRule type="containsBlanks" dxfId="7732" priority="7716">
      <formula>LEN(TRIM(N82))=0</formula>
    </cfRule>
  </conditionalFormatting>
  <conditionalFormatting sqref="O87:Q87">
    <cfRule type="containsBlanks" dxfId="7731" priority="7715">
      <formula>LEN(TRIM(O87))=0</formula>
    </cfRule>
  </conditionalFormatting>
  <conditionalFormatting sqref="M47:M51">
    <cfRule type="containsBlanks" dxfId="7730" priority="7714">
      <formula>LEN(TRIM(M47))=0</formula>
    </cfRule>
  </conditionalFormatting>
  <conditionalFormatting sqref="M89:T89">
    <cfRule type="containsBlanks" dxfId="7729" priority="7713">
      <formula>LEN(TRIM(M89))=0</formula>
    </cfRule>
  </conditionalFormatting>
  <conditionalFormatting sqref="M95:T95">
    <cfRule type="containsBlanks" dxfId="7728" priority="7712">
      <formula>LEN(TRIM(M95))=0</formula>
    </cfRule>
  </conditionalFormatting>
  <conditionalFormatting sqref="O96:S96">
    <cfRule type="containsBlanks" dxfId="7727" priority="7711">
      <formula>LEN(TRIM(O96))=0</formula>
    </cfRule>
  </conditionalFormatting>
  <conditionalFormatting sqref="M96:N96">
    <cfRule type="containsBlanks" dxfId="7726" priority="7710">
      <formula>LEN(TRIM(M96))=0</formula>
    </cfRule>
  </conditionalFormatting>
  <conditionalFormatting sqref="T91:T96">
    <cfRule type="containsBlanks" dxfId="7725" priority="7709">
      <formula>LEN(TRIM(T91))=0</formula>
    </cfRule>
  </conditionalFormatting>
  <conditionalFormatting sqref="M59:T59">
    <cfRule type="containsBlanks" dxfId="7724" priority="7708">
      <formula>LEN(TRIM(M59))=0</formula>
    </cfRule>
  </conditionalFormatting>
  <conditionalFormatting sqref="M60:S60">
    <cfRule type="containsBlanks" dxfId="7723" priority="7707">
      <formula>LEN(TRIM(M60))=0</formula>
    </cfRule>
  </conditionalFormatting>
  <conditionalFormatting sqref="T55:T60">
    <cfRule type="containsBlanks" dxfId="7722" priority="7706">
      <formula>LEN(TRIM(T55))=0</formula>
    </cfRule>
  </conditionalFormatting>
  <conditionalFormatting sqref="M74:M79">
    <cfRule type="containsBlanks" dxfId="7721" priority="7705">
      <formula>LEN(TRIM(M74))=0</formula>
    </cfRule>
  </conditionalFormatting>
  <conditionalFormatting sqref="M53:M57">
    <cfRule type="containsBlanks" dxfId="7720" priority="7704">
      <formula>LEN(TRIM(M53))=0</formula>
    </cfRule>
  </conditionalFormatting>
  <conditionalFormatting sqref="N53:N57">
    <cfRule type="containsBlanks" dxfId="7719" priority="7703">
      <formula>LEN(TRIM(N53))=0</formula>
    </cfRule>
  </conditionalFormatting>
  <conditionalFormatting sqref="O57:Q57">
    <cfRule type="containsBlanks" dxfId="7718" priority="7702">
      <formula>LEN(TRIM(O57))=0</formula>
    </cfRule>
  </conditionalFormatting>
  <conditionalFormatting sqref="M54:M58">
    <cfRule type="containsBlanks" dxfId="7717" priority="7701">
      <formula>LEN(TRIM(M54))=0</formula>
    </cfRule>
  </conditionalFormatting>
  <conditionalFormatting sqref="N54:N58">
    <cfRule type="containsBlanks" dxfId="7716" priority="7700">
      <formula>LEN(TRIM(N54))=0</formula>
    </cfRule>
  </conditionalFormatting>
  <conditionalFormatting sqref="O58:Q58">
    <cfRule type="containsBlanks" dxfId="7715" priority="7699">
      <formula>LEN(TRIM(O58))=0</formula>
    </cfRule>
  </conditionalFormatting>
  <conditionalFormatting sqref="N54:N59">
    <cfRule type="containsBlanks" dxfId="7714" priority="7698">
      <formula>LEN(TRIM(N54))=0</formula>
    </cfRule>
  </conditionalFormatting>
  <conditionalFormatting sqref="N55:N60">
    <cfRule type="containsBlanks" dxfId="7713" priority="7696">
      <formula>LEN(TRIM(N55))=0</formula>
    </cfRule>
  </conditionalFormatting>
  <conditionalFormatting sqref="M55:M60">
    <cfRule type="containsBlanks" dxfId="7712" priority="7697">
      <formula>LEN(TRIM(M55))=0</formula>
    </cfRule>
  </conditionalFormatting>
  <conditionalFormatting sqref="O60:Q60">
    <cfRule type="containsBlanks" dxfId="7711" priority="7695">
      <formula>LEN(TRIM(O60))=0</formula>
    </cfRule>
  </conditionalFormatting>
  <conditionalFormatting sqref="M62:M67">
    <cfRule type="containsBlanks" dxfId="7710" priority="7694">
      <formula>LEN(TRIM(M62))=0</formula>
    </cfRule>
  </conditionalFormatting>
  <conditionalFormatting sqref="N56:T56">
    <cfRule type="containsBlanks" dxfId="7709" priority="7693">
      <formula>LEN(TRIM(N56))=0</formula>
    </cfRule>
  </conditionalFormatting>
  <conditionalFormatting sqref="M73:S73">
    <cfRule type="containsBlanks" dxfId="7708" priority="7692">
      <formula>LEN(TRIM(M73))=0</formula>
    </cfRule>
  </conditionalFormatting>
  <conditionalFormatting sqref="T68:T73">
    <cfRule type="containsBlanks" dxfId="7707" priority="7691">
      <formula>LEN(TRIM(T68))=0</formula>
    </cfRule>
  </conditionalFormatting>
  <conditionalFormatting sqref="N76:T76">
    <cfRule type="containsBlanks" dxfId="7706" priority="7690">
      <formula>LEN(TRIM(N76))=0</formula>
    </cfRule>
  </conditionalFormatting>
  <conditionalFormatting sqref="N73:N78">
    <cfRule type="containsBlanks" dxfId="7705" priority="7689">
      <formula>LEN(TRIM(N73))=0</formula>
    </cfRule>
  </conditionalFormatting>
  <conditionalFormatting sqref="O78:Q78">
    <cfRule type="containsBlanks" dxfId="7704" priority="7688">
      <formula>LEN(TRIM(O78))=0</formula>
    </cfRule>
  </conditionalFormatting>
  <conditionalFormatting sqref="M80:T80">
    <cfRule type="containsBlanks" dxfId="7703" priority="7687">
      <formula>LEN(TRIM(M80))=0</formula>
    </cfRule>
  </conditionalFormatting>
  <conditionalFormatting sqref="M86:T86">
    <cfRule type="containsBlanks" dxfId="7702" priority="7686">
      <formula>LEN(TRIM(M86))=0</formula>
    </cfRule>
  </conditionalFormatting>
  <conditionalFormatting sqref="O87:S87">
    <cfRule type="containsBlanks" dxfId="7701" priority="7685">
      <formula>LEN(TRIM(O87))=0</formula>
    </cfRule>
  </conditionalFormatting>
  <conditionalFormatting sqref="M87:N87">
    <cfRule type="containsBlanks" dxfId="7700" priority="7684">
      <formula>LEN(TRIM(M87))=0</formula>
    </cfRule>
  </conditionalFormatting>
  <conditionalFormatting sqref="T82:T87">
    <cfRule type="containsBlanks" dxfId="7699" priority="7683">
      <formula>LEN(TRIM(T82))=0</formula>
    </cfRule>
  </conditionalFormatting>
  <conditionalFormatting sqref="M50:T50">
    <cfRule type="containsBlanks" dxfId="7698" priority="7682">
      <formula>LEN(TRIM(M50))=0</formula>
    </cfRule>
  </conditionalFormatting>
  <conditionalFormatting sqref="M51:S51">
    <cfRule type="containsBlanks" dxfId="7697" priority="7681">
      <formula>LEN(TRIM(M51))=0</formula>
    </cfRule>
  </conditionalFormatting>
  <conditionalFormatting sqref="T47:T51">
    <cfRule type="containsBlanks" dxfId="7696" priority="7680">
      <formula>LEN(TRIM(T47))=0</formula>
    </cfRule>
  </conditionalFormatting>
  <conditionalFormatting sqref="M65:M70">
    <cfRule type="containsBlanks" dxfId="7695" priority="7679">
      <formula>LEN(TRIM(M65))=0</formula>
    </cfRule>
  </conditionalFormatting>
  <conditionalFormatting sqref="M22:N22">
    <cfRule type="containsBlanks" dxfId="7694" priority="7678">
      <formula>LEN(TRIM(M22))=0</formula>
    </cfRule>
  </conditionalFormatting>
  <conditionalFormatting sqref="O50:Q50">
    <cfRule type="containsBlanks" dxfId="7693" priority="7677">
      <formula>LEN(TRIM(O50))=0</formula>
    </cfRule>
  </conditionalFormatting>
  <conditionalFormatting sqref="O57:Q57">
    <cfRule type="containsBlanks" dxfId="7692" priority="7676">
      <formula>LEN(TRIM(O57))=0</formula>
    </cfRule>
  </conditionalFormatting>
  <conditionalFormatting sqref="O54:Q54">
    <cfRule type="containsBlanks" dxfId="7691" priority="7675">
      <formula>LEN(TRIM(O54))=0</formula>
    </cfRule>
  </conditionalFormatting>
  <conditionalFormatting sqref="O55:Q55">
    <cfRule type="containsBlanks" dxfId="7690" priority="7674">
      <formula>LEN(TRIM(O55))=0</formula>
    </cfRule>
  </conditionalFormatting>
  <conditionalFormatting sqref="O59:Q59">
    <cfRule type="containsBlanks" dxfId="7689" priority="7673">
      <formula>LEN(TRIM(O59))=0</formula>
    </cfRule>
  </conditionalFormatting>
  <conditionalFormatting sqref="O61:Q61">
    <cfRule type="containsBlanks" dxfId="7688" priority="7672">
      <formula>LEN(TRIM(O61))=0</formula>
    </cfRule>
  </conditionalFormatting>
  <conditionalFormatting sqref="O63:Q63">
    <cfRule type="containsBlanks" dxfId="7687" priority="7671">
      <formula>LEN(TRIM(O63))=0</formula>
    </cfRule>
  </conditionalFormatting>
  <conditionalFormatting sqref="O76:Q76">
    <cfRule type="containsBlanks" dxfId="7686" priority="7670">
      <formula>LEN(TRIM(O76))=0</formula>
    </cfRule>
  </conditionalFormatting>
  <conditionalFormatting sqref="O77:Q77">
    <cfRule type="containsBlanks" dxfId="7685" priority="7669">
      <formula>LEN(TRIM(O77))=0</formula>
    </cfRule>
  </conditionalFormatting>
  <conditionalFormatting sqref="O79:Q79">
    <cfRule type="containsBlanks" dxfId="7684" priority="7668">
      <formula>LEN(TRIM(O79))=0</formula>
    </cfRule>
  </conditionalFormatting>
  <conditionalFormatting sqref="M14:T14">
    <cfRule type="containsBlanks" dxfId="7683" priority="7667">
      <formula>LEN(TRIM(M14))=0</formula>
    </cfRule>
  </conditionalFormatting>
  <conditionalFormatting sqref="N75:T75">
    <cfRule type="containsBlanks" dxfId="7682" priority="7666">
      <formula>LEN(TRIM(N75))=0</formula>
    </cfRule>
  </conditionalFormatting>
  <conditionalFormatting sqref="M92:S92">
    <cfRule type="containsBlanks" dxfId="7681" priority="7665">
      <formula>LEN(TRIM(M92))=0</formula>
    </cfRule>
  </conditionalFormatting>
  <conditionalFormatting sqref="N95:T95">
    <cfRule type="containsBlanks" dxfId="7680" priority="7664">
      <formula>LEN(TRIM(N95))=0</formula>
    </cfRule>
  </conditionalFormatting>
  <conditionalFormatting sqref="O97:Q97">
    <cfRule type="containsBlanks" dxfId="7679" priority="7663">
      <formula>LEN(TRIM(O97))=0</formula>
    </cfRule>
  </conditionalFormatting>
  <conditionalFormatting sqref="M105:T105">
    <cfRule type="containsBlanks" dxfId="7678" priority="7661">
      <formula>LEN(TRIM(M105))=0</formula>
    </cfRule>
  </conditionalFormatting>
  <conditionalFormatting sqref="O106:S106">
    <cfRule type="containsBlanks" dxfId="7677" priority="7660">
      <formula>LEN(TRIM(O106))=0</formula>
    </cfRule>
  </conditionalFormatting>
  <conditionalFormatting sqref="M106:N106">
    <cfRule type="containsBlanks" dxfId="7676" priority="7659">
      <formula>LEN(TRIM(M106))=0</formula>
    </cfRule>
  </conditionalFormatting>
  <conditionalFormatting sqref="M69:T69">
    <cfRule type="containsBlanks" dxfId="7675" priority="7658">
      <formula>LEN(TRIM(M69))=0</formula>
    </cfRule>
  </conditionalFormatting>
  <conditionalFormatting sqref="M70:S70">
    <cfRule type="containsBlanks" dxfId="7674" priority="7657">
      <formula>LEN(TRIM(M70))=0</formula>
    </cfRule>
  </conditionalFormatting>
  <conditionalFormatting sqref="M13:N13">
    <cfRule type="containsBlanks" dxfId="7673" priority="7656">
      <formula>LEN(TRIM(M13))=0</formula>
    </cfRule>
  </conditionalFormatting>
  <conditionalFormatting sqref="O41:Q41">
    <cfRule type="containsBlanks" dxfId="7672" priority="7655">
      <formula>LEN(TRIM(O41))=0</formula>
    </cfRule>
  </conditionalFormatting>
  <conditionalFormatting sqref="O48:Q48">
    <cfRule type="containsBlanks" dxfId="7671" priority="7654">
      <formula>LEN(TRIM(O48))=0</formula>
    </cfRule>
  </conditionalFormatting>
  <conditionalFormatting sqref="O45:Q45">
    <cfRule type="containsBlanks" dxfId="7670" priority="7653">
      <formula>LEN(TRIM(O45))=0</formula>
    </cfRule>
  </conditionalFormatting>
  <conditionalFormatting sqref="O46:Q46">
    <cfRule type="containsBlanks" dxfId="7669" priority="7652">
      <formula>LEN(TRIM(O46))=0</formula>
    </cfRule>
  </conditionalFormatting>
  <conditionalFormatting sqref="O50:Q50">
    <cfRule type="containsBlanks" dxfId="7668" priority="7651">
      <formula>LEN(TRIM(O50))=0</formula>
    </cfRule>
  </conditionalFormatting>
  <conditionalFormatting sqref="O52:Q52">
    <cfRule type="containsBlanks" dxfId="7667" priority="7650">
      <formula>LEN(TRIM(O52))=0</formula>
    </cfRule>
  </conditionalFormatting>
  <conditionalFormatting sqref="O54:Q54">
    <cfRule type="containsBlanks" dxfId="7666" priority="7649">
      <formula>LEN(TRIM(O54))=0</formula>
    </cfRule>
  </conditionalFormatting>
  <conditionalFormatting sqref="O67:Q67">
    <cfRule type="containsBlanks" dxfId="7665" priority="7648">
      <formula>LEN(TRIM(O67))=0</formula>
    </cfRule>
  </conditionalFormatting>
  <conditionalFormatting sqref="O68:Q68">
    <cfRule type="containsBlanks" dxfId="7664" priority="7647">
      <formula>LEN(TRIM(O68))=0</formula>
    </cfRule>
  </conditionalFormatting>
  <conditionalFormatting sqref="O70:Q70">
    <cfRule type="containsBlanks" dxfId="7663" priority="7646">
      <formula>LEN(TRIM(O70))=0</formula>
    </cfRule>
  </conditionalFormatting>
  <conditionalFormatting sqref="N66:T66">
    <cfRule type="containsBlanks" dxfId="7662" priority="7645">
      <formula>LEN(TRIM(N66))=0</formula>
    </cfRule>
  </conditionalFormatting>
  <conditionalFormatting sqref="M83:S83">
    <cfRule type="containsBlanks" dxfId="7661" priority="7644">
      <formula>LEN(TRIM(M83))=0</formula>
    </cfRule>
  </conditionalFormatting>
  <conditionalFormatting sqref="N86:T86">
    <cfRule type="containsBlanks" dxfId="7660" priority="7643">
      <formula>LEN(TRIM(N86))=0</formula>
    </cfRule>
  </conditionalFormatting>
  <conditionalFormatting sqref="O88:Q88">
    <cfRule type="containsBlanks" dxfId="7659" priority="7642">
      <formula>LEN(TRIM(O88))=0</formula>
    </cfRule>
  </conditionalFormatting>
  <conditionalFormatting sqref="M90:T90">
    <cfRule type="containsBlanks" dxfId="7658" priority="7641">
      <formula>LEN(TRIM(M90))=0</formula>
    </cfRule>
  </conditionalFormatting>
  <conditionalFormatting sqref="M96:T96">
    <cfRule type="containsBlanks" dxfId="7657" priority="7640">
      <formula>LEN(TRIM(M96))=0</formula>
    </cfRule>
  </conditionalFormatting>
  <conditionalFormatting sqref="O97:S97">
    <cfRule type="containsBlanks" dxfId="7656" priority="7639">
      <formula>LEN(TRIM(O97))=0</formula>
    </cfRule>
  </conditionalFormatting>
  <conditionalFormatting sqref="M97:N97">
    <cfRule type="containsBlanks" dxfId="7655" priority="7638">
      <formula>LEN(TRIM(M97))=0</formula>
    </cfRule>
  </conditionalFormatting>
  <conditionalFormatting sqref="M60:T60">
    <cfRule type="containsBlanks" dxfId="7654" priority="7637">
      <formula>LEN(TRIM(M60))=0</formula>
    </cfRule>
  </conditionalFormatting>
  <conditionalFormatting sqref="M61:S61">
    <cfRule type="containsBlanks" dxfId="7653" priority="7636">
      <formula>LEN(TRIM(M61))=0</formula>
    </cfRule>
  </conditionalFormatting>
  <conditionalFormatting sqref="O45:Q45">
    <cfRule type="containsBlanks" dxfId="7652" priority="7635">
      <formula>LEN(TRIM(O45))=0</formula>
    </cfRule>
  </conditionalFormatting>
  <conditionalFormatting sqref="O52:Q52">
    <cfRule type="containsBlanks" dxfId="7651" priority="7634">
      <formula>LEN(TRIM(O52))=0</formula>
    </cfRule>
  </conditionalFormatting>
  <conditionalFormatting sqref="O49:Q49">
    <cfRule type="containsBlanks" dxfId="7650" priority="7633">
      <formula>LEN(TRIM(O49))=0</formula>
    </cfRule>
  </conditionalFormatting>
  <conditionalFormatting sqref="O50:Q50">
    <cfRule type="containsBlanks" dxfId="7649" priority="7632">
      <formula>LEN(TRIM(O50))=0</formula>
    </cfRule>
  </conditionalFormatting>
  <conditionalFormatting sqref="O54:Q54">
    <cfRule type="containsBlanks" dxfId="7648" priority="7631">
      <formula>LEN(TRIM(O54))=0</formula>
    </cfRule>
  </conditionalFormatting>
  <conditionalFormatting sqref="O56:Q56">
    <cfRule type="containsBlanks" dxfId="7647" priority="7630">
      <formula>LEN(TRIM(O56))=0</formula>
    </cfRule>
  </conditionalFormatting>
  <conditionalFormatting sqref="O58:Q58">
    <cfRule type="containsBlanks" dxfId="7646" priority="7629">
      <formula>LEN(TRIM(O58))=0</formula>
    </cfRule>
  </conditionalFormatting>
  <conditionalFormatting sqref="O71:Q71">
    <cfRule type="containsBlanks" dxfId="7645" priority="7628">
      <formula>LEN(TRIM(O71))=0</formula>
    </cfRule>
  </conditionalFormatting>
  <conditionalFormatting sqref="O72:Q72">
    <cfRule type="containsBlanks" dxfId="7644" priority="7627">
      <formula>LEN(TRIM(O72))=0</formula>
    </cfRule>
  </conditionalFormatting>
  <conditionalFormatting sqref="O74:Q74">
    <cfRule type="containsBlanks" dxfId="7643" priority="7626">
      <formula>LEN(TRIM(O74))=0</formula>
    </cfRule>
  </conditionalFormatting>
  <conditionalFormatting sqref="N70:T70">
    <cfRule type="containsBlanks" dxfId="7642" priority="7625">
      <formula>LEN(TRIM(N70))=0</formula>
    </cfRule>
  </conditionalFormatting>
  <conditionalFormatting sqref="M87:S87">
    <cfRule type="containsBlanks" dxfId="7641" priority="7624">
      <formula>LEN(TRIM(M87))=0</formula>
    </cfRule>
  </conditionalFormatting>
  <conditionalFormatting sqref="N90:T90">
    <cfRule type="containsBlanks" dxfId="7640" priority="7623">
      <formula>LEN(TRIM(N90))=0</formula>
    </cfRule>
  </conditionalFormatting>
  <conditionalFormatting sqref="O92:Q92">
    <cfRule type="containsBlanks" dxfId="7639" priority="7622">
      <formula>LEN(TRIM(O92))=0</formula>
    </cfRule>
  </conditionalFormatting>
  <conditionalFormatting sqref="M94:T94">
    <cfRule type="containsBlanks" dxfId="7638" priority="7621">
      <formula>LEN(TRIM(M94))=0</formula>
    </cfRule>
  </conditionalFormatting>
  <conditionalFormatting sqref="M100:T100">
    <cfRule type="containsBlanks" dxfId="7637" priority="7620">
      <formula>LEN(TRIM(M100))=0</formula>
    </cfRule>
  </conditionalFormatting>
  <conditionalFormatting sqref="O101:S101">
    <cfRule type="containsBlanks" dxfId="7636" priority="7619">
      <formula>LEN(TRIM(O101))=0</formula>
    </cfRule>
  </conditionalFormatting>
  <conditionalFormatting sqref="M101:N101">
    <cfRule type="containsBlanks" dxfId="7635" priority="7618">
      <formula>LEN(TRIM(M101))=0</formula>
    </cfRule>
  </conditionalFormatting>
  <conditionalFormatting sqref="M64:T64">
    <cfRule type="containsBlanks" dxfId="7634" priority="7617">
      <formula>LEN(TRIM(M64))=0</formula>
    </cfRule>
  </conditionalFormatting>
  <conditionalFormatting sqref="M65:S65">
    <cfRule type="containsBlanks" dxfId="7633" priority="7616">
      <formula>LEN(TRIM(M65))=0</formula>
    </cfRule>
  </conditionalFormatting>
  <conditionalFormatting sqref="O36:Q36">
    <cfRule type="containsBlanks" dxfId="7632" priority="7615">
      <formula>LEN(TRIM(O36))=0</formula>
    </cfRule>
  </conditionalFormatting>
  <conditionalFormatting sqref="O43:Q43">
    <cfRule type="containsBlanks" dxfId="7631" priority="7614">
      <formula>LEN(TRIM(O43))=0</formula>
    </cfRule>
  </conditionalFormatting>
  <conditionalFormatting sqref="O40:Q40">
    <cfRule type="containsBlanks" dxfId="7630" priority="7613">
      <formula>LEN(TRIM(O40))=0</formula>
    </cfRule>
  </conditionalFormatting>
  <conditionalFormatting sqref="O41:Q41">
    <cfRule type="containsBlanks" dxfId="7629" priority="7612">
      <formula>LEN(TRIM(O41))=0</formula>
    </cfRule>
  </conditionalFormatting>
  <conditionalFormatting sqref="O45:Q45">
    <cfRule type="containsBlanks" dxfId="7628" priority="7611">
      <formula>LEN(TRIM(O45))=0</formula>
    </cfRule>
  </conditionalFormatting>
  <conditionalFormatting sqref="O47:Q47">
    <cfRule type="containsBlanks" dxfId="7627" priority="7610">
      <formula>LEN(TRIM(O47))=0</formula>
    </cfRule>
  </conditionalFormatting>
  <conditionalFormatting sqref="O49:Q49">
    <cfRule type="containsBlanks" dxfId="7626" priority="7609">
      <formula>LEN(TRIM(O49))=0</formula>
    </cfRule>
  </conditionalFormatting>
  <conditionalFormatting sqref="O62:Q62">
    <cfRule type="containsBlanks" dxfId="7625" priority="7608">
      <formula>LEN(TRIM(O62))=0</formula>
    </cfRule>
  </conditionalFormatting>
  <conditionalFormatting sqref="O63:Q63">
    <cfRule type="containsBlanks" dxfId="7624" priority="7607">
      <formula>LEN(TRIM(O63))=0</formula>
    </cfRule>
  </conditionalFormatting>
  <conditionalFormatting sqref="O65:Q65">
    <cfRule type="containsBlanks" dxfId="7623" priority="7606">
      <formula>LEN(TRIM(O65))=0</formula>
    </cfRule>
  </conditionalFormatting>
  <conditionalFormatting sqref="N61:T61">
    <cfRule type="containsBlanks" dxfId="7622" priority="7605">
      <formula>LEN(TRIM(N61))=0</formula>
    </cfRule>
  </conditionalFormatting>
  <conditionalFormatting sqref="M78:S78">
    <cfRule type="containsBlanks" dxfId="7621" priority="7604">
      <formula>LEN(TRIM(M78))=0</formula>
    </cfRule>
  </conditionalFormatting>
  <conditionalFormatting sqref="N81:T81">
    <cfRule type="containsBlanks" dxfId="7620" priority="7603">
      <formula>LEN(TRIM(N81))=0</formula>
    </cfRule>
  </conditionalFormatting>
  <conditionalFormatting sqref="O83:Q83">
    <cfRule type="containsBlanks" dxfId="7619" priority="7602">
      <formula>LEN(TRIM(O83))=0</formula>
    </cfRule>
  </conditionalFormatting>
  <conditionalFormatting sqref="M85:T85">
    <cfRule type="containsBlanks" dxfId="7618" priority="7601">
      <formula>LEN(TRIM(M85))=0</formula>
    </cfRule>
  </conditionalFormatting>
  <conditionalFormatting sqref="M91:T91">
    <cfRule type="containsBlanks" dxfId="7617" priority="7600">
      <formula>LEN(TRIM(M91))=0</formula>
    </cfRule>
  </conditionalFormatting>
  <conditionalFormatting sqref="O92:S92">
    <cfRule type="containsBlanks" dxfId="7616" priority="7599">
      <formula>LEN(TRIM(O92))=0</formula>
    </cfRule>
  </conditionalFormatting>
  <conditionalFormatting sqref="M92:N92">
    <cfRule type="containsBlanks" dxfId="7615" priority="7598">
      <formula>LEN(TRIM(M92))=0</formula>
    </cfRule>
  </conditionalFormatting>
  <conditionalFormatting sqref="M55:T55">
    <cfRule type="containsBlanks" dxfId="7614" priority="7597">
      <formula>LEN(TRIM(M55))=0</formula>
    </cfRule>
  </conditionalFormatting>
  <conditionalFormatting sqref="M56:S56">
    <cfRule type="containsBlanks" dxfId="7613" priority="7596">
      <formula>LEN(TRIM(M56))=0</formula>
    </cfRule>
  </conditionalFormatting>
  <conditionalFormatting sqref="O54:Q54">
    <cfRule type="containsBlanks" dxfId="7612" priority="7595">
      <formula>LEN(TRIM(O54))=0</formula>
    </cfRule>
  </conditionalFormatting>
  <conditionalFormatting sqref="O51:Q51">
    <cfRule type="containsBlanks" dxfId="7611" priority="7594">
      <formula>LEN(TRIM(O51))=0</formula>
    </cfRule>
  </conditionalFormatting>
  <conditionalFormatting sqref="O52:Q52">
    <cfRule type="containsBlanks" dxfId="7610" priority="7593">
      <formula>LEN(TRIM(O52))=0</formula>
    </cfRule>
  </conditionalFormatting>
  <conditionalFormatting sqref="O56:Q56">
    <cfRule type="containsBlanks" dxfId="7609" priority="7592">
      <formula>LEN(TRIM(O56))=0</formula>
    </cfRule>
  </conditionalFormatting>
  <conditionalFormatting sqref="O58:Q58">
    <cfRule type="containsBlanks" dxfId="7608" priority="7591">
      <formula>LEN(TRIM(O58))=0</formula>
    </cfRule>
  </conditionalFormatting>
  <conditionalFormatting sqref="O60:Q60">
    <cfRule type="containsBlanks" dxfId="7607" priority="7590">
      <formula>LEN(TRIM(O60))=0</formula>
    </cfRule>
  </conditionalFormatting>
  <conditionalFormatting sqref="O73:Q73">
    <cfRule type="containsBlanks" dxfId="7606" priority="7589">
      <formula>LEN(TRIM(O73))=0</formula>
    </cfRule>
  </conditionalFormatting>
  <conditionalFormatting sqref="O74:Q74">
    <cfRule type="containsBlanks" dxfId="7605" priority="7588">
      <formula>LEN(TRIM(O74))=0</formula>
    </cfRule>
  </conditionalFormatting>
  <conditionalFormatting sqref="O76:Q76">
    <cfRule type="containsBlanks" dxfId="7604" priority="7587">
      <formula>LEN(TRIM(O76))=0</formula>
    </cfRule>
  </conditionalFormatting>
  <conditionalFormatting sqref="N72:T72">
    <cfRule type="containsBlanks" dxfId="7603" priority="7586">
      <formula>LEN(TRIM(N72))=0</formula>
    </cfRule>
  </conditionalFormatting>
  <conditionalFormatting sqref="M89:S89">
    <cfRule type="containsBlanks" dxfId="7602" priority="7585">
      <formula>LEN(TRIM(M89))=0</formula>
    </cfRule>
  </conditionalFormatting>
  <conditionalFormatting sqref="N92:T92">
    <cfRule type="containsBlanks" dxfId="7601" priority="7584">
      <formula>LEN(TRIM(N92))=0</formula>
    </cfRule>
  </conditionalFormatting>
  <conditionalFormatting sqref="O94:Q94">
    <cfRule type="containsBlanks" dxfId="7600" priority="7583">
      <formula>LEN(TRIM(O94))=0</formula>
    </cfRule>
  </conditionalFormatting>
  <conditionalFormatting sqref="M96:T96">
    <cfRule type="containsBlanks" dxfId="7599" priority="7582">
      <formula>LEN(TRIM(M96))=0</formula>
    </cfRule>
  </conditionalFormatting>
  <conditionalFormatting sqref="M102:T102">
    <cfRule type="containsBlanks" dxfId="7598" priority="7581">
      <formula>LEN(TRIM(M102))=0</formula>
    </cfRule>
  </conditionalFormatting>
  <conditionalFormatting sqref="O103:S103">
    <cfRule type="containsBlanks" dxfId="7597" priority="7580">
      <formula>LEN(TRIM(O103))=0</formula>
    </cfRule>
  </conditionalFormatting>
  <conditionalFormatting sqref="M103:N103">
    <cfRule type="containsBlanks" dxfId="7596" priority="7579">
      <formula>LEN(TRIM(M103))=0</formula>
    </cfRule>
  </conditionalFormatting>
  <conditionalFormatting sqref="M66:T66">
    <cfRule type="containsBlanks" dxfId="7595" priority="7578">
      <formula>LEN(TRIM(M66))=0</formula>
    </cfRule>
  </conditionalFormatting>
  <conditionalFormatting sqref="M67:S67">
    <cfRule type="containsBlanks" dxfId="7594" priority="7577">
      <formula>LEN(TRIM(M67))=0</formula>
    </cfRule>
  </conditionalFormatting>
  <conditionalFormatting sqref="O51:Q51">
    <cfRule type="containsBlanks" dxfId="7593" priority="7576">
      <formula>LEN(TRIM(O51))=0</formula>
    </cfRule>
  </conditionalFormatting>
  <conditionalFormatting sqref="O64:Q64">
    <cfRule type="containsBlanks" dxfId="7592" priority="7575">
      <formula>LEN(TRIM(O64))=0</formula>
    </cfRule>
  </conditionalFormatting>
  <conditionalFormatting sqref="O65:Q65">
    <cfRule type="containsBlanks" dxfId="7591" priority="7574">
      <formula>LEN(TRIM(O65))=0</formula>
    </cfRule>
  </conditionalFormatting>
  <conditionalFormatting sqref="O67:Q67">
    <cfRule type="containsBlanks" dxfId="7590" priority="7573">
      <formula>LEN(TRIM(O67))=0</formula>
    </cfRule>
  </conditionalFormatting>
  <conditionalFormatting sqref="N63:T63">
    <cfRule type="containsBlanks" dxfId="7589" priority="7572">
      <formula>LEN(TRIM(N63))=0</formula>
    </cfRule>
  </conditionalFormatting>
  <conditionalFormatting sqref="M80:S80">
    <cfRule type="containsBlanks" dxfId="7588" priority="7571">
      <formula>LEN(TRIM(M80))=0</formula>
    </cfRule>
  </conditionalFormatting>
  <conditionalFormatting sqref="N83:T83">
    <cfRule type="containsBlanks" dxfId="7587" priority="7570">
      <formula>LEN(TRIM(N83))=0</formula>
    </cfRule>
  </conditionalFormatting>
  <conditionalFormatting sqref="O85:Q85">
    <cfRule type="containsBlanks" dxfId="7586" priority="7569">
      <formula>LEN(TRIM(O85))=0</formula>
    </cfRule>
  </conditionalFormatting>
  <conditionalFormatting sqref="M87:T87">
    <cfRule type="containsBlanks" dxfId="7585" priority="7568">
      <formula>LEN(TRIM(M87))=0</formula>
    </cfRule>
  </conditionalFormatting>
  <conditionalFormatting sqref="M93:T93">
    <cfRule type="containsBlanks" dxfId="7584" priority="7567">
      <formula>LEN(TRIM(M93))=0</formula>
    </cfRule>
  </conditionalFormatting>
  <conditionalFormatting sqref="O94:S94">
    <cfRule type="containsBlanks" dxfId="7583" priority="7566">
      <formula>LEN(TRIM(O94))=0</formula>
    </cfRule>
  </conditionalFormatting>
  <conditionalFormatting sqref="M94:N94">
    <cfRule type="containsBlanks" dxfId="7582" priority="7565">
      <formula>LEN(TRIM(M94))=0</formula>
    </cfRule>
  </conditionalFormatting>
  <conditionalFormatting sqref="M57:T57">
    <cfRule type="containsBlanks" dxfId="7581" priority="7564">
      <formula>LEN(TRIM(M57))=0</formula>
    </cfRule>
  </conditionalFormatting>
  <conditionalFormatting sqref="M58:S58">
    <cfRule type="containsBlanks" dxfId="7580" priority="7563">
      <formula>LEN(TRIM(M58))=0</formula>
    </cfRule>
  </conditionalFormatting>
  <conditionalFormatting sqref="O51:Q51">
    <cfRule type="containsBlanks" dxfId="7579" priority="7562">
      <formula>LEN(TRIM(O51))=0</formula>
    </cfRule>
  </conditionalFormatting>
  <conditionalFormatting sqref="O53:Q53">
    <cfRule type="containsBlanks" dxfId="7578" priority="7561">
      <formula>LEN(TRIM(O53))=0</formula>
    </cfRule>
  </conditionalFormatting>
  <conditionalFormatting sqref="O55:Q55">
    <cfRule type="containsBlanks" dxfId="7577" priority="7560">
      <formula>LEN(TRIM(O55))=0</formula>
    </cfRule>
  </conditionalFormatting>
  <conditionalFormatting sqref="O68:Q68">
    <cfRule type="containsBlanks" dxfId="7576" priority="7559">
      <formula>LEN(TRIM(O68))=0</formula>
    </cfRule>
  </conditionalFormatting>
  <conditionalFormatting sqref="O69:Q69">
    <cfRule type="containsBlanks" dxfId="7575" priority="7558">
      <formula>LEN(TRIM(O69))=0</formula>
    </cfRule>
  </conditionalFormatting>
  <conditionalFormatting sqref="O71:Q71">
    <cfRule type="containsBlanks" dxfId="7574" priority="7557">
      <formula>LEN(TRIM(O71))=0</formula>
    </cfRule>
  </conditionalFormatting>
  <conditionalFormatting sqref="N67:T67">
    <cfRule type="containsBlanks" dxfId="7573" priority="7556">
      <formula>LEN(TRIM(N67))=0</formula>
    </cfRule>
  </conditionalFormatting>
  <conditionalFormatting sqref="M84:S84">
    <cfRule type="containsBlanks" dxfId="7572" priority="7555">
      <formula>LEN(TRIM(M84))=0</formula>
    </cfRule>
  </conditionalFormatting>
  <conditionalFormatting sqref="N87:T87">
    <cfRule type="containsBlanks" dxfId="7571" priority="7554">
      <formula>LEN(TRIM(N87))=0</formula>
    </cfRule>
  </conditionalFormatting>
  <conditionalFormatting sqref="O89:Q89">
    <cfRule type="containsBlanks" dxfId="7570" priority="7553">
      <formula>LEN(TRIM(O89))=0</formula>
    </cfRule>
  </conditionalFormatting>
  <conditionalFormatting sqref="M91:T91">
    <cfRule type="containsBlanks" dxfId="7569" priority="7552">
      <formula>LEN(TRIM(M91))=0</formula>
    </cfRule>
  </conditionalFormatting>
  <conditionalFormatting sqref="M97:T97">
    <cfRule type="containsBlanks" dxfId="7568" priority="7551">
      <formula>LEN(TRIM(M97))=0</formula>
    </cfRule>
  </conditionalFormatting>
  <conditionalFormatting sqref="O98:S98">
    <cfRule type="containsBlanks" dxfId="7567" priority="7550">
      <formula>LEN(TRIM(O98))=0</formula>
    </cfRule>
  </conditionalFormatting>
  <conditionalFormatting sqref="M98:N98">
    <cfRule type="containsBlanks" dxfId="7566" priority="7549">
      <formula>LEN(TRIM(M98))=0</formula>
    </cfRule>
  </conditionalFormatting>
  <conditionalFormatting sqref="M61:T61">
    <cfRule type="containsBlanks" dxfId="7565" priority="7548">
      <formula>LEN(TRIM(M61))=0</formula>
    </cfRule>
  </conditionalFormatting>
  <conditionalFormatting sqref="M62:S62">
    <cfRule type="containsBlanks" dxfId="7564" priority="7547">
      <formula>LEN(TRIM(M62))=0</formula>
    </cfRule>
  </conditionalFormatting>
  <conditionalFormatting sqref="O59:Q59">
    <cfRule type="containsBlanks" dxfId="7563" priority="7546">
      <formula>LEN(TRIM(O59))=0</formula>
    </cfRule>
  </conditionalFormatting>
  <conditionalFormatting sqref="O60:Q60">
    <cfRule type="containsBlanks" dxfId="7562" priority="7545">
      <formula>LEN(TRIM(O60))=0</formula>
    </cfRule>
  </conditionalFormatting>
  <conditionalFormatting sqref="O62:Q62">
    <cfRule type="containsBlanks" dxfId="7561" priority="7544">
      <formula>LEN(TRIM(O62))=0</formula>
    </cfRule>
  </conditionalFormatting>
  <conditionalFormatting sqref="N58:T58">
    <cfRule type="containsBlanks" dxfId="7560" priority="7543">
      <formula>LEN(TRIM(N58))=0</formula>
    </cfRule>
  </conditionalFormatting>
  <conditionalFormatting sqref="M75:S75">
    <cfRule type="containsBlanks" dxfId="7559" priority="7542">
      <formula>LEN(TRIM(M75))=0</formula>
    </cfRule>
  </conditionalFormatting>
  <conditionalFormatting sqref="N78:T78">
    <cfRule type="containsBlanks" dxfId="7558" priority="7541">
      <formula>LEN(TRIM(N78))=0</formula>
    </cfRule>
  </conditionalFormatting>
  <conditionalFormatting sqref="O80:Q80">
    <cfRule type="containsBlanks" dxfId="7557" priority="7540">
      <formula>LEN(TRIM(O80))=0</formula>
    </cfRule>
  </conditionalFormatting>
  <conditionalFormatting sqref="M82:T82">
    <cfRule type="containsBlanks" dxfId="7556" priority="7539">
      <formula>LEN(TRIM(M82))=0</formula>
    </cfRule>
  </conditionalFormatting>
  <conditionalFormatting sqref="M88:T88">
    <cfRule type="containsBlanks" dxfId="7555" priority="7538">
      <formula>LEN(TRIM(M88))=0</formula>
    </cfRule>
  </conditionalFormatting>
  <conditionalFormatting sqref="O89:S89">
    <cfRule type="containsBlanks" dxfId="7554" priority="7537">
      <formula>LEN(TRIM(O89))=0</formula>
    </cfRule>
  </conditionalFormatting>
  <conditionalFormatting sqref="M89:N89">
    <cfRule type="containsBlanks" dxfId="7553" priority="7536">
      <formula>LEN(TRIM(M89))=0</formula>
    </cfRule>
  </conditionalFormatting>
  <conditionalFormatting sqref="M52:T52">
    <cfRule type="containsBlanks" dxfId="7552" priority="7535">
      <formula>LEN(TRIM(M52))=0</formula>
    </cfRule>
  </conditionalFormatting>
  <conditionalFormatting sqref="M53:S53">
    <cfRule type="containsBlanks" dxfId="7551" priority="7534">
      <formula>LEN(TRIM(M53))=0</formula>
    </cfRule>
  </conditionalFormatting>
  <conditionalFormatting sqref="M19:N19">
    <cfRule type="containsBlanks" dxfId="7550" priority="7533">
      <formula>LEN(TRIM(M19))=0</formula>
    </cfRule>
  </conditionalFormatting>
  <conditionalFormatting sqref="O47:Q47">
    <cfRule type="containsBlanks" dxfId="7549" priority="7532">
      <formula>LEN(TRIM(O47))=0</formula>
    </cfRule>
  </conditionalFormatting>
  <conditionalFormatting sqref="O54:Q54">
    <cfRule type="containsBlanks" dxfId="7548" priority="7531">
      <formula>LEN(TRIM(O54))=0</formula>
    </cfRule>
  </conditionalFormatting>
  <conditionalFormatting sqref="O51:Q51">
    <cfRule type="containsBlanks" dxfId="7547" priority="7530">
      <formula>LEN(TRIM(O51))=0</formula>
    </cfRule>
  </conditionalFormatting>
  <conditionalFormatting sqref="O52:Q52">
    <cfRule type="containsBlanks" dxfId="7546" priority="7529">
      <formula>LEN(TRIM(O52))=0</formula>
    </cfRule>
  </conditionalFormatting>
  <conditionalFormatting sqref="O56:Q56">
    <cfRule type="containsBlanks" dxfId="7545" priority="7528">
      <formula>LEN(TRIM(O56))=0</formula>
    </cfRule>
  </conditionalFormatting>
  <conditionalFormatting sqref="O58:Q58">
    <cfRule type="containsBlanks" dxfId="7544" priority="7527">
      <formula>LEN(TRIM(O58))=0</formula>
    </cfRule>
  </conditionalFormatting>
  <conditionalFormatting sqref="O60:Q60">
    <cfRule type="containsBlanks" dxfId="7543" priority="7526">
      <formula>LEN(TRIM(O60))=0</formula>
    </cfRule>
  </conditionalFormatting>
  <conditionalFormatting sqref="O73:Q73">
    <cfRule type="containsBlanks" dxfId="7542" priority="7525">
      <formula>LEN(TRIM(O73))=0</formula>
    </cfRule>
  </conditionalFormatting>
  <conditionalFormatting sqref="O74:Q74">
    <cfRule type="containsBlanks" dxfId="7541" priority="7524">
      <formula>LEN(TRIM(O74))=0</formula>
    </cfRule>
  </conditionalFormatting>
  <conditionalFormatting sqref="O76:Q76">
    <cfRule type="containsBlanks" dxfId="7540" priority="7523">
      <formula>LEN(TRIM(O76))=0</formula>
    </cfRule>
  </conditionalFormatting>
  <conditionalFormatting sqref="M11:T11">
    <cfRule type="containsBlanks" dxfId="7539" priority="7522">
      <formula>LEN(TRIM(M11))=0</formula>
    </cfRule>
  </conditionalFormatting>
  <conditionalFormatting sqref="N72:T72">
    <cfRule type="containsBlanks" dxfId="7538" priority="7521">
      <formula>LEN(TRIM(N72))=0</formula>
    </cfRule>
  </conditionalFormatting>
  <conditionalFormatting sqref="M89:S89">
    <cfRule type="containsBlanks" dxfId="7537" priority="7520">
      <formula>LEN(TRIM(M89))=0</formula>
    </cfRule>
  </conditionalFormatting>
  <conditionalFormatting sqref="N92:T92">
    <cfRule type="containsBlanks" dxfId="7536" priority="7519">
      <formula>LEN(TRIM(N92))=0</formula>
    </cfRule>
  </conditionalFormatting>
  <conditionalFormatting sqref="O94:Q94">
    <cfRule type="containsBlanks" dxfId="7535" priority="7518">
      <formula>LEN(TRIM(O94))=0</formula>
    </cfRule>
  </conditionalFormatting>
  <conditionalFormatting sqref="M96:T96">
    <cfRule type="containsBlanks" dxfId="7534" priority="7517">
      <formula>LEN(TRIM(M96))=0</formula>
    </cfRule>
  </conditionalFormatting>
  <conditionalFormatting sqref="M102:T102">
    <cfRule type="containsBlanks" dxfId="7533" priority="7516">
      <formula>LEN(TRIM(M102))=0</formula>
    </cfRule>
  </conditionalFormatting>
  <conditionalFormatting sqref="O103:S103">
    <cfRule type="containsBlanks" dxfId="7532" priority="7515">
      <formula>LEN(TRIM(O103))=0</formula>
    </cfRule>
  </conditionalFormatting>
  <conditionalFormatting sqref="M103:N103">
    <cfRule type="containsBlanks" dxfId="7531" priority="7514">
      <formula>LEN(TRIM(M103))=0</formula>
    </cfRule>
  </conditionalFormatting>
  <conditionalFormatting sqref="M66:T66">
    <cfRule type="containsBlanks" dxfId="7530" priority="7513">
      <formula>LEN(TRIM(M66))=0</formula>
    </cfRule>
  </conditionalFormatting>
  <conditionalFormatting sqref="M67:S67">
    <cfRule type="containsBlanks" dxfId="7529" priority="7512">
      <formula>LEN(TRIM(M67))=0</formula>
    </cfRule>
  </conditionalFormatting>
  <conditionalFormatting sqref="O38:Q38">
    <cfRule type="containsBlanks" dxfId="7528" priority="7511">
      <formula>LEN(TRIM(O38))=0</formula>
    </cfRule>
  </conditionalFormatting>
  <conditionalFormatting sqref="O45:Q45">
    <cfRule type="containsBlanks" dxfId="7527" priority="7510">
      <formula>LEN(TRIM(O45))=0</formula>
    </cfRule>
  </conditionalFormatting>
  <conditionalFormatting sqref="O42:Q42">
    <cfRule type="containsBlanks" dxfId="7526" priority="7509">
      <formula>LEN(TRIM(O42))=0</formula>
    </cfRule>
  </conditionalFormatting>
  <conditionalFormatting sqref="O43:Q43">
    <cfRule type="containsBlanks" dxfId="7525" priority="7508">
      <formula>LEN(TRIM(O43))=0</formula>
    </cfRule>
  </conditionalFormatting>
  <conditionalFormatting sqref="O47:Q47">
    <cfRule type="containsBlanks" dxfId="7524" priority="7507">
      <formula>LEN(TRIM(O47))=0</formula>
    </cfRule>
  </conditionalFormatting>
  <conditionalFormatting sqref="O49:Q49">
    <cfRule type="containsBlanks" dxfId="7523" priority="7506">
      <formula>LEN(TRIM(O49))=0</formula>
    </cfRule>
  </conditionalFormatting>
  <conditionalFormatting sqref="O51:Q51">
    <cfRule type="containsBlanks" dxfId="7522" priority="7505">
      <formula>LEN(TRIM(O51))=0</formula>
    </cfRule>
  </conditionalFormatting>
  <conditionalFormatting sqref="O64:Q64">
    <cfRule type="containsBlanks" dxfId="7521" priority="7504">
      <formula>LEN(TRIM(O64))=0</formula>
    </cfRule>
  </conditionalFormatting>
  <conditionalFormatting sqref="O65:Q65">
    <cfRule type="containsBlanks" dxfId="7520" priority="7503">
      <formula>LEN(TRIM(O65))=0</formula>
    </cfRule>
  </conditionalFormatting>
  <conditionalFormatting sqref="O67:Q67">
    <cfRule type="containsBlanks" dxfId="7519" priority="7502">
      <formula>LEN(TRIM(O67))=0</formula>
    </cfRule>
  </conditionalFormatting>
  <conditionalFormatting sqref="N63:T63">
    <cfRule type="containsBlanks" dxfId="7518" priority="7501">
      <formula>LEN(TRIM(N63))=0</formula>
    </cfRule>
  </conditionalFormatting>
  <conditionalFormatting sqref="M80:S80">
    <cfRule type="containsBlanks" dxfId="7517" priority="7500">
      <formula>LEN(TRIM(M80))=0</formula>
    </cfRule>
  </conditionalFormatting>
  <conditionalFormatting sqref="N83:T83">
    <cfRule type="containsBlanks" dxfId="7516" priority="7499">
      <formula>LEN(TRIM(N83))=0</formula>
    </cfRule>
  </conditionalFormatting>
  <conditionalFormatting sqref="O85:Q85">
    <cfRule type="containsBlanks" dxfId="7515" priority="7498">
      <formula>LEN(TRIM(O85))=0</formula>
    </cfRule>
  </conditionalFormatting>
  <conditionalFormatting sqref="M87:T87">
    <cfRule type="containsBlanks" dxfId="7514" priority="7497">
      <formula>LEN(TRIM(M87))=0</formula>
    </cfRule>
  </conditionalFormatting>
  <conditionalFormatting sqref="M93:T93">
    <cfRule type="containsBlanks" dxfId="7513" priority="7496">
      <formula>LEN(TRIM(M93))=0</formula>
    </cfRule>
  </conditionalFormatting>
  <conditionalFormatting sqref="O94:S94">
    <cfRule type="containsBlanks" dxfId="7512" priority="7495">
      <formula>LEN(TRIM(O94))=0</formula>
    </cfRule>
  </conditionalFormatting>
  <conditionalFormatting sqref="M94:N94">
    <cfRule type="containsBlanks" dxfId="7511" priority="7494">
      <formula>LEN(TRIM(M94))=0</formula>
    </cfRule>
  </conditionalFormatting>
  <conditionalFormatting sqref="M57:T57">
    <cfRule type="containsBlanks" dxfId="7510" priority="7493">
      <formula>LEN(TRIM(M57))=0</formula>
    </cfRule>
  </conditionalFormatting>
  <conditionalFormatting sqref="M58:S58">
    <cfRule type="containsBlanks" dxfId="7509" priority="7492">
      <formula>LEN(TRIM(M58))=0</formula>
    </cfRule>
  </conditionalFormatting>
  <conditionalFormatting sqref="O42:Q42">
    <cfRule type="containsBlanks" dxfId="7508" priority="7491">
      <formula>LEN(TRIM(O42))=0</formula>
    </cfRule>
  </conditionalFormatting>
  <conditionalFormatting sqref="O49:Q49">
    <cfRule type="containsBlanks" dxfId="7507" priority="7490">
      <formula>LEN(TRIM(O49))=0</formula>
    </cfRule>
  </conditionalFormatting>
  <conditionalFormatting sqref="O46:Q46">
    <cfRule type="containsBlanks" dxfId="7506" priority="7489">
      <formula>LEN(TRIM(O46))=0</formula>
    </cfRule>
  </conditionalFormatting>
  <conditionalFormatting sqref="O47:Q47">
    <cfRule type="containsBlanks" dxfId="7505" priority="7488">
      <formula>LEN(TRIM(O47))=0</formula>
    </cfRule>
  </conditionalFormatting>
  <conditionalFormatting sqref="O51:Q51">
    <cfRule type="containsBlanks" dxfId="7504" priority="7487">
      <formula>LEN(TRIM(O51))=0</formula>
    </cfRule>
  </conditionalFormatting>
  <conditionalFormatting sqref="O53:Q53">
    <cfRule type="containsBlanks" dxfId="7503" priority="7486">
      <formula>LEN(TRIM(O53))=0</formula>
    </cfRule>
  </conditionalFormatting>
  <conditionalFormatting sqref="O55:Q55">
    <cfRule type="containsBlanks" dxfId="7502" priority="7485">
      <formula>LEN(TRIM(O55))=0</formula>
    </cfRule>
  </conditionalFormatting>
  <conditionalFormatting sqref="O68:Q68">
    <cfRule type="containsBlanks" dxfId="7501" priority="7484">
      <formula>LEN(TRIM(O68))=0</formula>
    </cfRule>
  </conditionalFormatting>
  <conditionalFormatting sqref="O69:Q69">
    <cfRule type="containsBlanks" dxfId="7500" priority="7483">
      <formula>LEN(TRIM(O69))=0</formula>
    </cfRule>
  </conditionalFormatting>
  <conditionalFormatting sqref="O71:Q71">
    <cfRule type="containsBlanks" dxfId="7499" priority="7482">
      <formula>LEN(TRIM(O71))=0</formula>
    </cfRule>
  </conditionalFormatting>
  <conditionalFormatting sqref="N67:T67">
    <cfRule type="containsBlanks" dxfId="7498" priority="7481">
      <formula>LEN(TRIM(N67))=0</formula>
    </cfRule>
  </conditionalFormatting>
  <conditionalFormatting sqref="M84:S84">
    <cfRule type="containsBlanks" dxfId="7497" priority="7480">
      <formula>LEN(TRIM(M84))=0</formula>
    </cfRule>
  </conditionalFormatting>
  <conditionalFormatting sqref="N87:T87">
    <cfRule type="containsBlanks" dxfId="7496" priority="7479">
      <formula>LEN(TRIM(N87))=0</formula>
    </cfRule>
  </conditionalFormatting>
  <conditionalFormatting sqref="O89:Q89">
    <cfRule type="containsBlanks" dxfId="7495" priority="7478">
      <formula>LEN(TRIM(O89))=0</formula>
    </cfRule>
  </conditionalFormatting>
  <conditionalFormatting sqref="M91:T91">
    <cfRule type="containsBlanks" dxfId="7494" priority="7477">
      <formula>LEN(TRIM(M91))=0</formula>
    </cfRule>
  </conditionalFormatting>
  <conditionalFormatting sqref="M97:T97">
    <cfRule type="containsBlanks" dxfId="7493" priority="7476">
      <formula>LEN(TRIM(M97))=0</formula>
    </cfRule>
  </conditionalFormatting>
  <conditionalFormatting sqref="O98:S98">
    <cfRule type="containsBlanks" dxfId="7492" priority="7475">
      <formula>LEN(TRIM(O98))=0</formula>
    </cfRule>
  </conditionalFormatting>
  <conditionalFormatting sqref="M98:N98">
    <cfRule type="containsBlanks" dxfId="7491" priority="7474">
      <formula>LEN(TRIM(M98))=0</formula>
    </cfRule>
  </conditionalFormatting>
  <conditionalFormatting sqref="M61:T61">
    <cfRule type="containsBlanks" dxfId="7490" priority="7473">
      <formula>LEN(TRIM(M61))=0</formula>
    </cfRule>
  </conditionalFormatting>
  <conditionalFormatting sqref="M62:S62">
    <cfRule type="containsBlanks" dxfId="7489" priority="7472">
      <formula>LEN(TRIM(M62))=0</formula>
    </cfRule>
  </conditionalFormatting>
  <conditionalFormatting sqref="O33:Q33">
    <cfRule type="containsBlanks" dxfId="7488" priority="7471">
      <formula>LEN(TRIM(O33))=0</formula>
    </cfRule>
  </conditionalFormatting>
  <conditionalFormatting sqref="O40:Q40">
    <cfRule type="containsBlanks" dxfId="7487" priority="7470">
      <formula>LEN(TRIM(O40))=0</formula>
    </cfRule>
  </conditionalFormatting>
  <conditionalFormatting sqref="O37:Q37">
    <cfRule type="containsBlanks" dxfId="7486" priority="7469">
      <formula>LEN(TRIM(O37))=0</formula>
    </cfRule>
  </conditionalFormatting>
  <conditionalFormatting sqref="O38:Q38">
    <cfRule type="containsBlanks" dxfId="7485" priority="7468">
      <formula>LEN(TRIM(O38))=0</formula>
    </cfRule>
  </conditionalFormatting>
  <conditionalFormatting sqref="O42:Q42">
    <cfRule type="containsBlanks" dxfId="7484" priority="7467">
      <formula>LEN(TRIM(O42))=0</formula>
    </cfRule>
  </conditionalFormatting>
  <conditionalFormatting sqref="O44:Q44">
    <cfRule type="containsBlanks" dxfId="7483" priority="7466">
      <formula>LEN(TRIM(O44))=0</formula>
    </cfRule>
  </conditionalFormatting>
  <conditionalFormatting sqref="O46:Q46">
    <cfRule type="containsBlanks" dxfId="7482" priority="7465">
      <formula>LEN(TRIM(O46))=0</formula>
    </cfRule>
  </conditionalFormatting>
  <conditionalFormatting sqref="O59:Q59">
    <cfRule type="containsBlanks" dxfId="7481" priority="7464">
      <formula>LEN(TRIM(O59))=0</formula>
    </cfRule>
  </conditionalFormatting>
  <conditionalFormatting sqref="O60:Q60">
    <cfRule type="containsBlanks" dxfId="7480" priority="7463">
      <formula>LEN(TRIM(O60))=0</formula>
    </cfRule>
  </conditionalFormatting>
  <conditionalFormatting sqref="O62:Q62">
    <cfRule type="containsBlanks" dxfId="7479" priority="7462">
      <formula>LEN(TRIM(O62))=0</formula>
    </cfRule>
  </conditionalFormatting>
  <conditionalFormatting sqref="N58:T58">
    <cfRule type="containsBlanks" dxfId="7478" priority="7461">
      <formula>LEN(TRIM(N58))=0</formula>
    </cfRule>
  </conditionalFormatting>
  <conditionalFormatting sqref="M75:S75">
    <cfRule type="containsBlanks" dxfId="7477" priority="7460">
      <formula>LEN(TRIM(M75))=0</formula>
    </cfRule>
  </conditionalFormatting>
  <conditionalFormatting sqref="N78:T78">
    <cfRule type="containsBlanks" dxfId="7476" priority="7459">
      <formula>LEN(TRIM(N78))=0</formula>
    </cfRule>
  </conditionalFormatting>
  <conditionalFormatting sqref="O80:Q80">
    <cfRule type="containsBlanks" dxfId="7475" priority="7458">
      <formula>LEN(TRIM(O80))=0</formula>
    </cfRule>
  </conditionalFormatting>
  <conditionalFormatting sqref="M82:T82">
    <cfRule type="containsBlanks" dxfId="7474" priority="7457">
      <formula>LEN(TRIM(M82))=0</formula>
    </cfRule>
  </conditionalFormatting>
  <conditionalFormatting sqref="M88:T88">
    <cfRule type="containsBlanks" dxfId="7473" priority="7456">
      <formula>LEN(TRIM(M88))=0</formula>
    </cfRule>
  </conditionalFormatting>
  <conditionalFormatting sqref="O89:S89">
    <cfRule type="containsBlanks" dxfId="7472" priority="7455">
      <formula>LEN(TRIM(O89))=0</formula>
    </cfRule>
  </conditionalFormatting>
  <conditionalFormatting sqref="M89:N89">
    <cfRule type="containsBlanks" dxfId="7471" priority="7454">
      <formula>LEN(TRIM(M89))=0</formula>
    </cfRule>
  </conditionalFormatting>
  <conditionalFormatting sqref="M52:T52">
    <cfRule type="containsBlanks" dxfId="7470" priority="7453">
      <formula>LEN(TRIM(M52))=0</formula>
    </cfRule>
  </conditionalFormatting>
  <conditionalFormatting sqref="M53:S53">
    <cfRule type="containsBlanks" dxfId="7469" priority="7452">
      <formula>LEN(TRIM(M53))=0</formula>
    </cfRule>
  </conditionalFormatting>
  <conditionalFormatting sqref="O51:Q51">
    <cfRule type="containsBlanks" dxfId="7468" priority="7451">
      <formula>LEN(TRIM(O51))=0</formula>
    </cfRule>
  </conditionalFormatting>
  <conditionalFormatting sqref="O48:Q48">
    <cfRule type="containsBlanks" dxfId="7467" priority="7450">
      <formula>LEN(TRIM(O48))=0</formula>
    </cfRule>
  </conditionalFormatting>
  <conditionalFormatting sqref="O49:Q49">
    <cfRule type="containsBlanks" dxfId="7466" priority="7449">
      <formula>LEN(TRIM(O49))=0</formula>
    </cfRule>
  </conditionalFormatting>
  <conditionalFormatting sqref="O53:Q53">
    <cfRule type="containsBlanks" dxfId="7465" priority="7448">
      <formula>LEN(TRIM(O53))=0</formula>
    </cfRule>
  </conditionalFormatting>
  <conditionalFormatting sqref="O55:Q55">
    <cfRule type="containsBlanks" dxfId="7464" priority="7447">
      <formula>LEN(TRIM(O55))=0</formula>
    </cfRule>
  </conditionalFormatting>
  <conditionalFormatting sqref="O57:Q57">
    <cfRule type="containsBlanks" dxfId="7463" priority="7446">
      <formula>LEN(TRIM(O57))=0</formula>
    </cfRule>
  </conditionalFormatting>
  <conditionalFormatting sqref="O70:Q70">
    <cfRule type="containsBlanks" dxfId="7462" priority="7445">
      <formula>LEN(TRIM(O70))=0</formula>
    </cfRule>
  </conditionalFormatting>
  <conditionalFormatting sqref="O71:Q71">
    <cfRule type="containsBlanks" dxfId="7461" priority="7444">
      <formula>LEN(TRIM(O71))=0</formula>
    </cfRule>
  </conditionalFormatting>
  <conditionalFormatting sqref="O73:Q73">
    <cfRule type="containsBlanks" dxfId="7460" priority="7443">
      <formula>LEN(TRIM(O73))=0</formula>
    </cfRule>
  </conditionalFormatting>
  <conditionalFormatting sqref="N69:T69">
    <cfRule type="containsBlanks" dxfId="7459" priority="7442">
      <formula>LEN(TRIM(N69))=0</formula>
    </cfRule>
  </conditionalFormatting>
  <conditionalFormatting sqref="M86:S86">
    <cfRule type="containsBlanks" dxfId="7458" priority="7441">
      <formula>LEN(TRIM(M86))=0</formula>
    </cfRule>
  </conditionalFormatting>
  <conditionalFormatting sqref="N89:T89">
    <cfRule type="containsBlanks" dxfId="7457" priority="7440">
      <formula>LEN(TRIM(N89))=0</formula>
    </cfRule>
  </conditionalFormatting>
  <conditionalFormatting sqref="O91:Q91">
    <cfRule type="containsBlanks" dxfId="7456" priority="7439">
      <formula>LEN(TRIM(O91))=0</formula>
    </cfRule>
  </conditionalFormatting>
  <conditionalFormatting sqref="M93:T93">
    <cfRule type="containsBlanks" dxfId="7455" priority="7438">
      <formula>LEN(TRIM(M93))=0</formula>
    </cfRule>
  </conditionalFormatting>
  <conditionalFormatting sqref="O100:S100">
    <cfRule type="containsBlanks" dxfId="7454" priority="7436">
      <formula>LEN(TRIM(O100))=0</formula>
    </cfRule>
  </conditionalFormatting>
  <conditionalFormatting sqref="M100:N100">
    <cfRule type="containsBlanks" dxfId="7453" priority="7435">
      <formula>LEN(TRIM(M100))=0</formula>
    </cfRule>
  </conditionalFormatting>
  <conditionalFormatting sqref="M63:T63">
    <cfRule type="containsBlanks" dxfId="7452" priority="7434">
      <formula>LEN(TRIM(M63))=0</formula>
    </cfRule>
  </conditionalFormatting>
  <conditionalFormatting sqref="M64:S64">
    <cfRule type="containsBlanks" dxfId="7451" priority="7433">
      <formula>LEN(TRIM(M64))=0</formula>
    </cfRule>
  </conditionalFormatting>
  <conditionalFormatting sqref="O48:Q48">
    <cfRule type="containsBlanks" dxfId="7450" priority="7432">
      <formula>LEN(TRIM(O48))=0</formula>
    </cfRule>
  </conditionalFormatting>
  <conditionalFormatting sqref="O61:Q61">
    <cfRule type="containsBlanks" dxfId="7449" priority="7431">
      <formula>LEN(TRIM(O61))=0</formula>
    </cfRule>
  </conditionalFormatting>
  <conditionalFormatting sqref="O62:Q62">
    <cfRule type="containsBlanks" dxfId="7448" priority="7430">
      <formula>LEN(TRIM(O62))=0</formula>
    </cfRule>
  </conditionalFormatting>
  <conditionalFormatting sqref="O64:Q64">
    <cfRule type="containsBlanks" dxfId="7447" priority="7429">
      <formula>LEN(TRIM(O64))=0</formula>
    </cfRule>
  </conditionalFormatting>
  <conditionalFormatting sqref="N60:T60">
    <cfRule type="containsBlanks" dxfId="7446" priority="7428">
      <formula>LEN(TRIM(N60))=0</formula>
    </cfRule>
  </conditionalFormatting>
  <conditionalFormatting sqref="M77:S77">
    <cfRule type="containsBlanks" dxfId="7445" priority="7427">
      <formula>LEN(TRIM(M77))=0</formula>
    </cfRule>
  </conditionalFormatting>
  <conditionalFormatting sqref="N80:T80">
    <cfRule type="containsBlanks" dxfId="7444" priority="7426">
      <formula>LEN(TRIM(N80))=0</formula>
    </cfRule>
  </conditionalFormatting>
  <conditionalFormatting sqref="O82:Q82">
    <cfRule type="containsBlanks" dxfId="7443" priority="7425">
      <formula>LEN(TRIM(O82))=0</formula>
    </cfRule>
  </conditionalFormatting>
  <conditionalFormatting sqref="M84:T84">
    <cfRule type="containsBlanks" dxfId="7442" priority="7424">
      <formula>LEN(TRIM(M84))=0</formula>
    </cfRule>
  </conditionalFormatting>
  <conditionalFormatting sqref="M90:T90">
    <cfRule type="containsBlanks" dxfId="7441" priority="7423">
      <formula>LEN(TRIM(M90))=0</formula>
    </cfRule>
  </conditionalFormatting>
  <conditionalFormatting sqref="O91:S91">
    <cfRule type="containsBlanks" dxfId="7440" priority="7422">
      <formula>LEN(TRIM(O91))=0</formula>
    </cfRule>
  </conditionalFormatting>
  <conditionalFormatting sqref="M91:N91">
    <cfRule type="containsBlanks" dxfId="7439" priority="7421">
      <formula>LEN(TRIM(M91))=0</formula>
    </cfRule>
  </conditionalFormatting>
  <conditionalFormatting sqref="M54:T54">
    <cfRule type="containsBlanks" dxfId="7438" priority="7420">
      <formula>LEN(TRIM(M54))=0</formula>
    </cfRule>
  </conditionalFormatting>
  <conditionalFormatting sqref="M55:S55">
    <cfRule type="containsBlanks" dxfId="7437" priority="7419">
      <formula>LEN(TRIM(M55))=0</formula>
    </cfRule>
  </conditionalFormatting>
  <conditionalFormatting sqref="O48:Q48">
    <cfRule type="containsBlanks" dxfId="7436" priority="7418">
      <formula>LEN(TRIM(O48))=0</formula>
    </cfRule>
  </conditionalFormatting>
  <conditionalFormatting sqref="O50:Q50">
    <cfRule type="containsBlanks" dxfId="7435" priority="7417">
      <formula>LEN(TRIM(O50))=0</formula>
    </cfRule>
  </conditionalFormatting>
  <conditionalFormatting sqref="O52:Q52">
    <cfRule type="containsBlanks" dxfId="7434" priority="7416">
      <formula>LEN(TRIM(O52))=0</formula>
    </cfRule>
  </conditionalFormatting>
  <conditionalFormatting sqref="O65:Q65">
    <cfRule type="containsBlanks" dxfId="7433" priority="7415">
      <formula>LEN(TRIM(O65))=0</formula>
    </cfRule>
  </conditionalFormatting>
  <conditionalFormatting sqref="O66:Q66">
    <cfRule type="containsBlanks" dxfId="7432" priority="7414">
      <formula>LEN(TRIM(O66))=0</formula>
    </cfRule>
  </conditionalFormatting>
  <conditionalFormatting sqref="O68:Q68">
    <cfRule type="containsBlanks" dxfId="7431" priority="7413">
      <formula>LEN(TRIM(O68))=0</formula>
    </cfRule>
  </conditionalFormatting>
  <conditionalFormatting sqref="N64:T64">
    <cfRule type="containsBlanks" dxfId="7430" priority="7412">
      <formula>LEN(TRIM(N64))=0</formula>
    </cfRule>
  </conditionalFormatting>
  <conditionalFormatting sqref="M81:S81">
    <cfRule type="containsBlanks" dxfId="7429" priority="7411">
      <formula>LEN(TRIM(M81))=0</formula>
    </cfRule>
  </conditionalFormatting>
  <conditionalFormatting sqref="N84:T84">
    <cfRule type="containsBlanks" dxfId="7428" priority="7410">
      <formula>LEN(TRIM(N84))=0</formula>
    </cfRule>
  </conditionalFormatting>
  <conditionalFormatting sqref="O86:Q86">
    <cfRule type="containsBlanks" dxfId="7427" priority="7409">
      <formula>LEN(TRIM(O86))=0</formula>
    </cfRule>
  </conditionalFormatting>
  <conditionalFormatting sqref="M88:T88">
    <cfRule type="containsBlanks" dxfId="7426" priority="7408">
      <formula>LEN(TRIM(M88))=0</formula>
    </cfRule>
  </conditionalFormatting>
  <conditionalFormatting sqref="M94:T94">
    <cfRule type="containsBlanks" dxfId="7425" priority="7407">
      <formula>LEN(TRIM(M94))=0</formula>
    </cfRule>
  </conditionalFormatting>
  <conditionalFormatting sqref="O95:S95">
    <cfRule type="containsBlanks" dxfId="7424" priority="7406">
      <formula>LEN(TRIM(O95))=0</formula>
    </cfRule>
  </conditionalFormatting>
  <conditionalFormatting sqref="M95:N95">
    <cfRule type="containsBlanks" dxfId="7423" priority="7405">
      <formula>LEN(TRIM(M95))=0</formula>
    </cfRule>
  </conditionalFormatting>
  <conditionalFormatting sqref="M58:T58">
    <cfRule type="containsBlanks" dxfId="7422" priority="7404">
      <formula>LEN(TRIM(M58))=0</formula>
    </cfRule>
  </conditionalFormatting>
  <conditionalFormatting sqref="M59:S59">
    <cfRule type="containsBlanks" dxfId="7421" priority="7403">
      <formula>LEN(TRIM(M59))=0</formula>
    </cfRule>
  </conditionalFormatting>
  <conditionalFormatting sqref="O56:Q56">
    <cfRule type="containsBlanks" dxfId="7420" priority="7402">
      <formula>LEN(TRIM(O56))=0</formula>
    </cfRule>
  </conditionalFormatting>
  <conditionalFormatting sqref="O57:Q57">
    <cfRule type="containsBlanks" dxfId="7419" priority="7401">
      <formula>LEN(TRIM(O57))=0</formula>
    </cfRule>
  </conditionalFormatting>
  <conditionalFormatting sqref="O59:Q59">
    <cfRule type="containsBlanks" dxfId="7418" priority="7400">
      <formula>LEN(TRIM(O59))=0</formula>
    </cfRule>
  </conditionalFormatting>
  <conditionalFormatting sqref="N55:T55">
    <cfRule type="containsBlanks" dxfId="7417" priority="7399">
      <formula>LEN(TRIM(N55))=0</formula>
    </cfRule>
  </conditionalFormatting>
  <conditionalFormatting sqref="M72:S72">
    <cfRule type="containsBlanks" dxfId="7416" priority="7398">
      <formula>LEN(TRIM(M72))=0</formula>
    </cfRule>
  </conditionalFormatting>
  <conditionalFormatting sqref="N75:T75">
    <cfRule type="containsBlanks" dxfId="7415" priority="7397">
      <formula>LEN(TRIM(N75))=0</formula>
    </cfRule>
  </conditionalFormatting>
  <conditionalFormatting sqref="O77:Q77">
    <cfRule type="containsBlanks" dxfId="7414" priority="7396">
      <formula>LEN(TRIM(O77))=0</formula>
    </cfRule>
  </conditionalFormatting>
  <conditionalFormatting sqref="M79:T79">
    <cfRule type="containsBlanks" dxfId="7413" priority="7395">
      <formula>LEN(TRIM(M79))=0</formula>
    </cfRule>
  </conditionalFormatting>
  <conditionalFormatting sqref="M85:T85">
    <cfRule type="containsBlanks" dxfId="7412" priority="7394">
      <formula>LEN(TRIM(M85))=0</formula>
    </cfRule>
  </conditionalFormatting>
  <conditionalFormatting sqref="O86:S86">
    <cfRule type="containsBlanks" dxfId="7411" priority="7393">
      <formula>LEN(TRIM(O86))=0</formula>
    </cfRule>
  </conditionalFormatting>
  <conditionalFormatting sqref="M86:N86">
    <cfRule type="containsBlanks" dxfId="7410" priority="7392">
      <formula>LEN(TRIM(M86))=0</formula>
    </cfRule>
  </conditionalFormatting>
  <conditionalFormatting sqref="M49:T49">
    <cfRule type="containsBlanks" dxfId="7409" priority="7391">
      <formula>LEN(TRIM(M49))=0</formula>
    </cfRule>
  </conditionalFormatting>
  <conditionalFormatting sqref="M50:S50">
    <cfRule type="containsBlanks" dxfId="7408" priority="7390">
      <formula>LEN(TRIM(M50))=0</formula>
    </cfRule>
  </conditionalFormatting>
  <conditionalFormatting sqref="M22:N22">
    <cfRule type="containsBlanks" dxfId="7407" priority="7389">
      <formula>LEN(TRIM(M22))=0</formula>
    </cfRule>
  </conditionalFormatting>
  <conditionalFormatting sqref="O50:Q50">
    <cfRule type="containsBlanks" dxfId="7406" priority="7388">
      <formula>LEN(TRIM(O50))=0</formula>
    </cfRule>
  </conditionalFormatting>
  <conditionalFormatting sqref="O57:Q57">
    <cfRule type="containsBlanks" dxfId="7405" priority="7387">
      <formula>LEN(TRIM(O57))=0</formula>
    </cfRule>
  </conditionalFormatting>
  <conditionalFormatting sqref="O54:Q54">
    <cfRule type="containsBlanks" dxfId="7404" priority="7386">
      <formula>LEN(TRIM(O54))=0</formula>
    </cfRule>
  </conditionalFormatting>
  <conditionalFormatting sqref="O55:Q55">
    <cfRule type="containsBlanks" dxfId="7403" priority="7385">
      <formula>LEN(TRIM(O55))=0</formula>
    </cfRule>
  </conditionalFormatting>
  <conditionalFormatting sqref="O59:Q59">
    <cfRule type="containsBlanks" dxfId="7402" priority="7384">
      <formula>LEN(TRIM(O59))=0</formula>
    </cfRule>
  </conditionalFormatting>
  <conditionalFormatting sqref="O61:Q61">
    <cfRule type="containsBlanks" dxfId="7401" priority="7383">
      <formula>LEN(TRIM(O61))=0</formula>
    </cfRule>
  </conditionalFormatting>
  <conditionalFormatting sqref="O63:Q63">
    <cfRule type="containsBlanks" dxfId="7400" priority="7382">
      <formula>LEN(TRIM(O63))=0</formula>
    </cfRule>
  </conditionalFormatting>
  <conditionalFormatting sqref="O76:Q76">
    <cfRule type="containsBlanks" dxfId="7399" priority="7381">
      <formula>LEN(TRIM(O76))=0</formula>
    </cfRule>
  </conditionalFormatting>
  <conditionalFormatting sqref="O77:Q77">
    <cfRule type="containsBlanks" dxfId="7398" priority="7380">
      <formula>LEN(TRIM(O77))=0</formula>
    </cfRule>
  </conditionalFormatting>
  <conditionalFormatting sqref="O79:Q79">
    <cfRule type="containsBlanks" dxfId="7397" priority="7379">
      <formula>LEN(TRIM(O79))=0</formula>
    </cfRule>
  </conditionalFormatting>
  <conditionalFormatting sqref="M14:T14">
    <cfRule type="containsBlanks" dxfId="7396" priority="7378">
      <formula>LEN(TRIM(M14))=0</formula>
    </cfRule>
  </conditionalFormatting>
  <conditionalFormatting sqref="N75:T75">
    <cfRule type="containsBlanks" dxfId="7395" priority="7377">
      <formula>LEN(TRIM(N75))=0</formula>
    </cfRule>
  </conditionalFormatting>
  <conditionalFormatting sqref="M92:S92">
    <cfRule type="containsBlanks" dxfId="7394" priority="7376">
      <formula>LEN(TRIM(M92))=0</formula>
    </cfRule>
  </conditionalFormatting>
  <conditionalFormatting sqref="N95:T95">
    <cfRule type="containsBlanks" dxfId="7393" priority="7375">
      <formula>LEN(TRIM(N95))=0</formula>
    </cfRule>
  </conditionalFormatting>
  <conditionalFormatting sqref="O97:Q97">
    <cfRule type="containsBlanks" dxfId="7392" priority="7374">
      <formula>LEN(TRIM(O97))=0</formula>
    </cfRule>
  </conditionalFormatting>
  <conditionalFormatting sqref="M105:T105">
    <cfRule type="containsBlanks" dxfId="7391" priority="7372">
      <formula>LEN(TRIM(M105))=0</formula>
    </cfRule>
  </conditionalFormatting>
  <conditionalFormatting sqref="O106:S106">
    <cfRule type="containsBlanks" dxfId="7390" priority="7371">
      <formula>LEN(TRIM(O106))=0</formula>
    </cfRule>
  </conditionalFormatting>
  <conditionalFormatting sqref="M106:N106">
    <cfRule type="containsBlanks" dxfId="7389" priority="7370">
      <formula>LEN(TRIM(M106))=0</formula>
    </cfRule>
  </conditionalFormatting>
  <conditionalFormatting sqref="M69:T69">
    <cfRule type="containsBlanks" dxfId="7388" priority="7369">
      <formula>LEN(TRIM(M69))=0</formula>
    </cfRule>
  </conditionalFormatting>
  <conditionalFormatting sqref="M70:S70">
    <cfRule type="containsBlanks" dxfId="7387" priority="7368">
      <formula>LEN(TRIM(M70))=0</formula>
    </cfRule>
  </conditionalFormatting>
  <conditionalFormatting sqref="O41:Q41">
    <cfRule type="containsBlanks" dxfId="7386" priority="7367">
      <formula>LEN(TRIM(O41))=0</formula>
    </cfRule>
  </conditionalFormatting>
  <conditionalFormatting sqref="O48:Q48">
    <cfRule type="containsBlanks" dxfId="7385" priority="7366">
      <formula>LEN(TRIM(O48))=0</formula>
    </cfRule>
  </conditionalFormatting>
  <conditionalFormatting sqref="O45:Q45">
    <cfRule type="containsBlanks" dxfId="7384" priority="7365">
      <formula>LEN(TRIM(O45))=0</formula>
    </cfRule>
  </conditionalFormatting>
  <conditionalFormatting sqref="O46:Q46">
    <cfRule type="containsBlanks" dxfId="7383" priority="7364">
      <formula>LEN(TRIM(O46))=0</formula>
    </cfRule>
  </conditionalFormatting>
  <conditionalFormatting sqref="O50:Q50">
    <cfRule type="containsBlanks" dxfId="7382" priority="7363">
      <formula>LEN(TRIM(O50))=0</formula>
    </cfRule>
  </conditionalFormatting>
  <conditionalFormatting sqref="O52:Q52">
    <cfRule type="containsBlanks" dxfId="7381" priority="7362">
      <formula>LEN(TRIM(O52))=0</formula>
    </cfRule>
  </conditionalFormatting>
  <conditionalFormatting sqref="O54:Q54">
    <cfRule type="containsBlanks" dxfId="7380" priority="7361">
      <formula>LEN(TRIM(O54))=0</formula>
    </cfRule>
  </conditionalFormatting>
  <conditionalFormatting sqref="O67:Q67">
    <cfRule type="containsBlanks" dxfId="7379" priority="7360">
      <formula>LEN(TRIM(O67))=0</formula>
    </cfRule>
  </conditionalFormatting>
  <conditionalFormatting sqref="O68:Q68">
    <cfRule type="containsBlanks" dxfId="7378" priority="7359">
      <formula>LEN(TRIM(O68))=0</formula>
    </cfRule>
  </conditionalFormatting>
  <conditionalFormatting sqref="O70:Q70">
    <cfRule type="containsBlanks" dxfId="7377" priority="7358">
      <formula>LEN(TRIM(O70))=0</formula>
    </cfRule>
  </conditionalFormatting>
  <conditionalFormatting sqref="N66:T66">
    <cfRule type="containsBlanks" dxfId="7376" priority="7357">
      <formula>LEN(TRIM(N66))=0</formula>
    </cfRule>
  </conditionalFormatting>
  <conditionalFormatting sqref="M83:S83">
    <cfRule type="containsBlanks" dxfId="7375" priority="7356">
      <formula>LEN(TRIM(M83))=0</formula>
    </cfRule>
  </conditionalFormatting>
  <conditionalFormatting sqref="N86:T86">
    <cfRule type="containsBlanks" dxfId="7374" priority="7355">
      <formula>LEN(TRIM(N86))=0</formula>
    </cfRule>
  </conditionalFormatting>
  <conditionalFormatting sqref="O88:Q88">
    <cfRule type="containsBlanks" dxfId="7373" priority="7354">
      <formula>LEN(TRIM(O88))=0</formula>
    </cfRule>
  </conditionalFormatting>
  <conditionalFormatting sqref="M90:T90">
    <cfRule type="containsBlanks" dxfId="7372" priority="7353">
      <formula>LEN(TRIM(M90))=0</formula>
    </cfRule>
  </conditionalFormatting>
  <conditionalFormatting sqref="M96:T96">
    <cfRule type="containsBlanks" dxfId="7371" priority="7352">
      <formula>LEN(TRIM(M96))=0</formula>
    </cfRule>
  </conditionalFormatting>
  <conditionalFormatting sqref="O97:S97">
    <cfRule type="containsBlanks" dxfId="7370" priority="7351">
      <formula>LEN(TRIM(O97))=0</formula>
    </cfRule>
  </conditionalFormatting>
  <conditionalFormatting sqref="M97:N97">
    <cfRule type="containsBlanks" dxfId="7369" priority="7350">
      <formula>LEN(TRIM(M97))=0</formula>
    </cfRule>
  </conditionalFormatting>
  <conditionalFormatting sqref="M60:T60">
    <cfRule type="containsBlanks" dxfId="7368" priority="7349">
      <formula>LEN(TRIM(M60))=0</formula>
    </cfRule>
  </conditionalFormatting>
  <conditionalFormatting sqref="M61:S61">
    <cfRule type="containsBlanks" dxfId="7367" priority="7348">
      <formula>LEN(TRIM(M61))=0</formula>
    </cfRule>
  </conditionalFormatting>
  <conditionalFormatting sqref="O45:Q45">
    <cfRule type="containsBlanks" dxfId="7366" priority="7347">
      <formula>LEN(TRIM(O45))=0</formula>
    </cfRule>
  </conditionalFormatting>
  <conditionalFormatting sqref="O52:Q52">
    <cfRule type="containsBlanks" dxfId="7365" priority="7346">
      <formula>LEN(TRIM(O52))=0</formula>
    </cfRule>
  </conditionalFormatting>
  <conditionalFormatting sqref="O49:Q49">
    <cfRule type="containsBlanks" dxfId="7364" priority="7345">
      <formula>LEN(TRIM(O49))=0</formula>
    </cfRule>
  </conditionalFormatting>
  <conditionalFormatting sqref="O50:Q50">
    <cfRule type="containsBlanks" dxfId="7363" priority="7344">
      <formula>LEN(TRIM(O50))=0</formula>
    </cfRule>
  </conditionalFormatting>
  <conditionalFormatting sqref="O54:Q54">
    <cfRule type="containsBlanks" dxfId="7362" priority="7343">
      <formula>LEN(TRIM(O54))=0</formula>
    </cfRule>
  </conditionalFormatting>
  <conditionalFormatting sqref="O56:Q56">
    <cfRule type="containsBlanks" dxfId="7361" priority="7342">
      <formula>LEN(TRIM(O56))=0</formula>
    </cfRule>
  </conditionalFormatting>
  <conditionalFormatting sqref="O58:Q58">
    <cfRule type="containsBlanks" dxfId="7360" priority="7341">
      <formula>LEN(TRIM(O58))=0</formula>
    </cfRule>
  </conditionalFormatting>
  <conditionalFormatting sqref="O71:Q71">
    <cfRule type="containsBlanks" dxfId="7359" priority="7340">
      <formula>LEN(TRIM(O71))=0</formula>
    </cfRule>
  </conditionalFormatting>
  <conditionalFormatting sqref="O72:Q72">
    <cfRule type="containsBlanks" dxfId="7358" priority="7339">
      <formula>LEN(TRIM(O72))=0</formula>
    </cfRule>
  </conditionalFormatting>
  <conditionalFormatting sqref="O74:Q74">
    <cfRule type="containsBlanks" dxfId="7357" priority="7338">
      <formula>LEN(TRIM(O74))=0</formula>
    </cfRule>
  </conditionalFormatting>
  <conditionalFormatting sqref="N70:T70">
    <cfRule type="containsBlanks" dxfId="7356" priority="7337">
      <formula>LEN(TRIM(N70))=0</formula>
    </cfRule>
  </conditionalFormatting>
  <conditionalFormatting sqref="M87:S87">
    <cfRule type="containsBlanks" dxfId="7355" priority="7336">
      <formula>LEN(TRIM(M87))=0</formula>
    </cfRule>
  </conditionalFormatting>
  <conditionalFormatting sqref="N90:T90">
    <cfRule type="containsBlanks" dxfId="7354" priority="7335">
      <formula>LEN(TRIM(N90))=0</formula>
    </cfRule>
  </conditionalFormatting>
  <conditionalFormatting sqref="O92:Q92">
    <cfRule type="containsBlanks" dxfId="7353" priority="7334">
      <formula>LEN(TRIM(O92))=0</formula>
    </cfRule>
  </conditionalFormatting>
  <conditionalFormatting sqref="M94:T94">
    <cfRule type="containsBlanks" dxfId="7352" priority="7333">
      <formula>LEN(TRIM(M94))=0</formula>
    </cfRule>
  </conditionalFormatting>
  <conditionalFormatting sqref="M100:T100">
    <cfRule type="containsBlanks" dxfId="7351" priority="7332">
      <formula>LEN(TRIM(M100))=0</formula>
    </cfRule>
  </conditionalFormatting>
  <conditionalFormatting sqref="O101:S101">
    <cfRule type="containsBlanks" dxfId="7350" priority="7331">
      <formula>LEN(TRIM(O101))=0</formula>
    </cfRule>
  </conditionalFormatting>
  <conditionalFormatting sqref="M101:N101">
    <cfRule type="containsBlanks" dxfId="7349" priority="7330">
      <formula>LEN(TRIM(M101))=0</formula>
    </cfRule>
  </conditionalFormatting>
  <conditionalFormatting sqref="M64:T64">
    <cfRule type="containsBlanks" dxfId="7348" priority="7329">
      <formula>LEN(TRIM(M64))=0</formula>
    </cfRule>
  </conditionalFormatting>
  <conditionalFormatting sqref="M65:S65">
    <cfRule type="containsBlanks" dxfId="7347" priority="7328">
      <formula>LEN(TRIM(M65))=0</formula>
    </cfRule>
  </conditionalFormatting>
  <conditionalFormatting sqref="O36:Q36">
    <cfRule type="containsBlanks" dxfId="7346" priority="7327">
      <formula>LEN(TRIM(O36))=0</formula>
    </cfRule>
  </conditionalFormatting>
  <conditionalFormatting sqref="O43:Q43">
    <cfRule type="containsBlanks" dxfId="7345" priority="7326">
      <formula>LEN(TRIM(O43))=0</formula>
    </cfRule>
  </conditionalFormatting>
  <conditionalFormatting sqref="O40:Q40">
    <cfRule type="containsBlanks" dxfId="7344" priority="7325">
      <formula>LEN(TRIM(O40))=0</formula>
    </cfRule>
  </conditionalFormatting>
  <conditionalFormatting sqref="O41:Q41">
    <cfRule type="containsBlanks" dxfId="7343" priority="7324">
      <formula>LEN(TRIM(O41))=0</formula>
    </cfRule>
  </conditionalFormatting>
  <conditionalFormatting sqref="O45:Q45">
    <cfRule type="containsBlanks" dxfId="7342" priority="7323">
      <formula>LEN(TRIM(O45))=0</formula>
    </cfRule>
  </conditionalFormatting>
  <conditionalFormatting sqref="O47:Q47">
    <cfRule type="containsBlanks" dxfId="7341" priority="7322">
      <formula>LEN(TRIM(O47))=0</formula>
    </cfRule>
  </conditionalFormatting>
  <conditionalFormatting sqref="O49:Q49">
    <cfRule type="containsBlanks" dxfId="7340" priority="7321">
      <formula>LEN(TRIM(O49))=0</formula>
    </cfRule>
  </conditionalFormatting>
  <conditionalFormatting sqref="O62:Q62">
    <cfRule type="containsBlanks" dxfId="7339" priority="7320">
      <formula>LEN(TRIM(O62))=0</formula>
    </cfRule>
  </conditionalFormatting>
  <conditionalFormatting sqref="O63:Q63">
    <cfRule type="containsBlanks" dxfId="7338" priority="7319">
      <formula>LEN(TRIM(O63))=0</formula>
    </cfRule>
  </conditionalFormatting>
  <conditionalFormatting sqref="O65:Q65">
    <cfRule type="containsBlanks" dxfId="7337" priority="7318">
      <formula>LEN(TRIM(O65))=0</formula>
    </cfRule>
  </conditionalFormatting>
  <conditionalFormatting sqref="N61:T61">
    <cfRule type="containsBlanks" dxfId="7336" priority="7317">
      <formula>LEN(TRIM(N61))=0</formula>
    </cfRule>
  </conditionalFormatting>
  <conditionalFormatting sqref="M78:S78">
    <cfRule type="containsBlanks" dxfId="7335" priority="7316">
      <formula>LEN(TRIM(M78))=0</formula>
    </cfRule>
  </conditionalFormatting>
  <conditionalFormatting sqref="N81:T81">
    <cfRule type="containsBlanks" dxfId="7334" priority="7315">
      <formula>LEN(TRIM(N81))=0</formula>
    </cfRule>
  </conditionalFormatting>
  <conditionalFormatting sqref="O83:Q83">
    <cfRule type="containsBlanks" dxfId="7333" priority="7314">
      <formula>LEN(TRIM(O83))=0</formula>
    </cfRule>
  </conditionalFormatting>
  <conditionalFormatting sqref="M85:T85">
    <cfRule type="containsBlanks" dxfId="7332" priority="7313">
      <formula>LEN(TRIM(M85))=0</formula>
    </cfRule>
  </conditionalFormatting>
  <conditionalFormatting sqref="M91:T91">
    <cfRule type="containsBlanks" dxfId="7331" priority="7312">
      <formula>LEN(TRIM(M91))=0</formula>
    </cfRule>
  </conditionalFormatting>
  <conditionalFormatting sqref="O92:S92">
    <cfRule type="containsBlanks" dxfId="7330" priority="7311">
      <formula>LEN(TRIM(O92))=0</formula>
    </cfRule>
  </conditionalFormatting>
  <conditionalFormatting sqref="M92:N92">
    <cfRule type="containsBlanks" dxfId="7329" priority="7310">
      <formula>LEN(TRIM(M92))=0</formula>
    </cfRule>
  </conditionalFormatting>
  <conditionalFormatting sqref="M55:T55">
    <cfRule type="containsBlanks" dxfId="7328" priority="7309">
      <formula>LEN(TRIM(M55))=0</formula>
    </cfRule>
  </conditionalFormatting>
  <conditionalFormatting sqref="M56:S56">
    <cfRule type="containsBlanks" dxfId="7327" priority="7308">
      <formula>LEN(TRIM(M56))=0</formula>
    </cfRule>
  </conditionalFormatting>
  <conditionalFormatting sqref="O54:Q54">
    <cfRule type="containsBlanks" dxfId="7326" priority="7307">
      <formula>LEN(TRIM(O54))=0</formula>
    </cfRule>
  </conditionalFormatting>
  <conditionalFormatting sqref="O51:Q51">
    <cfRule type="containsBlanks" dxfId="7325" priority="7306">
      <formula>LEN(TRIM(O51))=0</formula>
    </cfRule>
  </conditionalFormatting>
  <conditionalFormatting sqref="O52:Q52">
    <cfRule type="containsBlanks" dxfId="7324" priority="7305">
      <formula>LEN(TRIM(O52))=0</formula>
    </cfRule>
  </conditionalFormatting>
  <conditionalFormatting sqref="O56:Q56">
    <cfRule type="containsBlanks" dxfId="7323" priority="7304">
      <formula>LEN(TRIM(O56))=0</formula>
    </cfRule>
  </conditionalFormatting>
  <conditionalFormatting sqref="O58:Q58">
    <cfRule type="containsBlanks" dxfId="7322" priority="7303">
      <formula>LEN(TRIM(O58))=0</formula>
    </cfRule>
  </conditionalFormatting>
  <conditionalFormatting sqref="O60:Q60">
    <cfRule type="containsBlanks" dxfId="7321" priority="7302">
      <formula>LEN(TRIM(O60))=0</formula>
    </cfRule>
  </conditionalFormatting>
  <conditionalFormatting sqref="O73:Q73">
    <cfRule type="containsBlanks" dxfId="7320" priority="7301">
      <formula>LEN(TRIM(O73))=0</formula>
    </cfRule>
  </conditionalFormatting>
  <conditionalFormatting sqref="O74:Q74">
    <cfRule type="containsBlanks" dxfId="7319" priority="7300">
      <formula>LEN(TRIM(O74))=0</formula>
    </cfRule>
  </conditionalFormatting>
  <conditionalFormatting sqref="O76:Q76">
    <cfRule type="containsBlanks" dxfId="7318" priority="7299">
      <formula>LEN(TRIM(O76))=0</formula>
    </cfRule>
  </conditionalFormatting>
  <conditionalFormatting sqref="N72:T72">
    <cfRule type="containsBlanks" dxfId="7317" priority="7298">
      <formula>LEN(TRIM(N72))=0</formula>
    </cfRule>
  </conditionalFormatting>
  <conditionalFormatting sqref="M89:S89">
    <cfRule type="containsBlanks" dxfId="7316" priority="7297">
      <formula>LEN(TRIM(M89))=0</formula>
    </cfRule>
  </conditionalFormatting>
  <conditionalFormatting sqref="N92:T92">
    <cfRule type="containsBlanks" dxfId="7315" priority="7296">
      <formula>LEN(TRIM(N92))=0</formula>
    </cfRule>
  </conditionalFormatting>
  <conditionalFormatting sqref="O94:Q94">
    <cfRule type="containsBlanks" dxfId="7314" priority="7295">
      <formula>LEN(TRIM(O94))=0</formula>
    </cfRule>
  </conditionalFormatting>
  <conditionalFormatting sqref="M96:T96">
    <cfRule type="containsBlanks" dxfId="7313" priority="7294">
      <formula>LEN(TRIM(M96))=0</formula>
    </cfRule>
  </conditionalFormatting>
  <conditionalFormatting sqref="M102:T102">
    <cfRule type="containsBlanks" dxfId="7312" priority="7293">
      <formula>LEN(TRIM(M102))=0</formula>
    </cfRule>
  </conditionalFormatting>
  <conditionalFormatting sqref="O103:S103">
    <cfRule type="containsBlanks" dxfId="7311" priority="7292">
      <formula>LEN(TRIM(O103))=0</formula>
    </cfRule>
  </conditionalFormatting>
  <conditionalFormatting sqref="M103:N103">
    <cfRule type="containsBlanks" dxfId="7310" priority="7291">
      <formula>LEN(TRIM(M103))=0</formula>
    </cfRule>
  </conditionalFormatting>
  <conditionalFormatting sqref="M66:T66">
    <cfRule type="containsBlanks" dxfId="7309" priority="7290">
      <formula>LEN(TRIM(M66))=0</formula>
    </cfRule>
  </conditionalFormatting>
  <conditionalFormatting sqref="M67:S67">
    <cfRule type="containsBlanks" dxfId="7308" priority="7289">
      <formula>LEN(TRIM(M67))=0</formula>
    </cfRule>
  </conditionalFormatting>
  <conditionalFormatting sqref="O51:Q51">
    <cfRule type="containsBlanks" dxfId="7307" priority="7288">
      <formula>LEN(TRIM(O51))=0</formula>
    </cfRule>
  </conditionalFormatting>
  <conditionalFormatting sqref="O64:Q64">
    <cfRule type="containsBlanks" dxfId="7306" priority="7287">
      <formula>LEN(TRIM(O64))=0</formula>
    </cfRule>
  </conditionalFormatting>
  <conditionalFormatting sqref="O65:Q65">
    <cfRule type="containsBlanks" dxfId="7305" priority="7286">
      <formula>LEN(TRIM(O65))=0</formula>
    </cfRule>
  </conditionalFormatting>
  <conditionalFormatting sqref="O67:Q67">
    <cfRule type="containsBlanks" dxfId="7304" priority="7285">
      <formula>LEN(TRIM(O67))=0</formula>
    </cfRule>
  </conditionalFormatting>
  <conditionalFormatting sqref="N63:T63">
    <cfRule type="containsBlanks" dxfId="7303" priority="7284">
      <formula>LEN(TRIM(N63))=0</formula>
    </cfRule>
  </conditionalFormatting>
  <conditionalFormatting sqref="M80:S80">
    <cfRule type="containsBlanks" dxfId="7302" priority="7283">
      <formula>LEN(TRIM(M80))=0</formula>
    </cfRule>
  </conditionalFormatting>
  <conditionalFormatting sqref="N83:T83">
    <cfRule type="containsBlanks" dxfId="7301" priority="7282">
      <formula>LEN(TRIM(N83))=0</formula>
    </cfRule>
  </conditionalFormatting>
  <conditionalFormatting sqref="O85:Q85">
    <cfRule type="containsBlanks" dxfId="7300" priority="7281">
      <formula>LEN(TRIM(O85))=0</formula>
    </cfRule>
  </conditionalFormatting>
  <conditionalFormatting sqref="M87:T87">
    <cfRule type="containsBlanks" dxfId="7299" priority="7280">
      <formula>LEN(TRIM(M87))=0</formula>
    </cfRule>
  </conditionalFormatting>
  <conditionalFormatting sqref="M93:T93">
    <cfRule type="containsBlanks" dxfId="7298" priority="7279">
      <formula>LEN(TRIM(M93))=0</formula>
    </cfRule>
  </conditionalFormatting>
  <conditionalFormatting sqref="O94:S94">
    <cfRule type="containsBlanks" dxfId="7297" priority="7278">
      <formula>LEN(TRIM(O94))=0</formula>
    </cfRule>
  </conditionalFormatting>
  <conditionalFormatting sqref="M94:N94">
    <cfRule type="containsBlanks" dxfId="7296" priority="7277">
      <formula>LEN(TRIM(M94))=0</formula>
    </cfRule>
  </conditionalFormatting>
  <conditionalFormatting sqref="M57:T57">
    <cfRule type="containsBlanks" dxfId="7295" priority="7276">
      <formula>LEN(TRIM(M57))=0</formula>
    </cfRule>
  </conditionalFormatting>
  <conditionalFormatting sqref="M58:S58">
    <cfRule type="containsBlanks" dxfId="7294" priority="7275">
      <formula>LEN(TRIM(M58))=0</formula>
    </cfRule>
  </conditionalFormatting>
  <conditionalFormatting sqref="O51:Q51">
    <cfRule type="containsBlanks" dxfId="7293" priority="7274">
      <formula>LEN(TRIM(O51))=0</formula>
    </cfRule>
  </conditionalFormatting>
  <conditionalFormatting sqref="O53:Q53">
    <cfRule type="containsBlanks" dxfId="7292" priority="7273">
      <formula>LEN(TRIM(O53))=0</formula>
    </cfRule>
  </conditionalFormatting>
  <conditionalFormatting sqref="O55:Q55">
    <cfRule type="containsBlanks" dxfId="7291" priority="7272">
      <formula>LEN(TRIM(O55))=0</formula>
    </cfRule>
  </conditionalFormatting>
  <conditionalFormatting sqref="O68:Q68">
    <cfRule type="containsBlanks" dxfId="7290" priority="7271">
      <formula>LEN(TRIM(O68))=0</formula>
    </cfRule>
  </conditionalFormatting>
  <conditionalFormatting sqref="O69:Q69">
    <cfRule type="containsBlanks" dxfId="7289" priority="7270">
      <formula>LEN(TRIM(O69))=0</formula>
    </cfRule>
  </conditionalFormatting>
  <conditionalFormatting sqref="O71:Q71">
    <cfRule type="containsBlanks" dxfId="7288" priority="7269">
      <formula>LEN(TRIM(O71))=0</formula>
    </cfRule>
  </conditionalFormatting>
  <conditionalFormatting sqref="N67:T67">
    <cfRule type="containsBlanks" dxfId="7287" priority="7268">
      <formula>LEN(TRIM(N67))=0</formula>
    </cfRule>
  </conditionalFormatting>
  <conditionalFormatting sqref="M84:S84">
    <cfRule type="containsBlanks" dxfId="7286" priority="7267">
      <formula>LEN(TRIM(M84))=0</formula>
    </cfRule>
  </conditionalFormatting>
  <conditionalFormatting sqref="N87:T87">
    <cfRule type="containsBlanks" dxfId="7285" priority="7266">
      <formula>LEN(TRIM(N87))=0</formula>
    </cfRule>
  </conditionalFormatting>
  <conditionalFormatting sqref="O89:Q89">
    <cfRule type="containsBlanks" dxfId="7284" priority="7265">
      <formula>LEN(TRIM(O89))=0</formula>
    </cfRule>
  </conditionalFormatting>
  <conditionalFormatting sqref="M91:T91">
    <cfRule type="containsBlanks" dxfId="7283" priority="7264">
      <formula>LEN(TRIM(M91))=0</formula>
    </cfRule>
  </conditionalFormatting>
  <conditionalFormatting sqref="M97:T97">
    <cfRule type="containsBlanks" dxfId="7282" priority="7263">
      <formula>LEN(TRIM(M97))=0</formula>
    </cfRule>
  </conditionalFormatting>
  <conditionalFormatting sqref="O98:S98">
    <cfRule type="containsBlanks" dxfId="7281" priority="7262">
      <formula>LEN(TRIM(O98))=0</formula>
    </cfRule>
  </conditionalFormatting>
  <conditionalFormatting sqref="M98:N98">
    <cfRule type="containsBlanks" dxfId="7280" priority="7261">
      <formula>LEN(TRIM(M98))=0</formula>
    </cfRule>
  </conditionalFormatting>
  <conditionalFormatting sqref="M61:T61">
    <cfRule type="containsBlanks" dxfId="7279" priority="7260">
      <formula>LEN(TRIM(M61))=0</formula>
    </cfRule>
  </conditionalFormatting>
  <conditionalFormatting sqref="M62:S62">
    <cfRule type="containsBlanks" dxfId="7278" priority="7259">
      <formula>LEN(TRIM(M62))=0</formula>
    </cfRule>
  </conditionalFormatting>
  <conditionalFormatting sqref="O59:Q59">
    <cfRule type="containsBlanks" dxfId="7277" priority="7258">
      <formula>LEN(TRIM(O59))=0</formula>
    </cfRule>
  </conditionalFormatting>
  <conditionalFormatting sqref="O60:Q60">
    <cfRule type="containsBlanks" dxfId="7276" priority="7257">
      <formula>LEN(TRIM(O60))=0</formula>
    </cfRule>
  </conditionalFormatting>
  <conditionalFormatting sqref="O62:Q62">
    <cfRule type="containsBlanks" dxfId="7275" priority="7256">
      <formula>LEN(TRIM(O62))=0</formula>
    </cfRule>
  </conditionalFormatting>
  <conditionalFormatting sqref="N58:T58">
    <cfRule type="containsBlanks" dxfId="7274" priority="7255">
      <formula>LEN(TRIM(N58))=0</formula>
    </cfRule>
  </conditionalFormatting>
  <conditionalFormatting sqref="M75:S75">
    <cfRule type="containsBlanks" dxfId="7273" priority="7254">
      <formula>LEN(TRIM(M75))=0</formula>
    </cfRule>
  </conditionalFormatting>
  <conditionalFormatting sqref="N78:T78">
    <cfRule type="containsBlanks" dxfId="7272" priority="7253">
      <formula>LEN(TRIM(N78))=0</formula>
    </cfRule>
  </conditionalFormatting>
  <conditionalFormatting sqref="O80:Q80">
    <cfRule type="containsBlanks" dxfId="7271" priority="7252">
      <formula>LEN(TRIM(O80))=0</formula>
    </cfRule>
  </conditionalFormatting>
  <conditionalFormatting sqref="M82:T82">
    <cfRule type="containsBlanks" dxfId="7270" priority="7251">
      <formula>LEN(TRIM(M82))=0</formula>
    </cfRule>
  </conditionalFormatting>
  <conditionalFormatting sqref="M88:T88">
    <cfRule type="containsBlanks" dxfId="7269" priority="7250">
      <formula>LEN(TRIM(M88))=0</formula>
    </cfRule>
  </conditionalFormatting>
  <conditionalFormatting sqref="O89:S89">
    <cfRule type="containsBlanks" dxfId="7268" priority="7249">
      <formula>LEN(TRIM(O89))=0</formula>
    </cfRule>
  </conditionalFormatting>
  <conditionalFormatting sqref="M89:N89">
    <cfRule type="containsBlanks" dxfId="7267" priority="7248">
      <formula>LEN(TRIM(M89))=0</formula>
    </cfRule>
  </conditionalFormatting>
  <conditionalFormatting sqref="M52:T52">
    <cfRule type="containsBlanks" dxfId="7266" priority="7247">
      <formula>LEN(TRIM(M52))=0</formula>
    </cfRule>
  </conditionalFormatting>
  <conditionalFormatting sqref="M53:S53">
    <cfRule type="containsBlanks" dxfId="7265" priority="7246">
      <formula>LEN(TRIM(M53))=0</formula>
    </cfRule>
  </conditionalFormatting>
  <conditionalFormatting sqref="M19:N19">
    <cfRule type="containsBlanks" dxfId="7264" priority="7245">
      <formula>LEN(TRIM(M19))=0</formula>
    </cfRule>
  </conditionalFormatting>
  <conditionalFormatting sqref="O47:Q47">
    <cfRule type="containsBlanks" dxfId="7263" priority="7244">
      <formula>LEN(TRIM(O47))=0</formula>
    </cfRule>
  </conditionalFormatting>
  <conditionalFormatting sqref="O54:Q54">
    <cfRule type="containsBlanks" dxfId="7262" priority="7243">
      <formula>LEN(TRIM(O54))=0</formula>
    </cfRule>
  </conditionalFormatting>
  <conditionalFormatting sqref="O51:Q51">
    <cfRule type="containsBlanks" dxfId="7261" priority="7242">
      <formula>LEN(TRIM(O51))=0</formula>
    </cfRule>
  </conditionalFormatting>
  <conditionalFormatting sqref="O52:Q52">
    <cfRule type="containsBlanks" dxfId="7260" priority="7241">
      <formula>LEN(TRIM(O52))=0</formula>
    </cfRule>
  </conditionalFormatting>
  <conditionalFormatting sqref="O56:Q56">
    <cfRule type="containsBlanks" dxfId="7259" priority="7240">
      <formula>LEN(TRIM(O56))=0</formula>
    </cfRule>
  </conditionalFormatting>
  <conditionalFormatting sqref="O58:Q58">
    <cfRule type="containsBlanks" dxfId="7258" priority="7239">
      <formula>LEN(TRIM(O58))=0</formula>
    </cfRule>
  </conditionalFormatting>
  <conditionalFormatting sqref="O60:Q60">
    <cfRule type="containsBlanks" dxfId="7257" priority="7238">
      <formula>LEN(TRIM(O60))=0</formula>
    </cfRule>
  </conditionalFormatting>
  <conditionalFormatting sqref="O73:Q73">
    <cfRule type="containsBlanks" dxfId="7256" priority="7237">
      <formula>LEN(TRIM(O73))=0</formula>
    </cfRule>
  </conditionalFormatting>
  <conditionalFormatting sqref="O74:Q74">
    <cfRule type="containsBlanks" dxfId="7255" priority="7236">
      <formula>LEN(TRIM(O74))=0</formula>
    </cfRule>
  </conditionalFormatting>
  <conditionalFormatting sqref="O76:Q76">
    <cfRule type="containsBlanks" dxfId="7254" priority="7235">
      <formula>LEN(TRIM(O76))=0</formula>
    </cfRule>
  </conditionalFormatting>
  <conditionalFormatting sqref="N72:T72">
    <cfRule type="containsBlanks" dxfId="7253" priority="7234">
      <formula>LEN(TRIM(N72))=0</formula>
    </cfRule>
  </conditionalFormatting>
  <conditionalFormatting sqref="M89:S89">
    <cfRule type="containsBlanks" dxfId="7252" priority="7233">
      <formula>LEN(TRIM(M89))=0</formula>
    </cfRule>
  </conditionalFormatting>
  <conditionalFormatting sqref="N92:T92">
    <cfRule type="containsBlanks" dxfId="7251" priority="7232">
      <formula>LEN(TRIM(N92))=0</formula>
    </cfRule>
  </conditionalFormatting>
  <conditionalFormatting sqref="O94:Q94">
    <cfRule type="containsBlanks" dxfId="7250" priority="7231">
      <formula>LEN(TRIM(O94))=0</formula>
    </cfRule>
  </conditionalFormatting>
  <conditionalFormatting sqref="M96:T96">
    <cfRule type="containsBlanks" dxfId="7249" priority="7230">
      <formula>LEN(TRIM(M96))=0</formula>
    </cfRule>
  </conditionalFormatting>
  <conditionalFormatting sqref="M102:T102">
    <cfRule type="containsBlanks" dxfId="7248" priority="7229">
      <formula>LEN(TRIM(M102))=0</formula>
    </cfRule>
  </conditionalFormatting>
  <conditionalFormatting sqref="O103:S103">
    <cfRule type="containsBlanks" dxfId="7247" priority="7228">
      <formula>LEN(TRIM(O103))=0</formula>
    </cfRule>
  </conditionalFormatting>
  <conditionalFormatting sqref="M103:N103">
    <cfRule type="containsBlanks" dxfId="7246" priority="7227">
      <formula>LEN(TRIM(M103))=0</formula>
    </cfRule>
  </conditionalFormatting>
  <conditionalFormatting sqref="M66:T66">
    <cfRule type="containsBlanks" dxfId="7245" priority="7226">
      <formula>LEN(TRIM(M66))=0</formula>
    </cfRule>
  </conditionalFormatting>
  <conditionalFormatting sqref="M67:S67">
    <cfRule type="containsBlanks" dxfId="7244" priority="7225">
      <formula>LEN(TRIM(M67))=0</formula>
    </cfRule>
  </conditionalFormatting>
  <conditionalFormatting sqref="O38:Q38">
    <cfRule type="containsBlanks" dxfId="7243" priority="7224">
      <formula>LEN(TRIM(O38))=0</formula>
    </cfRule>
  </conditionalFormatting>
  <conditionalFormatting sqref="O45:Q45">
    <cfRule type="containsBlanks" dxfId="7242" priority="7223">
      <formula>LEN(TRIM(O45))=0</formula>
    </cfRule>
  </conditionalFormatting>
  <conditionalFormatting sqref="O42:Q42">
    <cfRule type="containsBlanks" dxfId="7241" priority="7222">
      <formula>LEN(TRIM(O42))=0</formula>
    </cfRule>
  </conditionalFormatting>
  <conditionalFormatting sqref="O43:Q43">
    <cfRule type="containsBlanks" dxfId="7240" priority="7221">
      <formula>LEN(TRIM(O43))=0</formula>
    </cfRule>
  </conditionalFormatting>
  <conditionalFormatting sqref="O47:Q47">
    <cfRule type="containsBlanks" dxfId="7239" priority="7220">
      <formula>LEN(TRIM(O47))=0</formula>
    </cfRule>
  </conditionalFormatting>
  <conditionalFormatting sqref="O49:Q49">
    <cfRule type="containsBlanks" dxfId="7238" priority="7219">
      <formula>LEN(TRIM(O49))=0</formula>
    </cfRule>
  </conditionalFormatting>
  <conditionalFormatting sqref="O51:Q51">
    <cfRule type="containsBlanks" dxfId="7237" priority="7218">
      <formula>LEN(TRIM(O51))=0</formula>
    </cfRule>
  </conditionalFormatting>
  <conditionalFormatting sqref="O64:Q64">
    <cfRule type="containsBlanks" dxfId="7236" priority="7217">
      <formula>LEN(TRIM(O64))=0</formula>
    </cfRule>
  </conditionalFormatting>
  <conditionalFormatting sqref="O65:Q65">
    <cfRule type="containsBlanks" dxfId="7235" priority="7216">
      <formula>LEN(TRIM(O65))=0</formula>
    </cfRule>
  </conditionalFormatting>
  <conditionalFormatting sqref="O67:Q67">
    <cfRule type="containsBlanks" dxfId="7234" priority="7215">
      <formula>LEN(TRIM(O67))=0</formula>
    </cfRule>
  </conditionalFormatting>
  <conditionalFormatting sqref="N63:T63">
    <cfRule type="containsBlanks" dxfId="7233" priority="7214">
      <formula>LEN(TRIM(N63))=0</formula>
    </cfRule>
  </conditionalFormatting>
  <conditionalFormatting sqref="M80:S80">
    <cfRule type="containsBlanks" dxfId="7232" priority="7213">
      <formula>LEN(TRIM(M80))=0</formula>
    </cfRule>
  </conditionalFormatting>
  <conditionalFormatting sqref="N83:T83">
    <cfRule type="containsBlanks" dxfId="7231" priority="7212">
      <formula>LEN(TRIM(N83))=0</formula>
    </cfRule>
  </conditionalFormatting>
  <conditionalFormatting sqref="O85:Q85">
    <cfRule type="containsBlanks" dxfId="7230" priority="7211">
      <formula>LEN(TRIM(O85))=0</formula>
    </cfRule>
  </conditionalFormatting>
  <conditionalFormatting sqref="M87:T87">
    <cfRule type="containsBlanks" dxfId="7229" priority="7210">
      <formula>LEN(TRIM(M87))=0</formula>
    </cfRule>
  </conditionalFormatting>
  <conditionalFormatting sqref="M93:T93">
    <cfRule type="containsBlanks" dxfId="7228" priority="7209">
      <formula>LEN(TRIM(M93))=0</formula>
    </cfRule>
  </conditionalFormatting>
  <conditionalFormatting sqref="O94:S94">
    <cfRule type="containsBlanks" dxfId="7227" priority="7208">
      <formula>LEN(TRIM(O94))=0</formula>
    </cfRule>
  </conditionalFormatting>
  <conditionalFormatting sqref="M94:N94">
    <cfRule type="containsBlanks" dxfId="7226" priority="7207">
      <formula>LEN(TRIM(M94))=0</formula>
    </cfRule>
  </conditionalFormatting>
  <conditionalFormatting sqref="M57:T57">
    <cfRule type="containsBlanks" dxfId="7225" priority="7206">
      <formula>LEN(TRIM(M57))=0</formula>
    </cfRule>
  </conditionalFormatting>
  <conditionalFormatting sqref="M58:S58">
    <cfRule type="containsBlanks" dxfId="7224" priority="7205">
      <formula>LEN(TRIM(M58))=0</formula>
    </cfRule>
  </conditionalFormatting>
  <conditionalFormatting sqref="O42:Q42">
    <cfRule type="containsBlanks" dxfId="7223" priority="7204">
      <formula>LEN(TRIM(O42))=0</formula>
    </cfRule>
  </conditionalFormatting>
  <conditionalFormatting sqref="O49:Q49">
    <cfRule type="containsBlanks" dxfId="7222" priority="7203">
      <formula>LEN(TRIM(O49))=0</formula>
    </cfRule>
  </conditionalFormatting>
  <conditionalFormatting sqref="O46:Q46">
    <cfRule type="containsBlanks" dxfId="7221" priority="7202">
      <formula>LEN(TRIM(O46))=0</formula>
    </cfRule>
  </conditionalFormatting>
  <conditionalFormatting sqref="O47:Q47">
    <cfRule type="containsBlanks" dxfId="7220" priority="7201">
      <formula>LEN(TRIM(O47))=0</formula>
    </cfRule>
  </conditionalFormatting>
  <conditionalFormatting sqref="O51:Q51">
    <cfRule type="containsBlanks" dxfId="7219" priority="7200">
      <formula>LEN(TRIM(O51))=0</formula>
    </cfRule>
  </conditionalFormatting>
  <conditionalFormatting sqref="O53:Q53">
    <cfRule type="containsBlanks" dxfId="7218" priority="7199">
      <formula>LEN(TRIM(O53))=0</formula>
    </cfRule>
  </conditionalFormatting>
  <conditionalFormatting sqref="O55:Q55">
    <cfRule type="containsBlanks" dxfId="7217" priority="7198">
      <formula>LEN(TRIM(O55))=0</formula>
    </cfRule>
  </conditionalFormatting>
  <conditionalFormatting sqref="O68:Q68">
    <cfRule type="containsBlanks" dxfId="7216" priority="7197">
      <formula>LEN(TRIM(O68))=0</formula>
    </cfRule>
  </conditionalFormatting>
  <conditionalFormatting sqref="O69:Q69">
    <cfRule type="containsBlanks" dxfId="7215" priority="7196">
      <formula>LEN(TRIM(O69))=0</formula>
    </cfRule>
  </conditionalFormatting>
  <conditionalFormatting sqref="O71:Q71">
    <cfRule type="containsBlanks" dxfId="7214" priority="7195">
      <formula>LEN(TRIM(O71))=0</formula>
    </cfRule>
  </conditionalFormatting>
  <conditionalFormatting sqref="N67:T67">
    <cfRule type="containsBlanks" dxfId="7213" priority="7194">
      <formula>LEN(TRIM(N67))=0</formula>
    </cfRule>
  </conditionalFormatting>
  <conditionalFormatting sqref="M84:S84">
    <cfRule type="containsBlanks" dxfId="7212" priority="7193">
      <formula>LEN(TRIM(M84))=0</formula>
    </cfRule>
  </conditionalFormatting>
  <conditionalFormatting sqref="N87:T87">
    <cfRule type="containsBlanks" dxfId="7211" priority="7192">
      <formula>LEN(TRIM(N87))=0</formula>
    </cfRule>
  </conditionalFormatting>
  <conditionalFormatting sqref="O89:Q89">
    <cfRule type="containsBlanks" dxfId="7210" priority="7191">
      <formula>LEN(TRIM(O89))=0</formula>
    </cfRule>
  </conditionalFormatting>
  <conditionalFormatting sqref="M91:T91">
    <cfRule type="containsBlanks" dxfId="7209" priority="7190">
      <formula>LEN(TRIM(M91))=0</formula>
    </cfRule>
  </conditionalFormatting>
  <conditionalFormatting sqref="M97:T97">
    <cfRule type="containsBlanks" dxfId="7208" priority="7189">
      <formula>LEN(TRIM(M97))=0</formula>
    </cfRule>
  </conditionalFormatting>
  <conditionalFormatting sqref="O98:S98">
    <cfRule type="containsBlanks" dxfId="7207" priority="7188">
      <formula>LEN(TRIM(O98))=0</formula>
    </cfRule>
  </conditionalFormatting>
  <conditionalFormatting sqref="M98:N98">
    <cfRule type="containsBlanks" dxfId="7206" priority="7187">
      <formula>LEN(TRIM(M98))=0</formula>
    </cfRule>
  </conditionalFormatting>
  <conditionalFormatting sqref="M61:T61">
    <cfRule type="containsBlanks" dxfId="7205" priority="7186">
      <formula>LEN(TRIM(M61))=0</formula>
    </cfRule>
  </conditionalFormatting>
  <conditionalFormatting sqref="M62:S62">
    <cfRule type="containsBlanks" dxfId="7204" priority="7185">
      <formula>LEN(TRIM(M62))=0</formula>
    </cfRule>
  </conditionalFormatting>
  <conditionalFormatting sqref="O33:Q33">
    <cfRule type="containsBlanks" dxfId="7203" priority="7184">
      <formula>LEN(TRIM(O33))=0</formula>
    </cfRule>
  </conditionalFormatting>
  <conditionalFormatting sqref="O40:Q40">
    <cfRule type="containsBlanks" dxfId="7202" priority="7183">
      <formula>LEN(TRIM(O40))=0</formula>
    </cfRule>
  </conditionalFormatting>
  <conditionalFormatting sqref="O37:Q37">
    <cfRule type="containsBlanks" dxfId="7201" priority="7182">
      <formula>LEN(TRIM(O37))=0</formula>
    </cfRule>
  </conditionalFormatting>
  <conditionalFormatting sqref="O38:Q38">
    <cfRule type="containsBlanks" dxfId="7200" priority="7181">
      <formula>LEN(TRIM(O38))=0</formula>
    </cfRule>
  </conditionalFormatting>
  <conditionalFormatting sqref="O42:Q42">
    <cfRule type="containsBlanks" dxfId="7199" priority="7180">
      <formula>LEN(TRIM(O42))=0</formula>
    </cfRule>
  </conditionalFormatting>
  <conditionalFormatting sqref="O44:Q44">
    <cfRule type="containsBlanks" dxfId="7198" priority="7179">
      <formula>LEN(TRIM(O44))=0</formula>
    </cfRule>
  </conditionalFormatting>
  <conditionalFormatting sqref="O46:Q46">
    <cfRule type="containsBlanks" dxfId="7197" priority="7178">
      <formula>LEN(TRIM(O46))=0</formula>
    </cfRule>
  </conditionalFormatting>
  <conditionalFormatting sqref="O59:Q59">
    <cfRule type="containsBlanks" dxfId="7196" priority="7177">
      <formula>LEN(TRIM(O59))=0</formula>
    </cfRule>
  </conditionalFormatting>
  <conditionalFormatting sqref="O60:Q60">
    <cfRule type="containsBlanks" dxfId="7195" priority="7176">
      <formula>LEN(TRIM(O60))=0</formula>
    </cfRule>
  </conditionalFormatting>
  <conditionalFormatting sqref="O62:Q62">
    <cfRule type="containsBlanks" dxfId="7194" priority="7175">
      <formula>LEN(TRIM(O62))=0</formula>
    </cfRule>
  </conditionalFormatting>
  <conditionalFormatting sqref="N58:T58">
    <cfRule type="containsBlanks" dxfId="7193" priority="7174">
      <formula>LEN(TRIM(N58))=0</formula>
    </cfRule>
  </conditionalFormatting>
  <conditionalFormatting sqref="M75:S75">
    <cfRule type="containsBlanks" dxfId="7192" priority="7173">
      <formula>LEN(TRIM(M75))=0</formula>
    </cfRule>
  </conditionalFormatting>
  <conditionalFormatting sqref="N78:T78">
    <cfRule type="containsBlanks" dxfId="7191" priority="7172">
      <formula>LEN(TRIM(N78))=0</formula>
    </cfRule>
  </conditionalFormatting>
  <conditionalFormatting sqref="O80:Q80">
    <cfRule type="containsBlanks" dxfId="7190" priority="7171">
      <formula>LEN(TRIM(O80))=0</formula>
    </cfRule>
  </conditionalFormatting>
  <conditionalFormatting sqref="M82:T82">
    <cfRule type="containsBlanks" dxfId="7189" priority="7170">
      <formula>LEN(TRIM(M82))=0</formula>
    </cfRule>
  </conditionalFormatting>
  <conditionalFormatting sqref="M88:T88">
    <cfRule type="containsBlanks" dxfId="7188" priority="7169">
      <formula>LEN(TRIM(M88))=0</formula>
    </cfRule>
  </conditionalFormatting>
  <conditionalFormatting sqref="O89:S89">
    <cfRule type="containsBlanks" dxfId="7187" priority="7168">
      <formula>LEN(TRIM(O89))=0</formula>
    </cfRule>
  </conditionalFormatting>
  <conditionalFormatting sqref="M89:N89">
    <cfRule type="containsBlanks" dxfId="7186" priority="7167">
      <formula>LEN(TRIM(M89))=0</formula>
    </cfRule>
  </conditionalFormatting>
  <conditionalFormatting sqref="M52:T52">
    <cfRule type="containsBlanks" dxfId="7185" priority="7166">
      <formula>LEN(TRIM(M52))=0</formula>
    </cfRule>
  </conditionalFormatting>
  <conditionalFormatting sqref="M53:S53">
    <cfRule type="containsBlanks" dxfId="7184" priority="7165">
      <formula>LEN(TRIM(M53))=0</formula>
    </cfRule>
  </conditionalFormatting>
  <conditionalFormatting sqref="O51:Q51">
    <cfRule type="containsBlanks" dxfId="7183" priority="7164">
      <formula>LEN(TRIM(O51))=0</formula>
    </cfRule>
  </conditionalFormatting>
  <conditionalFormatting sqref="O48:Q48">
    <cfRule type="containsBlanks" dxfId="7182" priority="7163">
      <formula>LEN(TRIM(O48))=0</formula>
    </cfRule>
  </conditionalFormatting>
  <conditionalFormatting sqref="O49:Q49">
    <cfRule type="containsBlanks" dxfId="7181" priority="7162">
      <formula>LEN(TRIM(O49))=0</formula>
    </cfRule>
  </conditionalFormatting>
  <conditionalFormatting sqref="O53:Q53">
    <cfRule type="containsBlanks" dxfId="7180" priority="7161">
      <formula>LEN(TRIM(O53))=0</formula>
    </cfRule>
  </conditionalFormatting>
  <conditionalFormatting sqref="O55:Q55">
    <cfRule type="containsBlanks" dxfId="7179" priority="7160">
      <formula>LEN(TRIM(O55))=0</formula>
    </cfRule>
  </conditionalFormatting>
  <conditionalFormatting sqref="O57:Q57">
    <cfRule type="containsBlanks" dxfId="7178" priority="7159">
      <formula>LEN(TRIM(O57))=0</formula>
    </cfRule>
  </conditionalFormatting>
  <conditionalFormatting sqref="O70:Q70">
    <cfRule type="containsBlanks" dxfId="7177" priority="7158">
      <formula>LEN(TRIM(O70))=0</formula>
    </cfRule>
  </conditionalFormatting>
  <conditionalFormatting sqref="O71:Q71">
    <cfRule type="containsBlanks" dxfId="7176" priority="7157">
      <formula>LEN(TRIM(O71))=0</formula>
    </cfRule>
  </conditionalFormatting>
  <conditionalFormatting sqref="O73:Q73">
    <cfRule type="containsBlanks" dxfId="7175" priority="7156">
      <formula>LEN(TRIM(O73))=0</formula>
    </cfRule>
  </conditionalFormatting>
  <conditionalFormatting sqref="N69:T69">
    <cfRule type="containsBlanks" dxfId="7174" priority="7155">
      <formula>LEN(TRIM(N69))=0</formula>
    </cfRule>
  </conditionalFormatting>
  <conditionalFormatting sqref="M86:S86">
    <cfRule type="containsBlanks" dxfId="7173" priority="7154">
      <formula>LEN(TRIM(M86))=0</formula>
    </cfRule>
  </conditionalFormatting>
  <conditionalFormatting sqref="N89:T89">
    <cfRule type="containsBlanks" dxfId="7172" priority="7153">
      <formula>LEN(TRIM(N89))=0</formula>
    </cfRule>
  </conditionalFormatting>
  <conditionalFormatting sqref="O91:Q91">
    <cfRule type="containsBlanks" dxfId="7171" priority="7152">
      <formula>LEN(TRIM(O91))=0</formula>
    </cfRule>
  </conditionalFormatting>
  <conditionalFormatting sqref="M93:T93">
    <cfRule type="containsBlanks" dxfId="7170" priority="7151">
      <formula>LEN(TRIM(M93))=0</formula>
    </cfRule>
  </conditionalFormatting>
  <conditionalFormatting sqref="O100:S100">
    <cfRule type="containsBlanks" dxfId="7169" priority="7149">
      <formula>LEN(TRIM(O100))=0</formula>
    </cfRule>
  </conditionalFormatting>
  <conditionalFormatting sqref="M100:N100">
    <cfRule type="containsBlanks" dxfId="7168" priority="7148">
      <formula>LEN(TRIM(M100))=0</formula>
    </cfRule>
  </conditionalFormatting>
  <conditionalFormatting sqref="M63:T63">
    <cfRule type="containsBlanks" dxfId="7167" priority="7147">
      <formula>LEN(TRIM(M63))=0</formula>
    </cfRule>
  </conditionalFormatting>
  <conditionalFormatting sqref="M64:S64">
    <cfRule type="containsBlanks" dxfId="7166" priority="7146">
      <formula>LEN(TRIM(M64))=0</formula>
    </cfRule>
  </conditionalFormatting>
  <conditionalFormatting sqref="O48:Q48">
    <cfRule type="containsBlanks" dxfId="7165" priority="7145">
      <formula>LEN(TRIM(O48))=0</formula>
    </cfRule>
  </conditionalFormatting>
  <conditionalFormatting sqref="O61:Q61">
    <cfRule type="containsBlanks" dxfId="7164" priority="7144">
      <formula>LEN(TRIM(O61))=0</formula>
    </cfRule>
  </conditionalFormatting>
  <conditionalFormatting sqref="O62:Q62">
    <cfRule type="containsBlanks" dxfId="7163" priority="7143">
      <formula>LEN(TRIM(O62))=0</formula>
    </cfRule>
  </conditionalFormatting>
  <conditionalFormatting sqref="O64:Q64">
    <cfRule type="containsBlanks" dxfId="7162" priority="7142">
      <formula>LEN(TRIM(O64))=0</formula>
    </cfRule>
  </conditionalFormatting>
  <conditionalFormatting sqref="N60:T60">
    <cfRule type="containsBlanks" dxfId="7161" priority="7141">
      <formula>LEN(TRIM(N60))=0</formula>
    </cfRule>
  </conditionalFormatting>
  <conditionalFormatting sqref="M77:S77">
    <cfRule type="containsBlanks" dxfId="7160" priority="7140">
      <formula>LEN(TRIM(M77))=0</formula>
    </cfRule>
  </conditionalFormatting>
  <conditionalFormatting sqref="N80:T80">
    <cfRule type="containsBlanks" dxfId="7159" priority="7139">
      <formula>LEN(TRIM(N80))=0</formula>
    </cfRule>
  </conditionalFormatting>
  <conditionalFormatting sqref="O82:Q82">
    <cfRule type="containsBlanks" dxfId="7158" priority="7138">
      <formula>LEN(TRIM(O82))=0</formula>
    </cfRule>
  </conditionalFormatting>
  <conditionalFormatting sqref="M84:T84">
    <cfRule type="containsBlanks" dxfId="7157" priority="7137">
      <formula>LEN(TRIM(M84))=0</formula>
    </cfRule>
  </conditionalFormatting>
  <conditionalFormatting sqref="M90:T90">
    <cfRule type="containsBlanks" dxfId="7156" priority="7136">
      <formula>LEN(TRIM(M90))=0</formula>
    </cfRule>
  </conditionalFormatting>
  <conditionalFormatting sqref="O91:S91">
    <cfRule type="containsBlanks" dxfId="7155" priority="7135">
      <formula>LEN(TRIM(O91))=0</formula>
    </cfRule>
  </conditionalFormatting>
  <conditionalFormatting sqref="M91:N91">
    <cfRule type="containsBlanks" dxfId="7154" priority="7134">
      <formula>LEN(TRIM(M91))=0</formula>
    </cfRule>
  </conditionalFormatting>
  <conditionalFormatting sqref="M54:T54">
    <cfRule type="containsBlanks" dxfId="7153" priority="7133">
      <formula>LEN(TRIM(M54))=0</formula>
    </cfRule>
  </conditionalFormatting>
  <conditionalFormatting sqref="M55:S55">
    <cfRule type="containsBlanks" dxfId="7152" priority="7132">
      <formula>LEN(TRIM(M55))=0</formula>
    </cfRule>
  </conditionalFormatting>
  <conditionalFormatting sqref="O48:Q48">
    <cfRule type="containsBlanks" dxfId="7151" priority="7131">
      <formula>LEN(TRIM(O48))=0</formula>
    </cfRule>
  </conditionalFormatting>
  <conditionalFormatting sqref="O50:Q50">
    <cfRule type="containsBlanks" dxfId="7150" priority="7130">
      <formula>LEN(TRIM(O50))=0</formula>
    </cfRule>
  </conditionalFormatting>
  <conditionalFormatting sqref="O52:Q52">
    <cfRule type="containsBlanks" dxfId="7149" priority="7129">
      <formula>LEN(TRIM(O52))=0</formula>
    </cfRule>
  </conditionalFormatting>
  <conditionalFormatting sqref="O65:Q65">
    <cfRule type="containsBlanks" dxfId="7148" priority="7128">
      <formula>LEN(TRIM(O65))=0</formula>
    </cfRule>
  </conditionalFormatting>
  <conditionalFormatting sqref="O66:Q66">
    <cfRule type="containsBlanks" dxfId="7147" priority="7127">
      <formula>LEN(TRIM(O66))=0</formula>
    </cfRule>
  </conditionalFormatting>
  <conditionalFormatting sqref="O68:Q68">
    <cfRule type="containsBlanks" dxfId="7146" priority="7126">
      <formula>LEN(TRIM(O68))=0</formula>
    </cfRule>
  </conditionalFormatting>
  <conditionalFormatting sqref="N64:T64">
    <cfRule type="containsBlanks" dxfId="7145" priority="7125">
      <formula>LEN(TRIM(N64))=0</formula>
    </cfRule>
  </conditionalFormatting>
  <conditionalFormatting sqref="M81:S81">
    <cfRule type="containsBlanks" dxfId="7144" priority="7124">
      <formula>LEN(TRIM(M81))=0</formula>
    </cfRule>
  </conditionalFormatting>
  <conditionalFormatting sqref="N84:T84">
    <cfRule type="containsBlanks" dxfId="7143" priority="7123">
      <formula>LEN(TRIM(N84))=0</formula>
    </cfRule>
  </conditionalFormatting>
  <conditionalFormatting sqref="O86:Q86">
    <cfRule type="containsBlanks" dxfId="7142" priority="7122">
      <formula>LEN(TRIM(O86))=0</formula>
    </cfRule>
  </conditionalFormatting>
  <conditionalFormatting sqref="M88:T88">
    <cfRule type="containsBlanks" dxfId="7141" priority="7121">
      <formula>LEN(TRIM(M88))=0</formula>
    </cfRule>
  </conditionalFormatting>
  <conditionalFormatting sqref="M94:T94">
    <cfRule type="containsBlanks" dxfId="7140" priority="7120">
      <formula>LEN(TRIM(M94))=0</formula>
    </cfRule>
  </conditionalFormatting>
  <conditionalFormatting sqref="O95:S95">
    <cfRule type="containsBlanks" dxfId="7139" priority="7119">
      <formula>LEN(TRIM(O95))=0</formula>
    </cfRule>
  </conditionalFormatting>
  <conditionalFormatting sqref="M95:N95">
    <cfRule type="containsBlanks" dxfId="7138" priority="7118">
      <formula>LEN(TRIM(M95))=0</formula>
    </cfRule>
  </conditionalFormatting>
  <conditionalFormatting sqref="M58:T58">
    <cfRule type="containsBlanks" dxfId="7137" priority="7117">
      <formula>LEN(TRIM(M58))=0</formula>
    </cfRule>
  </conditionalFormatting>
  <conditionalFormatting sqref="M59:S59">
    <cfRule type="containsBlanks" dxfId="7136" priority="7116">
      <formula>LEN(TRIM(M59))=0</formula>
    </cfRule>
  </conditionalFormatting>
  <conditionalFormatting sqref="O56:Q56">
    <cfRule type="containsBlanks" dxfId="7135" priority="7115">
      <formula>LEN(TRIM(O56))=0</formula>
    </cfRule>
  </conditionalFormatting>
  <conditionalFormatting sqref="O57:Q57">
    <cfRule type="containsBlanks" dxfId="7134" priority="7114">
      <formula>LEN(TRIM(O57))=0</formula>
    </cfRule>
  </conditionalFormatting>
  <conditionalFormatting sqref="O59:Q59">
    <cfRule type="containsBlanks" dxfId="7133" priority="7113">
      <formula>LEN(TRIM(O59))=0</formula>
    </cfRule>
  </conditionalFormatting>
  <conditionalFormatting sqref="N55:T55">
    <cfRule type="containsBlanks" dxfId="7132" priority="7112">
      <formula>LEN(TRIM(N55))=0</formula>
    </cfRule>
  </conditionalFormatting>
  <conditionalFormatting sqref="M72:S72">
    <cfRule type="containsBlanks" dxfId="7131" priority="7111">
      <formula>LEN(TRIM(M72))=0</formula>
    </cfRule>
  </conditionalFormatting>
  <conditionalFormatting sqref="N75:T75">
    <cfRule type="containsBlanks" dxfId="7130" priority="7110">
      <formula>LEN(TRIM(N75))=0</formula>
    </cfRule>
  </conditionalFormatting>
  <conditionalFormatting sqref="O77:Q77">
    <cfRule type="containsBlanks" dxfId="7129" priority="7109">
      <formula>LEN(TRIM(O77))=0</formula>
    </cfRule>
  </conditionalFormatting>
  <conditionalFormatting sqref="M79:T79">
    <cfRule type="containsBlanks" dxfId="7128" priority="7108">
      <formula>LEN(TRIM(M79))=0</formula>
    </cfRule>
  </conditionalFormatting>
  <conditionalFormatting sqref="M85:T85">
    <cfRule type="containsBlanks" dxfId="7127" priority="7107">
      <formula>LEN(TRIM(M85))=0</formula>
    </cfRule>
  </conditionalFormatting>
  <conditionalFormatting sqref="O86:S86">
    <cfRule type="containsBlanks" dxfId="7126" priority="7106">
      <formula>LEN(TRIM(O86))=0</formula>
    </cfRule>
  </conditionalFormatting>
  <conditionalFormatting sqref="M86:N86">
    <cfRule type="containsBlanks" dxfId="7125" priority="7105">
      <formula>LEN(TRIM(M86))=0</formula>
    </cfRule>
  </conditionalFormatting>
  <conditionalFormatting sqref="M49:T49">
    <cfRule type="containsBlanks" dxfId="7124" priority="7104">
      <formula>LEN(TRIM(M49))=0</formula>
    </cfRule>
  </conditionalFormatting>
  <conditionalFormatting sqref="M50:S50">
    <cfRule type="containsBlanks" dxfId="7123" priority="7103">
      <formula>LEN(TRIM(M50))=0</formula>
    </cfRule>
  </conditionalFormatting>
  <conditionalFormatting sqref="M21:N21">
    <cfRule type="containsBlanks" dxfId="7122" priority="7102">
      <formula>LEN(TRIM(M21))=0</formula>
    </cfRule>
  </conditionalFormatting>
  <conditionalFormatting sqref="O49:Q49">
    <cfRule type="containsBlanks" dxfId="7121" priority="7101">
      <formula>LEN(TRIM(O49))=0</formula>
    </cfRule>
  </conditionalFormatting>
  <conditionalFormatting sqref="O56:Q56">
    <cfRule type="containsBlanks" dxfId="7120" priority="7100">
      <formula>LEN(TRIM(O56))=0</formula>
    </cfRule>
  </conditionalFormatting>
  <conditionalFormatting sqref="O53:Q53">
    <cfRule type="containsBlanks" dxfId="7119" priority="7099">
      <formula>LEN(TRIM(O53))=0</formula>
    </cfRule>
  </conditionalFormatting>
  <conditionalFormatting sqref="O54:Q54">
    <cfRule type="containsBlanks" dxfId="7118" priority="7098">
      <formula>LEN(TRIM(O54))=0</formula>
    </cfRule>
  </conditionalFormatting>
  <conditionalFormatting sqref="O58:Q58">
    <cfRule type="containsBlanks" dxfId="7117" priority="7097">
      <formula>LEN(TRIM(O58))=0</formula>
    </cfRule>
  </conditionalFormatting>
  <conditionalFormatting sqref="O60:Q60">
    <cfRule type="containsBlanks" dxfId="7116" priority="7096">
      <formula>LEN(TRIM(O60))=0</formula>
    </cfRule>
  </conditionalFormatting>
  <conditionalFormatting sqref="O62:Q62">
    <cfRule type="containsBlanks" dxfId="7115" priority="7095">
      <formula>LEN(TRIM(O62))=0</formula>
    </cfRule>
  </conditionalFormatting>
  <conditionalFormatting sqref="O75:Q75">
    <cfRule type="containsBlanks" dxfId="7114" priority="7094">
      <formula>LEN(TRIM(O75))=0</formula>
    </cfRule>
  </conditionalFormatting>
  <conditionalFormatting sqref="O76:Q76">
    <cfRule type="containsBlanks" dxfId="7113" priority="7093">
      <formula>LEN(TRIM(O76))=0</formula>
    </cfRule>
  </conditionalFormatting>
  <conditionalFormatting sqref="O78:Q78">
    <cfRule type="containsBlanks" dxfId="7112" priority="7092">
      <formula>LEN(TRIM(O78))=0</formula>
    </cfRule>
  </conditionalFormatting>
  <conditionalFormatting sqref="N74:T74">
    <cfRule type="containsBlanks" dxfId="7111" priority="7091">
      <formula>LEN(TRIM(N74))=0</formula>
    </cfRule>
  </conditionalFormatting>
  <conditionalFormatting sqref="M91:S91">
    <cfRule type="containsBlanks" dxfId="7110" priority="7090">
      <formula>LEN(TRIM(M91))=0</formula>
    </cfRule>
  </conditionalFormatting>
  <conditionalFormatting sqref="N94:T94">
    <cfRule type="containsBlanks" dxfId="7109" priority="7089">
      <formula>LEN(TRIM(N94))=0</formula>
    </cfRule>
  </conditionalFormatting>
  <conditionalFormatting sqref="O96:Q96">
    <cfRule type="containsBlanks" dxfId="7108" priority="7088">
      <formula>LEN(TRIM(O96))=0</formula>
    </cfRule>
  </conditionalFormatting>
  <conditionalFormatting sqref="M98:T98">
    <cfRule type="containsBlanks" dxfId="7107" priority="7087">
      <formula>LEN(TRIM(M98))=0</formula>
    </cfRule>
  </conditionalFormatting>
  <conditionalFormatting sqref="M104:T104">
    <cfRule type="containsBlanks" dxfId="7106" priority="7086">
      <formula>LEN(TRIM(M104))=0</formula>
    </cfRule>
  </conditionalFormatting>
  <conditionalFormatting sqref="O105:S105">
    <cfRule type="containsBlanks" dxfId="7105" priority="7085">
      <formula>LEN(TRIM(O105))=0</formula>
    </cfRule>
  </conditionalFormatting>
  <conditionalFormatting sqref="M105:N105">
    <cfRule type="containsBlanks" dxfId="7104" priority="7084">
      <formula>LEN(TRIM(M105))=0</formula>
    </cfRule>
  </conditionalFormatting>
  <conditionalFormatting sqref="M68:T68">
    <cfRule type="containsBlanks" dxfId="7103" priority="7083">
      <formula>LEN(TRIM(M68))=0</formula>
    </cfRule>
  </conditionalFormatting>
  <conditionalFormatting sqref="M69:S69">
    <cfRule type="containsBlanks" dxfId="7102" priority="7082">
      <formula>LEN(TRIM(M69))=0</formula>
    </cfRule>
  </conditionalFormatting>
  <conditionalFormatting sqref="O40:Q40">
    <cfRule type="containsBlanks" dxfId="7101" priority="7081">
      <formula>LEN(TRIM(O40))=0</formula>
    </cfRule>
  </conditionalFormatting>
  <conditionalFormatting sqref="O47:Q47">
    <cfRule type="containsBlanks" dxfId="7100" priority="7080">
      <formula>LEN(TRIM(O47))=0</formula>
    </cfRule>
  </conditionalFormatting>
  <conditionalFormatting sqref="O44:Q44">
    <cfRule type="containsBlanks" dxfId="7099" priority="7079">
      <formula>LEN(TRIM(O44))=0</formula>
    </cfRule>
  </conditionalFormatting>
  <conditionalFormatting sqref="O45:Q45">
    <cfRule type="containsBlanks" dxfId="7098" priority="7078">
      <formula>LEN(TRIM(O45))=0</formula>
    </cfRule>
  </conditionalFormatting>
  <conditionalFormatting sqref="O49:Q49">
    <cfRule type="containsBlanks" dxfId="7097" priority="7077">
      <formula>LEN(TRIM(O49))=0</formula>
    </cfRule>
  </conditionalFormatting>
  <conditionalFormatting sqref="O51:Q51">
    <cfRule type="containsBlanks" dxfId="7096" priority="7076">
      <formula>LEN(TRIM(O51))=0</formula>
    </cfRule>
  </conditionalFormatting>
  <conditionalFormatting sqref="O53:Q53">
    <cfRule type="containsBlanks" dxfId="7095" priority="7075">
      <formula>LEN(TRIM(O53))=0</formula>
    </cfRule>
  </conditionalFormatting>
  <conditionalFormatting sqref="O66:Q66">
    <cfRule type="containsBlanks" dxfId="7094" priority="7074">
      <formula>LEN(TRIM(O66))=0</formula>
    </cfRule>
  </conditionalFormatting>
  <conditionalFormatting sqref="O67:Q67">
    <cfRule type="containsBlanks" dxfId="7093" priority="7073">
      <formula>LEN(TRIM(O67))=0</formula>
    </cfRule>
  </conditionalFormatting>
  <conditionalFormatting sqref="O69:Q69">
    <cfRule type="containsBlanks" dxfId="7092" priority="7072">
      <formula>LEN(TRIM(O69))=0</formula>
    </cfRule>
  </conditionalFormatting>
  <conditionalFormatting sqref="N65:T65">
    <cfRule type="containsBlanks" dxfId="7091" priority="7071">
      <formula>LEN(TRIM(N65))=0</formula>
    </cfRule>
  </conditionalFormatting>
  <conditionalFormatting sqref="M82:S82">
    <cfRule type="containsBlanks" dxfId="7090" priority="7070">
      <formula>LEN(TRIM(M82))=0</formula>
    </cfRule>
  </conditionalFormatting>
  <conditionalFormatting sqref="N85:T85">
    <cfRule type="containsBlanks" dxfId="7089" priority="7069">
      <formula>LEN(TRIM(N85))=0</formula>
    </cfRule>
  </conditionalFormatting>
  <conditionalFormatting sqref="O87:Q87">
    <cfRule type="containsBlanks" dxfId="7088" priority="7068">
      <formula>LEN(TRIM(O87))=0</formula>
    </cfRule>
  </conditionalFormatting>
  <conditionalFormatting sqref="M89:T89">
    <cfRule type="containsBlanks" dxfId="7087" priority="7067">
      <formula>LEN(TRIM(M89))=0</formula>
    </cfRule>
  </conditionalFormatting>
  <conditionalFormatting sqref="M95:T95">
    <cfRule type="containsBlanks" dxfId="7086" priority="7066">
      <formula>LEN(TRIM(M95))=0</formula>
    </cfRule>
  </conditionalFormatting>
  <conditionalFormatting sqref="O96:S96">
    <cfRule type="containsBlanks" dxfId="7085" priority="7065">
      <formula>LEN(TRIM(O96))=0</formula>
    </cfRule>
  </conditionalFormatting>
  <conditionalFormatting sqref="M96:N96">
    <cfRule type="containsBlanks" dxfId="7084" priority="7064">
      <formula>LEN(TRIM(M96))=0</formula>
    </cfRule>
  </conditionalFormatting>
  <conditionalFormatting sqref="M59:T59">
    <cfRule type="containsBlanks" dxfId="7083" priority="7063">
      <formula>LEN(TRIM(M59))=0</formula>
    </cfRule>
  </conditionalFormatting>
  <conditionalFormatting sqref="M60:S60">
    <cfRule type="containsBlanks" dxfId="7082" priority="7062">
      <formula>LEN(TRIM(M60))=0</formula>
    </cfRule>
  </conditionalFormatting>
  <conditionalFormatting sqref="O44:Q44">
    <cfRule type="containsBlanks" dxfId="7081" priority="7061">
      <formula>LEN(TRIM(O44))=0</formula>
    </cfRule>
  </conditionalFormatting>
  <conditionalFormatting sqref="O51:Q51">
    <cfRule type="containsBlanks" dxfId="7080" priority="7060">
      <formula>LEN(TRIM(O51))=0</formula>
    </cfRule>
  </conditionalFormatting>
  <conditionalFormatting sqref="O48:Q48">
    <cfRule type="containsBlanks" dxfId="7079" priority="7059">
      <formula>LEN(TRIM(O48))=0</formula>
    </cfRule>
  </conditionalFormatting>
  <conditionalFormatting sqref="O49:Q49">
    <cfRule type="containsBlanks" dxfId="7078" priority="7058">
      <formula>LEN(TRIM(O49))=0</formula>
    </cfRule>
  </conditionalFormatting>
  <conditionalFormatting sqref="O53:Q53">
    <cfRule type="containsBlanks" dxfId="7077" priority="7057">
      <formula>LEN(TRIM(O53))=0</formula>
    </cfRule>
  </conditionalFormatting>
  <conditionalFormatting sqref="O55:Q55">
    <cfRule type="containsBlanks" dxfId="7076" priority="7056">
      <formula>LEN(TRIM(O55))=0</formula>
    </cfRule>
  </conditionalFormatting>
  <conditionalFormatting sqref="O57:Q57">
    <cfRule type="containsBlanks" dxfId="7075" priority="7055">
      <formula>LEN(TRIM(O57))=0</formula>
    </cfRule>
  </conditionalFormatting>
  <conditionalFormatting sqref="O70:Q70">
    <cfRule type="containsBlanks" dxfId="7074" priority="7054">
      <formula>LEN(TRIM(O70))=0</formula>
    </cfRule>
  </conditionalFormatting>
  <conditionalFormatting sqref="O71:Q71">
    <cfRule type="containsBlanks" dxfId="7073" priority="7053">
      <formula>LEN(TRIM(O71))=0</formula>
    </cfRule>
  </conditionalFormatting>
  <conditionalFormatting sqref="O73:Q73">
    <cfRule type="containsBlanks" dxfId="7072" priority="7052">
      <formula>LEN(TRIM(O73))=0</formula>
    </cfRule>
  </conditionalFormatting>
  <conditionalFormatting sqref="N69:T69">
    <cfRule type="containsBlanks" dxfId="7071" priority="7051">
      <formula>LEN(TRIM(N69))=0</formula>
    </cfRule>
  </conditionalFormatting>
  <conditionalFormatting sqref="M86:S86">
    <cfRule type="containsBlanks" dxfId="7070" priority="7050">
      <formula>LEN(TRIM(M86))=0</formula>
    </cfRule>
  </conditionalFormatting>
  <conditionalFormatting sqref="N89:T89">
    <cfRule type="containsBlanks" dxfId="7069" priority="7049">
      <formula>LEN(TRIM(N89))=0</formula>
    </cfRule>
  </conditionalFormatting>
  <conditionalFormatting sqref="O91:Q91">
    <cfRule type="containsBlanks" dxfId="7068" priority="7048">
      <formula>LEN(TRIM(O91))=0</formula>
    </cfRule>
  </conditionalFormatting>
  <conditionalFormatting sqref="M93:T93">
    <cfRule type="containsBlanks" dxfId="7067" priority="7047">
      <formula>LEN(TRIM(M93))=0</formula>
    </cfRule>
  </conditionalFormatting>
  <conditionalFormatting sqref="O100:S100">
    <cfRule type="containsBlanks" dxfId="7066" priority="7045">
      <formula>LEN(TRIM(O100))=0</formula>
    </cfRule>
  </conditionalFormatting>
  <conditionalFormatting sqref="M100:N100">
    <cfRule type="containsBlanks" dxfId="7065" priority="7044">
      <formula>LEN(TRIM(M100))=0</formula>
    </cfRule>
  </conditionalFormatting>
  <conditionalFormatting sqref="M63:T63">
    <cfRule type="containsBlanks" dxfId="7064" priority="7043">
      <formula>LEN(TRIM(M63))=0</formula>
    </cfRule>
  </conditionalFormatting>
  <conditionalFormatting sqref="M64:S64">
    <cfRule type="containsBlanks" dxfId="7063" priority="7042">
      <formula>LEN(TRIM(M64))=0</formula>
    </cfRule>
  </conditionalFormatting>
  <conditionalFormatting sqref="O35:Q35">
    <cfRule type="containsBlanks" dxfId="7062" priority="7041">
      <formula>LEN(TRIM(O35))=0</formula>
    </cfRule>
  </conditionalFormatting>
  <conditionalFormatting sqref="O42:Q42">
    <cfRule type="containsBlanks" dxfId="7061" priority="7040">
      <formula>LEN(TRIM(O42))=0</formula>
    </cfRule>
  </conditionalFormatting>
  <conditionalFormatting sqref="O39:Q39">
    <cfRule type="containsBlanks" dxfId="7060" priority="7039">
      <formula>LEN(TRIM(O39))=0</formula>
    </cfRule>
  </conditionalFormatting>
  <conditionalFormatting sqref="O40:Q40">
    <cfRule type="containsBlanks" dxfId="7059" priority="7038">
      <formula>LEN(TRIM(O40))=0</formula>
    </cfRule>
  </conditionalFormatting>
  <conditionalFormatting sqref="O44:Q44">
    <cfRule type="containsBlanks" dxfId="7058" priority="7037">
      <formula>LEN(TRIM(O44))=0</formula>
    </cfRule>
  </conditionalFormatting>
  <conditionalFormatting sqref="O46:Q46">
    <cfRule type="containsBlanks" dxfId="7057" priority="7036">
      <formula>LEN(TRIM(O46))=0</formula>
    </cfRule>
  </conditionalFormatting>
  <conditionalFormatting sqref="O48:Q48">
    <cfRule type="containsBlanks" dxfId="7056" priority="7035">
      <formula>LEN(TRIM(O48))=0</formula>
    </cfRule>
  </conditionalFormatting>
  <conditionalFormatting sqref="O61:Q61">
    <cfRule type="containsBlanks" dxfId="7055" priority="7034">
      <formula>LEN(TRIM(O61))=0</formula>
    </cfRule>
  </conditionalFormatting>
  <conditionalFormatting sqref="O62:Q62">
    <cfRule type="containsBlanks" dxfId="7054" priority="7033">
      <formula>LEN(TRIM(O62))=0</formula>
    </cfRule>
  </conditionalFormatting>
  <conditionalFormatting sqref="O64:Q64">
    <cfRule type="containsBlanks" dxfId="7053" priority="7032">
      <formula>LEN(TRIM(O64))=0</formula>
    </cfRule>
  </conditionalFormatting>
  <conditionalFormatting sqref="N60:T60">
    <cfRule type="containsBlanks" dxfId="7052" priority="7031">
      <formula>LEN(TRIM(N60))=0</formula>
    </cfRule>
  </conditionalFormatting>
  <conditionalFormatting sqref="M77:S77">
    <cfRule type="containsBlanks" dxfId="7051" priority="7030">
      <formula>LEN(TRIM(M77))=0</formula>
    </cfRule>
  </conditionalFormatting>
  <conditionalFormatting sqref="N80:T80">
    <cfRule type="containsBlanks" dxfId="7050" priority="7029">
      <formula>LEN(TRIM(N80))=0</formula>
    </cfRule>
  </conditionalFormatting>
  <conditionalFormatting sqref="O82:Q82">
    <cfRule type="containsBlanks" dxfId="7049" priority="7028">
      <formula>LEN(TRIM(O82))=0</formula>
    </cfRule>
  </conditionalFormatting>
  <conditionalFormatting sqref="M84:T84">
    <cfRule type="containsBlanks" dxfId="7048" priority="7027">
      <formula>LEN(TRIM(M84))=0</formula>
    </cfRule>
  </conditionalFormatting>
  <conditionalFormatting sqref="M90:T90">
    <cfRule type="containsBlanks" dxfId="7047" priority="7026">
      <formula>LEN(TRIM(M90))=0</formula>
    </cfRule>
  </conditionalFormatting>
  <conditionalFormatting sqref="O91:S91">
    <cfRule type="containsBlanks" dxfId="7046" priority="7025">
      <formula>LEN(TRIM(O91))=0</formula>
    </cfRule>
  </conditionalFormatting>
  <conditionalFormatting sqref="M91:N91">
    <cfRule type="containsBlanks" dxfId="7045" priority="7024">
      <formula>LEN(TRIM(M91))=0</formula>
    </cfRule>
  </conditionalFormatting>
  <conditionalFormatting sqref="M54:T54">
    <cfRule type="containsBlanks" dxfId="7044" priority="7023">
      <formula>LEN(TRIM(M54))=0</formula>
    </cfRule>
  </conditionalFormatting>
  <conditionalFormatting sqref="M55:S55">
    <cfRule type="containsBlanks" dxfId="7043" priority="7022">
      <formula>LEN(TRIM(M55))=0</formula>
    </cfRule>
  </conditionalFormatting>
  <conditionalFormatting sqref="O53:Q53">
    <cfRule type="containsBlanks" dxfId="7042" priority="7021">
      <formula>LEN(TRIM(O53))=0</formula>
    </cfRule>
  </conditionalFormatting>
  <conditionalFormatting sqref="O50:Q50">
    <cfRule type="containsBlanks" dxfId="7041" priority="7020">
      <formula>LEN(TRIM(O50))=0</formula>
    </cfRule>
  </conditionalFormatting>
  <conditionalFormatting sqref="O51:Q51">
    <cfRule type="containsBlanks" dxfId="7040" priority="7019">
      <formula>LEN(TRIM(O51))=0</formula>
    </cfRule>
  </conditionalFormatting>
  <conditionalFormatting sqref="O55:Q55">
    <cfRule type="containsBlanks" dxfId="7039" priority="7018">
      <formula>LEN(TRIM(O55))=0</formula>
    </cfRule>
  </conditionalFormatting>
  <conditionalFormatting sqref="O57:Q57">
    <cfRule type="containsBlanks" dxfId="7038" priority="7017">
      <formula>LEN(TRIM(O57))=0</formula>
    </cfRule>
  </conditionalFormatting>
  <conditionalFormatting sqref="O59:Q59">
    <cfRule type="containsBlanks" dxfId="7037" priority="7016">
      <formula>LEN(TRIM(O59))=0</formula>
    </cfRule>
  </conditionalFormatting>
  <conditionalFormatting sqref="O72:Q72">
    <cfRule type="containsBlanks" dxfId="7036" priority="7015">
      <formula>LEN(TRIM(O72))=0</formula>
    </cfRule>
  </conditionalFormatting>
  <conditionalFormatting sqref="O73:Q73">
    <cfRule type="containsBlanks" dxfId="7035" priority="7014">
      <formula>LEN(TRIM(O73))=0</formula>
    </cfRule>
  </conditionalFormatting>
  <conditionalFormatting sqref="O75:Q75">
    <cfRule type="containsBlanks" dxfId="7034" priority="7013">
      <formula>LEN(TRIM(O75))=0</formula>
    </cfRule>
  </conditionalFormatting>
  <conditionalFormatting sqref="N71:T71">
    <cfRule type="containsBlanks" dxfId="7033" priority="7012">
      <formula>LEN(TRIM(N71))=0</formula>
    </cfRule>
  </conditionalFormatting>
  <conditionalFormatting sqref="M88:S88">
    <cfRule type="containsBlanks" dxfId="7032" priority="7011">
      <formula>LEN(TRIM(M88))=0</formula>
    </cfRule>
  </conditionalFormatting>
  <conditionalFormatting sqref="N91:T91">
    <cfRule type="containsBlanks" dxfId="7031" priority="7010">
      <formula>LEN(TRIM(N91))=0</formula>
    </cfRule>
  </conditionalFormatting>
  <conditionalFormatting sqref="O93:Q93">
    <cfRule type="containsBlanks" dxfId="7030" priority="7009">
      <formula>LEN(TRIM(O93))=0</formula>
    </cfRule>
  </conditionalFormatting>
  <conditionalFormatting sqref="M95:T95">
    <cfRule type="containsBlanks" dxfId="7029" priority="7008">
      <formula>LEN(TRIM(M95))=0</formula>
    </cfRule>
  </conditionalFormatting>
  <conditionalFormatting sqref="M101:T101">
    <cfRule type="containsBlanks" dxfId="7028" priority="7007">
      <formula>LEN(TRIM(M101))=0</formula>
    </cfRule>
  </conditionalFormatting>
  <conditionalFormatting sqref="O102:S102">
    <cfRule type="containsBlanks" dxfId="7027" priority="7006">
      <formula>LEN(TRIM(O102))=0</formula>
    </cfRule>
  </conditionalFormatting>
  <conditionalFormatting sqref="M102:N102">
    <cfRule type="containsBlanks" dxfId="7026" priority="7005">
      <formula>LEN(TRIM(M102))=0</formula>
    </cfRule>
  </conditionalFormatting>
  <conditionalFormatting sqref="M65:T65">
    <cfRule type="containsBlanks" dxfId="7025" priority="7004">
      <formula>LEN(TRIM(M65))=0</formula>
    </cfRule>
  </conditionalFormatting>
  <conditionalFormatting sqref="M66:S66">
    <cfRule type="containsBlanks" dxfId="7024" priority="7003">
      <formula>LEN(TRIM(M66))=0</formula>
    </cfRule>
  </conditionalFormatting>
  <conditionalFormatting sqref="O50:Q50">
    <cfRule type="containsBlanks" dxfId="7023" priority="7002">
      <formula>LEN(TRIM(O50))=0</formula>
    </cfRule>
  </conditionalFormatting>
  <conditionalFormatting sqref="O63:Q63">
    <cfRule type="containsBlanks" dxfId="7022" priority="7001">
      <formula>LEN(TRIM(O63))=0</formula>
    </cfRule>
  </conditionalFormatting>
  <conditionalFormatting sqref="O64:Q64">
    <cfRule type="containsBlanks" dxfId="7021" priority="7000">
      <formula>LEN(TRIM(O64))=0</formula>
    </cfRule>
  </conditionalFormatting>
  <conditionalFormatting sqref="O66:Q66">
    <cfRule type="containsBlanks" dxfId="7020" priority="6999">
      <formula>LEN(TRIM(O66))=0</formula>
    </cfRule>
  </conditionalFormatting>
  <conditionalFormatting sqref="N62:T62">
    <cfRule type="containsBlanks" dxfId="7019" priority="6998">
      <formula>LEN(TRIM(N62))=0</formula>
    </cfRule>
  </conditionalFormatting>
  <conditionalFormatting sqref="M79:S79">
    <cfRule type="containsBlanks" dxfId="7018" priority="6997">
      <formula>LEN(TRIM(M79))=0</formula>
    </cfRule>
  </conditionalFormatting>
  <conditionalFormatting sqref="N82:T82">
    <cfRule type="containsBlanks" dxfId="7017" priority="6996">
      <formula>LEN(TRIM(N82))=0</formula>
    </cfRule>
  </conditionalFormatting>
  <conditionalFormatting sqref="O84:Q84">
    <cfRule type="containsBlanks" dxfId="7016" priority="6995">
      <formula>LEN(TRIM(O84))=0</formula>
    </cfRule>
  </conditionalFormatting>
  <conditionalFormatting sqref="M86:T86">
    <cfRule type="containsBlanks" dxfId="7015" priority="6994">
      <formula>LEN(TRIM(M86))=0</formula>
    </cfRule>
  </conditionalFormatting>
  <conditionalFormatting sqref="M92:T92">
    <cfRule type="containsBlanks" dxfId="7014" priority="6993">
      <formula>LEN(TRIM(M92))=0</formula>
    </cfRule>
  </conditionalFormatting>
  <conditionalFormatting sqref="O93:S93">
    <cfRule type="containsBlanks" dxfId="7013" priority="6992">
      <formula>LEN(TRIM(O93))=0</formula>
    </cfRule>
  </conditionalFormatting>
  <conditionalFormatting sqref="M93:N93">
    <cfRule type="containsBlanks" dxfId="7012" priority="6991">
      <formula>LEN(TRIM(M93))=0</formula>
    </cfRule>
  </conditionalFormatting>
  <conditionalFormatting sqref="M56:T56">
    <cfRule type="containsBlanks" dxfId="7011" priority="6990">
      <formula>LEN(TRIM(M56))=0</formula>
    </cfRule>
  </conditionalFormatting>
  <conditionalFormatting sqref="M57:S57">
    <cfRule type="containsBlanks" dxfId="7010" priority="6989">
      <formula>LEN(TRIM(M57))=0</formula>
    </cfRule>
  </conditionalFormatting>
  <conditionalFormatting sqref="O50:Q50">
    <cfRule type="containsBlanks" dxfId="7009" priority="6988">
      <formula>LEN(TRIM(O50))=0</formula>
    </cfRule>
  </conditionalFormatting>
  <conditionalFormatting sqref="O52:Q52">
    <cfRule type="containsBlanks" dxfId="7008" priority="6987">
      <formula>LEN(TRIM(O52))=0</formula>
    </cfRule>
  </conditionalFormatting>
  <conditionalFormatting sqref="O54:Q54">
    <cfRule type="containsBlanks" dxfId="7007" priority="6986">
      <formula>LEN(TRIM(O54))=0</formula>
    </cfRule>
  </conditionalFormatting>
  <conditionalFormatting sqref="O67:Q67">
    <cfRule type="containsBlanks" dxfId="7006" priority="6985">
      <formula>LEN(TRIM(O67))=0</formula>
    </cfRule>
  </conditionalFormatting>
  <conditionalFormatting sqref="O68:Q68">
    <cfRule type="containsBlanks" dxfId="7005" priority="6984">
      <formula>LEN(TRIM(O68))=0</formula>
    </cfRule>
  </conditionalFormatting>
  <conditionalFormatting sqref="O70:Q70">
    <cfRule type="containsBlanks" dxfId="7004" priority="6983">
      <formula>LEN(TRIM(O70))=0</formula>
    </cfRule>
  </conditionalFormatting>
  <conditionalFormatting sqref="N66:T66">
    <cfRule type="containsBlanks" dxfId="7003" priority="6982">
      <formula>LEN(TRIM(N66))=0</formula>
    </cfRule>
  </conditionalFormatting>
  <conditionalFormatting sqref="M83:S83">
    <cfRule type="containsBlanks" dxfId="7002" priority="6981">
      <formula>LEN(TRIM(M83))=0</formula>
    </cfRule>
  </conditionalFormatting>
  <conditionalFormatting sqref="N86:T86">
    <cfRule type="containsBlanks" dxfId="7001" priority="6980">
      <formula>LEN(TRIM(N86))=0</formula>
    </cfRule>
  </conditionalFormatting>
  <conditionalFormatting sqref="O88:Q88">
    <cfRule type="containsBlanks" dxfId="7000" priority="6979">
      <formula>LEN(TRIM(O88))=0</formula>
    </cfRule>
  </conditionalFormatting>
  <conditionalFormatting sqref="M90:T90">
    <cfRule type="containsBlanks" dxfId="6999" priority="6978">
      <formula>LEN(TRIM(M90))=0</formula>
    </cfRule>
  </conditionalFormatting>
  <conditionalFormatting sqref="M96:T96">
    <cfRule type="containsBlanks" dxfId="6998" priority="6977">
      <formula>LEN(TRIM(M96))=0</formula>
    </cfRule>
  </conditionalFormatting>
  <conditionalFormatting sqref="O97:S97">
    <cfRule type="containsBlanks" dxfId="6997" priority="6976">
      <formula>LEN(TRIM(O97))=0</formula>
    </cfRule>
  </conditionalFormatting>
  <conditionalFormatting sqref="M97:N97">
    <cfRule type="containsBlanks" dxfId="6996" priority="6975">
      <formula>LEN(TRIM(M97))=0</formula>
    </cfRule>
  </conditionalFormatting>
  <conditionalFormatting sqref="M60:T60">
    <cfRule type="containsBlanks" dxfId="6995" priority="6974">
      <formula>LEN(TRIM(M60))=0</formula>
    </cfRule>
  </conditionalFormatting>
  <conditionalFormatting sqref="M61:S61">
    <cfRule type="containsBlanks" dxfId="6994" priority="6973">
      <formula>LEN(TRIM(M61))=0</formula>
    </cfRule>
  </conditionalFormatting>
  <conditionalFormatting sqref="O58:Q58">
    <cfRule type="containsBlanks" dxfId="6993" priority="6972">
      <formula>LEN(TRIM(O58))=0</formula>
    </cfRule>
  </conditionalFormatting>
  <conditionalFormatting sqref="O59:Q59">
    <cfRule type="containsBlanks" dxfId="6992" priority="6971">
      <formula>LEN(TRIM(O59))=0</formula>
    </cfRule>
  </conditionalFormatting>
  <conditionalFormatting sqref="O61:Q61">
    <cfRule type="containsBlanks" dxfId="6991" priority="6970">
      <formula>LEN(TRIM(O61))=0</formula>
    </cfRule>
  </conditionalFormatting>
  <conditionalFormatting sqref="N57:T57">
    <cfRule type="containsBlanks" dxfId="6990" priority="6969">
      <formula>LEN(TRIM(N57))=0</formula>
    </cfRule>
  </conditionalFormatting>
  <conditionalFormatting sqref="M74:S74">
    <cfRule type="containsBlanks" dxfId="6989" priority="6968">
      <formula>LEN(TRIM(M74))=0</formula>
    </cfRule>
  </conditionalFormatting>
  <conditionalFormatting sqref="N77:T77">
    <cfRule type="containsBlanks" dxfId="6988" priority="6967">
      <formula>LEN(TRIM(N77))=0</formula>
    </cfRule>
  </conditionalFormatting>
  <conditionalFormatting sqref="O79:Q79">
    <cfRule type="containsBlanks" dxfId="6987" priority="6966">
      <formula>LEN(TRIM(O79))=0</formula>
    </cfRule>
  </conditionalFormatting>
  <conditionalFormatting sqref="M81:T81">
    <cfRule type="containsBlanks" dxfId="6986" priority="6965">
      <formula>LEN(TRIM(M81))=0</formula>
    </cfRule>
  </conditionalFormatting>
  <conditionalFormatting sqref="M87:T87">
    <cfRule type="containsBlanks" dxfId="6985" priority="6964">
      <formula>LEN(TRIM(M87))=0</formula>
    </cfRule>
  </conditionalFormatting>
  <conditionalFormatting sqref="O88:S88">
    <cfRule type="containsBlanks" dxfId="6984" priority="6963">
      <formula>LEN(TRIM(O88))=0</formula>
    </cfRule>
  </conditionalFormatting>
  <conditionalFormatting sqref="M88:N88">
    <cfRule type="containsBlanks" dxfId="6983" priority="6962">
      <formula>LEN(TRIM(M88))=0</formula>
    </cfRule>
  </conditionalFormatting>
  <conditionalFormatting sqref="M51:T51">
    <cfRule type="containsBlanks" dxfId="6982" priority="6961">
      <formula>LEN(TRIM(M51))=0</formula>
    </cfRule>
  </conditionalFormatting>
  <conditionalFormatting sqref="M52:S52">
    <cfRule type="containsBlanks" dxfId="6981" priority="6960">
      <formula>LEN(TRIM(M52))=0</formula>
    </cfRule>
  </conditionalFormatting>
  <conditionalFormatting sqref="M18:N18">
    <cfRule type="containsBlanks" dxfId="6980" priority="6959">
      <formula>LEN(TRIM(M18))=0</formula>
    </cfRule>
  </conditionalFormatting>
  <conditionalFormatting sqref="O46:Q46">
    <cfRule type="containsBlanks" dxfId="6979" priority="6958">
      <formula>LEN(TRIM(O46))=0</formula>
    </cfRule>
  </conditionalFormatting>
  <conditionalFormatting sqref="O53:Q53">
    <cfRule type="containsBlanks" dxfId="6978" priority="6957">
      <formula>LEN(TRIM(O53))=0</formula>
    </cfRule>
  </conditionalFormatting>
  <conditionalFormatting sqref="O50:Q50">
    <cfRule type="containsBlanks" dxfId="6977" priority="6956">
      <formula>LEN(TRIM(O50))=0</formula>
    </cfRule>
  </conditionalFormatting>
  <conditionalFormatting sqref="O51:Q51">
    <cfRule type="containsBlanks" dxfId="6976" priority="6955">
      <formula>LEN(TRIM(O51))=0</formula>
    </cfRule>
  </conditionalFormatting>
  <conditionalFormatting sqref="O55:Q55">
    <cfRule type="containsBlanks" dxfId="6975" priority="6954">
      <formula>LEN(TRIM(O55))=0</formula>
    </cfRule>
  </conditionalFormatting>
  <conditionalFormatting sqref="O57:Q57">
    <cfRule type="containsBlanks" dxfId="6974" priority="6953">
      <formula>LEN(TRIM(O57))=0</formula>
    </cfRule>
  </conditionalFormatting>
  <conditionalFormatting sqref="O59:Q59">
    <cfRule type="containsBlanks" dxfId="6973" priority="6952">
      <formula>LEN(TRIM(O59))=0</formula>
    </cfRule>
  </conditionalFormatting>
  <conditionalFormatting sqref="O72:Q72">
    <cfRule type="containsBlanks" dxfId="6972" priority="6951">
      <formula>LEN(TRIM(O72))=0</formula>
    </cfRule>
  </conditionalFormatting>
  <conditionalFormatting sqref="O73:Q73">
    <cfRule type="containsBlanks" dxfId="6971" priority="6950">
      <formula>LEN(TRIM(O73))=0</formula>
    </cfRule>
  </conditionalFormatting>
  <conditionalFormatting sqref="O75:Q75">
    <cfRule type="containsBlanks" dxfId="6970" priority="6949">
      <formula>LEN(TRIM(O75))=0</formula>
    </cfRule>
  </conditionalFormatting>
  <conditionalFormatting sqref="N71:T71">
    <cfRule type="containsBlanks" dxfId="6969" priority="6948">
      <formula>LEN(TRIM(N71))=0</formula>
    </cfRule>
  </conditionalFormatting>
  <conditionalFormatting sqref="M88:S88">
    <cfRule type="containsBlanks" dxfId="6968" priority="6947">
      <formula>LEN(TRIM(M88))=0</formula>
    </cfRule>
  </conditionalFormatting>
  <conditionalFormatting sqref="N91:T91">
    <cfRule type="containsBlanks" dxfId="6967" priority="6946">
      <formula>LEN(TRIM(N91))=0</formula>
    </cfRule>
  </conditionalFormatting>
  <conditionalFormatting sqref="O93:Q93">
    <cfRule type="containsBlanks" dxfId="6966" priority="6945">
      <formula>LEN(TRIM(O93))=0</formula>
    </cfRule>
  </conditionalFormatting>
  <conditionalFormatting sqref="M95:T95">
    <cfRule type="containsBlanks" dxfId="6965" priority="6944">
      <formula>LEN(TRIM(M95))=0</formula>
    </cfRule>
  </conditionalFormatting>
  <conditionalFormatting sqref="M101:T101">
    <cfRule type="containsBlanks" dxfId="6964" priority="6943">
      <formula>LEN(TRIM(M101))=0</formula>
    </cfRule>
  </conditionalFormatting>
  <conditionalFormatting sqref="O102:S102">
    <cfRule type="containsBlanks" dxfId="6963" priority="6942">
      <formula>LEN(TRIM(O102))=0</formula>
    </cfRule>
  </conditionalFormatting>
  <conditionalFormatting sqref="M102:N102">
    <cfRule type="containsBlanks" dxfId="6962" priority="6941">
      <formula>LEN(TRIM(M102))=0</formula>
    </cfRule>
  </conditionalFormatting>
  <conditionalFormatting sqref="M65:T65">
    <cfRule type="containsBlanks" dxfId="6961" priority="6940">
      <formula>LEN(TRIM(M65))=0</formula>
    </cfRule>
  </conditionalFormatting>
  <conditionalFormatting sqref="M66:S66">
    <cfRule type="containsBlanks" dxfId="6960" priority="6939">
      <formula>LEN(TRIM(M66))=0</formula>
    </cfRule>
  </conditionalFormatting>
  <conditionalFormatting sqref="O37:Q37">
    <cfRule type="containsBlanks" dxfId="6959" priority="6938">
      <formula>LEN(TRIM(O37))=0</formula>
    </cfRule>
  </conditionalFormatting>
  <conditionalFormatting sqref="O44:Q44">
    <cfRule type="containsBlanks" dxfId="6958" priority="6937">
      <formula>LEN(TRIM(O44))=0</formula>
    </cfRule>
  </conditionalFormatting>
  <conditionalFormatting sqref="O41:Q41">
    <cfRule type="containsBlanks" dxfId="6957" priority="6936">
      <formula>LEN(TRIM(O41))=0</formula>
    </cfRule>
  </conditionalFormatting>
  <conditionalFormatting sqref="O42:Q42">
    <cfRule type="containsBlanks" dxfId="6956" priority="6935">
      <formula>LEN(TRIM(O42))=0</formula>
    </cfRule>
  </conditionalFormatting>
  <conditionalFormatting sqref="O46:Q46">
    <cfRule type="containsBlanks" dxfId="6955" priority="6934">
      <formula>LEN(TRIM(O46))=0</formula>
    </cfRule>
  </conditionalFormatting>
  <conditionalFormatting sqref="O48:Q48">
    <cfRule type="containsBlanks" dxfId="6954" priority="6933">
      <formula>LEN(TRIM(O48))=0</formula>
    </cfRule>
  </conditionalFormatting>
  <conditionalFormatting sqref="O50:Q50">
    <cfRule type="containsBlanks" dxfId="6953" priority="6932">
      <formula>LEN(TRIM(O50))=0</formula>
    </cfRule>
  </conditionalFormatting>
  <conditionalFormatting sqref="O63:Q63">
    <cfRule type="containsBlanks" dxfId="6952" priority="6931">
      <formula>LEN(TRIM(O63))=0</formula>
    </cfRule>
  </conditionalFormatting>
  <conditionalFormatting sqref="O64:Q64">
    <cfRule type="containsBlanks" dxfId="6951" priority="6930">
      <formula>LEN(TRIM(O64))=0</formula>
    </cfRule>
  </conditionalFormatting>
  <conditionalFormatting sqref="O66:Q66">
    <cfRule type="containsBlanks" dxfId="6950" priority="6929">
      <formula>LEN(TRIM(O66))=0</formula>
    </cfRule>
  </conditionalFormatting>
  <conditionalFormatting sqref="N62:T62">
    <cfRule type="containsBlanks" dxfId="6949" priority="6928">
      <formula>LEN(TRIM(N62))=0</formula>
    </cfRule>
  </conditionalFormatting>
  <conditionalFormatting sqref="M79:S79">
    <cfRule type="containsBlanks" dxfId="6948" priority="6927">
      <formula>LEN(TRIM(M79))=0</formula>
    </cfRule>
  </conditionalFormatting>
  <conditionalFormatting sqref="N82:T82">
    <cfRule type="containsBlanks" dxfId="6947" priority="6926">
      <formula>LEN(TRIM(N82))=0</formula>
    </cfRule>
  </conditionalFormatting>
  <conditionalFormatting sqref="O84:Q84">
    <cfRule type="containsBlanks" dxfId="6946" priority="6925">
      <formula>LEN(TRIM(O84))=0</formula>
    </cfRule>
  </conditionalFormatting>
  <conditionalFormatting sqref="M86:T86">
    <cfRule type="containsBlanks" dxfId="6945" priority="6924">
      <formula>LEN(TRIM(M86))=0</formula>
    </cfRule>
  </conditionalFormatting>
  <conditionalFormatting sqref="M92:T92">
    <cfRule type="containsBlanks" dxfId="6944" priority="6923">
      <formula>LEN(TRIM(M92))=0</formula>
    </cfRule>
  </conditionalFormatting>
  <conditionalFormatting sqref="O93:S93">
    <cfRule type="containsBlanks" dxfId="6943" priority="6922">
      <formula>LEN(TRIM(O93))=0</formula>
    </cfRule>
  </conditionalFormatting>
  <conditionalFormatting sqref="M93:N93">
    <cfRule type="containsBlanks" dxfId="6942" priority="6921">
      <formula>LEN(TRIM(M93))=0</formula>
    </cfRule>
  </conditionalFormatting>
  <conditionalFormatting sqref="M56:T56">
    <cfRule type="containsBlanks" dxfId="6941" priority="6920">
      <formula>LEN(TRIM(M56))=0</formula>
    </cfRule>
  </conditionalFormatting>
  <conditionalFormatting sqref="M57:S57">
    <cfRule type="containsBlanks" dxfId="6940" priority="6919">
      <formula>LEN(TRIM(M57))=0</formula>
    </cfRule>
  </conditionalFormatting>
  <conditionalFormatting sqref="O41:Q41">
    <cfRule type="containsBlanks" dxfId="6939" priority="6918">
      <formula>LEN(TRIM(O41))=0</formula>
    </cfRule>
  </conditionalFormatting>
  <conditionalFormatting sqref="O48:Q48">
    <cfRule type="containsBlanks" dxfId="6938" priority="6917">
      <formula>LEN(TRIM(O48))=0</formula>
    </cfRule>
  </conditionalFormatting>
  <conditionalFormatting sqref="O45:Q45">
    <cfRule type="containsBlanks" dxfId="6937" priority="6916">
      <formula>LEN(TRIM(O45))=0</formula>
    </cfRule>
  </conditionalFormatting>
  <conditionalFormatting sqref="O46:Q46">
    <cfRule type="containsBlanks" dxfId="6936" priority="6915">
      <formula>LEN(TRIM(O46))=0</formula>
    </cfRule>
  </conditionalFormatting>
  <conditionalFormatting sqref="O50:Q50">
    <cfRule type="containsBlanks" dxfId="6935" priority="6914">
      <formula>LEN(TRIM(O50))=0</formula>
    </cfRule>
  </conditionalFormatting>
  <conditionalFormatting sqref="O52:Q52">
    <cfRule type="containsBlanks" dxfId="6934" priority="6913">
      <formula>LEN(TRIM(O52))=0</formula>
    </cfRule>
  </conditionalFormatting>
  <conditionalFormatting sqref="O54:Q54">
    <cfRule type="containsBlanks" dxfId="6933" priority="6912">
      <formula>LEN(TRIM(O54))=0</formula>
    </cfRule>
  </conditionalFormatting>
  <conditionalFormatting sqref="O67:Q67">
    <cfRule type="containsBlanks" dxfId="6932" priority="6911">
      <formula>LEN(TRIM(O67))=0</formula>
    </cfRule>
  </conditionalFormatting>
  <conditionalFormatting sqref="O68:Q68">
    <cfRule type="containsBlanks" dxfId="6931" priority="6910">
      <formula>LEN(TRIM(O68))=0</formula>
    </cfRule>
  </conditionalFormatting>
  <conditionalFormatting sqref="O70:Q70">
    <cfRule type="containsBlanks" dxfId="6930" priority="6909">
      <formula>LEN(TRIM(O70))=0</formula>
    </cfRule>
  </conditionalFormatting>
  <conditionalFormatting sqref="N66:T66">
    <cfRule type="containsBlanks" dxfId="6929" priority="6908">
      <formula>LEN(TRIM(N66))=0</formula>
    </cfRule>
  </conditionalFormatting>
  <conditionalFormatting sqref="M83:S83">
    <cfRule type="containsBlanks" dxfId="6928" priority="6907">
      <formula>LEN(TRIM(M83))=0</formula>
    </cfRule>
  </conditionalFormatting>
  <conditionalFormatting sqref="N86:T86">
    <cfRule type="containsBlanks" dxfId="6927" priority="6906">
      <formula>LEN(TRIM(N86))=0</formula>
    </cfRule>
  </conditionalFormatting>
  <conditionalFormatting sqref="O88:Q88">
    <cfRule type="containsBlanks" dxfId="6926" priority="6905">
      <formula>LEN(TRIM(O88))=0</formula>
    </cfRule>
  </conditionalFormatting>
  <conditionalFormatting sqref="M90:T90">
    <cfRule type="containsBlanks" dxfId="6925" priority="6904">
      <formula>LEN(TRIM(M90))=0</formula>
    </cfRule>
  </conditionalFormatting>
  <conditionalFormatting sqref="M96:T96">
    <cfRule type="containsBlanks" dxfId="6924" priority="6903">
      <formula>LEN(TRIM(M96))=0</formula>
    </cfRule>
  </conditionalFormatting>
  <conditionalFormatting sqref="O97:S97">
    <cfRule type="containsBlanks" dxfId="6923" priority="6902">
      <formula>LEN(TRIM(O97))=0</formula>
    </cfRule>
  </conditionalFormatting>
  <conditionalFormatting sqref="M97:N97">
    <cfRule type="containsBlanks" dxfId="6922" priority="6901">
      <formula>LEN(TRIM(M97))=0</formula>
    </cfRule>
  </conditionalFormatting>
  <conditionalFormatting sqref="M60:T60">
    <cfRule type="containsBlanks" dxfId="6921" priority="6900">
      <formula>LEN(TRIM(M60))=0</formula>
    </cfRule>
  </conditionalFormatting>
  <conditionalFormatting sqref="M61:S61">
    <cfRule type="containsBlanks" dxfId="6920" priority="6899">
      <formula>LEN(TRIM(M61))=0</formula>
    </cfRule>
  </conditionalFormatting>
  <conditionalFormatting sqref="O32:Q32">
    <cfRule type="containsBlanks" dxfId="6919" priority="6898">
      <formula>LEN(TRIM(O32))=0</formula>
    </cfRule>
  </conditionalFormatting>
  <conditionalFormatting sqref="O39:Q39">
    <cfRule type="containsBlanks" dxfId="6918" priority="6897">
      <formula>LEN(TRIM(O39))=0</formula>
    </cfRule>
  </conditionalFormatting>
  <conditionalFormatting sqref="O36:Q36">
    <cfRule type="containsBlanks" dxfId="6917" priority="6896">
      <formula>LEN(TRIM(O36))=0</formula>
    </cfRule>
  </conditionalFormatting>
  <conditionalFormatting sqref="O37:Q37">
    <cfRule type="containsBlanks" dxfId="6916" priority="6895">
      <formula>LEN(TRIM(O37))=0</formula>
    </cfRule>
  </conditionalFormatting>
  <conditionalFormatting sqref="O41:Q41">
    <cfRule type="containsBlanks" dxfId="6915" priority="6894">
      <formula>LEN(TRIM(O41))=0</formula>
    </cfRule>
  </conditionalFormatting>
  <conditionalFormatting sqref="O43:Q43">
    <cfRule type="containsBlanks" dxfId="6914" priority="6893">
      <formula>LEN(TRIM(O43))=0</formula>
    </cfRule>
  </conditionalFormatting>
  <conditionalFormatting sqref="O45:Q45">
    <cfRule type="containsBlanks" dxfId="6913" priority="6892">
      <formula>LEN(TRIM(O45))=0</formula>
    </cfRule>
  </conditionalFormatting>
  <conditionalFormatting sqref="O58:Q58">
    <cfRule type="containsBlanks" dxfId="6912" priority="6891">
      <formula>LEN(TRIM(O58))=0</formula>
    </cfRule>
  </conditionalFormatting>
  <conditionalFormatting sqref="O59:Q59">
    <cfRule type="containsBlanks" dxfId="6911" priority="6890">
      <formula>LEN(TRIM(O59))=0</formula>
    </cfRule>
  </conditionalFormatting>
  <conditionalFormatting sqref="O61:Q61">
    <cfRule type="containsBlanks" dxfId="6910" priority="6889">
      <formula>LEN(TRIM(O61))=0</formula>
    </cfRule>
  </conditionalFormatting>
  <conditionalFormatting sqref="N57:T57">
    <cfRule type="containsBlanks" dxfId="6909" priority="6888">
      <formula>LEN(TRIM(N57))=0</formula>
    </cfRule>
  </conditionalFormatting>
  <conditionalFormatting sqref="M74:S74">
    <cfRule type="containsBlanks" dxfId="6908" priority="6887">
      <formula>LEN(TRIM(M74))=0</formula>
    </cfRule>
  </conditionalFormatting>
  <conditionalFormatting sqref="N77:T77">
    <cfRule type="containsBlanks" dxfId="6907" priority="6886">
      <formula>LEN(TRIM(N77))=0</formula>
    </cfRule>
  </conditionalFormatting>
  <conditionalFormatting sqref="O79:Q79">
    <cfRule type="containsBlanks" dxfId="6906" priority="6885">
      <formula>LEN(TRIM(O79))=0</formula>
    </cfRule>
  </conditionalFormatting>
  <conditionalFormatting sqref="M81:T81">
    <cfRule type="containsBlanks" dxfId="6905" priority="6884">
      <formula>LEN(TRIM(M81))=0</formula>
    </cfRule>
  </conditionalFormatting>
  <conditionalFormatting sqref="M87:T87">
    <cfRule type="containsBlanks" dxfId="6904" priority="6883">
      <formula>LEN(TRIM(M87))=0</formula>
    </cfRule>
  </conditionalFormatting>
  <conditionalFormatting sqref="O88:S88">
    <cfRule type="containsBlanks" dxfId="6903" priority="6882">
      <formula>LEN(TRIM(O88))=0</formula>
    </cfRule>
  </conditionalFormatting>
  <conditionalFormatting sqref="M88:N88">
    <cfRule type="containsBlanks" dxfId="6902" priority="6881">
      <formula>LEN(TRIM(M88))=0</formula>
    </cfRule>
  </conditionalFormatting>
  <conditionalFormatting sqref="M51:T51">
    <cfRule type="containsBlanks" dxfId="6901" priority="6880">
      <formula>LEN(TRIM(M51))=0</formula>
    </cfRule>
  </conditionalFormatting>
  <conditionalFormatting sqref="M52:S52">
    <cfRule type="containsBlanks" dxfId="6900" priority="6879">
      <formula>LEN(TRIM(M52))=0</formula>
    </cfRule>
  </conditionalFormatting>
  <conditionalFormatting sqref="O50:Q50">
    <cfRule type="containsBlanks" dxfId="6899" priority="6878">
      <formula>LEN(TRIM(O50))=0</formula>
    </cfRule>
  </conditionalFormatting>
  <conditionalFormatting sqref="O47:Q47">
    <cfRule type="containsBlanks" dxfId="6898" priority="6877">
      <formula>LEN(TRIM(O47))=0</formula>
    </cfRule>
  </conditionalFormatting>
  <conditionalFormatting sqref="O48:Q48">
    <cfRule type="containsBlanks" dxfId="6897" priority="6876">
      <formula>LEN(TRIM(O48))=0</formula>
    </cfRule>
  </conditionalFormatting>
  <conditionalFormatting sqref="O52:Q52">
    <cfRule type="containsBlanks" dxfId="6896" priority="6875">
      <formula>LEN(TRIM(O52))=0</formula>
    </cfRule>
  </conditionalFormatting>
  <conditionalFormatting sqref="O54:Q54">
    <cfRule type="containsBlanks" dxfId="6895" priority="6874">
      <formula>LEN(TRIM(O54))=0</formula>
    </cfRule>
  </conditionalFormatting>
  <conditionalFormatting sqref="O56:Q56">
    <cfRule type="containsBlanks" dxfId="6894" priority="6873">
      <formula>LEN(TRIM(O56))=0</formula>
    </cfRule>
  </conditionalFormatting>
  <conditionalFormatting sqref="O69:Q69">
    <cfRule type="containsBlanks" dxfId="6893" priority="6872">
      <formula>LEN(TRIM(O69))=0</formula>
    </cfRule>
  </conditionalFormatting>
  <conditionalFormatting sqref="O70:Q70">
    <cfRule type="containsBlanks" dxfId="6892" priority="6871">
      <formula>LEN(TRIM(O70))=0</formula>
    </cfRule>
  </conditionalFormatting>
  <conditionalFormatting sqref="O72:Q72">
    <cfRule type="containsBlanks" dxfId="6891" priority="6870">
      <formula>LEN(TRIM(O72))=0</formula>
    </cfRule>
  </conditionalFormatting>
  <conditionalFormatting sqref="N68:T68">
    <cfRule type="containsBlanks" dxfId="6890" priority="6869">
      <formula>LEN(TRIM(N68))=0</formula>
    </cfRule>
  </conditionalFormatting>
  <conditionalFormatting sqref="M85:S85">
    <cfRule type="containsBlanks" dxfId="6889" priority="6868">
      <formula>LEN(TRIM(M85))=0</formula>
    </cfRule>
  </conditionalFormatting>
  <conditionalFormatting sqref="N88:T88">
    <cfRule type="containsBlanks" dxfId="6888" priority="6867">
      <formula>LEN(TRIM(N88))=0</formula>
    </cfRule>
  </conditionalFormatting>
  <conditionalFormatting sqref="O90:Q90">
    <cfRule type="containsBlanks" dxfId="6887" priority="6866">
      <formula>LEN(TRIM(O90))=0</formula>
    </cfRule>
  </conditionalFormatting>
  <conditionalFormatting sqref="M92:T92">
    <cfRule type="containsBlanks" dxfId="6886" priority="6865">
      <formula>LEN(TRIM(M92))=0</formula>
    </cfRule>
  </conditionalFormatting>
  <conditionalFormatting sqref="M98:T98">
    <cfRule type="containsBlanks" dxfId="6885" priority="6864">
      <formula>LEN(TRIM(M98))=0</formula>
    </cfRule>
  </conditionalFormatting>
  <conditionalFormatting sqref="M62:T62">
    <cfRule type="containsBlanks" dxfId="6884" priority="6861">
      <formula>LEN(TRIM(M62))=0</formula>
    </cfRule>
  </conditionalFormatting>
  <conditionalFormatting sqref="M63:S63">
    <cfRule type="containsBlanks" dxfId="6883" priority="6860">
      <formula>LEN(TRIM(M63))=0</formula>
    </cfRule>
  </conditionalFormatting>
  <conditionalFormatting sqref="O47:Q47">
    <cfRule type="containsBlanks" dxfId="6882" priority="6859">
      <formula>LEN(TRIM(O47))=0</formula>
    </cfRule>
  </conditionalFormatting>
  <conditionalFormatting sqref="O60:Q60">
    <cfRule type="containsBlanks" dxfId="6881" priority="6858">
      <formula>LEN(TRIM(O60))=0</formula>
    </cfRule>
  </conditionalFormatting>
  <conditionalFormatting sqref="O61:Q61">
    <cfRule type="containsBlanks" dxfId="6880" priority="6857">
      <formula>LEN(TRIM(O61))=0</formula>
    </cfRule>
  </conditionalFormatting>
  <conditionalFormatting sqref="O63:Q63">
    <cfRule type="containsBlanks" dxfId="6879" priority="6856">
      <formula>LEN(TRIM(O63))=0</formula>
    </cfRule>
  </conditionalFormatting>
  <conditionalFormatting sqref="N59:T59">
    <cfRule type="containsBlanks" dxfId="6878" priority="6855">
      <formula>LEN(TRIM(N59))=0</formula>
    </cfRule>
  </conditionalFormatting>
  <conditionalFormatting sqref="M76:S76">
    <cfRule type="containsBlanks" dxfId="6877" priority="6854">
      <formula>LEN(TRIM(M76))=0</formula>
    </cfRule>
  </conditionalFormatting>
  <conditionalFormatting sqref="N79:T79">
    <cfRule type="containsBlanks" dxfId="6876" priority="6853">
      <formula>LEN(TRIM(N79))=0</formula>
    </cfRule>
  </conditionalFormatting>
  <conditionalFormatting sqref="O81:Q81">
    <cfRule type="containsBlanks" dxfId="6875" priority="6852">
      <formula>LEN(TRIM(O81))=0</formula>
    </cfRule>
  </conditionalFormatting>
  <conditionalFormatting sqref="M83:T83">
    <cfRule type="containsBlanks" dxfId="6874" priority="6851">
      <formula>LEN(TRIM(M83))=0</formula>
    </cfRule>
  </conditionalFormatting>
  <conditionalFormatting sqref="M89:T89">
    <cfRule type="containsBlanks" dxfId="6873" priority="6850">
      <formula>LEN(TRIM(M89))=0</formula>
    </cfRule>
  </conditionalFormatting>
  <conditionalFormatting sqref="O90:S90">
    <cfRule type="containsBlanks" dxfId="6872" priority="6849">
      <formula>LEN(TRIM(O90))=0</formula>
    </cfRule>
  </conditionalFormatting>
  <conditionalFormatting sqref="M90:N90">
    <cfRule type="containsBlanks" dxfId="6871" priority="6848">
      <formula>LEN(TRIM(M90))=0</formula>
    </cfRule>
  </conditionalFormatting>
  <conditionalFormatting sqref="M53:T53">
    <cfRule type="containsBlanks" dxfId="6870" priority="6847">
      <formula>LEN(TRIM(M53))=0</formula>
    </cfRule>
  </conditionalFormatting>
  <conditionalFormatting sqref="M54:S54">
    <cfRule type="containsBlanks" dxfId="6869" priority="6846">
      <formula>LEN(TRIM(M54))=0</formula>
    </cfRule>
  </conditionalFormatting>
  <conditionalFormatting sqref="O47:Q47">
    <cfRule type="containsBlanks" dxfId="6868" priority="6845">
      <formula>LEN(TRIM(O47))=0</formula>
    </cfRule>
  </conditionalFormatting>
  <conditionalFormatting sqref="O49:Q49">
    <cfRule type="containsBlanks" dxfId="6867" priority="6844">
      <formula>LEN(TRIM(O49))=0</formula>
    </cfRule>
  </conditionalFormatting>
  <conditionalFormatting sqref="O51:Q51">
    <cfRule type="containsBlanks" dxfId="6866" priority="6843">
      <formula>LEN(TRIM(O51))=0</formula>
    </cfRule>
  </conditionalFormatting>
  <conditionalFormatting sqref="O64:Q64">
    <cfRule type="containsBlanks" dxfId="6865" priority="6842">
      <formula>LEN(TRIM(O64))=0</formula>
    </cfRule>
  </conditionalFormatting>
  <conditionalFormatting sqref="O65:Q65">
    <cfRule type="containsBlanks" dxfId="6864" priority="6841">
      <formula>LEN(TRIM(O65))=0</formula>
    </cfRule>
  </conditionalFormatting>
  <conditionalFormatting sqref="O67:Q67">
    <cfRule type="containsBlanks" dxfId="6863" priority="6840">
      <formula>LEN(TRIM(O67))=0</formula>
    </cfRule>
  </conditionalFormatting>
  <conditionalFormatting sqref="N63:T63">
    <cfRule type="containsBlanks" dxfId="6862" priority="6839">
      <formula>LEN(TRIM(N63))=0</formula>
    </cfRule>
  </conditionalFormatting>
  <conditionalFormatting sqref="M80:S80">
    <cfRule type="containsBlanks" dxfId="6861" priority="6838">
      <formula>LEN(TRIM(M80))=0</formula>
    </cfRule>
  </conditionalFormatting>
  <conditionalFormatting sqref="N83:T83">
    <cfRule type="containsBlanks" dxfId="6860" priority="6837">
      <formula>LEN(TRIM(N83))=0</formula>
    </cfRule>
  </conditionalFormatting>
  <conditionalFormatting sqref="O85:Q85">
    <cfRule type="containsBlanks" dxfId="6859" priority="6836">
      <formula>LEN(TRIM(O85))=0</formula>
    </cfRule>
  </conditionalFormatting>
  <conditionalFormatting sqref="M87:T87">
    <cfRule type="containsBlanks" dxfId="6858" priority="6835">
      <formula>LEN(TRIM(M87))=0</formula>
    </cfRule>
  </conditionalFormatting>
  <conditionalFormatting sqref="M93:T93">
    <cfRule type="containsBlanks" dxfId="6857" priority="6834">
      <formula>LEN(TRIM(M93))=0</formula>
    </cfRule>
  </conditionalFormatting>
  <conditionalFormatting sqref="O94:S94">
    <cfRule type="containsBlanks" dxfId="6856" priority="6833">
      <formula>LEN(TRIM(O94))=0</formula>
    </cfRule>
  </conditionalFormatting>
  <conditionalFormatting sqref="M94:N94">
    <cfRule type="containsBlanks" dxfId="6855" priority="6832">
      <formula>LEN(TRIM(M94))=0</formula>
    </cfRule>
  </conditionalFormatting>
  <conditionalFormatting sqref="M57:T57">
    <cfRule type="containsBlanks" dxfId="6854" priority="6831">
      <formula>LEN(TRIM(M57))=0</formula>
    </cfRule>
  </conditionalFormatting>
  <conditionalFormatting sqref="M58:S58">
    <cfRule type="containsBlanks" dxfId="6853" priority="6830">
      <formula>LEN(TRIM(M58))=0</formula>
    </cfRule>
  </conditionalFormatting>
  <conditionalFormatting sqref="O55:Q55">
    <cfRule type="containsBlanks" dxfId="6852" priority="6829">
      <formula>LEN(TRIM(O55))=0</formula>
    </cfRule>
  </conditionalFormatting>
  <conditionalFormatting sqref="O56:Q56">
    <cfRule type="containsBlanks" dxfId="6851" priority="6828">
      <formula>LEN(TRIM(O56))=0</formula>
    </cfRule>
  </conditionalFormatting>
  <conditionalFormatting sqref="O58:Q58">
    <cfRule type="containsBlanks" dxfId="6850" priority="6827">
      <formula>LEN(TRIM(O58))=0</formula>
    </cfRule>
  </conditionalFormatting>
  <conditionalFormatting sqref="N54:T54">
    <cfRule type="containsBlanks" dxfId="6849" priority="6826">
      <formula>LEN(TRIM(N54))=0</formula>
    </cfRule>
  </conditionalFormatting>
  <conditionalFormatting sqref="M71:S71">
    <cfRule type="containsBlanks" dxfId="6848" priority="6825">
      <formula>LEN(TRIM(M71))=0</formula>
    </cfRule>
  </conditionalFormatting>
  <conditionalFormatting sqref="N74:T74">
    <cfRule type="containsBlanks" dxfId="6847" priority="6824">
      <formula>LEN(TRIM(N74))=0</formula>
    </cfRule>
  </conditionalFormatting>
  <conditionalFormatting sqref="O76:Q76">
    <cfRule type="containsBlanks" dxfId="6846" priority="6823">
      <formula>LEN(TRIM(O76))=0</formula>
    </cfRule>
  </conditionalFormatting>
  <conditionalFormatting sqref="M78:T78">
    <cfRule type="containsBlanks" dxfId="6845" priority="6822">
      <formula>LEN(TRIM(M78))=0</formula>
    </cfRule>
  </conditionalFormatting>
  <conditionalFormatting sqref="M84:T84">
    <cfRule type="containsBlanks" dxfId="6844" priority="6821">
      <formula>LEN(TRIM(M84))=0</formula>
    </cfRule>
  </conditionalFormatting>
  <conditionalFormatting sqref="O85:S85">
    <cfRule type="containsBlanks" dxfId="6843" priority="6820">
      <formula>LEN(TRIM(O85))=0</formula>
    </cfRule>
  </conditionalFormatting>
  <conditionalFormatting sqref="M85:N85">
    <cfRule type="containsBlanks" dxfId="6842" priority="6819">
      <formula>LEN(TRIM(M85))=0</formula>
    </cfRule>
  </conditionalFormatting>
  <conditionalFormatting sqref="M48:T48">
    <cfRule type="containsBlanks" dxfId="6841" priority="6818">
      <formula>LEN(TRIM(M48))=0</formula>
    </cfRule>
  </conditionalFormatting>
  <conditionalFormatting sqref="M49:S49">
    <cfRule type="containsBlanks" dxfId="6840" priority="6817">
      <formula>LEN(TRIM(M49))=0</formula>
    </cfRule>
  </conditionalFormatting>
  <conditionalFormatting sqref="M22:N22">
    <cfRule type="containsBlanks" dxfId="6839" priority="6816">
      <formula>LEN(TRIM(M22))=0</formula>
    </cfRule>
  </conditionalFormatting>
  <conditionalFormatting sqref="O50:Q50">
    <cfRule type="containsBlanks" dxfId="6838" priority="6815">
      <formula>LEN(TRIM(O50))=0</formula>
    </cfRule>
  </conditionalFormatting>
  <conditionalFormatting sqref="O57:Q57">
    <cfRule type="containsBlanks" dxfId="6837" priority="6814">
      <formula>LEN(TRIM(O57))=0</formula>
    </cfRule>
  </conditionalFormatting>
  <conditionalFormatting sqref="O54:Q54">
    <cfRule type="containsBlanks" dxfId="6836" priority="6813">
      <formula>LEN(TRIM(O54))=0</formula>
    </cfRule>
  </conditionalFormatting>
  <conditionalFormatting sqref="O55:Q55">
    <cfRule type="containsBlanks" dxfId="6835" priority="6812">
      <formula>LEN(TRIM(O55))=0</formula>
    </cfRule>
  </conditionalFormatting>
  <conditionalFormatting sqref="O59:Q59">
    <cfRule type="containsBlanks" dxfId="6834" priority="6811">
      <formula>LEN(TRIM(O59))=0</formula>
    </cfRule>
  </conditionalFormatting>
  <conditionalFormatting sqref="O61:Q61">
    <cfRule type="containsBlanks" dxfId="6833" priority="6810">
      <formula>LEN(TRIM(O61))=0</formula>
    </cfRule>
  </conditionalFormatting>
  <conditionalFormatting sqref="O63:Q63">
    <cfRule type="containsBlanks" dxfId="6832" priority="6809">
      <formula>LEN(TRIM(O63))=0</formula>
    </cfRule>
  </conditionalFormatting>
  <conditionalFormatting sqref="O76:Q76">
    <cfRule type="containsBlanks" dxfId="6831" priority="6808">
      <formula>LEN(TRIM(O76))=0</formula>
    </cfRule>
  </conditionalFormatting>
  <conditionalFormatting sqref="O77:Q77">
    <cfRule type="containsBlanks" dxfId="6830" priority="6807">
      <formula>LEN(TRIM(O77))=0</formula>
    </cfRule>
  </conditionalFormatting>
  <conditionalFormatting sqref="O79:Q79">
    <cfRule type="containsBlanks" dxfId="6829" priority="6806">
      <formula>LEN(TRIM(O79))=0</formula>
    </cfRule>
  </conditionalFormatting>
  <conditionalFormatting sqref="N75:T75">
    <cfRule type="containsBlanks" dxfId="6828" priority="6805">
      <formula>LEN(TRIM(N75))=0</formula>
    </cfRule>
  </conditionalFormatting>
  <conditionalFormatting sqref="M92:S92">
    <cfRule type="containsBlanks" dxfId="6827" priority="6804">
      <formula>LEN(TRIM(M92))=0</formula>
    </cfRule>
  </conditionalFormatting>
  <conditionalFormatting sqref="N95:T95">
    <cfRule type="containsBlanks" dxfId="6826" priority="6803">
      <formula>LEN(TRIM(N95))=0</formula>
    </cfRule>
  </conditionalFormatting>
  <conditionalFormatting sqref="O97:Q97">
    <cfRule type="containsBlanks" dxfId="6825" priority="6802">
      <formula>LEN(TRIM(O97))=0</formula>
    </cfRule>
  </conditionalFormatting>
  <conditionalFormatting sqref="M105:T105">
    <cfRule type="containsBlanks" dxfId="6824" priority="6800">
      <formula>LEN(TRIM(M105))=0</formula>
    </cfRule>
  </conditionalFormatting>
  <conditionalFormatting sqref="O106:S106">
    <cfRule type="containsBlanks" dxfId="6823" priority="6799">
      <formula>LEN(TRIM(O106))=0</formula>
    </cfRule>
  </conditionalFormatting>
  <conditionalFormatting sqref="M106:N106">
    <cfRule type="containsBlanks" dxfId="6822" priority="6798">
      <formula>LEN(TRIM(M106))=0</formula>
    </cfRule>
  </conditionalFormatting>
  <conditionalFormatting sqref="M69:T69">
    <cfRule type="containsBlanks" dxfId="6821" priority="6797">
      <formula>LEN(TRIM(M69))=0</formula>
    </cfRule>
  </conditionalFormatting>
  <conditionalFormatting sqref="M70:S70">
    <cfRule type="containsBlanks" dxfId="6820" priority="6796">
      <formula>LEN(TRIM(M70))=0</formula>
    </cfRule>
  </conditionalFormatting>
  <conditionalFormatting sqref="O41:Q41">
    <cfRule type="containsBlanks" dxfId="6819" priority="6795">
      <formula>LEN(TRIM(O41))=0</formula>
    </cfRule>
  </conditionalFormatting>
  <conditionalFormatting sqref="O48:Q48">
    <cfRule type="containsBlanks" dxfId="6818" priority="6794">
      <formula>LEN(TRIM(O48))=0</formula>
    </cfRule>
  </conditionalFormatting>
  <conditionalFormatting sqref="O45:Q45">
    <cfRule type="containsBlanks" dxfId="6817" priority="6793">
      <formula>LEN(TRIM(O45))=0</formula>
    </cfRule>
  </conditionalFormatting>
  <conditionalFormatting sqref="O46:Q46">
    <cfRule type="containsBlanks" dxfId="6816" priority="6792">
      <formula>LEN(TRIM(O46))=0</formula>
    </cfRule>
  </conditionalFormatting>
  <conditionalFormatting sqref="O50:Q50">
    <cfRule type="containsBlanks" dxfId="6815" priority="6791">
      <formula>LEN(TRIM(O50))=0</formula>
    </cfRule>
  </conditionalFormatting>
  <conditionalFormatting sqref="O52:Q52">
    <cfRule type="containsBlanks" dxfId="6814" priority="6790">
      <formula>LEN(TRIM(O52))=0</formula>
    </cfRule>
  </conditionalFormatting>
  <conditionalFormatting sqref="O54:Q54">
    <cfRule type="containsBlanks" dxfId="6813" priority="6789">
      <formula>LEN(TRIM(O54))=0</formula>
    </cfRule>
  </conditionalFormatting>
  <conditionalFormatting sqref="O67:Q67">
    <cfRule type="containsBlanks" dxfId="6812" priority="6788">
      <formula>LEN(TRIM(O67))=0</formula>
    </cfRule>
  </conditionalFormatting>
  <conditionalFormatting sqref="O68:Q68">
    <cfRule type="containsBlanks" dxfId="6811" priority="6787">
      <formula>LEN(TRIM(O68))=0</formula>
    </cfRule>
  </conditionalFormatting>
  <conditionalFormatting sqref="O70:Q70">
    <cfRule type="containsBlanks" dxfId="6810" priority="6786">
      <formula>LEN(TRIM(O70))=0</formula>
    </cfRule>
  </conditionalFormatting>
  <conditionalFormatting sqref="N66:T66">
    <cfRule type="containsBlanks" dxfId="6809" priority="6785">
      <formula>LEN(TRIM(N66))=0</formula>
    </cfRule>
  </conditionalFormatting>
  <conditionalFormatting sqref="M83:S83">
    <cfRule type="containsBlanks" dxfId="6808" priority="6784">
      <formula>LEN(TRIM(M83))=0</formula>
    </cfRule>
  </conditionalFormatting>
  <conditionalFormatting sqref="N86:T86">
    <cfRule type="containsBlanks" dxfId="6807" priority="6783">
      <formula>LEN(TRIM(N86))=0</formula>
    </cfRule>
  </conditionalFormatting>
  <conditionalFormatting sqref="O88:Q88">
    <cfRule type="containsBlanks" dxfId="6806" priority="6782">
      <formula>LEN(TRIM(O88))=0</formula>
    </cfRule>
  </conditionalFormatting>
  <conditionalFormatting sqref="M90:T90">
    <cfRule type="containsBlanks" dxfId="6805" priority="6781">
      <formula>LEN(TRIM(M90))=0</formula>
    </cfRule>
  </conditionalFormatting>
  <conditionalFormatting sqref="M96:T96">
    <cfRule type="containsBlanks" dxfId="6804" priority="6780">
      <formula>LEN(TRIM(M96))=0</formula>
    </cfRule>
  </conditionalFormatting>
  <conditionalFormatting sqref="O97:S97">
    <cfRule type="containsBlanks" dxfId="6803" priority="6779">
      <formula>LEN(TRIM(O97))=0</formula>
    </cfRule>
  </conditionalFormatting>
  <conditionalFormatting sqref="M97:N97">
    <cfRule type="containsBlanks" dxfId="6802" priority="6778">
      <formula>LEN(TRIM(M97))=0</formula>
    </cfRule>
  </conditionalFormatting>
  <conditionalFormatting sqref="M60:T60">
    <cfRule type="containsBlanks" dxfId="6801" priority="6777">
      <formula>LEN(TRIM(M60))=0</formula>
    </cfRule>
  </conditionalFormatting>
  <conditionalFormatting sqref="M61:S61">
    <cfRule type="containsBlanks" dxfId="6800" priority="6776">
      <formula>LEN(TRIM(M61))=0</formula>
    </cfRule>
  </conditionalFormatting>
  <conditionalFormatting sqref="O45:Q45">
    <cfRule type="containsBlanks" dxfId="6799" priority="6775">
      <formula>LEN(TRIM(O45))=0</formula>
    </cfRule>
  </conditionalFormatting>
  <conditionalFormatting sqref="O52:Q52">
    <cfRule type="containsBlanks" dxfId="6798" priority="6774">
      <formula>LEN(TRIM(O52))=0</formula>
    </cfRule>
  </conditionalFormatting>
  <conditionalFormatting sqref="O49:Q49">
    <cfRule type="containsBlanks" dxfId="6797" priority="6773">
      <formula>LEN(TRIM(O49))=0</formula>
    </cfRule>
  </conditionalFormatting>
  <conditionalFormatting sqref="O50:Q50">
    <cfRule type="containsBlanks" dxfId="6796" priority="6772">
      <formula>LEN(TRIM(O50))=0</formula>
    </cfRule>
  </conditionalFormatting>
  <conditionalFormatting sqref="O54:Q54">
    <cfRule type="containsBlanks" dxfId="6795" priority="6771">
      <formula>LEN(TRIM(O54))=0</formula>
    </cfRule>
  </conditionalFormatting>
  <conditionalFormatting sqref="O56:Q56">
    <cfRule type="containsBlanks" dxfId="6794" priority="6770">
      <formula>LEN(TRIM(O56))=0</formula>
    </cfRule>
  </conditionalFormatting>
  <conditionalFormatting sqref="O58:Q58">
    <cfRule type="containsBlanks" dxfId="6793" priority="6769">
      <formula>LEN(TRIM(O58))=0</formula>
    </cfRule>
  </conditionalFormatting>
  <conditionalFormatting sqref="O71:Q71">
    <cfRule type="containsBlanks" dxfId="6792" priority="6768">
      <formula>LEN(TRIM(O71))=0</formula>
    </cfRule>
  </conditionalFormatting>
  <conditionalFormatting sqref="O72:Q72">
    <cfRule type="containsBlanks" dxfId="6791" priority="6767">
      <formula>LEN(TRIM(O72))=0</formula>
    </cfRule>
  </conditionalFormatting>
  <conditionalFormatting sqref="O74:Q74">
    <cfRule type="containsBlanks" dxfId="6790" priority="6766">
      <formula>LEN(TRIM(O74))=0</formula>
    </cfRule>
  </conditionalFormatting>
  <conditionalFormatting sqref="N70:T70">
    <cfRule type="containsBlanks" dxfId="6789" priority="6765">
      <formula>LEN(TRIM(N70))=0</formula>
    </cfRule>
  </conditionalFormatting>
  <conditionalFormatting sqref="M87:S87">
    <cfRule type="containsBlanks" dxfId="6788" priority="6764">
      <formula>LEN(TRIM(M87))=0</formula>
    </cfRule>
  </conditionalFormatting>
  <conditionalFormatting sqref="N90:T90">
    <cfRule type="containsBlanks" dxfId="6787" priority="6763">
      <formula>LEN(TRIM(N90))=0</formula>
    </cfRule>
  </conditionalFormatting>
  <conditionalFormatting sqref="O92:Q92">
    <cfRule type="containsBlanks" dxfId="6786" priority="6762">
      <formula>LEN(TRIM(O92))=0</formula>
    </cfRule>
  </conditionalFormatting>
  <conditionalFormatting sqref="M94:T94">
    <cfRule type="containsBlanks" dxfId="6785" priority="6761">
      <formula>LEN(TRIM(M94))=0</formula>
    </cfRule>
  </conditionalFormatting>
  <conditionalFormatting sqref="M100:T100">
    <cfRule type="containsBlanks" dxfId="6784" priority="6760">
      <formula>LEN(TRIM(M100))=0</formula>
    </cfRule>
  </conditionalFormatting>
  <conditionalFormatting sqref="O101:S101">
    <cfRule type="containsBlanks" dxfId="6783" priority="6759">
      <formula>LEN(TRIM(O101))=0</formula>
    </cfRule>
  </conditionalFormatting>
  <conditionalFormatting sqref="M101:N101">
    <cfRule type="containsBlanks" dxfId="6782" priority="6758">
      <formula>LEN(TRIM(M101))=0</formula>
    </cfRule>
  </conditionalFormatting>
  <conditionalFormatting sqref="M64:T64">
    <cfRule type="containsBlanks" dxfId="6781" priority="6757">
      <formula>LEN(TRIM(M64))=0</formula>
    </cfRule>
  </conditionalFormatting>
  <conditionalFormatting sqref="M65:S65">
    <cfRule type="containsBlanks" dxfId="6780" priority="6756">
      <formula>LEN(TRIM(M65))=0</formula>
    </cfRule>
  </conditionalFormatting>
  <conditionalFormatting sqref="O36:Q36">
    <cfRule type="containsBlanks" dxfId="6779" priority="6755">
      <formula>LEN(TRIM(O36))=0</formula>
    </cfRule>
  </conditionalFormatting>
  <conditionalFormatting sqref="O43:Q43">
    <cfRule type="containsBlanks" dxfId="6778" priority="6754">
      <formula>LEN(TRIM(O43))=0</formula>
    </cfRule>
  </conditionalFormatting>
  <conditionalFormatting sqref="O40:Q40">
    <cfRule type="containsBlanks" dxfId="6777" priority="6753">
      <formula>LEN(TRIM(O40))=0</formula>
    </cfRule>
  </conditionalFormatting>
  <conditionalFormatting sqref="O41:Q41">
    <cfRule type="containsBlanks" dxfId="6776" priority="6752">
      <formula>LEN(TRIM(O41))=0</formula>
    </cfRule>
  </conditionalFormatting>
  <conditionalFormatting sqref="O45:Q45">
    <cfRule type="containsBlanks" dxfId="6775" priority="6751">
      <formula>LEN(TRIM(O45))=0</formula>
    </cfRule>
  </conditionalFormatting>
  <conditionalFormatting sqref="O47:Q47">
    <cfRule type="containsBlanks" dxfId="6774" priority="6750">
      <formula>LEN(TRIM(O47))=0</formula>
    </cfRule>
  </conditionalFormatting>
  <conditionalFormatting sqref="O49:Q49">
    <cfRule type="containsBlanks" dxfId="6773" priority="6749">
      <formula>LEN(TRIM(O49))=0</formula>
    </cfRule>
  </conditionalFormatting>
  <conditionalFormatting sqref="O62:Q62">
    <cfRule type="containsBlanks" dxfId="6772" priority="6748">
      <formula>LEN(TRIM(O62))=0</formula>
    </cfRule>
  </conditionalFormatting>
  <conditionalFormatting sqref="O63:Q63">
    <cfRule type="containsBlanks" dxfId="6771" priority="6747">
      <formula>LEN(TRIM(O63))=0</formula>
    </cfRule>
  </conditionalFormatting>
  <conditionalFormatting sqref="O65:Q65">
    <cfRule type="containsBlanks" dxfId="6770" priority="6746">
      <formula>LEN(TRIM(O65))=0</formula>
    </cfRule>
  </conditionalFormatting>
  <conditionalFormatting sqref="N61:T61">
    <cfRule type="containsBlanks" dxfId="6769" priority="6745">
      <formula>LEN(TRIM(N61))=0</formula>
    </cfRule>
  </conditionalFormatting>
  <conditionalFormatting sqref="M78:S78">
    <cfRule type="containsBlanks" dxfId="6768" priority="6744">
      <formula>LEN(TRIM(M78))=0</formula>
    </cfRule>
  </conditionalFormatting>
  <conditionalFormatting sqref="N81:T81">
    <cfRule type="containsBlanks" dxfId="6767" priority="6743">
      <formula>LEN(TRIM(N81))=0</formula>
    </cfRule>
  </conditionalFormatting>
  <conditionalFormatting sqref="O83:Q83">
    <cfRule type="containsBlanks" dxfId="6766" priority="6742">
      <formula>LEN(TRIM(O83))=0</formula>
    </cfRule>
  </conditionalFormatting>
  <conditionalFormatting sqref="M85:T85">
    <cfRule type="containsBlanks" dxfId="6765" priority="6741">
      <formula>LEN(TRIM(M85))=0</formula>
    </cfRule>
  </conditionalFormatting>
  <conditionalFormatting sqref="M91:T91">
    <cfRule type="containsBlanks" dxfId="6764" priority="6740">
      <formula>LEN(TRIM(M91))=0</formula>
    </cfRule>
  </conditionalFormatting>
  <conditionalFormatting sqref="O92:S92">
    <cfRule type="containsBlanks" dxfId="6763" priority="6739">
      <formula>LEN(TRIM(O92))=0</formula>
    </cfRule>
  </conditionalFormatting>
  <conditionalFormatting sqref="M92:N92">
    <cfRule type="containsBlanks" dxfId="6762" priority="6738">
      <formula>LEN(TRIM(M92))=0</formula>
    </cfRule>
  </conditionalFormatting>
  <conditionalFormatting sqref="M55:T55">
    <cfRule type="containsBlanks" dxfId="6761" priority="6737">
      <formula>LEN(TRIM(M55))=0</formula>
    </cfRule>
  </conditionalFormatting>
  <conditionalFormatting sqref="M56:S56">
    <cfRule type="containsBlanks" dxfId="6760" priority="6736">
      <formula>LEN(TRIM(M56))=0</formula>
    </cfRule>
  </conditionalFormatting>
  <conditionalFormatting sqref="O54:Q54">
    <cfRule type="containsBlanks" dxfId="6759" priority="6735">
      <formula>LEN(TRIM(O54))=0</formula>
    </cfRule>
  </conditionalFormatting>
  <conditionalFormatting sqref="O51:Q51">
    <cfRule type="containsBlanks" dxfId="6758" priority="6734">
      <formula>LEN(TRIM(O51))=0</formula>
    </cfRule>
  </conditionalFormatting>
  <conditionalFormatting sqref="O52:Q52">
    <cfRule type="containsBlanks" dxfId="6757" priority="6733">
      <formula>LEN(TRIM(O52))=0</formula>
    </cfRule>
  </conditionalFormatting>
  <conditionalFormatting sqref="O56:Q56">
    <cfRule type="containsBlanks" dxfId="6756" priority="6732">
      <formula>LEN(TRIM(O56))=0</formula>
    </cfRule>
  </conditionalFormatting>
  <conditionalFormatting sqref="O58:Q58">
    <cfRule type="containsBlanks" dxfId="6755" priority="6731">
      <formula>LEN(TRIM(O58))=0</formula>
    </cfRule>
  </conditionalFormatting>
  <conditionalFormatting sqref="O60:Q60">
    <cfRule type="containsBlanks" dxfId="6754" priority="6730">
      <formula>LEN(TRIM(O60))=0</formula>
    </cfRule>
  </conditionalFormatting>
  <conditionalFormatting sqref="O73:Q73">
    <cfRule type="containsBlanks" dxfId="6753" priority="6729">
      <formula>LEN(TRIM(O73))=0</formula>
    </cfRule>
  </conditionalFormatting>
  <conditionalFormatting sqref="O74:Q74">
    <cfRule type="containsBlanks" dxfId="6752" priority="6728">
      <formula>LEN(TRIM(O74))=0</formula>
    </cfRule>
  </conditionalFormatting>
  <conditionalFormatting sqref="O76:Q76">
    <cfRule type="containsBlanks" dxfId="6751" priority="6727">
      <formula>LEN(TRIM(O76))=0</formula>
    </cfRule>
  </conditionalFormatting>
  <conditionalFormatting sqref="N72:T72">
    <cfRule type="containsBlanks" dxfId="6750" priority="6726">
      <formula>LEN(TRIM(N72))=0</formula>
    </cfRule>
  </conditionalFormatting>
  <conditionalFormatting sqref="M89:S89">
    <cfRule type="containsBlanks" dxfId="6749" priority="6725">
      <formula>LEN(TRIM(M89))=0</formula>
    </cfRule>
  </conditionalFormatting>
  <conditionalFormatting sqref="N92:T92">
    <cfRule type="containsBlanks" dxfId="6748" priority="6724">
      <formula>LEN(TRIM(N92))=0</formula>
    </cfRule>
  </conditionalFormatting>
  <conditionalFormatting sqref="O94:Q94">
    <cfRule type="containsBlanks" dxfId="6747" priority="6723">
      <formula>LEN(TRIM(O94))=0</formula>
    </cfRule>
  </conditionalFormatting>
  <conditionalFormatting sqref="M96:T96">
    <cfRule type="containsBlanks" dxfId="6746" priority="6722">
      <formula>LEN(TRIM(M96))=0</formula>
    </cfRule>
  </conditionalFormatting>
  <conditionalFormatting sqref="M102:T102">
    <cfRule type="containsBlanks" dxfId="6745" priority="6721">
      <formula>LEN(TRIM(M102))=0</formula>
    </cfRule>
  </conditionalFormatting>
  <conditionalFormatting sqref="O103:S103">
    <cfRule type="containsBlanks" dxfId="6744" priority="6720">
      <formula>LEN(TRIM(O103))=0</formula>
    </cfRule>
  </conditionalFormatting>
  <conditionalFormatting sqref="M103:N103">
    <cfRule type="containsBlanks" dxfId="6743" priority="6719">
      <formula>LEN(TRIM(M103))=0</formula>
    </cfRule>
  </conditionalFormatting>
  <conditionalFormatting sqref="M66:T66">
    <cfRule type="containsBlanks" dxfId="6742" priority="6718">
      <formula>LEN(TRIM(M66))=0</formula>
    </cfRule>
  </conditionalFormatting>
  <conditionalFormatting sqref="M67:S67">
    <cfRule type="containsBlanks" dxfId="6741" priority="6717">
      <formula>LEN(TRIM(M67))=0</formula>
    </cfRule>
  </conditionalFormatting>
  <conditionalFormatting sqref="O51:Q51">
    <cfRule type="containsBlanks" dxfId="6740" priority="6716">
      <formula>LEN(TRIM(O51))=0</formula>
    </cfRule>
  </conditionalFormatting>
  <conditionalFormatting sqref="O64:Q64">
    <cfRule type="containsBlanks" dxfId="6739" priority="6715">
      <formula>LEN(TRIM(O64))=0</formula>
    </cfRule>
  </conditionalFormatting>
  <conditionalFormatting sqref="O65:Q65">
    <cfRule type="containsBlanks" dxfId="6738" priority="6714">
      <formula>LEN(TRIM(O65))=0</formula>
    </cfRule>
  </conditionalFormatting>
  <conditionalFormatting sqref="O67:Q67">
    <cfRule type="containsBlanks" dxfId="6737" priority="6713">
      <formula>LEN(TRIM(O67))=0</formula>
    </cfRule>
  </conditionalFormatting>
  <conditionalFormatting sqref="N63:T63">
    <cfRule type="containsBlanks" dxfId="6736" priority="6712">
      <formula>LEN(TRIM(N63))=0</formula>
    </cfRule>
  </conditionalFormatting>
  <conditionalFormatting sqref="M80:S80">
    <cfRule type="containsBlanks" dxfId="6735" priority="6711">
      <formula>LEN(TRIM(M80))=0</formula>
    </cfRule>
  </conditionalFormatting>
  <conditionalFormatting sqref="N83:T83">
    <cfRule type="containsBlanks" dxfId="6734" priority="6710">
      <formula>LEN(TRIM(N83))=0</formula>
    </cfRule>
  </conditionalFormatting>
  <conditionalFormatting sqref="O85:Q85">
    <cfRule type="containsBlanks" dxfId="6733" priority="6709">
      <formula>LEN(TRIM(O85))=0</formula>
    </cfRule>
  </conditionalFormatting>
  <conditionalFormatting sqref="M87:T87">
    <cfRule type="containsBlanks" dxfId="6732" priority="6708">
      <formula>LEN(TRIM(M87))=0</formula>
    </cfRule>
  </conditionalFormatting>
  <conditionalFormatting sqref="M93:T93">
    <cfRule type="containsBlanks" dxfId="6731" priority="6707">
      <formula>LEN(TRIM(M93))=0</formula>
    </cfRule>
  </conditionalFormatting>
  <conditionalFormatting sqref="O94:S94">
    <cfRule type="containsBlanks" dxfId="6730" priority="6706">
      <formula>LEN(TRIM(O94))=0</formula>
    </cfRule>
  </conditionalFormatting>
  <conditionalFormatting sqref="M94:N94">
    <cfRule type="containsBlanks" dxfId="6729" priority="6705">
      <formula>LEN(TRIM(M94))=0</formula>
    </cfRule>
  </conditionalFormatting>
  <conditionalFormatting sqref="M57:T57">
    <cfRule type="containsBlanks" dxfId="6728" priority="6704">
      <formula>LEN(TRIM(M57))=0</formula>
    </cfRule>
  </conditionalFormatting>
  <conditionalFormatting sqref="M58:S58">
    <cfRule type="containsBlanks" dxfId="6727" priority="6703">
      <formula>LEN(TRIM(M58))=0</formula>
    </cfRule>
  </conditionalFormatting>
  <conditionalFormatting sqref="O51:Q51">
    <cfRule type="containsBlanks" dxfId="6726" priority="6702">
      <formula>LEN(TRIM(O51))=0</formula>
    </cfRule>
  </conditionalFormatting>
  <conditionalFormatting sqref="O53:Q53">
    <cfRule type="containsBlanks" dxfId="6725" priority="6701">
      <formula>LEN(TRIM(O53))=0</formula>
    </cfRule>
  </conditionalFormatting>
  <conditionalFormatting sqref="O55:Q55">
    <cfRule type="containsBlanks" dxfId="6724" priority="6700">
      <formula>LEN(TRIM(O55))=0</formula>
    </cfRule>
  </conditionalFormatting>
  <conditionalFormatting sqref="O68:Q68">
    <cfRule type="containsBlanks" dxfId="6723" priority="6699">
      <formula>LEN(TRIM(O68))=0</formula>
    </cfRule>
  </conditionalFormatting>
  <conditionalFormatting sqref="O69:Q69">
    <cfRule type="containsBlanks" dxfId="6722" priority="6698">
      <formula>LEN(TRIM(O69))=0</formula>
    </cfRule>
  </conditionalFormatting>
  <conditionalFormatting sqref="O71:Q71">
    <cfRule type="containsBlanks" dxfId="6721" priority="6697">
      <formula>LEN(TRIM(O71))=0</formula>
    </cfRule>
  </conditionalFormatting>
  <conditionalFormatting sqref="N67:T67">
    <cfRule type="containsBlanks" dxfId="6720" priority="6696">
      <formula>LEN(TRIM(N67))=0</formula>
    </cfRule>
  </conditionalFormatting>
  <conditionalFormatting sqref="M84:S84">
    <cfRule type="containsBlanks" dxfId="6719" priority="6695">
      <formula>LEN(TRIM(M84))=0</formula>
    </cfRule>
  </conditionalFormatting>
  <conditionalFormatting sqref="N87:T87">
    <cfRule type="containsBlanks" dxfId="6718" priority="6694">
      <formula>LEN(TRIM(N87))=0</formula>
    </cfRule>
  </conditionalFormatting>
  <conditionalFormatting sqref="O89:Q89">
    <cfRule type="containsBlanks" dxfId="6717" priority="6693">
      <formula>LEN(TRIM(O89))=0</formula>
    </cfRule>
  </conditionalFormatting>
  <conditionalFormatting sqref="M91:T91">
    <cfRule type="containsBlanks" dxfId="6716" priority="6692">
      <formula>LEN(TRIM(M91))=0</formula>
    </cfRule>
  </conditionalFormatting>
  <conditionalFormatting sqref="M97:T97">
    <cfRule type="containsBlanks" dxfId="6715" priority="6691">
      <formula>LEN(TRIM(M97))=0</formula>
    </cfRule>
  </conditionalFormatting>
  <conditionalFormatting sqref="O98:S98">
    <cfRule type="containsBlanks" dxfId="6714" priority="6690">
      <formula>LEN(TRIM(O98))=0</formula>
    </cfRule>
  </conditionalFormatting>
  <conditionalFormatting sqref="M98:N98">
    <cfRule type="containsBlanks" dxfId="6713" priority="6689">
      <formula>LEN(TRIM(M98))=0</formula>
    </cfRule>
  </conditionalFormatting>
  <conditionalFormatting sqref="M61:T61">
    <cfRule type="containsBlanks" dxfId="6712" priority="6688">
      <formula>LEN(TRIM(M61))=0</formula>
    </cfRule>
  </conditionalFormatting>
  <conditionalFormatting sqref="M62:S62">
    <cfRule type="containsBlanks" dxfId="6711" priority="6687">
      <formula>LEN(TRIM(M62))=0</formula>
    </cfRule>
  </conditionalFormatting>
  <conditionalFormatting sqref="O59:Q59">
    <cfRule type="containsBlanks" dxfId="6710" priority="6686">
      <formula>LEN(TRIM(O59))=0</formula>
    </cfRule>
  </conditionalFormatting>
  <conditionalFormatting sqref="O60:Q60">
    <cfRule type="containsBlanks" dxfId="6709" priority="6685">
      <formula>LEN(TRIM(O60))=0</formula>
    </cfRule>
  </conditionalFormatting>
  <conditionalFormatting sqref="O62:Q62">
    <cfRule type="containsBlanks" dxfId="6708" priority="6684">
      <formula>LEN(TRIM(O62))=0</formula>
    </cfRule>
  </conditionalFormatting>
  <conditionalFormatting sqref="N58:T58">
    <cfRule type="containsBlanks" dxfId="6707" priority="6683">
      <formula>LEN(TRIM(N58))=0</formula>
    </cfRule>
  </conditionalFormatting>
  <conditionalFormatting sqref="M75:S75">
    <cfRule type="containsBlanks" dxfId="6706" priority="6682">
      <formula>LEN(TRIM(M75))=0</formula>
    </cfRule>
  </conditionalFormatting>
  <conditionalFormatting sqref="N78:T78">
    <cfRule type="containsBlanks" dxfId="6705" priority="6681">
      <formula>LEN(TRIM(N78))=0</formula>
    </cfRule>
  </conditionalFormatting>
  <conditionalFormatting sqref="O80:Q80">
    <cfRule type="containsBlanks" dxfId="6704" priority="6680">
      <formula>LEN(TRIM(O80))=0</formula>
    </cfRule>
  </conditionalFormatting>
  <conditionalFormatting sqref="M82:T82">
    <cfRule type="containsBlanks" dxfId="6703" priority="6679">
      <formula>LEN(TRIM(M82))=0</formula>
    </cfRule>
  </conditionalFormatting>
  <conditionalFormatting sqref="M88:T88">
    <cfRule type="containsBlanks" dxfId="6702" priority="6678">
      <formula>LEN(TRIM(M88))=0</formula>
    </cfRule>
  </conditionalFormatting>
  <conditionalFormatting sqref="O89:S89">
    <cfRule type="containsBlanks" dxfId="6701" priority="6677">
      <formula>LEN(TRIM(O89))=0</formula>
    </cfRule>
  </conditionalFormatting>
  <conditionalFormatting sqref="M89:N89">
    <cfRule type="containsBlanks" dxfId="6700" priority="6676">
      <formula>LEN(TRIM(M89))=0</formula>
    </cfRule>
  </conditionalFormatting>
  <conditionalFormatting sqref="M52:T52">
    <cfRule type="containsBlanks" dxfId="6699" priority="6675">
      <formula>LEN(TRIM(M52))=0</formula>
    </cfRule>
  </conditionalFormatting>
  <conditionalFormatting sqref="M53:S53">
    <cfRule type="containsBlanks" dxfId="6698" priority="6674">
      <formula>LEN(TRIM(M53))=0</formula>
    </cfRule>
  </conditionalFormatting>
  <conditionalFormatting sqref="M19:N19">
    <cfRule type="containsBlanks" dxfId="6697" priority="6673">
      <formula>LEN(TRIM(M19))=0</formula>
    </cfRule>
  </conditionalFormatting>
  <conditionalFormatting sqref="O47:Q47">
    <cfRule type="containsBlanks" dxfId="6696" priority="6672">
      <formula>LEN(TRIM(O47))=0</formula>
    </cfRule>
  </conditionalFormatting>
  <conditionalFormatting sqref="O54:Q54">
    <cfRule type="containsBlanks" dxfId="6695" priority="6671">
      <formula>LEN(TRIM(O54))=0</formula>
    </cfRule>
  </conditionalFormatting>
  <conditionalFormatting sqref="O51:Q51">
    <cfRule type="containsBlanks" dxfId="6694" priority="6670">
      <formula>LEN(TRIM(O51))=0</formula>
    </cfRule>
  </conditionalFormatting>
  <conditionalFormatting sqref="O52:Q52">
    <cfRule type="containsBlanks" dxfId="6693" priority="6669">
      <formula>LEN(TRIM(O52))=0</formula>
    </cfRule>
  </conditionalFormatting>
  <conditionalFormatting sqref="O56:Q56">
    <cfRule type="containsBlanks" dxfId="6692" priority="6668">
      <formula>LEN(TRIM(O56))=0</formula>
    </cfRule>
  </conditionalFormatting>
  <conditionalFormatting sqref="O58:Q58">
    <cfRule type="containsBlanks" dxfId="6691" priority="6667">
      <formula>LEN(TRIM(O58))=0</formula>
    </cfRule>
  </conditionalFormatting>
  <conditionalFormatting sqref="O60:Q60">
    <cfRule type="containsBlanks" dxfId="6690" priority="6666">
      <formula>LEN(TRIM(O60))=0</formula>
    </cfRule>
  </conditionalFormatting>
  <conditionalFormatting sqref="O73:Q73">
    <cfRule type="containsBlanks" dxfId="6689" priority="6665">
      <formula>LEN(TRIM(O73))=0</formula>
    </cfRule>
  </conditionalFormatting>
  <conditionalFormatting sqref="O74:Q74">
    <cfRule type="containsBlanks" dxfId="6688" priority="6664">
      <formula>LEN(TRIM(O74))=0</formula>
    </cfRule>
  </conditionalFormatting>
  <conditionalFormatting sqref="O76:Q76">
    <cfRule type="containsBlanks" dxfId="6687" priority="6663">
      <formula>LEN(TRIM(O76))=0</formula>
    </cfRule>
  </conditionalFormatting>
  <conditionalFormatting sqref="N72:T72">
    <cfRule type="containsBlanks" dxfId="6686" priority="6662">
      <formula>LEN(TRIM(N72))=0</formula>
    </cfRule>
  </conditionalFormatting>
  <conditionalFormatting sqref="M89:S89">
    <cfRule type="containsBlanks" dxfId="6685" priority="6661">
      <formula>LEN(TRIM(M89))=0</formula>
    </cfRule>
  </conditionalFormatting>
  <conditionalFormatting sqref="N92:T92">
    <cfRule type="containsBlanks" dxfId="6684" priority="6660">
      <formula>LEN(TRIM(N92))=0</formula>
    </cfRule>
  </conditionalFormatting>
  <conditionalFormatting sqref="O94:Q94">
    <cfRule type="containsBlanks" dxfId="6683" priority="6659">
      <formula>LEN(TRIM(O94))=0</formula>
    </cfRule>
  </conditionalFormatting>
  <conditionalFormatting sqref="M96:T96">
    <cfRule type="containsBlanks" dxfId="6682" priority="6658">
      <formula>LEN(TRIM(M96))=0</formula>
    </cfRule>
  </conditionalFormatting>
  <conditionalFormatting sqref="M102:T102">
    <cfRule type="containsBlanks" dxfId="6681" priority="6657">
      <formula>LEN(TRIM(M102))=0</formula>
    </cfRule>
  </conditionalFormatting>
  <conditionalFormatting sqref="O103:S103">
    <cfRule type="containsBlanks" dxfId="6680" priority="6656">
      <formula>LEN(TRIM(O103))=0</formula>
    </cfRule>
  </conditionalFormatting>
  <conditionalFormatting sqref="M103:N103">
    <cfRule type="containsBlanks" dxfId="6679" priority="6655">
      <formula>LEN(TRIM(M103))=0</formula>
    </cfRule>
  </conditionalFormatting>
  <conditionalFormatting sqref="M66:T66">
    <cfRule type="containsBlanks" dxfId="6678" priority="6654">
      <formula>LEN(TRIM(M66))=0</formula>
    </cfRule>
  </conditionalFormatting>
  <conditionalFormatting sqref="M67:S67">
    <cfRule type="containsBlanks" dxfId="6677" priority="6653">
      <formula>LEN(TRIM(M67))=0</formula>
    </cfRule>
  </conditionalFormatting>
  <conditionalFormatting sqref="O38:Q38">
    <cfRule type="containsBlanks" dxfId="6676" priority="6652">
      <formula>LEN(TRIM(O38))=0</formula>
    </cfRule>
  </conditionalFormatting>
  <conditionalFormatting sqref="O45:Q45">
    <cfRule type="containsBlanks" dxfId="6675" priority="6651">
      <formula>LEN(TRIM(O45))=0</formula>
    </cfRule>
  </conditionalFormatting>
  <conditionalFormatting sqref="O42:Q42">
    <cfRule type="containsBlanks" dxfId="6674" priority="6650">
      <formula>LEN(TRIM(O42))=0</formula>
    </cfRule>
  </conditionalFormatting>
  <conditionalFormatting sqref="O43:Q43">
    <cfRule type="containsBlanks" dxfId="6673" priority="6649">
      <formula>LEN(TRIM(O43))=0</formula>
    </cfRule>
  </conditionalFormatting>
  <conditionalFormatting sqref="O47:Q47">
    <cfRule type="containsBlanks" dxfId="6672" priority="6648">
      <formula>LEN(TRIM(O47))=0</formula>
    </cfRule>
  </conditionalFormatting>
  <conditionalFormatting sqref="O49:Q49">
    <cfRule type="containsBlanks" dxfId="6671" priority="6647">
      <formula>LEN(TRIM(O49))=0</formula>
    </cfRule>
  </conditionalFormatting>
  <conditionalFormatting sqref="O51:Q51">
    <cfRule type="containsBlanks" dxfId="6670" priority="6646">
      <formula>LEN(TRIM(O51))=0</formula>
    </cfRule>
  </conditionalFormatting>
  <conditionalFormatting sqref="O64:Q64">
    <cfRule type="containsBlanks" dxfId="6669" priority="6645">
      <formula>LEN(TRIM(O64))=0</formula>
    </cfRule>
  </conditionalFormatting>
  <conditionalFormatting sqref="O65:Q65">
    <cfRule type="containsBlanks" dxfId="6668" priority="6644">
      <formula>LEN(TRIM(O65))=0</formula>
    </cfRule>
  </conditionalFormatting>
  <conditionalFormatting sqref="O67:Q67">
    <cfRule type="containsBlanks" dxfId="6667" priority="6643">
      <formula>LEN(TRIM(O67))=0</formula>
    </cfRule>
  </conditionalFormatting>
  <conditionalFormatting sqref="N63:T63">
    <cfRule type="containsBlanks" dxfId="6666" priority="6642">
      <formula>LEN(TRIM(N63))=0</formula>
    </cfRule>
  </conditionalFormatting>
  <conditionalFormatting sqref="M80:S80">
    <cfRule type="containsBlanks" dxfId="6665" priority="6641">
      <formula>LEN(TRIM(M80))=0</formula>
    </cfRule>
  </conditionalFormatting>
  <conditionalFormatting sqref="N83:T83">
    <cfRule type="containsBlanks" dxfId="6664" priority="6640">
      <formula>LEN(TRIM(N83))=0</formula>
    </cfRule>
  </conditionalFormatting>
  <conditionalFormatting sqref="O85:Q85">
    <cfRule type="containsBlanks" dxfId="6663" priority="6639">
      <formula>LEN(TRIM(O85))=0</formula>
    </cfRule>
  </conditionalFormatting>
  <conditionalFormatting sqref="M87:T87">
    <cfRule type="containsBlanks" dxfId="6662" priority="6638">
      <formula>LEN(TRIM(M87))=0</formula>
    </cfRule>
  </conditionalFormatting>
  <conditionalFormatting sqref="M93:T93">
    <cfRule type="containsBlanks" dxfId="6661" priority="6637">
      <formula>LEN(TRIM(M93))=0</formula>
    </cfRule>
  </conditionalFormatting>
  <conditionalFormatting sqref="O94:S94">
    <cfRule type="containsBlanks" dxfId="6660" priority="6636">
      <formula>LEN(TRIM(O94))=0</formula>
    </cfRule>
  </conditionalFormatting>
  <conditionalFormatting sqref="M94:N94">
    <cfRule type="containsBlanks" dxfId="6659" priority="6635">
      <formula>LEN(TRIM(M94))=0</formula>
    </cfRule>
  </conditionalFormatting>
  <conditionalFormatting sqref="M57:T57">
    <cfRule type="containsBlanks" dxfId="6658" priority="6634">
      <formula>LEN(TRIM(M57))=0</formula>
    </cfRule>
  </conditionalFormatting>
  <conditionalFormatting sqref="M58:S58">
    <cfRule type="containsBlanks" dxfId="6657" priority="6633">
      <formula>LEN(TRIM(M58))=0</formula>
    </cfRule>
  </conditionalFormatting>
  <conditionalFormatting sqref="O42:Q42">
    <cfRule type="containsBlanks" dxfId="6656" priority="6632">
      <formula>LEN(TRIM(O42))=0</formula>
    </cfRule>
  </conditionalFormatting>
  <conditionalFormatting sqref="O49:Q49">
    <cfRule type="containsBlanks" dxfId="6655" priority="6631">
      <formula>LEN(TRIM(O49))=0</formula>
    </cfRule>
  </conditionalFormatting>
  <conditionalFormatting sqref="O46:Q46">
    <cfRule type="containsBlanks" dxfId="6654" priority="6630">
      <formula>LEN(TRIM(O46))=0</formula>
    </cfRule>
  </conditionalFormatting>
  <conditionalFormatting sqref="O47:Q47">
    <cfRule type="containsBlanks" dxfId="6653" priority="6629">
      <formula>LEN(TRIM(O47))=0</formula>
    </cfRule>
  </conditionalFormatting>
  <conditionalFormatting sqref="O51:Q51">
    <cfRule type="containsBlanks" dxfId="6652" priority="6628">
      <formula>LEN(TRIM(O51))=0</formula>
    </cfRule>
  </conditionalFormatting>
  <conditionalFormatting sqref="O53:Q53">
    <cfRule type="containsBlanks" dxfId="6651" priority="6627">
      <formula>LEN(TRIM(O53))=0</formula>
    </cfRule>
  </conditionalFormatting>
  <conditionalFormatting sqref="O55:Q55">
    <cfRule type="containsBlanks" dxfId="6650" priority="6626">
      <formula>LEN(TRIM(O55))=0</formula>
    </cfRule>
  </conditionalFormatting>
  <conditionalFormatting sqref="O68:Q68">
    <cfRule type="containsBlanks" dxfId="6649" priority="6625">
      <formula>LEN(TRIM(O68))=0</formula>
    </cfRule>
  </conditionalFormatting>
  <conditionalFormatting sqref="O69:Q69">
    <cfRule type="containsBlanks" dxfId="6648" priority="6624">
      <formula>LEN(TRIM(O69))=0</formula>
    </cfRule>
  </conditionalFormatting>
  <conditionalFormatting sqref="O71:Q71">
    <cfRule type="containsBlanks" dxfId="6647" priority="6623">
      <formula>LEN(TRIM(O71))=0</formula>
    </cfRule>
  </conditionalFormatting>
  <conditionalFormatting sqref="N67:T67">
    <cfRule type="containsBlanks" dxfId="6646" priority="6622">
      <formula>LEN(TRIM(N67))=0</formula>
    </cfRule>
  </conditionalFormatting>
  <conditionalFormatting sqref="M84:S84">
    <cfRule type="containsBlanks" dxfId="6645" priority="6621">
      <formula>LEN(TRIM(M84))=0</formula>
    </cfRule>
  </conditionalFormatting>
  <conditionalFormatting sqref="N87:T87">
    <cfRule type="containsBlanks" dxfId="6644" priority="6620">
      <formula>LEN(TRIM(N87))=0</formula>
    </cfRule>
  </conditionalFormatting>
  <conditionalFormatting sqref="O89:Q89">
    <cfRule type="containsBlanks" dxfId="6643" priority="6619">
      <formula>LEN(TRIM(O89))=0</formula>
    </cfRule>
  </conditionalFormatting>
  <conditionalFormatting sqref="M91:T91">
    <cfRule type="containsBlanks" dxfId="6642" priority="6618">
      <formula>LEN(TRIM(M91))=0</formula>
    </cfRule>
  </conditionalFormatting>
  <conditionalFormatting sqref="M97:T97">
    <cfRule type="containsBlanks" dxfId="6641" priority="6617">
      <formula>LEN(TRIM(M97))=0</formula>
    </cfRule>
  </conditionalFormatting>
  <conditionalFormatting sqref="O98:S98">
    <cfRule type="containsBlanks" dxfId="6640" priority="6616">
      <formula>LEN(TRIM(O98))=0</formula>
    </cfRule>
  </conditionalFormatting>
  <conditionalFormatting sqref="M98:N98">
    <cfRule type="containsBlanks" dxfId="6639" priority="6615">
      <formula>LEN(TRIM(M98))=0</formula>
    </cfRule>
  </conditionalFormatting>
  <conditionalFormatting sqref="M61:T61">
    <cfRule type="containsBlanks" dxfId="6638" priority="6614">
      <formula>LEN(TRIM(M61))=0</formula>
    </cfRule>
  </conditionalFormatting>
  <conditionalFormatting sqref="M62:S62">
    <cfRule type="containsBlanks" dxfId="6637" priority="6613">
      <formula>LEN(TRIM(M62))=0</formula>
    </cfRule>
  </conditionalFormatting>
  <conditionalFormatting sqref="O33:Q33">
    <cfRule type="containsBlanks" dxfId="6636" priority="6612">
      <formula>LEN(TRIM(O33))=0</formula>
    </cfRule>
  </conditionalFormatting>
  <conditionalFormatting sqref="O40:Q40">
    <cfRule type="containsBlanks" dxfId="6635" priority="6611">
      <formula>LEN(TRIM(O40))=0</formula>
    </cfRule>
  </conditionalFormatting>
  <conditionalFormatting sqref="O37:Q37">
    <cfRule type="containsBlanks" dxfId="6634" priority="6610">
      <formula>LEN(TRIM(O37))=0</formula>
    </cfRule>
  </conditionalFormatting>
  <conditionalFormatting sqref="O38:Q38">
    <cfRule type="containsBlanks" dxfId="6633" priority="6609">
      <formula>LEN(TRIM(O38))=0</formula>
    </cfRule>
  </conditionalFormatting>
  <conditionalFormatting sqref="O42:Q42">
    <cfRule type="containsBlanks" dxfId="6632" priority="6608">
      <formula>LEN(TRIM(O42))=0</formula>
    </cfRule>
  </conditionalFormatting>
  <conditionalFormatting sqref="O44:Q44">
    <cfRule type="containsBlanks" dxfId="6631" priority="6607">
      <formula>LEN(TRIM(O44))=0</formula>
    </cfRule>
  </conditionalFormatting>
  <conditionalFormatting sqref="O46:Q46">
    <cfRule type="containsBlanks" dxfId="6630" priority="6606">
      <formula>LEN(TRIM(O46))=0</formula>
    </cfRule>
  </conditionalFormatting>
  <conditionalFormatting sqref="O59:Q59">
    <cfRule type="containsBlanks" dxfId="6629" priority="6605">
      <formula>LEN(TRIM(O59))=0</formula>
    </cfRule>
  </conditionalFormatting>
  <conditionalFormatting sqref="O60:Q60">
    <cfRule type="containsBlanks" dxfId="6628" priority="6604">
      <formula>LEN(TRIM(O60))=0</formula>
    </cfRule>
  </conditionalFormatting>
  <conditionalFormatting sqref="O62:Q62">
    <cfRule type="containsBlanks" dxfId="6627" priority="6603">
      <formula>LEN(TRIM(O62))=0</formula>
    </cfRule>
  </conditionalFormatting>
  <conditionalFormatting sqref="N58:T58">
    <cfRule type="containsBlanks" dxfId="6626" priority="6602">
      <formula>LEN(TRIM(N58))=0</formula>
    </cfRule>
  </conditionalFormatting>
  <conditionalFormatting sqref="M75:S75">
    <cfRule type="containsBlanks" dxfId="6625" priority="6601">
      <formula>LEN(TRIM(M75))=0</formula>
    </cfRule>
  </conditionalFormatting>
  <conditionalFormatting sqref="N78:T78">
    <cfRule type="containsBlanks" dxfId="6624" priority="6600">
      <formula>LEN(TRIM(N78))=0</formula>
    </cfRule>
  </conditionalFormatting>
  <conditionalFormatting sqref="O80:Q80">
    <cfRule type="containsBlanks" dxfId="6623" priority="6599">
      <formula>LEN(TRIM(O80))=0</formula>
    </cfRule>
  </conditionalFormatting>
  <conditionalFormatting sqref="M82:T82">
    <cfRule type="containsBlanks" dxfId="6622" priority="6598">
      <formula>LEN(TRIM(M82))=0</formula>
    </cfRule>
  </conditionalFormatting>
  <conditionalFormatting sqref="M88:T88">
    <cfRule type="containsBlanks" dxfId="6621" priority="6597">
      <formula>LEN(TRIM(M88))=0</formula>
    </cfRule>
  </conditionalFormatting>
  <conditionalFormatting sqref="O89:S89">
    <cfRule type="containsBlanks" dxfId="6620" priority="6596">
      <formula>LEN(TRIM(O89))=0</formula>
    </cfRule>
  </conditionalFormatting>
  <conditionalFormatting sqref="M89:N89">
    <cfRule type="containsBlanks" dxfId="6619" priority="6595">
      <formula>LEN(TRIM(M89))=0</formula>
    </cfRule>
  </conditionalFormatting>
  <conditionalFormatting sqref="M52:T52">
    <cfRule type="containsBlanks" dxfId="6618" priority="6594">
      <formula>LEN(TRIM(M52))=0</formula>
    </cfRule>
  </conditionalFormatting>
  <conditionalFormatting sqref="M53:S53">
    <cfRule type="containsBlanks" dxfId="6617" priority="6593">
      <formula>LEN(TRIM(M53))=0</formula>
    </cfRule>
  </conditionalFormatting>
  <conditionalFormatting sqref="O51:Q51">
    <cfRule type="containsBlanks" dxfId="6616" priority="6592">
      <formula>LEN(TRIM(O51))=0</formula>
    </cfRule>
  </conditionalFormatting>
  <conditionalFormatting sqref="O48:Q48">
    <cfRule type="containsBlanks" dxfId="6615" priority="6591">
      <formula>LEN(TRIM(O48))=0</formula>
    </cfRule>
  </conditionalFormatting>
  <conditionalFormatting sqref="O49:Q49">
    <cfRule type="containsBlanks" dxfId="6614" priority="6590">
      <formula>LEN(TRIM(O49))=0</formula>
    </cfRule>
  </conditionalFormatting>
  <conditionalFormatting sqref="O53:Q53">
    <cfRule type="containsBlanks" dxfId="6613" priority="6589">
      <formula>LEN(TRIM(O53))=0</formula>
    </cfRule>
  </conditionalFormatting>
  <conditionalFormatting sqref="O55:Q55">
    <cfRule type="containsBlanks" dxfId="6612" priority="6588">
      <formula>LEN(TRIM(O55))=0</formula>
    </cfRule>
  </conditionalFormatting>
  <conditionalFormatting sqref="O57:Q57">
    <cfRule type="containsBlanks" dxfId="6611" priority="6587">
      <formula>LEN(TRIM(O57))=0</formula>
    </cfRule>
  </conditionalFormatting>
  <conditionalFormatting sqref="O70:Q70">
    <cfRule type="containsBlanks" dxfId="6610" priority="6586">
      <formula>LEN(TRIM(O70))=0</formula>
    </cfRule>
  </conditionalFormatting>
  <conditionalFormatting sqref="O71:Q71">
    <cfRule type="containsBlanks" dxfId="6609" priority="6585">
      <formula>LEN(TRIM(O71))=0</formula>
    </cfRule>
  </conditionalFormatting>
  <conditionalFormatting sqref="O73:Q73">
    <cfRule type="containsBlanks" dxfId="6608" priority="6584">
      <formula>LEN(TRIM(O73))=0</formula>
    </cfRule>
  </conditionalFormatting>
  <conditionalFormatting sqref="N69:T69">
    <cfRule type="containsBlanks" dxfId="6607" priority="6583">
      <formula>LEN(TRIM(N69))=0</formula>
    </cfRule>
  </conditionalFormatting>
  <conditionalFormatting sqref="M86:S86">
    <cfRule type="containsBlanks" dxfId="6606" priority="6582">
      <formula>LEN(TRIM(M86))=0</formula>
    </cfRule>
  </conditionalFormatting>
  <conditionalFormatting sqref="N89:T89">
    <cfRule type="containsBlanks" dxfId="6605" priority="6581">
      <formula>LEN(TRIM(N89))=0</formula>
    </cfRule>
  </conditionalFormatting>
  <conditionalFormatting sqref="O91:Q91">
    <cfRule type="containsBlanks" dxfId="6604" priority="6580">
      <formula>LEN(TRIM(O91))=0</formula>
    </cfRule>
  </conditionalFormatting>
  <conditionalFormatting sqref="M93:T93">
    <cfRule type="containsBlanks" dxfId="6603" priority="6579">
      <formula>LEN(TRIM(M93))=0</formula>
    </cfRule>
  </conditionalFormatting>
  <conditionalFormatting sqref="O100:S100">
    <cfRule type="containsBlanks" dxfId="6602" priority="6577">
      <formula>LEN(TRIM(O100))=0</formula>
    </cfRule>
  </conditionalFormatting>
  <conditionalFormatting sqref="M100:N100">
    <cfRule type="containsBlanks" dxfId="6601" priority="6576">
      <formula>LEN(TRIM(M100))=0</formula>
    </cfRule>
  </conditionalFormatting>
  <conditionalFormatting sqref="M63:T63">
    <cfRule type="containsBlanks" dxfId="6600" priority="6575">
      <formula>LEN(TRIM(M63))=0</formula>
    </cfRule>
  </conditionalFormatting>
  <conditionalFormatting sqref="M64:S64">
    <cfRule type="containsBlanks" dxfId="6599" priority="6574">
      <formula>LEN(TRIM(M64))=0</formula>
    </cfRule>
  </conditionalFormatting>
  <conditionalFormatting sqref="O48:Q48">
    <cfRule type="containsBlanks" dxfId="6598" priority="6573">
      <formula>LEN(TRIM(O48))=0</formula>
    </cfRule>
  </conditionalFormatting>
  <conditionalFormatting sqref="O61:Q61">
    <cfRule type="containsBlanks" dxfId="6597" priority="6572">
      <formula>LEN(TRIM(O61))=0</formula>
    </cfRule>
  </conditionalFormatting>
  <conditionalFormatting sqref="O62:Q62">
    <cfRule type="containsBlanks" dxfId="6596" priority="6571">
      <formula>LEN(TRIM(O62))=0</formula>
    </cfRule>
  </conditionalFormatting>
  <conditionalFormatting sqref="O64:Q64">
    <cfRule type="containsBlanks" dxfId="6595" priority="6570">
      <formula>LEN(TRIM(O64))=0</formula>
    </cfRule>
  </conditionalFormatting>
  <conditionalFormatting sqref="N60:T60">
    <cfRule type="containsBlanks" dxfId="6594" priority="6569">
      <formula>LEN(TRIM(N60))=0</formula>
    </cfRule>
  </conditionalFormatting>
  <conditionalFormatting sqref="M77:S77">
    <cfRule type="containsBlanks" dxfId="6593" priority="6568">
      <formula>LEN(TRIM(M77))=0</formula>
    </cfRule>
  </conditionalFormatting>
  <conditionalFormatting sqref="N80:T80">
    <cfRule type="containsBlanks" dxfId="6592" priority="6567">
      <formula>LEN(TRIM(N80))=0</formula>
    </cfRule>
  </conditionalFormatting>
  <conditionalFormatting sqref="O82:Q82">
    <cfRule type="containsBlanks" dxfId="6591" priority="6566">
      <formula>LEN(TRIM(O82))=0</formula>
    </cfRule>
  </conditionalFormatting>
  <conditionalFormatting sqref="M84:T84">
    <cfRule type="containsBlanks" dxfId="6590" priority="6565">
      <formula>LEN(TRIM(M84))=0</formula>
    </cfRule>
  </conditionalFormatting>
  <conditionalFormatting sqref="M90:T90">
    <cfRule type="containsBlanks" dxfId="6589" priority="6564">
      <formula>LEN(TRIM(M90))=0</formula>
    </cfRule>
  </conditionalFormatting>
  <conditionalFormatting sqref="O91:S91">
    <cfRule type="containsBlanks" dxfId="6588" priority="6563">
      <formula>LEN(TRIM(O91))=0</formula>
    </cfRule>
  </conditionalFormatting>
  <conditionalFormatting sqref="M91:N91">
    <cfRule type="containsBlanks" dxfId="6587" priority="6562">
      <formula>LEN(TRIM(M91))=0</formula>
    </cfRule>
  </conditionalFormatting>
  <conditionalFormatting sqref="M54:T54">
    <cfRule type="containsBlanks" dxfId="6586" priority="6561">
      <formula>LEN(TRIM(M54))=0</formula>
    </cfRule>
  </conditionalFormatting>
  <conditionalFormatting sqref="M55:S55">
    <cfRule type="containsBlanks" dxfId="6585" priority="6560">
      <formula>LEN(TRIM(M55))=0</formula>
    </cfRule>
  </conditionalFormatting>
  <conditionalFormatting sqref="O48:Q48">
    <cfRule type="containsBlanks" dxfId="6584" priority="6559">
      <formula>LEN(TRIM(O48))=0</formula>
    </cfRule>
  </conditionalFormatting>
  <conditionalFormatting sqref="O50:Q50">
    <cfRule type="containsBlanks" dxfId="6583" priority="6558">
      <formula>LEN(TRIM(O50))=0</formula>
    </cfRule>
  </conditionalFormatting>
  <conditionalFormatting sqref="O52:Q52">
    <cfRule type="containsBlanks" dxfId="6582" priority="6557">
      <formula>LEN(TRIM(O52))=0</formula>
    </cfRule>
  </conditionalFormatting>
  <conditionalFormatting sqref="O65:Q65">
    <cfRule type="containsBlanks" dxfId="6581" priority="6556">
      <formula>LEN(TRIM(O65))=0</formula>
    </cfRule>
  </conditionalFormatting>
  <conditionalFormatting sqref="O66:Q66">
    <cfRule type="containsBlanks" dxfId="6580" priority="6555">
      <formula>LEN(TRIM(O66))=0</formula>
    </cfRule>
  </conditionalFormatting>
  <conditionalFormatting sqref="O68:Q68">
    <cfRule type="containsBlanks" dxfId="6579" priority="6554">
      <formula>LEN(TRIM(O68))=0</formula>
    </cfRule>
  </conditionalFormatting>
  <conditionalFormatting sqref="N64:T64">
    <cfRule type="containsBlanks" dxfId="6578" priority="6553">
      <formula>LEN(TRIM(N64))=0</formula>
    </cfRule>
  </conditionalFormatting>
  <conditionalFormatting sqref="M81:S81">
    <cfRule type="containsBlanks" dxfId="6577" priority="6552">
      <formula>LEN(TRIM(M81))=0</formula>
    </cfRule>
  </conditionalFormatting>
  <conditionalFormatting sqref="N84:T84">
    <cfRule type="containsBlanks" dxfId="6576" priority="6551">
      <formula>LEN(TRIM(N84))=0</formula>
    </cfRule>
  </conditionalFormatting>
  <conditionalFormatting sqref="O86:Q86">
    <cfRule type="containsBlanks" dxfId="6575" priority="6550">
      <formula>LEN(TRIM(O86))=0</formula>
    </cfRule>
  </conditionalFormatting>
  <conditionalFormatting sqref="M88:T88">
    <cfRule type="containsBlanks" dxfId="6574" priority="6549">
      <formula>LEN(TRIM(M88))=0</formula>
    </cfRule>
  </conditionalFormatting>
  <conditionalFormatting sqref="M94:T94">
    <cfRule type="containsBlanks" dxfId="6573" priority="6548">
      <formula>LEN(TRIM(M94))=0</formula>
    </cfRule>
  </conditionalFormatting>
  <conditionalFormatting sqref="O95:S95">
    <cfRule type="containsBlanks" dxfId="6572" priority="6547">
      <formula>LEN(TRIM(O95))=0</formula>
    </cfRule>
  </conditionalFormatting>
  <conditionalFormatting sqref="M95:N95">
    <cfRule type="containsBlanks" dxfId="6571" priority="6546">
      <formula>LEN(TRIM(M95))=0</formula>
    </cfRule>
  </conditionalFormatting>
  <conditionalFormatting sqref="M58:T58">
    <cfRule type="containsBlanks" dxfId="6570" priority="6545">
      <formula>LEN(TRIM(M58))=0</formula>
    </cfRule>
  </conditionalFormatting>
  <conditionalFormatting sqref="M59:S59">
    <cfRule type="containsBlanks" dxfId="6569" priority="6544">
      <formula>LEN(TRIM(M59))=0</formula>
    </cfRule>
  </conditionalFormatting>
  <conditionalFormatting sqref="O56:Q56">
    <cfRule type="containsBlanks" dxfId="6568" priority="6543">
      <formula>LEN(TRIM(O56))=0</formula>
    </cfRule>
  </conditionalFormatting>
  <conditionalFormatting sqref="O57:Q57">
    <cfRule type="containsBlanks" dxfId="6567" priority="6542">
      <formula>LEN(TRIM(O57))=0</formula>
    </cfRule>
  </conditionalFormatting>
  <conditionalFormatting sqref="O59:Q59">
    <cfRule type="containsBlanks" dxfId="6566" priority="6541">
      <formula>LEN(TRIM(O59))=0</formula>
    </cfRule>
  </conditionalFormatting>
  <conditionalFormatting sqref="N55:T55">
    <cfRule type="containsBlanks" dxfId="6565" priority="6540">
      <formula>LEN(TRIM(N55))=0</formula>
    </cfRule>
  </conditionalFormatting>
  <conditionalFormatting sqref="M72:S72">
    <cfRule type="containsBlanks" dxfId="6564" priority="6539">
      <formula>LEN(TRIM(M72))=0</formula>
    </cfRule>
  </conditionalFormatting>
  <conditionalFormatting sqref="N75:T75">
    <cfRule type="containsBlanks" dxfId="6563" priority="6538">
      <formula>LEN(TRIM(N75))=0</formula>
    </cfRule>
  </conditionalFormatting>
  <conditionalFormatting sqref="O77:Q77">
    <cfRule type="containsBlanks" dxfId="6562" priority="6537">
      <formula>LEN(TRIM(O77))=0</formula>
    </cfRule>
  </conditionalFormatting>
  <conditionalFormatting sqref="M79:T79">
    <cfRule type="containsBlanks" dxfId="6561" priority="6536">
      <formula>LEN(TRIM(M79))=0</formula>
    </cfRule>
  </conditionalFormatting>
  <conditionalFormatting sqref="M85:T85">
    <cfRule type="containsBlanks" dxfId="6560" priority="6535">
      <formula>LEN(TRIM(M85))=0</formula>
    </cfRule>
  </conditionalFormatting>
  <conditionalFormatting sqref="O86:S86">
    <cfRule type="containsBlanks" dxfId="6559" priority="6534">
      <formula>LEN(TRIM(O86))=0</formula>
    </cfRule>
  </conditionalFormatting>
  <conditionalFormatting sqref="M86:N86">
    <cfRule type="containsBlanks" dxfId="6558" priority="6533">
      <formula>LEN(TRIM(M86))=0</formula>
    </cfRule>
  </conditionalFormatting>
  <conditionalFormatting sqref="M49:T49">
    <cfRule type="containsBlanks" dxfId="6557" priority="6532">
      <formula>LEN(TRIM(M49))=0</formula>
    </cfRule>
  </conditionalFormatting>
  <conditionalFormatting sqref="M50:S50">
    <cfRule type="containsBlanks" dxfId="6556" priority="6531">
      <formula>LEN(TRIM(M50))=0</formula>
    </cfRule>
  </conditionalFormatting>
  <conditionalFormatting sqref="M21:N21">
    <cfRule type="containsBlanks" dxfId="6555" priority="6530">
      <formula>LEN(TRIM(M21))=0</formula>
    </cfRule>
  </conditionalFormatting>
  <conditionalFormatting sqref="O49:Q49">
    <cfRule type="containsBlanks" dxfId="6554" priority="6529">
      <formula>LEN(TRIM(O49))=0</formula>
    </cfRule>
  </conditionalFormatting>
  <conditionalFormatting sqref="O56:Q56">
    <cfRule type="containsBlanks" dxfId="6553" priority="6528">
      <formula>LEN(TRIM(O56))=0</formula>
    </cfRule>
  </conditionalFormatting>
  <conditionalFormatting sqref="O53:Q53">
    <cfRule type="containsBlanks" dxfId="6552" priority="6527">
      <formula>LEN(TRIM(O53))=0</formula>
    </cfRule>
  </conditionalFormatting>
  <conditionalFormatting sqref="O54:Q54">
    <cfRule type="containsBlanks" dxfId="6551" priority="6526">
      <formula>LEN(TRIM(O54))=0</formula>
    </cfRule>
  </conditionalFormatting>
  <conditionalFormatting sqref="O58:Q58">
    <cfRule type="containsBlanks" dxfId="6550" priority="6525">
      <formula>LEN(TRIM(O58))=0</formula>
    </cfRule>
  </conditionalFormatting>
  <conditionalFormatting sqref="O60:Q60">
    <cfRule type="containsBlanks" dxfId="6549" priority="6524">
      <formula>LEN(TRIM(O60))=0</formula>
    </cfRule>
  </conditionalFormatting>
  <conditionalFormatting sqref="O62:Q62">
    <cfRule type="containsBlanks" dxfId="6548" priority="6523">
      <formula>LEN(TRIM(O62))=0</formula>
    </cfRule>
  </conditionalFormatting>
  <conditionalFormatting sqref="O75:Q75">
    <cfRule type="containsBlanks" dxfId="6547" priority="6522">
      <formula>LEN(TRIM(O75))=0</formula>
    </cfRule>
  </conditionalFormatting>
  <conditionalFormatting sqref="O76:Q76">
    <cfRule type="containsBlanks" dxfId="6546" priority="6521">
      <formula>LEN(TRIM(O76))=0</formula>
    </cfRule>
  </conditionalFormatting>
  <conditionalFormatting sqref="O78:Q78">
    <cfRule type="containsBlanks" dxfId="6545" priority="6520">
      <formula>LEN(TRIM(O78))=0</formula>
    </cfRule>
  </conditionalFormatting>
  <conditionalFormatting sqref="N74:T74">
    <cfRule type="containsBlanks" dxfId="6544" priority="6519">
      <formula>LEN(TRIM(N74))=0</formula>
    </cfRule>
  </conditionalFormatting>
  <conditionalFormatting sqref="M91:S91">
    <cfRule type="containsBlanks" dxfId="6543" priority="6518">
      <formula>LEN(TRIM(M91))=0</formula>
    </cfRule>
  </conditionalFormatting>
  <conditionalFormatting sqref="N94:T94">
    <cfRule type="containsBlanks" dxfId="6542" priority="6517">
      <formula>LEN(TRIM(N94))=0</formula>
    </cfRule>
  </conditionalFormatting>
  <conditionalFormatting sqref="O96:Q96">
    <cfRule type="containsBlanks" dxfId="6541" priority="6516">
      <formula>LEN(TRIM(O96))=0</formula>
    </cfRule>
  </conditionalFormatting>
  <conditionalFormatting sqref="M98:T98">
    <cfRule type="containsBlanks" dxfId="6540" priority="6515">
      <formula>LEN(TRIM(M98))=0</formula>
    </cfRule>
  </conditionalFormatting>
  <conditionalFormatting sqref="M104:T104">
    <cfRule type="containsBlanks" dxfId="6539" priority="6514">
      <formula>LEN(TRIM(M104))=0</formula>
    </cfRule>
  </conditionalFormatting>
  <conditionalFormatting sqref="O105:S105">
    <cfRule type="containsBlanks" dxfId="6538" priority="6513">
      <formula>LEN(TRIM(O105))=0</formula>
    </cfRule>
  </conditionalFormatting>
  <conditionalFormatting sqref="M105:N105">
    <cfRule type="containsBlanks" dxfId="6537" priority="6512">
      <formula>LEN(TRIM(M105))=0</formula>
    </cfRule>
  </conditionalFormatting>
  <conditionalFormatting sqref="M68:T68">
    <cfRule type="containsBlanks" dxfId="6536" priority="6511">
      <formula>LEN(TRIM(M68))=0</formula>
    </cfRule>
  </conditionalFormatting>
  <conditionalFormatting sqref="M69:S69">
    <cfRule type="containsBlanks" dxfId="6535" priority="6510">
      <formula>LEN(TRIM(M69))=0</formula>
    </cfRule>
  </conditionalFormatting>
  <conditionalFormatting sqref="O40:Q40">
    <cfRule type="containsBlanks" dxfId="6534" priority="6509">
      <formula>LEN(TRIM(O40))=0</formula>
    </cfRule>
  </conditionalFormatting>
  <conditionalFormatting sqref="O47:Q47">
    <cfRule type="containsBlanks" dxfId="6533" priority="6508">
      <formula>LEN(TRIM(O47))=0</formula>
    </cfRule>
  </conditionalFormatting>
  <conditionalFormatting sqref="O44:Q44">
    <cfRule type="containsBlanks" dxfId="6532" priority="6507">
      <formula>LEN(TRIM(O44))=0</formula>
    </cfRule>
  </conditionalFormatting>
  <conditionalFormatting sqref="O45:Q45">
    <cfRule type="containsBlanks" dxfId="6531" priority="6506">
      <formula>LEN(TRIM(O45))=0</formula>
    </cfRule>
  </conditionalFormatting>
  <conditionalFormatting sqref="O49:Q49">
    <cfRule type="containsBlanks" dxfId="6530" priority="6505">
      <formula>LEN(TRIM(O49))=0</formula>
    </cfRule>
  </conditionalFormatting>
  <conditionalFormatting sqref="O51:Q51">
    <cfRule type="containsBlanks" dxfId="6529" priority="6504">
      <formula>LEN(TRIM(O51))=0</formula>
    </cfRule>
  </conditionalFormatting>
  <conditionalFormatting sqref="O53:Q53">
    <cfRule type="containsBlanks" dxfId="6528" priority="6503">
      <formula>LEN(TRIM(O53))=0</formula>
    </cfRule>
  </conditionalFormatting>
  <conditionalFormatting sqref="O66:Q66">
    <cfRule type="containsBlanks" dxfId="6527" priority="6502">
      <formula>LEN(TRIM(O66))=0</formula>
    </cfRule>
  </conditionalFormatting>
  <conditionalFormatting sqref="O67:Q67">
    <cfRule type="containsBlanks" dxfId="6526" priority="6501">
      <formula>LEN(TRIM(O67))=0</formula>
    </cfRule>
  </conditionalFormatting>
  <conditionalFormatting sqref="O69:Q69">
    <cfRule type="containsBlanks" dxfId="6525" priority="6500">
      <formula>LEN(TRIM(O69))=0</formula>
    </cfRule>
  </conditionalFormatting>
  <conditionalFormatting sqref="N65:T65">
    <cfRule type="containsBlanks" dxfId="6524" priority="6499">
      <formula>LEN(TRIM(N65))=0</formula>
    </cfRule>
  </conditionalFormatting>
  <conditionalFormatting sqref="M82:S82">
    <cfRule type="containsBlanks" dxfId="6523" priority="6498">
      <formula>LEN(TRIM(M82))=0</formula>
    </cfRule>
  </conditionalFormatting>
  <conditionalFormatting sqref="N85:T85">
    <cfRule type="containsBlanks" dxfId="6522" priority="6497">
      <formula>LEN(TRIM(N85))=0</formula>
    </cfRule>
  </conditionalFormatting>
  <conditionalFormatting sqref="O87:Q87">
    <cfRule type="containsBlanks" dxfId="6521" priority="6496">
      <formula>LEN(TRIM(O87))=0</formula>
    </cfRule>
  </conditionalFormatting>
  <conditionalFormatting sqref="M89:T89">
    <cfRule type="containsBlanks" dxfId="6520" priority="6495">
      <formula>LEN(TRIM(M89))=0</formula>
    </cfRule>
  </conditionalFormatting>
  <conditionalFormatting sqref="M95:T95">
    <cfRule type="containsBlanks" dxfId="6519" priority="6494">
      <formula>LEN(TRIM(M95))=0</formula>
    </cfRule>
  </conditionalFormatting>
  <conditionalFormatting sqref="O96:S96">
    <cfRule type="containsBlanks" dxfId="6518" priority="6493">
      <formula>LEN(TRIM(O96))=0</formula>
    </cfRule>
  </conditionalFormatting>
  <conditionalFormatting sqref="M96:N96">
    <cfRule type="containsBlanks" dxfId="6517" priority="6492">
      <formula>LEN(TRIM(M96))=0</formula>
    </cfRule>
  </conditionalFormatting>
  <conditionalFormatting sqref="M59:T59">
    <cfRule type="containsBlanks" dxfId="6516" priority="6491">
      <formula>LEN(TRIM(M59))=0</formula>
    </cfRule>
  </conditionalFormatting>
  <conditionalFormatting sqref="M60:S60">
    <cfRule type="containsBlanks" dxfId="6515" priority="6490">
      <formula>LEN(TRIM(M60))=0</formula>
    </cfRule>
  </conditionalFormatting>
  <conditionalFormatting sqref="O44:Q44">
    <cfRule type="containsBlanks" dxfId="6514" priority="6489">
      <formula>LEN(TRIM(O44))=0</formula>
    </cfRule>
  </conditionalFormatting>
  <conditionalFormatting sqref="O51:Q51">
    <cfRule type="containsBlanks" dxfId="6513" priority="6488">
      <formula>LEN(TRIM(O51))=0</formula>
    </cfRule>
  </conditionalFormatting>
  <conditionalFormatting sqref="O48:Q48">
    <cfRule type="containsBlanks" dxfId="6512" priority="6487">
      <formula>LEN(TRIM(O48))=0</formula>
    </cfRule>
  </conditionalFormatting>
  <conditionalFormatting sqref="O49:Q49">
    <cfRule type="containsBlanks" dxfId="6511" priority="6486">
      <formula>LEN(TRIM(O49))=0</formula>
    </cfRule>
  </conditionalFormatting>
  <conditionalFormatting sqref="O53:Q53">
    <cfRule type="containsBlanks" dxfId="6510" priority="6485">
      <formula>LEN(TRIM(O53))=0</formula>
    </cfRule>
  </conditionalFormatting>
  <conditionalFormatting sqref="O55:Q55">
    <cfRule type="containsBlanks" dxfId="6509" priority="6484">
      <formula>LEN(TRIM(O55))=0</formula>
    </cfRule>
  </conditionalFormatting>
  <conditionalFormatting sqref="O57:Q57">
    <cfRule type="containsBlanks" dxfId="6508" priority="6483">
      <formula>LEN(TRIM(O57))=0</formula>
    </cfRule>
  </conditionalFormatting>
  <conditionalFormatting sqref="O70:Q70">
    <cfRule type="containsBlanks" dxfId="6507" priority="6482">
      <formula>LEN(TRIM(O70))=0</formula>
    </cfRule>
  </conditionalFormatting>
  <conditionalFormatting sqref="O71:Q71">
    <cfRule type="containsBlanks" dxfId="6506" priority="6481">
      <formula>LEN(TRIM(O71))=0</formula>
    </cfRule>
  </conditionalFormatting>
  <conditionalFormatting sqref="O73:Q73">
    <cfRule type="containsBlanks" dxfId="6505" priority="6480">
      <formula>LEN(TRIM(O73))=0</formula>
    </cfRule>
  </conditionalFormatting>
  <conditionalFormatting sqref="N69:T69">
    <cfRule type="containsBlanks" dxfId="6504" priority="6479">
      <formula>LEN(TRIM(N69))=0</formula>
    </cfRule>
  </conditionalFormatting>
  <conditionalFormatting sqref="M86:S86">
    <cfRule type="containsBlanks" dxfId="6503" priority="6478">
      <formula>LEN(TRIM(M86))=0</formula>
    </cfRule>
  </conditionalFormatting>
  <conditionalFormatting sqref="N89:T89">
    <cfRule type="containsBlanks" dxfId="6502" priority="6477">
      <formula>LEN(TRIM(N89))=0</formula>
    </cfRule>
  </conditionalFormatting>
  <conditionalFormatting sqref="O91:Q91">
    <cfRule type="containsBlanks" dxfId="6501" priority="6476">
      <formula>LEN(TRIM(O91))=0</formula>
    </cfRule>
  </conditionalFormatting>
  <conditionalFormatting sqref="M93:T93">
    <cfRule type="containsBlanks" dxfId="6500" priority="6475">
      <formula>LEN(TRIM(M93))=0</formula>
    </cfRule>
  </conditionalFormatting>
  <conditionalFormatting sqref="O100:S100">
    <cfRule type="containsBlanks" dxfId="6499" priority="6473">
      <formula>LEN(TRIM(O100))=0</formula>
    </cfRule>
  </conditionalFormatting>
  <conditionalFormatting sqref="M100:N100">
    <cfRule type="containsBlanks" dxfId="6498" priority="6472">
      <formula>LEN(TRIM(M100))=0</formula>
    </cfRule>
  </conditionalFormatting>
  <conditionalFormatting sqref="M63:T63">
    <cfRule type="containsBlanks" dxfId="6497" priority="6471">
      <formula>LEN(TRIM(M63))=0</formula>
    </cfRule>
  </conditionalFormatting>
  <conditionalFormatting sqref="M64:S64">
    <cfRule type="containsBlanks" dxfId="6496" priority="6470">
      <formula>LEN(TRIM(M64))=0</formula>
    </cfRule>
  </conditionalFormatting>
  <conditionalFormatting sqref="O35:Q35">
    <cfRule type="containsBlanks" dxfId="6495" priority="6469">
      <formula>LEN(TRIM(O35))=0</formula>
    </cfRule>
  </conditionalFormatting>
  <conditionalFormatting sqref="O42:Q42">
    <cfRule type="containsBlanks" dxfId="6494" priority="6468">
      <formula>LEN(TRIM(O42))=0</formula>
    </cfRule>
  </conditionalFormatting>
  <conditionalFormatting sqref="O39:Q39">
    <cfRule type="containsBlanks" dxfId="6493" priority="6467">
      <formula>LEN(TRIM(O39))=0</formula>
    </cfRule>
  </conditionalFormatting>
  <conditionalFormatting sqref="O40:Q40">
    <cfRule type="containsBlanks" dxfId="6492" priority="6466">
      <formula>LEN(TRIM(O40))=0</formula>
    </cfRule>
  </conditionalFormatting>
  <conditionalFormatting sqref="O44:Q44">
    <cfRule type="containsBlanks" dxfId="6491" priority="6465">
      <formula>LEN(TRIM(O44))=0</formula>
    </cfRule>
  </conditionalFormatting>
  <conditionalFormatting sqref="O46:Q46">
    <cfRule type="containsBlanks" dxfId="6490" priority="6464">
      <formula>LEN(TRIM(O46))=0</formula>
    </cfRule>
  </conditionalFormatting>
  <conditionalFormatting sqref="O48:Q48">
    <cfRule type="containsBlanks" dxfId="6489" priority="6463">
      <formula>LEN(TRIM(O48))=0</formula>
    </cfRule>
  </conditionalFormatting>
  <conditionalFormatting sqref="O61:Q61">
    <cfRule type="containsBlanks" dxfId="6488" priority="6462">
      <formula>LEN(TRIM(O61))=0</formula>
    </cfRule>
  </conditionalFormatting>
  <conditionalFormatting sqref="O62:Q62">
    <cfRule type="containsBlanks" dxfId="6487" priority="6461">
      <formula>LEN(TRIM(O62))=0</formula>
    </cfRule>
  </conditionalFormatting>
  <conditionalFormatting sqref="O64:Q64">
    <cfRule type="containsBlanks" dxfId="6486" priority="6460">
      <formula>LEN(TRIM(O64))=0</formula>
    </cfRule>
  </conditionalFormatting>
  <conditionalFormatting sqref="N60:T60">
    <cfRule type="containsBlanks" dxfId="6485" priority="6459">
      <formula>LEN(TRIM(N60))=0</formula>
    </cfRule>
  </conditionalFormatting>
  <conditionalFormatting sqref="M77:S77">
    <cfRule type="containsBlanks" dxfId="6484" priority="6458">
      <formula>LEN(TRIM(M77))=0</formula>
    </cfRule>
  </conditionalFormatting>
  <conditionalFormatting sqref="N80:T80">
    <cfRule type="containsBlanks" dxfId="6483" priority="6457">
      <formula>LEN(TRIM(N80))=0</formula>
    </cfRule>
  </conditionalFormatting>
  <conditionalFormatting sqref="O82:Q82">
    <cfRule type="containsBlanks" dxfId="6482" priority="6456">
      <formula>LEN(TRIM(O82))=0</formula>
    </cfRule>
  </conditionalFormatting>
  <conditionalFormatting sqref="M84:T84">
    <cfRule type="containsBlanks" dxfId="6481" priority="6455">
      <formula>LEN(TRIM(M84))=0</formula>
    </cfRule>
  </conditionalFormatting>
  <conditionalFormatting sqref="M90:T90">
    <cfRule type="containsBlanks" dxfId="6480" priority="6454">
      <formula>LEN(TRIM(M90))=0</formula>
    </cfRule>
  </conditionalFormatting>
  <conditionalFormatting sqref="O91:S91">
    <cfRule type="containsBlanks" dxfId="6479" priority="6453">
      <formula>LEN(TRIM(O91))=0</formula>
    </cfRule>
  </conditionalFormatting>
  <conditionalFormatting sqref="M91:N91">
    <cfRule type="containsBlanks" dxfId="6478" priority="6452">
      <formula>LEN(TRIM(M91))=0</formula>
    </cfRule>
  </conditionalFormatting>
  <conditionalFormatting sqref="M54:T54">
    <cfRule type="containsBlanks" dxfId="6477" priority="6451">
      <formula>LEN(TRIM(M54))=0</formula>
    </cfRule>
  </conditionalFormatting>
  <conditionalFormatting sqref="M55:S55">
    <cfRule type="containsBlanks" dxfId="6476" priority="6450">
      <formula>LEN(TRIM(M55))=0</formula>
    </cfRule>
  </conditionalFormatting>
  <conditionalFormatting sqref="O53:Q53">
    <cfRule type="containsBlanks" dxfId="6475" priority="6449">
      <formula>LEN(TRIM(O53))=0</formula>
    </cfRule>
  </conditionalFormatting>
  <conditionalFormatting sqref="O50:Q50">
    <cfRule type="containsBlanks" dxfId="6474" priority="6448">
      <formula>LEN(TRIM(O50))=0</formula>
    </cfRule>
  </conditionalFormatting>
  <conditionalFormatting sqref="O51:Q51">
    <cfRule type="containsBlanks" dxfId="6473" priority="6447">
      <formula>LEN(TRIM(O51))=0</formula>
    </cfRule>
  </conditionalFormatting>
  <conditionalFormatting sqref="O55:Q55">
    <cfRule type="containsBlanks" dxfId="6472" priority="6446">
      <formula>LEN(TRIM(O55))=0</formula>
    </cfRule>
  </conditionalFormatting>
  <conditionalFormatting sqref="O57:Q57">
    <cfRule type="containsBlanks" dxfId="6471" priority="6445">
      <formula>LEN(TRIM(O57))=0</formula>
    </cfRule>
  </conditionalFormatting>
  <conditionalFormatting sqref="O59:Q59">
    <cfRule type="containsBlanks" dxfId="6470" priority="6444">
      <formula>LEN(TRIM(O59))=0</formula>
    </cfRule>
  </conditionalFormatting>
  <conditionalFormatting sqref="O72:Q72">
    <cfRule type="containsBlanks" dxfId="6469" priority="6443">
      <formula>LEN(TRIM(O72))=0</formula>
    </cfRule>
  </conditionalFormatting>
  <conditionalFormatting sqref="O73:Q73">
    <cfRule type="containsBlanks" dxfId="6468" priority="6442">
      <formula>LEN(TRIM(O73))=0</formula>
    </cfRule>
  </conditionalFormatting>
  <conditionalFormatting sqref="O75:Q75">
    <cfRule type="containsBlanks" dxfId="6467" priority="6441">
      <formula>LEN(TRIM(O75))=0</formula>
    </cfRule>
  </conditionalFormatting>
  <conditionalFormatting sqref="N71:T71">
    <cfRule type="containsBlanks" dxfId="6466" priority="6440">
      <formula>LEN(TRIM(N71))=0</formula>
    </cfRule>
  </conditionalFormatting>
  <conditionalFormatting sqref="M88:S88">
    <cfRule type="containsBlanks" dxfId="6465" priority="6439">
      <formula>LEN(TRIM(M88))=0</formula>
    </cfRule>
  </conditionalFormatting>
  <conditionalFormatting sqref="N91:T91">
    <cfRule type="containsBlanks" dxfId="6464" priority="6438">
      <formula>LEN(TRIM(N91))=0</formula>
    </cfRule>
  </conditionalFormatting>
  <conditionalFormatting sqref="O93:Q93">
    <cfRule type="containsBlanks" dxfId="6463" priority="6437">
      <formula>LEN(TRIM(O93))=0</formula>
    </cfRule>
  </conditionalFormatting>
  <conditionalFormatting sqref="M95:T95">
    <cfRule type="containsBlanks" dxfId="6462" priority="6436">
      <formula>LEN(TRIM(M95))=0</formula>
    </cfRule>
  </conditionalFormatting>
  <conditionalFormatting sqref="M101:T101">
    <cfRule type="containsBlanks" dxfId="6461" priority="6435">
      <formula>LEN(TRIM(M101))=0</formula>
    </cfRule>
  </conditionalFormatting>
  <conditionalFormatting sqref="O102:S102">
    <cfRule type="containsBlanks" dxfId="6460" priority="6434">
      <formula>LEN(TRIM(O102))=0</formula>
    </cfRule>
  </conditionalFormatting>
  <conditionalFormatting sqref="M102:N102">
    <cfRule type="containsBlanks" dxfId="6459" priority="6433">
      <formula>LEN(TRIM(M102))=0</formula>
    </cfRule>
  </conditionalFormatting>
  <conditionalFormatting sqref="M65:T65">
    <cfRule type="containsBlanks" dxfId="6458" priority="6432">
      <formula>LEN(TRIM(M65))=0</formula>
    </cfRule>
  </conditionalFormatting>
  <conditionalFormatting sqref="M66:S66">
    <cfRule type="containsBlanks" dxfId="6457" priority="6431">
      <formula>LEN(TRIM(M66))=0</formula>
    </cfRule>
  </conditionalFormatting>
  <conditionalFormatting sqref="O50:Q50">
    <cfRule type="containsBlanks" dxfId="6456" priority="6430">
      <formula>LEN(TRIM(O50))=0</formula>
    </cfRule>
  </conditionalFormatting>
  <conditionalFormatting sqref="O63:Q63">
    <cfRule type="containsBlanks" dxfId="6455" priority="6429">
      <formula>LEN(TRIM(O63))=0</formula>
    </cfRule>
  </conditionalFormatting>
  <conditionalFormatting sqref="O64:Q64">
    <cfRule type="containsBlanks" dxfId="6454" priority="6428">
      <formula>LEN(TRIM(O64))=0</formula>
    </cfRule>
  </conditionalFormatting>
  <conditionalFormatting sqref="O66:Q66">
    <cfRule type="containsBlanks" dxfId="6453" priority="6427">
      <formula>LEN(TRIM(O66))=0</formula>
    </cfRule>
  </conditionalFormatting>
  <conditionalFormatting sqref="N62:T62">
    <cfRule type="containsBlanks" dxfId="6452" priority="6426">
      <formula>LEN(TRIM(N62))=0</formula>
    </cfRule>
  </conditionalFormatting>
  <conditionalFormatting sqref="M79:S79">
    <cfRule type="containsBlanks" dxfId="6451" priority="6425">
      <formula>LEN(TRIM(M79))=0</formula>
    </cfRule>
  </conditionalFormatting>
  <conditionalFormatting sqref="N82:T82">
    <cfRule type="containsBlanks" dxfId="6450" priority="6424">
      <formula>LEN(TRIM(N82))=0</formula>
    </cfRule>
  </conditionalFormatting>
  <conditionalFormatting sqref="O84:Q84">
    <cfRule type="containsBlanks" dxfId="6449" priority="6423">
      <formula>LEN(TRIM(O84))=0</formula>
    </cfRule>
  </conditionalFormatting>
  <conditionalFormatting sqref="M86:T86">
    <cfRule type="containsBlanks" dxfId="6448" priority="6422">
      <formula>LEN(TRIM(M86))=0</formula>
    </cfRule>
  </conditionalFormatting>
  <conditionalFormatting sqref="M92:T92">
    <cfRule type="containsBlanks" dxfId="6447" priority="6421">
      <formula>LEN(TRIM(M92))=0</formula>
    </cfRule>
  </conditionalFormatting>
  <conditionalFormatting sqref="O93:S93">
    <cfRule type="containsBlanks" dxfId="6446" priority="6420">
      <formula>LEN(TRIM(O93))=0</formula>
    </cfRule>
  </conditionalFormatting>
  <conditionalFormatting sqref="M93:N93">
    <cfRule type="containsBlanks" dxfId="6445" priority="6419">
      <formula>LEN(TRIM(M93))=0</formula>
    </cfRule>
  </conditionalFormatting>
  <conditionalFormatting sqref="M56:T56">
    <cfRule type="containsBlanks" dxfId="6444" priority="6418">
      <formula>LEN(TRIM(M56))=0</formula>
    </cfRule>
  </conditionalFormatting>
  <conditionalFormatting sqref="M57:S57">
    <cfRule type="containsBlanks" dxfId="6443" priority="6417">
      <formula>LEN(TRIM(M57))=0</formula>
    </cfRule>
  </conditionalFormatting>
  <conditionalFormatting sqref="O50:Q50">
    <cfRule type="containsBlanks" dxfId="6442" priority="6416">
      <formula>LEN(TRIM(O50))=0</formula>
    </cfRule>
  </conditionalFormatting>
  <conditionalFormatting sqref="O52:Q52">
    <cfRule type="containsBlanks" dxfId="6441" priority="6415">
      <formula>LEN(TRIM(O52))=0</formula>
    </cfRule>
  </conditionalFormatting>
  <conditionalFormatting sqref="O54:Q54">
    <cfRule type="containsBlanks" dxfId="6440" priority="6414">
      <formula>LEN(TRIM(O54))=0</formula>
    </cfRule>
  </conditionalFormatting>
  <conditionalFormatting sqref="O67:Q67">
    <cfRule type="containsBlanks" dxfId="6439" priority="6413">
      <formula>LEN(TRIM(O67))=0</formula>
    </cfRule>
  </conditionalFormatting>
  <conditionalFormatting sqref="O68:Q68">
    <cfRule type="containsBlanks" dxfId="6438" priority="6412">
      <formula>LEN(TRIM(O68))=0</formula>
    </cfRule>
  </conditionalFormatting>
  <conditionalFormatting sqref="O70:Q70">
    <cfRule type="containsBlanks" dxfId="6437" priority="6411">
      <formula>LEN(TRIM(O70))=0</formula>
    </cfRule>
  </conditionalFormatting>
  <conditionalFormatting sqref="N66:T66">
    <cfRule type="containsBlanks" dxfId="6436" priority="6410">
      <formula>LEN(TRIM(N66))=0</formula>
    </cfRule>
  </conditionalFormatting>
  <conditionalFormatting sqref="M83:S83">
    <cfRule type="containsBlanks" dxfId="6435" priority="6409">
      <formula>LEN(TRIM(M83))=0</formula>
    </cfRule>
  </conditionalFormatting>
  <conditionalFormatting sqref="N86:T86">
    <cfRule type="containsBlanks" dxfId="6434" priority="6408">
      <formula>LEN(TRIM(N86))=0</formula>
    </cfRule>
  </conditionalFormatting>
  <conditionalFormatting sqref="O88:Q88">
    <cfRule type="containsBlanks" dxfId="6433" priority="6407">
      <formula>LEN(TRIM(O88))=0</formula>
    </cfRule>
  </conditionalFormatting>
  <conditionalFormatting sqref="M90:T90">
    <cfRule type="containsBlanks" dxfId="6432" priority="6406">
      <formula>LEN(TRIM(M90))=0</formula>
    </cfRule>
  </conditionalFormatting>
  <conditionalFormatting sqref="M96:T96">
    <cfRule type="containsBlanks" dxfId="6431" priority="6405">
      <formula>LEN(TRIM(M96))=0</formula>
    </cfRule>
  </conditionalFormatting>
  <conditionalFormatting sqref="O97:S97">
    <cfRule type="containsBlanks" dxfId="6430" priority="6404">
      <formula>LEN(TRIM(O97))=0</formula>
    </cfRule>
  </conditionalFormatting>
  <conditionalFormatting sqref="M97:N97">
    <cfRule type="containsBlanks" dxfId="6429" priority="6403">
      <formula>LEN(TRIM(M97))=0</formula>
    </cfRule>
  </conditionalFormatting>
  <conditionalFormatting sqref="M60:T60">
    <cfRule type="containsBlanks" dxfId="6428" priority="6402">
      <formula>LEN(TRIM(M60))=0</formula>
    </cfRule>
  </conditionalFormatting>
  <conditionalFormatting sqref="M61:S61">
    <cfRule type="containsBlanks" dxfId="6427" priority="6401">
      <formula>LEN(TRIM(M61))=0</formula>
    </cfRule>
  </conditionalFormatting>
  <conditionalFormatting sqref="O58:Q58">
    <cfRule type="containsBlanks" dxfId="6426" priority="6400">
      <formula>LEN(TRIM(O58))=0</formula>
    </cfRule>
  </conditionalFormatting>
  <conditionalFormatting sqref="O59:Q59">
    <cfRule type="containsBlanks" dxfId="6425" priority="6399">
      <formula>LEN(TRIM(O59))=0</formula>
    </cfRule>
  </conditionalFormatting>
  <conditionalFormatting sqref="O61:Q61">
    <cfRule type="containsBlanks" dxfId="6424" priority="6398">
      <formula>LEN(TRIM(O61))=0</formula>
    </cfRule>
  </conditionalFormatting>
  <conditionalFormatting sqref="N57:T57">
    <cfRule type="containsBlanks" dxfId="6423" priority="6397">
      <formula>LEN(TRIM(N57))=0</formula>
    </cfRule>
  </conditionalFormatting>
  <conditionalFormatting sqref="M74:S74">
    <cfRule type="containsBlanks" dxfId="6422" priority="6396">
      <formula>LEN(TRIM(M74))=0</formula>
    </cfRule>
  </conditionalFormatting>
  <conditionalFormatting sqref="N77:T77">
    <cfRule type="containsBlanks" dxfId="6421" priority="6395">
      <formula>LEN(TRIM(N77))=0</formula>
    </cfRule>
  </conditionalFormatting>
  <conditionalFormatting sqref="O79:Q79">
    <cfRule type="containsBlanks" dxfId="6420" priority="6394">
      <formula>LEN(TRIM(O79))=0</formula>
    </cfRule>
  </conditionalFormatting>
  <conditionalFormatting sqref="M81:T81">
    <cfRule type="containsBlanks" dxfId="6419" priority="6393">
      <formula>LEN(TRIM(M81))=0</formula>
    </cfRule>
  </conditionalFormatting>
  <conditionalFormatting sqref="M87:T87">
    <cfRule type="containsBlanks" dxfId="6418" priority="6392">
      <formula>LEN(TRIM(M87))=0</formula>
    </cfRule>
  </conditionalFormatting>
  <conditionalFormatting sqref="O88:S88">
    <cfRule type="containsBlanks" dxfId="6417" priority="6391">
      <formula>LEN(TRIM(O88))=0</formula>
    </cfRule>
  </conditionalFormatting>
  <conditionalFormatting sqref="M88:N88">
    <cfRule type="containsBlanks" dxfId="6416" priority="6390">
      <formula>LEN(TRIM(M88))=0</formula>
    </cfRule>
  </conditionalFormatting>
  <conditionalFormatting sqref="M51:T51">
    <cfRule type="containsBlanks" dxfId="6415" priority="6389">
      <formula>LEN(TRIM(M51))=0</formula>
    </cfRule>
  </conditionalFormatting>
  <conditionalFormatting sqref="M52:S52">
    <cfRule type="containsBlanks" dxfId="6414" priority="6388">
      <formula>LEN(TRIM(M52))=0</formula>
    </cfRule>
  </conditionalFormatting>
  <conditionalFormatting sqref="M18:N18">
    <cfRule type="containsBlanks" dxfId="6413" priority="6387">
      <formula>LEN(TRIM(M18))=0</formula>
    </cfRule>
  </conditionalFormatting>
  <conditionalFormatting sqref="O46:Q46">
    <cfRule type="containsBlanks" dxfId="6412" priority="6386">
      <formula>LEN(TRIM(O46))=0</formula>
    </cfRule>
  </conditionalFormatting>
  <conditionalFormatting sqref="O53:Q53">
    <cfRule type="containsBlanks" dxfId="6411" priority="6385">
      <formula>LEN(TRIM(O53))=0</formula>
    </cfRule>
  </conditionalFormatting>
  <conditionalFormatting sqref="O50:Q50">
    <cfRule type="containsBlanks" dxfId="6410" priority="6384">
      <formula>LEN(TRIM(O50))=0</formula>
    </cfRule>
  </conditionalFormatting>
  <conditionalFormatting sqref="O51:Q51">
    <cfRule type="containsBlanks" dxfId="6409" priority="6383">
      <formula>LEN(TRIM(O51))=0</formula>
    </cfRule>
  </conditionalFormatting>
  <conditionalFormatting sqref="O55:Q55">
    <cfRule type="containsBlanks" dxfId="6408" priority="6382">
      <formula>LEN(TRIM(O55))=0</formula>
    </cfRule>
  </conditionalFormatting>
  <conditionalFormatting sqref="O57:Q57">
    <cfRule type="containsBlanks" dxfId="6407" priority="6381">
      <formula>LEN(TRIM(O57))=0</formula>
    </cfRule>
  </conditionalFormatting>
  <conditionalFormatting sqref="O59:Q59">
    <cfRule type="containsBlanks" dxfId="6406" priority="6380">
      <formula>LEN(TRIM(O59))=0</formula>
    </cfRule>
  </conditionalFormatting>
  <conditionalFormatting sqref="O72:Q72">
    <cfRule type="containsBlanks" dxfId="6405" priority="6379">
      <formula>LEN(TRIM(O72))=0</formula>
    </cfRule>
  </conditionalFormatting>
  <conditionalFormatting sqref="O73:Q73">
    <cfRule type="containsBlanks" dxfId="6404" priority="6378">
      <formula>LEN(TRIM(O73))=0</formula>
    </cfRule>
  </conditionalFormatting>
  <conditionalFormatting sqref="O75:Q75">
    <cfRule type="containsBlanks" dxfId="6403" priority="6377">
      <formula>LEN(TRIM(O75))=0</formula>
    </cfRule>
  </conditionalFormatting>
  <conditionalFormatting sqref="N71:T71">
    <cfRule type="containsBlanks" dxfId="6402" priority="6376">
      <formula>LEN(TRIM(N71))=0</formula>
    </cfRule>
  </conditionalFormatting>
  <conditionalFormatting sqref="M88:S88">
    <cfRule type="containsBlanks" dxfId="6401" priority="6375">
      <formula>LEN(TRIM(M88))=0</formula>
    </cfRule>
  </conditionalFormatting>
  <conditionalFormatting sqref="N91:T91">
    <cfRule type="containsBlanks" dxfId="6400" priority="6374">
      <formula>LEN(TRIM(N91))=0</formula>
    </cfRule>
  </conditionalFormatting>
  <conditionalFormatting sqref="O93:Q93">
    <cfRule type="containsBlanks" dxfId="6399" priority="6373">
      <formula>LEN(TRIM(O93))=0</formula>
    </cfRule>
  </conditionalFormatting>
  <conditionalFormatting sqref="M95:T95">
    <cfRule type="containsBlanks" dxfId="6398" priority="6372">
      <formula>LEN(TRIM(M95))=0</formula>
    </cfRule>
  </conditionalFormatting>
  <conditionalFormatting sqref="M101:T101">
    <cfRule type="containsBlanks" dxfId="6397" priority="6371">
      <formula>LEN(TRIM(M101))=0</formula>
    </cfRule>
  </conditionalFormatting>
  <conditionalFormatting sqref="O102:S102">
    <cfRule type="containsBlanks" dxfId="6396" priority="6370">
      <formula>LEN(TRIM(O102))=0</formula>
    </cfRule>
  </conditionalFormatting>
  <conditionalFormatting sqref="M102:N102">
    <cfRule type="containsBlanks" dxfId="6395" priority="6369">
      <formula>LEN(TRIM(M102))=0</formula>
    </cfRule>
  </conditionalFormatting>
  <conditionalFormatting sqref="M65:T65">
    <cfRule type="containsBlanks" dxfId="6394" priority="6368">
      <formula>LEN(TRIM(M65))=0</formula>
    </cfRule>
  </conditionalFormatting>
  <conditionalFormatting sqref="M66:S66">
    <cfRule type="containsBlanks" dxfId="6393" priority="6367">
      <formula>LEN(TRIM(M66))=0</formula>
    </cfRule>
  </conditionalFormatting>
  <conditionalFormatting sqref="O37:Q37">
    <cfRule type="containsBlanks" dxfId="6392" priority="6366">
      <formula>LEN(TRIM(O37))=0</formula>
    </cfRule>
  </conditionalFormatting>
  <conditionalFormatting sqref="O44:Q44">
    <cfRule type="containsBlanks" dxfId="6391" priority="6365">
      <formula>LEN(TRIM(O44))=0</formula>
    </cfRule>
  </conditionalFormatting>
  <conditionalFormatting sqref="O41:Q41">
    <cfRule type="containsBlanks" dxfId="6390" priority="6364">
      <formula>LEN(TRIM(O41))=0</formula>
    </cfRule>
  </conditionalFormatting>
  <conditionalFormatting sqref="O42:Q42">
    <cfRule type="containsBlanks" dxfId="6389" priority="6363">
      <formula>LEN(TRIM(O42))=0</formula>
    </cfRule>
  </conditionalFormatting>
  <conditionalFormatting sqref="O46:Q46">
    <cfRule type="containsBlanks" dxfId="6388" priority="6362">
      <formula>LEN(TRIM(O46))=0</formula>
    </cfRule>
  </conditionalFormatting>
  <conditionalFormatting sqref="O48:Q48">
    <cfRule type="containsBlanks" dxfId="6387" priority="6361">
      <formula>LEN(TRIM(O48))=0</formula>
    </cfRule>
  </conditionalFormatting>
  <conditionalFormatting sqref="O50:Q50">
    <cfRule type="containsBlanks" dxfId="6386" priority="6360">
      <formula>LEN(TRIM(O50))=0</formula>
    </cfRule>
  </conditionalFormatting>
  <conditionalFormatting sqref="O63:Q63">
    <cfRule type="containsBlanks" dxfId="6385" priority="6359">
      <formula>LEN(TRIM(O63))=0</formula>
    </cfRule>
  </conditionalFormatting>
  <conditionalFormatting sqref="O64:Q64">
    <cfRule type="containsBlanks" dxfId="6384" priority="6358">
      <formula>LEN(TRIM(O64))=0</formula>
    </cfRule>
  </conditionalFormatting>
  <conditionalFormatting sqref="O66:Q66">
    <cfRule type="containsBlanks" dxfId="6383" priority="6357">
      <formula>LEN(TRIM(O66))=0</formula>
    </cfRule>
  </conditionalFormatting>
  <conditionalFormatting sqref="N62:T62">
    <cfRule type="containsBlanks" dxfId="6382" priority="6356">
      <formula>LEN(TRIM(N62))=0</formula>
    </cfRule>
  </conditionalFormatting>
  <conditionalFormatting sqref="M79:S79">
    <cfRule type="containsBlanks" dxfId="6381" priority="6355">
      <formula>LEN(TRIM(M79))=0</formula>
    </cfRule>
  </conditionalFormatting>
  <conditionalFormatting sqref="N82:T82">
    <cfRule type="containsBlanks" dxfId="6380" priority="6354">
      <formula>LEN(TRIM(N82))=0</formula>
    </cfRule>
  </conditionalFormatting>
  <conditionalFormatting sqref="O84:Q84">
    <cfRule type="containsBlanks" dxfId="6379" priority="6353">
      <formula>LEN(TRIM(O84))=0</formula>
    </cfRule>
  </conditionalFormatting>
  <conditionalFormatting sqref="M86:T86">
    <cfRule type="containsBlanks" dxfId="6378" priority="6352">
      <formula>LEN(TRIM(M86))=0</formula>
    </cfRule>
  </conditionalFormatting>
  <conditionalFormatting sqref="M92:T92">
    <cfRule type="containsBlanks" dxfId="6377" priority="6351">
      <formula>LEN(TRIM(M92))=0</formula>
    </cfRule>
  </conditionalFormatting>
  <conditionalFormatting sqref="O93:S93">
    <cfRule type="containsBlanks" dxfId="6376" priority="6350">
      <formula>LEN(TRIM(O93))=0</formula>
    </cfRule>
  </conditionalFormatting>
  <conditionalFormatting sqref="M93:N93">
    <cfRule type="containsBlanks" dxfId="6375" priority="6349">
      <formula>LEN(TRIM(M93))=0</formula>
    </cfRule>
  </conditionalFormatting>
  <conditionalFormatting sqref="M56:T56">
    <cfRule type="containsBlanks" dxfId="6374" priority="6348">
      <formula>LEN(TRIM(M56))=0</formula>
    </cfRule>
  </conditionalFormatting>
  <conditionalFormatting sqref="M57:S57">
    <cfRule type="containsBlanks" dxfId="6373" priority="6347">
      <formula>LEN(TRIM(M57))=0</formula>
    </cfRule>
  </conditionalFormatting>
  <conditionalFormatting sqref="O41:Q41">
    <cfRule type="containsBlanks" dxfId="6372" priority="6346">
      <formula>LEN(TRIM(O41))=0</formula>
    </cfRule>
  </conditionalFormatting>
  <conditionalFormatting sqref="O48:Q48">
    <cfRule type="containsBlanks" dxfId="6371" priority="6345">
      <formula>LEN(TRIM(O48))=0</formula>
    </cfRule>
  </conditionalFormatting>
  <conditionalFormatting sqref="O45:Q45">
    <cfRule type="containsBlanks" dxfId="6370" priority="6344">
      <formula>LEN(TRIM(O45))=0</formula>
    </cfRule>
  </conditionalFormatting>
  <conditionalFormatting sqref="O46:Q46">
    <cfRule type="containsBlanks" dxfId="6369" priority="6343">
      <formula>LEN(TRIM(O46))=0</formula>
    </cfRule>
  </conditionalFormatting>
  <conditionalFormatting sqref="O50:Q50">
    <cfRule type="containsBlanks" dxfId="6368" priority="6342">
      <formula>LEN(TRIM(O50))=0</formula>
    </cfRule>
  </conditionalFormatting>
  <conditionalFormatting sqref="O52:Q52">
    <cfRule type="containsBlanks" dxfId="6367" priority="6341">
      <formula>LEN(TRIM(O52))=0</formula>
    </cfRule>
  </conditionalFormatting>
  <conditionalFormatting sqref="O54:Q54">
    <cfRule type="containsBlanks" dxfId="6366" priority="6340">
      <formula>LEN(TRIM(O54))=0</formula>
    </cfRule>
  </conditionalFormatting>
  <conditionalFormatting sqref="O67:Q67">
    <cfRule type="containsBlanks" dxfId="6365" priority="6339">
      <formula>LEN(TRIM(O67))=0</formula>
    </cfRule>
  </conditionalFormatting>
  <conditionalFormatting sqref="O68:Q68">
    <cfRule type="containsBlanks" dxfId="6364" priority="6338">
      <formula>LEN(TRIM(O68))=0</formula>
    </cfRule>
  </conditionalFormatting>
  <conditionalFormatting sqref="O70:Q70">
    <cfRule type="containsBlanks" dxfId="6363" priority="6337">
      <formula>LEN(TRIM(O70))=0</formula>
    </cfRule>
  </conditionalFormatting>
  <conditionalFormatting sqref="N66:T66">
    <cfRule type="containsBlanks" dxfId="6362" priority="6336">
      <formula>LEN(TRIM(N66))=0</formula>
    </cfRule>
  </conditionalFormatting>
  <conditionalFormatting sqref="M83:S83">
    <cfRule type="containsBlanks" dxfId="6361" priority="6335">
      <formula>LEN(TRIM(M83))=0</formula>
    </cfRule>
  </conditionalFormatting>
  <conditionalFormatting sqref="N86:T86">
    <cfRule type="containsBlanks" dxfId="6360" priority="6334">
      <formula>LEN(TRIM(N86))=0</formula>
    </cfRule>
  </conditionalFormatting>
  <conditionalFormatting sqref="O88:Q88">
    <cfRule type="containsBlanks" dxfId="6359" priority="6333">
      <formula>LEN(TRIM(O88))=0</formula>
    </cfRule>
  </conditionalFormatting>
  <conditionalFormatting sqref="M90:T90">
    <cfRule type="containsBlanks" dxfId="6358" priority="6332">
      <formula>LEN(TRIM(M90))=0</formula>
    </cfRule>
  </conditionalFormatting>
  <conditionalFormatting sqref="M96:T96">
    <cfRule type="containsBlanks" dxfId="6357" priority="6331">
      <formula>LEN(TRIM(M96))=0</formula>
    </cfRule>
  </conditionalFormatting>
  <conditionalFormatting sqref="O97:S97">
    <cfRule type="containsBlanks" dxfId="6356" priority="6330">
      <formula>LEN(TRIM(O97))=0</formula>
    </cfRule>
  </conditionalFormatting>
  <conditionalFormatting sqref="M97:N97">
    <cfRule type="containsBlanks" dxfId="6355" priority="6329">
      <formula>LEN(TRIM(M97))=0</formula>
    </cfRule>
  </conditionalFormatting>
  <conditionalFormatting sqref="M60:T60">
    <cfRule type="containsBlanks" dxfId="6354" priority="6328">
      <formula>LEN(TRIM(M60))=0</formula>
    </cfRule>
  </conditionalFormatting>
  <conditionalFormatting sqref="M61:S61">
    <cfRule type="containsBlanks" dxfId="6353" priority="6327">
      <formula>LEN(TRIM(M61))=0</formula>
    </cfRule>
  </conditionalFormatting>
  <conditionalFormatting sqref="O32:Q32">
    <cfRule type="containsBlanks" dxfId="6352" priority="6326">
      <formula>LEN(TRIM(O32))=0</formula>
    </cfRule>
  </conditionalFormatting>
  <conditionalFormatting sqref="O39:Q39">
    <cfRule type="containsBlanks" dxfId="6351" priority="6325">
      <formula>LEN(TRIM(O39))=0</formula>
    </cfRule>
  </conditionalFormatting>
  <conditionalFormatting sqref="O36:Q36">
    <cfRule type="containsBlanks" dxfId="6350" priority="6324">
      <formula>LEN(TRIM(O36))=0</formula>
    </cfRule>
  </conditionalFormatting>
  <conditionalFormatting sqref="O37:Q37">
    <cfRule type="containsBlanks" dxfId="6349" priority="6323">
      <formula>LEN(TRIM(O37))=0</formula>
    </cfRule>
  </conditionalFormatting>
  <conditionalFormatting sqref="O41:Q41">
    <cfRule type="containsBlanks" dxfId="6348" priority="6322">
      <formula>LEN(TRIM(O41))=0</formula>
    </cfRule>
  </conditionalFormatting>
  <conditionalFormatting sqref="O43:Q43">
    <cfRule type="containsBlanks" dxfId="6347" priority="6321">
      <formula>LEN(TRIM(O43))=0</formula>
    </cfRule>
  </conditionalFormatting>
  <conditionalFormatting sqref="O45:Q45">
    <cfRule type="containsBlanks" dxfId="6346" priority="6320">
      <formula>LEN(TRIM(O45))=0</formula>
    </cfRule>
  </conditionalFormatting>
  <conditionalFormatting sqref="O58:Q58">
    <cfRule type="containsBlanks" dxfId="6345" priority="6319">
      <formula>LEN(TRIM(O58))=0</formula>
    </cfRule>
  </conditionalFormatting>
  <conditionalFormatting sqref="O59:Q59">
    <cfRule type="containsBlanks" dxfId="6344" priority="6318">
      <formula>LEN(TRIM(O59))=0</formula>
    </cfRule>
  </conditionalFormatting>
  <conditionalFormatting sqref="O61:Q61">
    <cfRule type="containsBlanks" dxfId="6343" priority="6317">
      <formula>LEN(TRIM(O61))=0</formula>
    </cfRule>
  </conditionalFormatting>
  <conditionalFormatting sqref="N57:T57">
    <cfRule type="containsBlanks" dxfId="6342" priority="6316">
      <formula>LEN(TRIM(N57))=0</formula>
    </cfRule>
  </conditionalFormatting>
  <conditionalFormatting sqref="M74:S74">
    <cfRule type="containsBlanks" dxfId="6341" priority="6315">
      <formula>LEN(TRIM(M74))=0</formula>
    </cfRule>
  </conditionalFormatting>
  <conditionalFormatting sqref="N77:T77">
    <cfRule type="containsBlanks" dxfId="6340" priority="6314">
      <formula>LEN(TRIM(N77))=0</formula>
    </cfRule>
  </conditionalFormatting>
  <conditionalFormatting sqref="O79:Q79">
    <cfRule type="containsBlanks" dxfId="6339" priority="6313">
      <formula>LEN(TRIM(O79))=0</formula>
    </cfRule>
  </conditionalFormatting>
  <conditionalFormatting sqref="M81:T81">
    <cfRule type="containsBlanks" dxfId="6338" priority="6312">
      <formula>LEN(TRIM(M81))=0</formula>
    </cfRule>
  </conditionalFormatting>
  <conditionalFormatting sqref="M87:T87">
    <cfRule type="containsBlanks" dxfId="6337" priority="6311">
      <formula>LEN(TRIM(M87))=0</formula>
    </cfRule>
  </conditionalFormatting>
  <conditionalFormatting sqref="O88:S88">
    <cfRule type="containsBlanks" dxfId="6336" priority="6310">
      <formula>LEN(TRIM(O88))=0</formula>
    </cfRule>
  </conditionalFormatting>
  <conditionalFormatting sqref="M88:N88">
    <cfRule type="containsBlanks" dxfId="6335" priority="6309">
      <formula>LEN(TRIM(M88))=0</formula>
    </cfRule>
  </conditionalFormatting>
  <conditionalFormatting sqref="M51:T51">
    <cfRule type="containsBlanks" dxfId="6334" priority="6308">
      <formula>LEN(TRIM(M51))=0</formula>
    </cfRule>
  </conditionalFormatting>
  <conditionalFormatting sqref="M52:S52">
    <cfRule type="containsBlanks" dxfId="6333" priority="6307">
      <formula>LEN(TRIM(M52))=0</formula>
    </cfRule>
  </conditionalFormatting>
  <conditionalFormatting sqref="O50:Q50">
    <cfRule type="containsBlanks" dxfId="6332" priority="6306">
      <formula>LEN(TRIM(O50))=0</formula>
    </cfRule>
  </conditionalFormatting>
  <conditionalFormatting sqref="O47:Q47">
    <cfRule type="containsBlanks" dxfId="6331" priority="6305">
      <formula>LEN(TRIM(O47))=0</formula>
    </cfRule>
  </conditionalFormatting>
  <conditionalFormatting sqref="O48:Q48">
    <cfRule type="containsBlanks" dxfId="6330" priority="6304">
      <formula>LEN(TRIM(O48))=0</formula>
    </cfRule>
  </conditionalFormatting>
  <conditionalFormatting sqref="O52:Q52">
    <cfRule type="containsBlanks" dxfId="6329" priority="6303">
      <formula>LEN(TRIM(O52))=0</formula>
    </cfRule>
  </conditionalFormatting>
  <conditionalFormatting sqref="O54:Q54">
    <cfRule type="containsBlanks" dxfId="6328" priority="6302">
      <formula>LEN(TRIM(O54))=0</formula>
    </cfRule>
  </conditionalFormatting>
  <conditionalFormatting sqref="O56:Q56">
    <cfRule type="containsBlanks" dxfId="6327" priority="6301">
      <formula>LEN(TRIM(O56))=0</formula>
    </cfRule>
  </conditionalFormatting>
  <conditionalFormatting sqref="O69:Q69">
    <cfRule type="containsBlanks" dxfId="6326" priority="6300">
      <formula>LEN(TRIM(O69))=0</formula>
    </cfRule>
  </conditionalFormatting>
  <conditionalFormatting sqref="O70:Q70">
    <cfRule type="containsBlanks" dxfId="6325" priority="6299">
      <formula>LEN(TRIM(O70))=0</formula>
    </cfRule>
  </conditionalFormatting>
  <conditionalFormatting sqref="O72:Q72">
    <cfRule type="containsBlanks" dxfId="6324" priority="6298">
      <formula>LEN(TRIM(O72))=0</formula>
    </cfRule>
  </conditionalFormatting>
  <conditionalFormatting sqref="N68:T68">
    <cfRule type="containsBlanks" dxfId="6323" priority="6297">
      <formula>LEN(TRIM(N68))=0</formula>
    </cfRule>
  </conditionalFormatting>
  <conditionalFormatting sqref="M85:S85">
    <cfRule type="containsBlanks" dxfId="6322" priority="6296">
      <formula>LEN(TRIM(M85))=0</formula>
    </cfRule>
  </conditionalFormatting>
  <conditionalFormatting sqref="N88:T88">
    <cfRule type="containsBlanks" dxfId="6321" priority="6295">
      <formula>LEN(TRIM(N88))=0</formula>
    </cfRule>
  </conditionalFormatting>
  <conditionalFormatting sqref="O90:Q90">
    <cfRule type="containsBlanks" dxfId="6320" priority="6294">
      <formula>LEN(TRIM(O90))=0</formula>
    </cfRule>
  </conditionalFormatting>
  <conditionalFormatting sqref="M92:T92">
    <cfRule type="containsBlanks" dxfId="6319" priority="6293">
      <formula>LEN(TRIM(M92))=0</formula>
    </cfRule>
  </conditionalFormatting>
  <conditionalFormatting sqref="M98:T98">
    <cfRule type="containsBlanks" dxfId="6318" priority="6292">
      <formula>LEN(TRIM(M98))=0</formula>
    </cfRule>
  </conditionalFormatting>
  <conditionalFormatting sqref="M62:T62">
    <cfRule type="containsBlanks" dxfId="6317" priority="6289">
      <formula>LEN(TRIM(M62))=0</formula>
    </cfRule>
  </conditionalFormatting>
  <conditionalFormatting sqref="M63:S63">
    <cfRule type="containsBlanks" dxfId="6316" priority="6288">
      <formula>LEN(TRIM(M63))=0</formula>
    </cfRule>
  </conditionalFormatting>
  <conditionalFormatting sqref="O47:Q47">
    <cfRule type="containsBlanks" dxfId="6315" priority="6287">
      <formula>LEN(TRIM(O47))=0</formula>
    </cfRule>
  </conditionalFormatting>
  <conditionalFormatting sqref="O60:Q60">
    <cfRule type="containsBlanks" dxfId="6314" priority="6286">
      <formula>LEN(TRIM(O60))=0</formula>
    </cfRule>
  </conditionalFormatting>
  <conditionalFormatting sqref="O61:Q61">
    <cfRule type="containsBlanks" dxfId="6313" priority="6285">
      <formula>LEN(TRIM(O61))=0</formula>
    </cfRule>
  </conditionalFormatting>
  <conditionalFormatting sqref="O63:Q63">
    <cfRule type="containsBlanks" dxfId="6312" priority="6284">
      <formula>LEN(TRIM(O63))=0</formula>
    </cfRule>
  </conditionalFormatting>
  <conditionalFormatting sqref="N59:T59">
    <cfRule type="containsBlanks" dxfId="6311" priority="6283">
      <formula>LEN(TRIM(N59))=0</formula>
    </cfRule>
  </conditionalFormatting>
  <conditionalFormatting sqref="M76:S76">
    <cfRule type="containsBlanks" dxfId="6310" priority="6282">
      <formula>LEN(TRIM(M76))=0</formula>
    </cfRule>
  </conditionalFormatting>
  <conditionalFormatting sqref="N79:T79">
    <cfRule type="containsBlanks" dxfId="6309" priority="6281">
      <formula>LEN(TRIM(N79))=0</formula>
    </cfRule>
  </conditionalFormatting>
  <conditionalFormatting sqref="O81:Q81">
    <cfRule type="containsBlanks" dxfId="6308" priority="6280">
      <formula>LEN(TRIM(O81))=0</formula>
    </cfRule>
  </conditionalFormatting>
  <conditionalFormatting sqref="M83:T83">
    <cfRule type="containsBlanks" dxfId="6307" priority="6279">
      <formula>LEN(TRIM(M83))=0</formula>
    </cfRule>
  </conditionalFormatting>
  <conditionalFormatting sqref="M89:T89">
    <cfRule type="containsBlanks" dxfId="6306" priority="6278">
      <formula>LEN(TRIM(M89))=0</formula>
    </cfRule>
  </conditionalFormatting>
  <conditionalFormatting sqref="O90:S90">
    <cfRule type="containsBlanks" dxfId="6305" priority="6277">
      <formula>LEN(TRIM(O90))=0</formula>
    </cfRule>
  </conditionalFormatting>
  <conditionalFormatting sqref="M90:N90">
    <cfRule type="containsBlanks" dxfId="6304" priority="6276">
      <formula>LEN(TRIM(M90))=0</formula>
    </cfRule>
  </conditionalFormatting>
  <conditionalFormatting sqref="M53:T53">
    <cfRule type="containsBlanks" dxfId="6303" priority="6275">
      <formula>LEN(TRIM(M53))=0</formula>
    </cfRule>
  </conditionalFormatting>
  <conditionalFormatting sqref="M54:S54">
    <cfRule type="containsBlanks" dxfId="6302" priority="6274">
      <formula>LEN(TRIM(M54))=0</formula>
    </cfRule>
  </conditionalFormatting>
  <conditionalFormatting sqref="O47:Q47">
    <cfRule type="containsBlanks" dxfId="6301" priority="6273">
      <formula>LEN(TRIM(O47))=0</formula>
    </cfRule>
  </conditionalFormatting>
  <conditionalFormatting sqref="O49:Q49">
    <cfRule type="containsBlanks" dxfId="6300" priority="6272">
      <formula>LEN(TRIM(O49))=0</formula>
    </cfRule>
  </conditionalFormatting>
  <conditionalFormatting sqref="O51:Q51">
    <cfRule type="containsBlanks" dxfId="6299" priority="6271">
      <formula>LEN(TRIM(O51))=0</formula>
    </cfRule>
  </conditionalFormatting>
  <conditionalFormatting sqref="O64:Q64">
    <cfRule type="containsBlanks" dxfId="6298" priority="6270">
      <formula>LEN(TRIM(O64))=0</formula>
    </cfRule>
  </conditionalFormatting>
  <conditionalFormatting sqref="O65:Q65">
    <cfRule type="containsBlanks" dxfId="6297" priority="6269">
      <formula>LEN(TRIM(O65))=0</formula>
    </cfRule>
  </conditionalFormatting>
  <conditionalFormatting sqref="O67:Q67">
    <cfRule type="containsBlanks" dxfId="6296" priority="6268">
      <formula>LEN(TRIM(O67))=0</formula>
    </cfRule>
  </conditionalFormatting>
  <conditionalFormatting sqref="N63:T63">
    <cfRule type="containsBlanks" dxfId="6295" priority="6267">
      <formula>LEN(TRIM(N63))=0</formula>
    </cfRule>
  </conditionalFormatting>
  <conditionalFormatting sqref="M80:S80">
    <cfRule type="containsBlanks" dxfId="6294" priority="6266">
      <formula>LEN(TRIM(M80))=0</formula>
    </cfRule>
  </conditionalFormatting>
  <conditionalFormatting sqref="N83:T83">
    <cfRule type="containsBlanks" dxfId="6293" priority="6265">
      <formula>LEN(TRIM(N83))=0</formula>
    </cfRule>
  </conditionalFormatting>
  <conditionalFormatting sqref="O85:Q85">
    <cfRule type="containsBlanks" dxfId="6292" priority="6264">
      <formula>LEN(TRIM(O85))=0</formula>
    </cfRule>
  </conditionalFormatting>
  <conditionalFormatting sqref="M87:T87">
    <cfRule type="containsBlanks" dxfId="6291" priority="6263">
      <formula>LEN(TRIM(M87))=0</formula>
    </cfRule>
  </conditionalFormatting>
  <conditionalFormatting sqref="M93:T93">
    <cfRule type="containsBlanks" dxfId="6290" priority="6262">
      <formula>LEN(TRIM(M93))=0</formula>
    </cfRule>
  </conditionalFormatting>
  <conditionalFormatting sqref="O94:S94">
    <cfRule type="containsBlanks" dxfId="6289" priority="6261">
      <formula>LEN(TRIM(O94))=0</formula>
    </cfRule>
  </conditionalFormatting>
  <conditionalFormatting sqref="M94:N94">
    <cfRule type="containsBlanks" dxfId="6288" priority="6260">
      <formula>LEN(TRIM(M94))=0</formula>
    </cfRule>
  </conditionalFormatting>
  <conditionalFormatting sqref="M57:T57">
    <cfRule type="containsBlanks" dxfId="6287" priority="6259">
      <formula>LEN(TRIM(M57))=0</formula>
    </cfRule>
  </conditionalFormatting>
  <conditionalFormatting sqref="M58:S58">
    <cfRule type="containsBlanks" dxfId="6286" priority="6258">
      <formula>LEN(TRIM(M58))=0</formula>
    </cfRule>
  </conditionalFormatting>
  <conditionalFormatting sqref="O55:Q55">
    <cfRule type="containsBlanks" dxfId="6285" priority="6257">
      <formula>LEN(TRIM(O55))=0</formula>
    </cfRule>
  </conditionalFormatting>
  <conditionalFormatting sqref="O56:Q56">
    <cfRule type="containsBlanks" dxfId="6284" priority="6256">
      <formula>LEN(TRIM(O56))=0</formula>
    </cfRule>
  </conditionalFormatting>
  <conditionalFormatting sqref="O58:Q58">
    <cfRule type="containsBlanks" dxfId="6283" priority="6255">
      <formula>LEN(TRIM(O58))=0</formula>
    </cfRule>
  </conditionalFormatting>
  <conditionalFormatting sqref="N54:T54">
    <cfRule type="containsBlanks" dxfId="6282" priority="6254">
      <formula>LEN(TRIM(N54))=0</formula>
    </cfRule>
  </conditionalFormatting>
  <conditionalFormatting sqref="M71:S71">
    <cfRule type="containsBlanks" dxfId="6281" priority="6253">
      <formula>LEN(TRIM(M71))=0</formula>
    </cfRule>
  </conditionalFormatting>
  <conditionalFormatting sqref="N74:T74">
    <cfRule type="containsBlanks" dxfId="6280" priority="6252">
      <formula>LEN(TRIM(N74))=0</formula>
    </cfRule>
  </conditionalFormatting>
  <conditionalFormatting sqref="O76:Q76">
    <cfRule type="containsBlanks" dxfId="6279" priority="6251">
      <formula>LEN(TRIM(O76))=0</formula>
    </cfRule>
  </conditionalFormatting>
  <conditionalFormatting sqref="M78:T78">
    <cfRule type="containsBlanks" dxfId="6278" priority="6250">
      <formula>LEN(TRIM(M78))=0</formula>
    </cfRule>
  </conditionalFormatting>
  <conditionalFormatting sqref="M84:T84">
    <cfRule type="containsBlanks" dxfId="6277" priority="6249">
      <formula>LEN(TRIM(M84))=0</formula>
    </cfRule>
  </conditionalFormatting>
  <conditionalFormatting sqref="O85:S85">
    <cfRule type="containsBlanks" dxfId="6276" priority="6248">
      <formula>LEN(TRIM(O85))=0</formula>
    </cfRule>
  </conditionalFormatting>
  <conditionalFormatting sqref="M85:N85">
    <cfRule type="containsBlanks" dxfId="6275" priority="6247">
      <formula>LEN(TRIM(M85))=0</formula>
    </cfRule>
  </conditionalFormatting>
  <conditionalFormatting sqref="M48:T48">
    <cfRule type="containsBlanks" dxfId="6274" priority="6246">
      <formula>LEN(TRIM(M48))=0</formula>
    </cfRule>
  </conditionalFormatting>
  <conditionalFormatting sqref="M49:S49">
    <cfRule type="containsBlanks" dxfId="6273" priority="6245">
      <formula>LEN(TRIM(M49))=0</formula>
    </cfRule>
  </conditionalFormatting>
  <conditionalFormatting sqref="M21:N21">
    <cfRule type="containsBlanks" dxfId="6272" priority="6244">
      <formula>LEN(TRIM(M21))=0</formula>
    </cfRule>
  </conditionalFormatting>
  <conditionalFormatting sqref="O49:Q49">
    <cfRule type="containsBlanks" dxfId="6271" priority="6243">
      <formula>LEN(TRIM(O49))=0</formula>
    </cfRule>
  </conditionalFormatting>
  <conditionalFormatting sqref="O56:Q56">
    <cfRule type="containsBlanks" dxfId="6270" priority="6242">
      <formula>LEN(TRIM(O56))=0</formula>
    </cfRule>
  </conditionalFormatting>
  <conditionalFormatting sqref="O53:Q53">
    <cfRule type="containsBlanks" dxfId="6269" priority="6241">
      <formula>LEN(TRIM(O53))=0</formula>
    </cfRule>
  </conditionalFormatting>
  <conditionalFormatting sqref="O54:Q54">
    <cfRule type="containsBlanks" dxfId="6268" priority="6240">
      <formula>LEN(TRIM(O54))=0</formula>
    </cfRule>
  </conditionalFormatting>
  <conditionalFormatting sqref="O58:Q58">
    <cfRule type="containsBlanks" dxfId="6267" priority="6239">
      <formula>LEN(TRIM(O58))=0</formula>
    </cfRule>
  </conditionalFormatting>
  <conditionalFormatting sqref="O60:Q60">
    <cfRule type="containsBlanks" dxfId="6266" priority="6238">
      <formula>LEN(TRIM(O60))=0</formula>
    </cfRule>
  </conditionalFormatting>
  <conditionalFormatting sqref="O62:Q62">
    <cfRule type="containsBlanks" dxfId="6265" priority="6237">
      <formula>LEN(TRIM(O62))=0</formula>
    </cfRule>
  </conditionalFormatting>
  <conditionalFormatting sqref="O75:Q75">
    <cfRule type="containsBlanks" dxfId="6264" priority="6236">
      <formula>LEN(TRIM(O75))=0</formula>
    </cfRule>
  </conditionalFormatting>
  <conditionalFormatting sqref="O76:Q76">
    <cfRule type="containsBlanks" dxfId="6263" priority="6235">
      <formula>LEN(TRIM(O76))=0</formula>
    </cfRule>
  </conditionalFormatting>
  <conditionalFormatting sqref="O78:Q78">
    <cfRule type="containsBlanks" dxfId="6262" priority="6234">
      <formula>LEN(TRIM(O78))=0</formula>
    </cfRule>
  </conditionalFormatting>
  <conditionalFormatting sqref="N74:T74">
    <cfRule type="containsBlanks" dxfId="6261" priority="6233">
      <formula>LEN(TRIM(N74))=0</formula>
    </cfRule>
  </conditionalFormatting>
  <conditionalFormatting sqref="M91:S91">
    <cfRule type="containsBlanks" dxfId="6260" priority="6232">
      <formula>LEN(TRIM(M91))=0</formula>
    </cfRule>
  </conditionalFormatting>
  <conditionalFormatting sqref="N94:T94">
    <cfRule type="containsBlanks" dxfId="6259" priority="6231">
      <formula>LEN(TRIM(N94))=0</formula>
    </cfRule>
  </conditionalFormatting>
  <conditionalFormatting sqref="O96:Q96">
    <cfRule type="containsBlanks" dxfId="6258" priority="6230">
      <formula>LEN(TRIM(O96))=0</formula>
    </cfRule>
  </conditionalFormatting>
  <conditionalFormatting sqref="M98:T98">
    <cfRule type="containsBlanks" dxfId="6257" priority="6229">
      <formula>LEN(TRIM(M98))=0</formula>
    </cfRule>
  </conditionalFormatting>
  <conditionalFormatting sqref="M104:T104">
    <cfRule type="containsBlanks" dxfId="6256" priority="6228">
      <formula>LEN(TRIM(M104))=0</formula>
    </cfRule>
  </conditionalFormatting>
  <conditionalFormatting sqref="O105:S105">
    <cfRule type="containsBlanks" dxfId="6255" priority="6227">
      <formula>LEN(TRIM(O105))=0</formula>
    </cfRule>
  </conditionalFormatting>
  <conditionalFormatting sqref="M105:N105">
    <cfRule type="containsBlanks" dxfId="6254" priority="6226">
      <formula>LEN(TRIM(M105))=0</formula>
    </cfRule>
  </conditionalFormatting>
  <conditionalFormatting sqref="M68:T68">
    <cfRule type="containsBlanks" dxfId="6253" priority="6225">
      <formula>LEN(TRIM(M68))=0</formula>
    </cfRule>
  </conditionalFormatting>
  <conditionalFormatting sqref="M69:S69">
    <cfRule type="containsBlanks" dxfId="6252" priority="6224">
      <formula>LEN(TRIM(M69))=0</formula>
    </cfRule>
  </conditionalFormatting>
  <conditionalFormatting sqref="O40:Q40">
    <cfRule type="containsBlanks" dxfId="6251" priority="6223">
      <formula>LEN(TRIM(O40))=0</formula>
    </cfRule>
  </conditionalFormatting>
  <conditionalFormatting sqref="O47:Q47">
    <cfRule type="containsBlanks" dxfId="6250" priority="6222">
      <formula>LEN(TRIM(O47))=0</formula>
    </cfRule>
  </conditionalFormatting>
  <conditionalFormatting sqref="O44:Q44">
    <cfRule type="containsBlanks" dxfId="6249" priority="6221">
      <formula>LEN(TRIM(O44))=0</formula>
    </cfRule>
  </conditionalFormatting>
  <conditionalFormatting sqref="O45:Q45">
    <cfRule type="containsBlanks" dxfId="6248" priority="6220">
      <formula>LEN(TRIM(O45))=0</formula>
    </cfRule>
  </conditionalFormatting>
  <conditionalFormatting sqref="O49:Q49">
    <cfRule type="containsBlanks" dxfId="6247" priority="6219">
      <formula>LEN(TRIM(O49))=0</formula>
    </cfRule>
  </conditionalFormatting>
  <conditionalFormatting sqref="O51:Q51">
    <cfRule type="containsBlanks" dxfId="6246" priority="6218">
      <formula>LEN(TRIM(O51))=0</formula>
    </cfRule>
  </conditionalFormatting>
  <conditionalFormatting sqref="O53:Q53">
    <cfRule type="containsBlanks" dxfId="6245" priority="6217">
      <formula>LEN(TRIM(O53))=0</formula>
    </cfRule>
  </conditionalFormatting>
  <conditionalFormatting sqref="O66:Q66">
    <cfRule type="containsBlanks" dxfId="6244" priority="6216">
      <formula>LEN(TRIM(O66))=0</formula>
    </cfRule>
  </conditionalFormatting>
  <conditionalFormatting sqref="O67:Q67">
    <cfRule type="containsBlanks" dxfId="6243" priority="6215">
      <formula>LEN(TRIM(O67))=0</formula>
    </cfRule>
  </conditionalFormatting>
  <conditionalFormatting sqref="O69:Q69">
    <cfRule type="containsBlanks" dxfId="6242" priority="6214">
      <formula>LEN(TRIM(O69))=0</formula>
    </cfRule>
  </conditionalFormatting>
  <conditionalFormatting sqref="N65:T65">
    <cfRule type="containsBlanks" dxfId="6241" priority="6213">
      <formula>LEN(TRIM(N65))=0</formula>
    </cfRule>
  </conditionalFormatting>
  <conditionalFormatting sqref="M82:S82">
    <cfRule type="containsBlanks" dxfId="6240" priority="6212">
      <formula>LEN(TRIM(M82))=0</formula>
    </cfRule>
  </conditionalFormatting>
  <conditionalFormatting sqref="N85:T85">
    <cfRule type="containsBlanks" dxfId="6239" priority="6211">
      <formula>LEN(TRIM(N85))=0</formula>
    </cfRule>
  </conditionalFormatting>
  <conditionalFormatting sqref="O87:Q87">
    <cfRule type="containsBlanks" dxfId="6238" priority="6210">
      <formula>LEN(TRIM(O87))=0</formula>
    </cfRule>
  </conditionalFormatting>
  <conditionalFormatting sqref="M89:T89">
    <cfRule type="containsBlanks" dxfId="6237" priority="6209">
      <formula>LEN(TRIM(M89))=0</formula>
    </cfRule>
  </conditionalFormatting>
  <conditionalFormatting sqref="M95:T95">
    <cfRule type="containsBlanks" dxfId="6236" priority="6208">
      <formula>LEN(TRIM(M95))=0</formula>
    </cfRule>
  </conditionalFormatting>
  <conditionalFormatting sqref="O96:S96">
    <cfRule type="containsBlanks" dxfId="6235" priority="6207">
      <formula>LEN(TRIM(O96))=0</formula>
    </cfRule>
  </conditionalFormatting>
  <conditionalFormatting sqref="M96:N96">
    <cfRule type="containsBlanks" dxfId="6234" priority="6206">
      <formula>LEN(TRIM(M96))=0</formula>
    </cfRule>
  </conditionalFormatting>
  <conditionalFormatting sqref="M59:T59">
    <cfRule type="containsBlanks" dxfId="6233" priority="6205">
      <formula>LEN(TRIM(M59))=0</formula>
    </cfRule>
  </conditionalFormatting>
  <conditionalFormatting sqref="M60:S60">
    <cfRule type="containsBlanks" dxfId="6232" priority="6204">
      <formula>LEN(TRIM(M60))=0</formula>
    </cfRule>
  </conditionalFormatting>
  <conditionalFormatting sqref="O44:Q44">
    <cfRule type="containsBlanks" dxfId="6231" priority="6203">
      <formula>LEN(TRIM(O44))=0</formula>
    </cfRule>
  </conditionalFormatting>
  <conditionalFormatting sqref="O51:Q51">
    <cfRule type="containsBlanks" dxfId="6230" priority="6202">
      <formula>LEN(TRIM(O51))=0</formula>
    </cfRule>
  </conditionalFormatting>
  <conditionalFormatting sqref="O48:Q48">
    <cfRule type="containsBlanks" dxfId="6229" priority="6201">
      <formula>LEN(TRIM(O48))=0</formula>
    </cfRule>
  </conditionalFormatting>
  <conditionalFormatting sqref="O49:Q49">
    <cfRule type="containsBlanks" dxfId="6228" priority="6200">
      <formula>LEN(TRIM(O49))=0</formula>
    </cfRule>
  </conditionalFormatting>
  <conditionalFormatting sqref="O53:Q53">
    <cfRule type="containsBlanks" dxfId="6227" priority="6199">
      <formula>LEN(TRIM(O53))=0</formula>
    </cfRule>
  </conditionalFormatting>
  <conditionalFormatting sqref="O55:Q55">
    <cfRule type="containsBlanks" dxfId="6226" priority="6198">
      <formula>LEN(TRIM(O55))=0</formula>
    </cfRule>
  </conditionalFormatting>
  <conditionalFormatting sqref="O57:Q57">
    <cfRule type="containsBlanks" dxfId="6225" priority="6197">
      <formula>LEN(TRIM(O57))=0</formula>
    </cfRule>
  </conditionalFormatting>
  <conditionalFormatting sqref="O70:Q70">
    <cfRule type="containsBlanks" dxfId="6224" priority="6196">
      <formula>LEN(TRIM(O70))=0</formula>
    </cfRule>
  </conditionalFormatting>
  <conditionalFormatting sqref="O71:Q71">
    <cfRule type="containsBlanks" dxfId="6223" priority="6195">
      <formula>LEN(TRIM(O71))=0</formula>
    </cfRule>
  </conditionalFormatting>
  <conditionalFormatting sqref="O73:Q73">
    <cfRule type="containsBlanks" dxfId="6222" priority="6194">
      <formula>LEN(TRIM(O73))=0</formula>
    </cfRule>
  </conditionalFormatting>
  <conditionalFormatting sqref="N69:T69">
    <cfRule type="containsBlanks" dxfId="6221" priority="6193">
      <formula>LEN(TRIM(N69))=0</formula>
    </cfRule>
  </conditionalFormatting>
  <conditionalFormatting sqref="M86:S86">
    <cfRule type="containsBlanks" dxfId="6220" priority="6192">
      <formula>LEN(TRIM(M86))=0</formula>
    </cfRule>
  </conditionalFormatting>
  <conditionalFormatting sqref="N89:T89">
    <cfRule type="containsBlanks" dxfId="6219" priority="6191">
      <formula>LEN(TRIM(N89))=0</formula>
    </cfRule>
  </conditionalFormatting>
  <conditionalFormatting sqref="O91:Q91">
    <cfRule type="containsBlanks" dxfId="6218" priority="6190">
      <formula>LEN(TRIM(O91))=0</formula>
    </cfRule>
  </conditionalFormatting>
  <conditionalFormatting sqref="M93:T93">
    <cfRule type="containsBlanks" dxfId="6217" priority="6189">
      <formula>LEN(TRIM(M93))=0</formula>
    </cfRule>
  </conditionalFormatting>
  <conditionalFormatting sqref="O100:S100">
    <cfRule type="containsBlanks" dxfId="6216" priority="6187">
      <formula>LEN(TRIM(O100))=0</formula>
    </cfRule>
  </conditionalFormatting>
  <conditionalFormatting sqref="M100:N100">
    <cfRule type="containsBlanks" dxfId="6215" priority="6186">
      <formula>LEN(TRIM(M100))=0</formula>
    </cfRule>
  </conditionalFormatting>
  <conditionalFormatting sqref="M63:T63">
    <cfRule type="containsBlanks" dxfId="6214" priority="6185">
      <formula>LEN(TRIM(M63))=0</formula>
    </cfRule>
  </conditionalFormatting>
  <conditionalFormatting sqref="M64:S64">
    <cfRule type="containsBlanks" dxfId="6213" priority="6184">
      <formula>LEN(TRIM(M64))=0</formula>
    </cfRule>
  </conditionalFormatting>
  <conditionalFormatting sqref="O35:Q35">
    <cfRule type="containsBlanks" dxfId="6212" priority="6183">
      <formula>LEN(TRIM(O35))=0</formula>
    </cfRule>
  </conditionalFormatting>
  <conditionalFormatting sqref="O42:Q42">
    <cfRule type="containsBlanks" dxfId="6211" priority="6182">
      <formula>LEN(TRIM(O42))=0</formula>
    </cfRule>
  </conditionalFormatting>
  <conditionalFormatting sqref="O39:Q39">
    <cfRule type="containsBlanks" dxfId="6210" priority="6181">
      <formula>LEN(TRIM(O39))=0</formula>
    </cfRule>
  </conditionalFormatting>
  <conditionalFormatting sqref="O40:Q40">
    <cfRule type="containsBlanks" dxfId="6209" priority="6180">
      <formula>LEN(TRIM(O40))=0</formula>
    </cfRule>
  </conditionalFormatting>
  <conditionalFormatting sqref="O44:Q44">
    <cfRule type="containsBlanks" dxfId="6208" priority="6179">
      <formula>LEN(TRIM(O44))=0</formula>
    </cfRule>
  </conditionalFormatting>
  <conditionalFormatting sqref="O46:Q46">
    <cfRule type="containsBlanks" dxfId="6207" priority="6178">
      <formula>LEN(TRIM(O46))=0</formula>
    </cfRule>
  </conditionalFormatting>
  <conditionalFormatting sqref="O48:Q48">
    <cfRule type="containsBlanks" dxfId="6206" priority="6177">
      <formula>LEN(TRIM(O48))=0</formula>
    </cfRule>
  </conditionalFormatting>
  <conditionalFormatting sqref="O61:Q61">
    <cfRule type="containsBlanks" dxfId="6205" priority="6176">
      <formula>LEN(TRIM(O61))=0</formula>
    </cfRule>
  </conditionalFormatting>
  <conditionalFormatting sqref="O62:Q62">
    <cfRule type="containsBlanks" dxfId="6204" priority="6175">
      <formula>LEN(TRIM(O62))=0</formula>
    </cfRule>
  </conditionalFormatting>
  <conditionalFormatting sqref="O64:Q64">
    <cfRule type="containsBlanks" dxfId="6203" priority="6174">
      <formula>LEN(TRIM(O64))=0</formula>
    </cfRule>
  </conditionalFormatting>
  <conditionalFormatting sqref="N60:T60">
    <cfRule type="containsBlanks" dxfId="6202" priority="6173">
      <formula>LEN(TRIM(N60))=0</formula>
    </cfRule>
  </conditionalFormatting>
  <conditionalFormatting sqref="M77:S77">
    <cfRule type="containsBlanks" dxfId="6201" priority="6172">
      <formula>LEN(TRIM(M77))=0</formula>
    </cfRule>
  </conditionalFormatting>
  <conditionalFormatting sqref="N80:T80">
    <cfRule type="containsBlanks" dxfId="6200" priority="6171">
      <formula>LEN(TRIM(N80))=0</formula>
    </cfRule>
  </conditionalFormatting>
  <conditionalFormatting sqref="O82:Q82">
    <cfRule type="containsBlanks" dxfId="6199" priority="6170">
      <formula>LEN(TRIM(O82))=0</formula>
    </cfRule>
  </conditionalFormatting>
  <conditionalFormatting sqref="M84:T84">
    <cfRule type="containsBlanks" dxfId="6198" priority="6169">
      <formula>LEN(TRIM(M84))=0</formula>
    </cfRule>
  </conditionalFormatting>
  <conditionalFormatting sqref="M90:T90">
    <cfRule type="containsBlanks" dxfId="6197" priority="6168">
      <formula>LEN(TRIM(M90))=0</formula>
    </cfRule>
  </conditionalFormatting>
  <conditionalFormatting sqref="O91:S91">
    <cfRule type="containsBlanks" dxfId="6196" priority="6167">
      <formula>LEN(TRIM(O91))=0</formula>
    </cfRule>
  </conditionalFormatting>
  <conditionalFormatting sqref="M91:N91">
    <cfRule type="containsBlanks" dxfId="6195" priority="6166">
      <formula>LEN(TRIM(M91))=0</formula>
    </cfRule>
  </conditionalFormatting>
  <conditionalFormatting sqref="M54:T54">
    <cfRule type="containsBlanks" dxfId="6194" priority="6165">
      <formula>LEN(TRIM(M54))=0</formula>
    </cfRule>
  </conditionalFormatting>
  <conditionalFormatting sqref="M55:S55">
    <cfRule type="containsBlanks" dxfId="6193" priority="6164">
      <formula>LEN(TRIM(M55))=0</formula>
    </cfRule>
  </conditionalFormatting>
  <conditionalFormatting sqref="O53:Q53">
    <cfRule type="containsBlanks" dxfId="6192" priority="6163">
      <formula>LEN(TRIM(O53))=0</formula>
    </cfRule>
  </conditionalFormatting>
  <conditionalFormatting sqref="O50:Q50">
    <cfRule type="containsBlanks" dxfId="6191" priority="6162">
      <formula>LEN(TRIM(O50))=0</formula>
    </cfRule>
  </conditionalFormatting>
  <conditionalFormatting sqref="O51:Q51">
    <cfRule type="containsBlanks" dxfId="6190" priority="6161">
      <formula>LEN(TRIM(O51))=0</formula>
    </cfRule>
  </conditionalFormatting>
  <conditionalFormatting sqref="O55:Q55">
    <cfRule type="containsBlanks" dxfId="6189" priority="6160">
      <formula>LEN(TRIM(O55))=0</formula>
    </cfRule>
  </conditionalFormatting>
  <conditionalFormatting sqref="O57:Q57">
    <cfRule type="containsBlanks" dxfId="6188" priority="6159">
      <formula>LEN(TRIM(O57))=0</formula>
    </cfRule>
  </conditionalFormatting>
  <conditionalFormatting sqref="O59:Q59">
    <cfRule type="containsBlanks" dxfId="6187" priority="6158">
      <formula>LEN(TRIM(O59))=0</formula>
    </cfRule>
  </conditionalFormatting>
  <conditionalFormatting sqref="O72:Q72">
    <cfRule type="containsBlanks" dxfId="6186" priority="6157">
      <formula>LEN(TRIM(O72))=0</formula>
    </cfRule>
  </conditionalFormatting>
  <conditionalFormatting sqref="O73:Q73">
    <cfRule type="containsBlanks" dxfId="6185" priority="6156">
      <formula>LEN(TRIM(O73))=0</formula>
    </cfRule>
  </conditionalFormatting>
  <conditionalFormatting sqref="O75:Q75">
    <cfRule type="containsBlanks" dxfId="6184" priority="6155">
      <formula>LEN(TRIM(O75))=0</formula>
    </cfRule>
  </conditionalFormatting>
  <conditionalFormatting sqref="N71:T71">
    <cfRule type="containsBlanks" dxfId="6183" priority="6154">
      <formula>LEN(TRIM(N71))=0</formula>
    </cfRule>
  </conditionalFormatting>
  <conditionalFormatting sqref="M88:S88">
    <cfRule type="containsBlanks" dxfId="6182" priority="6153">
      <formula>LEN(TRIM(M88))=0</formula>
    </cfRule>
  </conditionalFormatting>
  <conditionalFormatting sqref="N91:T91">
    <cfRule type="containsBlanks" dxfId="6181" priority="6152">
      <formula>LEN(TRIM(N91))=0</formula>
    </cfRule>
  </conditionalFormatting>
  <conditionalFormatting sqref="O93:Q93">
    <cfRule type="containsBlanks" dxfId="6180" priority="6151">
      <formula>LEN(TRIM(O93))=0</formula>
    </cfRule>
  </conditionalFormatting>
  <conditionalFormatting sqref="M95:T95">
    <cfRule type="containsBlanks" dxfId="6179" priority="6150">
      <formula>LEN(TRIM(M95))=0</formula>
    </cfRule>
  </conditionalFormatting>
  <conditionalFormatting sqref="M101:T101">
    <cfRule type="containsBlanks" dxfId="6178" priority="6149">
      <formula>LEN(TRIM(M101))=0</formula>
    </cfRule>
  </conditionalFormatting>
  <conditionalFormatting sqref="O102:S102">
    <cfRule type="containsBlanks" dxfId="6177" priority="6148">
      <formula>LEN(TRIM(O102))=0</formula>
    </cfRule>
  </conditionalFormatting>
  <conditionalFormatting sqref="M102:N102">
    <cfRule type="containsBlanks" dxfId="6176" priority="6147">
      <formula>LEN(TRIM(M102))=0</formula>
    </cfRule>
  </conditionalFormatting>
  <conditionalFormatting sqref="M65:T65">
    <cfRule type="containsBlanks" dxfId="6175" priority="6146">
      <formula>LEN(TRIM(M65))=0</formula>
    </cfRule>
  </conditionalFormatting>
  <conditionalFormatting sqref="M66:S66">
    <cfRule type="containsBlanks" dxfId="6174" priority="6145">
      <formula>LEN(TRIM(M66))=0</formula>
    </cfRule>
  </conditionalFormatting>
  <conditionalFormatting sqref="O50:Q50">
    <cfRule type="containsBlanks" dxfId="6173" priority="6144">
      <formula>LEN(TRIM(O50))=0</formula>
    </cfRule>
  </conditionalFormatting>
  <conditionalFormatting sqref="O63:Q63">
    <cfRule type="containsBlanks" dxfId="6172" priority="6143">
      <formula>LEN(TRIM(O63))=0</formula>
    </cfRule>
  </conditionalFormatting>
  <conditionalFormatting sqref="O64:Q64">
    <cfRule type="containsBlanks" dxfId="6171" priority="6142">
      <formula>LEN(TRIM(O64))=0</formula>
    </cfRule>
  </conditionalFormatting>
  <conditionalFormatting sqref="O66:Q66">
    <cfRule type="containsBlanks" dxfId="6170" priority="6141">
      <formula>LEN(TRIM(O66))=0</formula>
    </cfRule>
  </conditionalFormatting>
  <conditionalFormatting sqref="N62:T62">
    <cfRule type="containsBlanks" dxfId="6169" priority="6140">
      <formula>LEN(TRIM(N62))=0</formula>
    </cfRule>
  </conditionalFormatting>
  <conditionalFormatting sqref="M79:S79">
    <cfRule type="containsBlanks" dxfId="6168" priority="6139">
      <formula>LEN(TRIM(M79))=0</formula>
    </cfRule>
  </conditionalFormatting>
  <conditionalFormatting sqref="N82:T82">
    <cfRule type="containsBlanks" dxfId="6167" priority="6138">
      <formula>LEN(TRIM(N82))=0</formula>
    </cfRule>
  </conditionalFormatting>
  <conditionalFormatting sqref="O84:Q84">
    <cfRule type="containsBlanks" dxfId="6166" priority="6137">
      <formula>LEN(TRIM(O84))=0</formula>
    </cfRule>
  </conditionalFormatting>
  <conditionalFormatting sqref="M86:T86">
    <cfRule type="containsBlanks" dxfId="6165" priority="6136">
      <formula>LEN(TRIM(M86))=0</formula>
    </cfRule>
  </conditionalFormatting>
  <conditionalFormatting sqref="M92:T92">
    <cfRule type="containsBlanks" dxfId="6164" priority="6135">
      <formula>LEN(TRIM(M92))=0</formula>
    </cfRule>
  </conditionalFormatting>
  <conditionalFormatting sqref="O93:S93">
    <cfRule type="containsBlanks" dxfId="6163" priority="6134">
      <formula>LEN(TRIM(O93))=0</formula>
    </cfRule>
  </conditionalFormatting>
  <conditionalFormatting sqref="M93:N93">
    <cfRule type="containsBlanks" dxfId="6162" priority="6133">
      <formula>LEN(TRIM(M93))=0</formula>
    </cfRule>
  </conditionalFormatting>
  <conditionalFormatting sqref="M56:T56">
    <cfRule type="containsBlanks" dxfId="6161" priority="6132">
      <formula>LEN(TRIM(M56))=0</formula>
    </cfRule>
  </conditionalFormatting>
  <conditionalFormatting sqref="M57:S57">
    <cfRule type="containsBlanks" dxfId="6160" priority="6131">
      <formula>LEN(TRIM(M57))=0</formula>
    </cfRule>
  </conditionalFormatting>
  <conditionalFormatting sqref="O50:Q50">
    <cfRule type="containsBlanks" dxfId="6159" priority="6130">
      <formula>LEN(TRIM(O50))=0</formula>
    </cfRule>
  </conditionalFormatting>
  <conditionalFormatting sqref="O52:Q52">
    <cfRule type="containsBlanks" dxfId="6158" priority="6129">
      <formula>LEN(TRIM(O52))=0</formula>
    </cfRule>
  </conditionalFormatting>
  <conditionalFormatting sqref="O54:Q54">
    <cfRule type="containsBlanks" dxfId="6157" priority="6128">
      <formula>LEN(TRIM(O54))=0</formula>
    </cfRule>
  </conditionalFormatting>
  <conditionalFormatting sqref="O67:Q67">
    <cfRule type="containsBlanks" dxfId="6156" priority="6127">
      <formula>LEN(TRIM(O67))=0</formula>
    </cfRule>
  </conditionalFormatting>
  <conditionalFormatting sqref="O68:Q68">
    <cfRule type="containsBlanks" dxfId="6155" priority="6126">
      <formula>LEN(TRIM(O68))=0</formula>
    </cfRule>
  </conditionalFormatting>
  <conditionalFormatting sqref="O70:Q70">
    <cfRule type="containsBlanks" dxfId="6154" priority="6125">
      <formula>LEN(TRIM(O70))=0</formula>
    </cfRule>
  </conditionalFormatting>
  <conditionalFormatting sqref="N66:T66">
    <cfRule type="containsBlanks" dxfId="6153" priority="6124">
      <formula>LEN(TRIM(N66))=0</formula>
    </cfRule>
  </conditionalFormatting>
  <conditionalFormatting sqref="M83:S83">
    <cfRule type="containsBlanks" dxfId="6152" priority="6123">
      <formula>LEN(TRIM(M83))=0</formula>
    </cfRule>
  </conditionalFormatting>
  <conditionalFormatting sqref="N86:T86">
    <cfRule type="containsBlanks" dxfId="6151" priority="6122">
      <formula>LEN(TRIM(N86))=0</formula>
    </cfRule>
  </conditionalFormatting>
  <conditionalFormatting sqref="O88:Q88">
    <cfRule type="containsBlanks" dxfId="6150" priority="6121">
      <formula>LEN(TRIM(O88))=0</formula>
    </cfRule>
  </conditionalFormatting>
  <conditionalFormatting sqref="M90:T90">
    <cfRule type="containsBlanks" dxfId="6149" priority="6120">
      <formula>LEN(TRIM(M90))=0</formula>
    </cfRule>
  </conditionalFormatting>
  <conditionalFormatting sqref="M96:T96">
    <cfRule type="containsBlanks" dxfId="6148" priority="6119">
      <formula>LEN(TRIM(M96))=0</formula>
    </cfRule>
  </conditionalFormatting>
  <conditionalFormatting sqref="O97:S97">
    <cfRule type="containsBlanks" dxfId="6147" priority="6118">
      <formula>LEN(TRIM(O97))=0</formula>
    </cfRule>
  </conditionalFormatting>
  <conditionalFormatting sqref="M97:N97">
    <cfRule type="containsBlanks" dxfId="6146" priority="6117">
      <formula>LEN(TRIM(M97))=0</formula>
    </cfRule>
  </conditionalFormatting>
  <conditionalFormatting sqref="M60:T60">
    <cfRule type="containsBlanks" dxfId="6145" priority="6116">
      <formula>LEN(TRIM(M60))=0</formula>
    </cfRule>
  </conditionalFormatting>
  <conditionalFormatting sqref="M61:S61">
    <cfRule type="containsBlanks" dxfId="6144" priority="6115">
      <formula>LEN(TRIM(M61))=0</formula>
    </cfRule>
  </conditionalFormatting>
  <conditionalFormatting sqref="O58:Q58">
    <cfRule type="containsBlanks" dxfId="6143" priority="6114">
      <formula>LEN(TRIM(O58))=0</formula>
    </cfRule>
  </conditionalFormatting>
  <conditionalFormatting sqref="O59:Q59">
    <cfRule type="containsBlanks" dxfId="6142" priority="6113">
      <formula>LEN(TRIM(O59))=0</formula>
    </cfRule>
  </conditionalFormatting>
  <conditionalFormatting sqref="O61:Q61">
    <cfRule type="containsBlanks" dxfId="6141" priority="6112">
      <formula>LEN(TRIM(O61))=0</formula>
    </cfRule>
  </conditionalFormatting>
  <conditionalFormatting sqref="N57:T57">
    <cfRule type="containsBlanks" dxfId="6140" priority="6111">
      <formula>LEN(TRIM(N57))=0</formula>
    </cfRule>
  </conditionalFormatting>
  <conditionalFormatting sqref="M74:S74">
    <cfRule type="containsBlanks" dxfId="6139" priority="6110">
      <formula>LEN(TRIM(M74))=0</formula>
    </cfRule>
  </conditionalFormatting>
  <conditionalFormatting sqref="N77:T77">
    <cfRule type="containsBlanks" dxfId="6138" priority="6109">
      <formula>LEN(TRIM(N77))=0</formula>
    </cfRule>
  </conditionalFormatting>
  <conditionalFormatting sqref="O79:Q79">
    <cfRule type="containsBlanks" dxfId="6137" priority="6108">
      <formula>LEN(TRIM(O79))=0</formula>
    </cfRule>
  </conditionalFormatting>
  <conditionalFormatting sqref="M81:T81">
    <cfRule type="containsBlanks" dxfId="6136" priority="6107">
      <formula>LEN(TRIM(M81))=0</formula>
    </cfRule>
  </conditionalFormatting>
  <conditionalFormatting sqref="M87:T87">
    <cfRule type="containsBlanks" dxfId="6135" priority="6106">
      <formula>LEN(TRIM(M87))=0</formula>
    </cfRule>
  </conditionalFormatting>
  <conditionalFormatting sqref="O88:S88">
    <cfRule type="containsBlanks" dxfId="6134" priority="6105">
      <formula>LEN(TRIM(O88))=0</formula>
    </cfRule>
  </conditionalFormatting>
  <conditionalFormatting sqref="M88:N88">
    <cfRule type="containsBlanks" dxfId="6133" priority="6104">
      <formula>LEN(TRIM(M88))=0</formula>
    </cfRule>
  </conditionalFormatting>
  <conditionalFormatting sqref="M51:T51">
    <cfRule type="containsBlanks" dxfId="6132" priority="6103">
      <formula>LEN(TRIM(M51))=0</formula>
    </cfRule>
  </conditionalFormatting>
  <conditionalFormatting sqref="M52:S52">
    <cfRule type="containsBlanks" dxfId="6131" priority="6102">
      <formula>LEN(TRIM(M52))=0</formula>
    </cfRule>
  </conditionalFormatting>
  <conditionalFormatting sqref="M18:N18">
    <cfRule type="containsBlanks" dxfId="6130" priority="6101">
      <formula>LEN(TRIM(M18))=0</formula>
    </cfRule>
  </conditionalFormatting>
  <conditionalFormatting sqref="O46:Q46">
    <cfRule type="containsBlanks" dxfId="6129" priority="6100">
      <formula>LEN(TRIM(O46))=0</formula>
    </cfRule>
  </conditionalFormatting>
  <conditionalFormatting sqref="O53:Q53">
    <cfRule type="containsBlanks" dxfId="6128" priority="6099">
      <formula>LEN(TRIM(O53))=0</formula>
    </cfRule>
  </conditionalFormatting>
  <conditionalFormatting sqref="O50:Q50">
    <cfRule type="containsBlanks" dxfId="6127" priority="6098">
      <formula>LEN(TRIM(O50))=0</formula>
    </cfRule>
  </conditionalFormatting>
  <conditionalFormatting sqref="O51:Q51">
    <cfRule type="containsBlanks" dxfId="6126" priority="6097">
      <formula>LEN(TRIM(O51))=0</formula>
    </cfRule>
  </conditionalFormatting>
  <conditionalFormatting sqref="O55:Q55">
    <cfRule type="containsBlanks" dxfId="6125" priority="6096">
      <formula>LEN(TRIM(O55))=0</formula>
    </cfRule>
  </conditionalFormatting>
  <conditionalFormatting sqref="O57:Q57">
    <cfRule type="containsBlanks" dxfId="6124" priority="6095">
      <formula>LEN(TRIM(O57))=0</formula>
    </cfRule>
  </conditionalFormatting>
  <conditionalFormatting sqref="O59:Q59">
    <cfRule type="containsBlanks" dxfId="6123" priority="6094">
      <formula>LEN(TRIM(O59))=0</formula>
    </cfRule>
  </conditionalFormatting>
  <conditionalFormatting sqref="O72:Q72">
    <cfRule type="containsBlanks" dxfId="6122" priority="6093">
      <formula>LEN(TRIM(O72))=0</formula>
    </cfRule>
  </conditionalFormatting>
  <conditionalFormatting sqref="O73:Q73">
    <cfRule type="containsBlanks" dxfId="6121" priority="6092">
      <formula>LEN(TRIM(O73))=0</formula>
    </cfRule>
  </conditionalFormatting>
  <conditionalFormatting sqref="O75:Q75">
    <cfRule type="containsBlanks" dxfId="6120" priority="6091">
      <formula>LEN(TRIM(O75))=0</formula>
    </cfRule>
  </conditionalFormatting>
  <conditionalFormatting sqref="N71:T71">
    <cfRule type="containsBlanks" dxfId="6119" priority="6090">
      <formula>LEN(TRIM(N71))=0</formula>
    </cfRule>
  </conditionalFormatting>
  <conditionalFormatting sqref="M88:S88">
    <cfRule type="containsBlanks" dxfId="6118" priority="6089">
      <formula>LEN(TRIM(M88))=0</formula>
    </cfRule>
  </conditionalFormatting>
  <conditionalFormatting sqref="N91:T91">
    <cfRule type="containsBlanks" dxfId="6117" priority="6088">
      <formula>LEN(TRIM(N91))=0</formula>
    </cfRule>
  </conditionalFormatting>
  <conditionalFormatting sqref="O93:Q93">
    <cfRule type="containsBlanks" dxfId="6116" priority="6087">
      <formula>LEN(TRIM(O93))=0</formula>
    </cfRule>
  </conditionalFormatting>
  <conditionalFormatting sqref="M95:T95">
    <cfRule type="containsBlanks" dxfId="6115" priority="6086">
      <formula>LEN(TRIM(M95))=0</formula>
    </cfRule>
  </conditionalFormatting>
  <conditionalFormatting sqref="M101:T101">
    <cfRule type="containsBlanks" dxfId="6114" priority="6085">
      <formula>LEN(TRIM(M101))=0</formula>
    </cfRule>
  </conditionalFormatting>
  <conditionalFormatting sqref="O102:S102">
    <cfRule type="containsBlanks" dxfId="6113" priority="6084">
      <formula>LEN(TRIM(O102))=0</formula>
    </cfRule>
  </conditionalFormatting>
  <conditionalFormatting sqref="M102:N102">
    <cfRule type="containsBlanks" dxfId="6112" priority="6083">
      <formula>LEN(TRIM(M102))=0</formula>
    </cfRule>
  </conditionalFormatting>
  <conditionalFormatting sqref="M65:T65">
    <cfRule type="containsBlanks" dxfId="6111" priority="6082">
      <formula>LEN(TRIM(M65))=0</formula>
    </cfRule>
  </conditionalFormatting>
  <conditionalFormatting sqref="M66:S66">
    <cfRule type="containsBlanks" dxfId="6110" priority="6081">
      <formula>LEN(TRIM(M66))=0</formula>
    </cfRule>
  </conditionalFormatting>
  <conditionalFormatting sqref="O37:Q37">
    <cfRule type="containsBlanks" dxfId="6109" priority="6080">
      <formula>LEN(TRIM(O37))=0</formula>
    </cfRule>
  </conditionalFormatting>
  <conditionalFormatting sqref="O44:Q44">
    <cfRule type="containsBlanks" dxfId="6108" priority="6079">
      <formula>LEN(TRIM(O44))=0</formula>
    </cfRule>
  </conditionalFormatting>
  <conditionalFormatting sqref="O41:Q41">
    <cfRule type="containsBlanks" dxfId="6107" priority="6078">
      <formula>LEN(TRIM(O41))=0</formula>
    </cfRule>
  </conditionalFormatting>
  <conditionalFormatting sqref="O42:Q42">
    <cfRule type="containsBlanks" dxfId="6106" priority="6077">
      <formula>LEN(TRIM(O42))=0</formula>
    </cfRule>
  </conditionalFormatting>
  <conditionalFormatting sqref="O46:Q46">
    <cfRule type="containsBlanks" dxfId="6105" priority="6076">
      <formula>LEN(TRIM(O46))=0</formula>
    </cfRule>
  </conditionalFormatting>
  <conditionalFormatting sqref="O48:Q48">
    <cfRule type="containsBlanks" dxfId="6104" priority="6075">
      <formula>LEN(TRIM(O48))=0</formula>
    </cfRule>
  </conditionalFormatting>
  <conditionalFormatting sqref="O50:Q50">
    <cfRule type="containsBlanks" dxfId="6103" priority="6074">
      <formula>LEN(TRIM(O50))=0</formula>
    </cfRule>
  </conditionalFormatting>
  <conditionalFormatting sqref="O63:Q63">
    <cfRule type="containsBlanks" dxfId="6102" priority="6073">
      <formula>LEN(TRIM(O63))=0</formula>
    </cfRule>
  </conditionalFormatting>
  <conditionalFormatting sqref="O64:Q64">
    <cfRule type="containsBlanks" dxfId="6101" priority="6072">
      <formula>LEN(TRIM(O64))=0</formula>
    </cfRule>
  </conditionalFormatting>
  <conditionalFormatting sqref="O66:Q66">
    <cfRule type="containsBlanks" dxfId="6100" priority="6071">
      <formula>LEN(TRIM(O66))=0</formula>
    </cfRule>
  </conditionalFormatting>
  <conditionalFormatting sqref="N62:T62">
    <cfRule type="containsBlanks" dxfId="6099" priority="6070">
      <formula>LEN(TRIM(N62))=0</formula>
    </cfRule>
  </conditionalFormatting>
  <conditionalFormatting sqref="M79:S79">
    <cfRule type="containsBlanks" dxfId="6098" priority="6069">
      <formula>LEN(TRIM(M79))=0</formula>
    </cfRule>
  </conditionalFormatting>
  <conditionalFormatting sqref="N82:T82">
    <cfRule type="containsBlanks" dxfId="6097" priority="6068">
      <formula>LEN(TRIM(N82))=0</formula>
    </cfRule>
  </conditionalFormatting>
  <conditionalFormatting sqref="O84:Q84">
    <cfRule type="containsBlanks" dxfId="6096" priority="6067">
      <formula>LEN(TRIM(O84))=0</formula>
    </cfRule>
  </conditionalFormatting>
  <conditionalFormatting sqref="M86:T86">
    <cfRule type="containsBlanks" dxfId="6095" priority="6066">
      <formula>LEN(TRIM(M86))=0</formula>
    </cfRule>
  </conditionalFormatting>
  <conditionalFormatting sqref="M92:T92">
    <cfRule type="containsBlanks" dxfId="6094" priority="6065">
      <formula>LEN(TRIM(M92))=0</formula>
    </cfRule>
  </conditionalFormatting>
  <conditionalFormatting sqref="O93:S93">
    <cfRule type="containsBlanks" dxfId="6093" priority="6064">
      <formula>LEN(TRIM(O93))=0</formula>
    </cfRule>
  </conditionalFormatting>
  <conditionalFormatting sqref="M93:N93">
    <cfRule type="containsBlanks" dxfId="6092" priority="6063">
      <formula>LEN(TRIM(M93))=0</formula>
    </cfRule>
  </conditionalFormatting>
  <conditionalFormatting sqref="M56:T56">
    <cfRule type="containsBlanks" dxfId="6091" priority="6062">
      <formula>LEN(TRIM(M56))=0</formula>
    </cfRule>
  </conditionalFormatting>
  <conditionalFormatting sqref="M57:S57">
    <cfRule type="containsBlanks" dxfId="6090" priority="6061">
      <formula>LEN(TRIM(M57))=0</formula>
    </cfRule>
  </conditionalFormatting>
  <conditionalFormatting sqref="O41:Q41">
    <cfRule type="containsBlanks" dxfId="6089" priority="6060">
      <formula>LEN(TRIM(O41))=0</formula>
    </cfRule>
  </conditionalFormatting>
  <conditionalFormatting sqref="O48:Q48">
    <cfRule type="containsBlanks" dxfId="6088" priority="6059">
      <formula>LEN(TRIM(O48))=0</formula>
    </cfRule>
  </conditionalFormatting>
  <conditionalFormatting sqref="O45:Q45">
    <cfRule type="containsBlanks" dxfId="6087" priority="6058">
      <formula>LEN(TRIM(O45))=0</formula>
    </cfRule>
  </conditionalFormatting>
  <conditionalFormatting sqref="O46:Q46">
    <cfRule type="containsBlanks" dxfId="6086" priority="6057">
      <formula>LEN(TRIM(O46))=0</formula>
    </cfRule>
  </conditionalFormatting>
  <conditionalFormatting sqref="O50:Q50">
    <cfRule type="containsBlanks" dxfId="6085" priority="6056">
      <formula>LEN(TRIM(O50))=0</formula>
    </cfRule>
  </conditionalFormatting>
  <conditionalFormatting sqref="O52:Q52">
    <cfRule type="containsBlanks" dxfId="6084" priority="6055">
      <formula>LEN(TRIM(O52))=0</formula>
    </cfRule>
  </conditionalFormatting>
  <conditionalFormatting sqref="O54:Q54">
    <cfRule type="containsBlanks" dxfId="6083" priority="6054">
      <formula>LEN(TRIM(O54))=0</formula>
    </cfRule>
  </conditionalFormatting>
  <conditionalFormatting sqref="O67:Q67">
    <cfRule type="containsBlanks" dxfId="6082" priority="6053">
      <formula>LEN(TRIM(O67))=0</formula>
    </cfRule>
  </conditionalFormatting>
  <conditionalFormatting sqref="O68:Q68">
    <cfRule type="containsBlanks" dxfId="6081" priority="6052">
      <formula>LEN(TRIM(O68))=0</formula>
    </cfRule>
  </conditionalFormatting>
  <conditionalFormatting sqref="O70:Q70">
    <cfRule type="containsBlanks" dxfId="6080" priority="6051">
      <formula>LEN(TRIM(O70))=0</formula>
    </cfRule>
  </conditionalFormatting>
  <conditionalFormatting sqref="N66:T66">
    <cfRule type="containsBlanks" dxfId="6079" priority="6050">
      <formula>LEN(TRIM(N66))=0</formula>
    </cfRule>
  </conditionalFormatting>
  <conditionalFormatting sqref="M83:S83">
    <cfRule type="containsBlanks" dxfId="6078" priority="6049">
      <formula>LEN(TRIM(M83))=0</formula>
    </cfRule>
  </conditionalFormatting>
  <conditionalFormatting sqref="N86:T86">
    <cfRule type="containsBlanks" dxfId="6077" priority="6048">
      <formula>LEN(TRIM(N86))=0</formula>
    </cfRule>
  </conditionalFormatting>
  <conditionalFormatting sqref="O88:Q88">
    <cfRule type="containsBlanks" dxfId="6076" priority="6047">
      <formula>LEN(TRIM(O88))=0</formula>
    </cfRule>
  </conditionalFormatting>
  <conditionalFormatting sqref="M90:T90">
    <cfRule type="containsBlanks" dxfId="6075" priority="6046">
      <formula>LEN(TRIM(M90))=0</formula>
    </cfRule>
  </conditionalFormatting>
  <conditionalFormatting sqref="M96:T96">
    <cfRule type="containsBlanks" dxfId="6074" priority="6045">
      <formula>LEN(TRIM(M96))=0</formula>
    </cfRule>
  </conditionalFormatting>
  <conditionalFormatting sqref="O97:S97">
    <cfRule type="containsBlanks" dxfId="6073" priority="6044">
      <formula>LEN(TRIM(O97))=0</formula>
    </cfRule>
  </conditionalFormatting>
  <conditionalFormatting sqref="M97:N97">
    <cfRule type="containsBlanks" dxfId="6072" priority="6043">
      <formula>LEN(TRIM(M97))=0</formula>
    </cfRule>
  </conditionalFormatting>
  <conditionalFormatting sqref="M60:T60">
    <cfRule type="containsBlanks" dxfId="6071" priority="6042">
      <formula>LEN(TRIM(M60))=0</formula>
    </cfRule>
  </conditionalFormatting>
  <conditionalFormatting sqref="M61:S61">
    <cfRule type="containsBlanks" dxfId="6070" priority="6041">
      <formula>LEN(TRIM(M61))=0</formula>
    </cfRule>
  </conditionalFormatting>
  <conditionalFormatting sqref="O32:Q32">
    <cfRule type="containsBlanks" dxfId="6069" priority="6040">
      <formula>LEN(TRIM(O32))=0</formula>
    </cfRule>
  </conditionalFormatting>
  <conditionalFormatting sqref="O39:Q39">
    <cfRule type="containsBlanks" dxfId="6068" priority="6039">
      <formula>LEN(TRIM(O39))=0</formula>
    </cfRule>
  </conditionalFormatting>
  <conditionalFormatting sqref="O36:Q36">
    <cfRule type="containsBlanks" dxfId="6067" priority="6038">
      <formula>LEN(TRIM(O36))=0</formula>
    </cfRule>
  </conditionalFormatting>
  <conditionalFormatting sqref="O37:Q37">
    <cfRule type="containsBlanks" dxfId="6066" priority="6037">
      <formula>LEN(TRIM(O37))=0</formula>
    </cfRule>
  </conditionalFormatting>
  <conditionalFormatting sqref="O41:Q41">
    <cfRule type="containsBlanks" dxfId="6065" priority="6036">
      <formula>LEN(TRIM(O41))=0</formula>
    </cfRule>
  </conditionalFormatting>
  <conditionalFormatting sqref="O43:Q43">
    <cfRule type="containsBlanks" dxfId="6064" priority="6035">
      <formula>LEN(TRIM(O43))=0</formula>
    </cfRule>
  </conditionalFormatting>
  <conditionalFormatting sqref="O45:Q45">
    <cfRule type="containsBlanks" dxfId="6063" priority="6034">
      <formula>LEN(TRIM(O45))=0</formula>
    </cfRule>
  </conditionalFormatting>
  <conditionalFormatting sqref="O58:Q58">
    <cfRule type="containsBlanks" dxfId="6062" priority="6033">
      <formula>LEN(TRIM(O58))=0</formula>
    </cfRule>
  </conditionalFormatting>
  <conditionalFormatting sqref="O59:Q59">
    <cfRule type="containsBlanks" dxfId="6061" priority="6032">
      <formula>LEN(TRIM(O59))=0</formula>
    </cfRule>
  </conditionalFormatting>
  <conditionalFormatting sqref="O61:Q61">
    <cfRule type="containsBlanks" dxfId="6060" priority="6031">
      <formula>LEN(TRIM(O61))=0</formula>
    </cfRule>
  </conditionalFormatting>
  <conditionalFormatting sqref="N57:T57">
    <cfRule type="containsBlanks" dxfId="6059" priority="6030">
      <formula>LEN(TRIM(N57))=0</formula>
    </cfRule>
  </conditionalFormatting>
  <conditionalFormatting sqref="M74:S74">
    <cfRule type="containsBlanks" dxfId="6058" priority="6029">
      <formula>LEN(TRIM(M74))=0</formula>
    </cfRule>
  </conditionalFormatting>
  <conditionalFormatting sqref="N77:T77">
    <cfRule type="containsBlanks" dxfId="6057" priority="6028">
      <formula>LEN(TRIM(N77))=0</formula>
    </cfRule>
  </conditionalFormatting>
  <conditionalFormatting sqref="O79:Q79">
    <cfRule type="containsBlanks" dxfId="6056" priority="6027">
      <formula>LEN(TRIM(O79))=0</formula>
    </cfRule>
  </conditionalFormatting>
  <conditionalFormatting sqref="M81:T81">
    <cfRule type="containsBlanks" dxfId="6055" priority="6026">
      <formula>LEN(TRIM(M81))=0</formula>
    </cfRule>
  </conditionalFormatting>
  <conditionalFormatting sqref="M87:T87">
    <cfRule type="containsBlanks" dxfId="6054" priority="6025">
      <formula>LEN(TRIM(M87))=0</formula>
    </cfRule>
  </conditionalFormatting>
  <conditionalFormatting sqref="O88:S88">
    <cfRule type="containsBlanks" dxfId="6053" priority="6024">
      <formula>LEN(TRIM(O88))=0</formula>
    </cfRule>
  </conditionalFormatting>
  <conditionalFormatting sqref="M88:N88">
    <cfRule type="containsBlanks" dxfId="6052" priority="6023">
      <formula>LEN(TRIM(M88))=0</formula>
    </cfRule>
  </conditionalFormatting>
  <conditionalFormatting sqref="M51:T51">
    <cfRule type="containsBlanks" dxfId="6051" priority="6022">
      <formula>LEN(TRIM(M51))=0</formula>
    </cfRule>
  </conditionalFormatting>
  <conditionalFormatting sqref="M52:S52">
    <cfRule type="containsBlanks" dxfId="6050" priority="6021">
      <formula>LEN(TRIM(M52))=0</formula>
    </cfRule>
  </conditionalFormatting>
  <conditionalFormatting sqref="O50:Q50">
    <cfRule type="containsBlanks" dxfId="6049" priority="6020">
      <formula>LEN(TRIM(O50))=0</formula>
    </cfRule>
  </conditionalFormatting>
  <conditionalFormatting sqref="O47:Q47">
    <cfRule type="containsBlanks" dxfId="6048" priority="6019">
      <formula>LEN(TRIM(O47))=0</formula>
    </cfRule>
  </conditionalFormatting>
  <conditionalFormatting sqref="O48:Q48">
    <cfRule type="containsBlanks" dxfId="6047" priority="6018">
      <formula>LEN(TRIM(O48))=0</formula>
    </cfRule>
  </conditionalFormatting>
  <conditionalFormatting sqref="O52:Q52">
    <cfRule type="containsBlanks" dxfId="6046" priority="6017">
      <formula>LEN(TRIM(O52))=0</formula>
    </cfRule>
  </conditionalFormatting>
  <conditionalFormatting sqref="O54:Q54">
    <cfRule type="containsBlanks" dxfId="6045" priority="6016">
      <formula>LEN(TRIM(O54))=0</formula>
    </cfRule>
  </conditionalFormatting>
  <conditionalFormatting sqref="O56:Q56">
    <cfRule type="containsBlanks" dxfId="6044" priority="6015">
      <formula>LEN(TRIM(O56))=0</formula>
    </cfRule>
  </conditionalFormatting>
  <conditionalFormatting sqref="O69:Q69">
    <cfRule type="containsBlanks" dxfId="6043" priority="6014">
      <formula>LEN(TRIM(O69))=0</formula>
    </cfRule>
  </conditionalFormatting>
  <conditionalFormatting sqref="O70:Q70">
    <cfRule type="containsBlanks" dxfId="6042" priority="6013">
      <formula>LEN(TRIM(O70))=0</formula>
    </cfRule>
  </conditionalFormatting>
  <conditionalFormatting sqref="O72:Q72">
    <cfRule type="containsBlanks" dxfId="6041" priority="6012">
      <formula>LEN(TRIM(O72))=0</formula>
    </cfRule>
  </conditionalFormatting>
  <conditionalFormatting sqref="N68:T68">
    <cfRule type="containsBlanks" dxfId="6040" priority="6011">
      <formula>LEN(TRIM(N68))=0</formula>
    </cfRule>
  </conditionalFormatting>
  <conditionalFormatting sqref="M85:S85">
    <cfRule type="containsBlanks" dxfId="6039" priority="6010">
      <formula>LEN(TRIM(M85))=0</formula>
    </cfRule>
  </conditionalFormatting>
  <conditionalFormatting sqref="N88:T88">
    <cfRule type="containsBlanks" dxfId="6038" priority="6009">
      <formula>LEN(TRIM(N88))=0</formula>
    </cfRule>
  </conditionalFormatting>
  <conditionalFormatting sqref="O90:Q90">
    <cfRule type="containsBlanks" dxfId="6037" priority="6008">
      <formula>LEN(TRIM(O90))=0</formula>
    </cfRule>
  </conditionalFormatting>
  <conditionalFormatting sqref="M92:T92">
    <cfRule type="containsBlanks" dxfId="6036" priority="6007">
      <formula>LEN(TRIM(M92))=0</formula>
    </cfRule>
  </conditionalFormatting>
  <conditionalFormatting sqref="M98:T98">
    <cfRule type="containsBlanks" dxfId="6035" priority="6006">
      <formula>LEN(TRIM(M98))=0</formula>
    </cfRule>
  </conditionalFormatting>
  <conditionalFormatting sqref="M62:T62">
    <cfRule type="containsBlanks" dxfId="6034" priority="6003">
      <formula>LEN(TRIM(M62))=0</formula>
    </cfRule>
  </conditionalFormatting>
  <conditionalFormatting sqref="M63:S63">
    <cfRule type="containsBlanks" dxfId="6033" priority="6002">
      <formula>LEN(TRIM(M63))=0</formula>
    </cfRule>
  </conditionalFormatting>
  <conditionalFormatting sqref="O47:Q47">
    <cfRule type="containsBlanks" dxfId="6032" priority="6001">
      <formula>LEN(TRIM(O47))=0</formula>
    </cfRule>
  </conditionalFormatting>
  <conditionalFormatting sqref="O60:Q60">
    <cfRule type="containsBlanks" dxfId="6031" priority="6000">
      <formula>LEN(TRIM(O60))=0</formula>
    </cfRule>
  </conditionalFormatting>
  <conditionalFormatting sqref="O61:Q61">
    <cfRule type="containsBlanks" dxfId="6030" priority="5999">
      <formula>LEN(TRIM(O61))=0</formula>
    </cfRule>
  </conditionalFormatting>
  <conditionalFormatting sqref="O63:Q63">
    <cfRule type="containsBlanks" dxfId="6029" priority="5998">
      <formula>LEN(TRIM(O63))=0</formula>
    </cfRule>
  </conditionalFormatting>
  <conditionalFormatting sqref="N59:T59">
    <cfRule type="containsBlanks" dxfId="6028" priority="5997">
      <formula>LEN(TRIM(N59))=0</formula>
    </cfRule>
  </conditionalFormatting>
  <conditionalFormatting sqref="M76:S76">
    <cfRule type="containsBlanks" dxfId="6027" priority="5996">
      <formula>LEN(TRIM(M76))=0</formula>
    </cfRule>
  </conditionalFormatting>
  <conditionalFormatting sqref="N79:T79">
    <cfRule type="containsBlanks" dxfId="6026" priority="5995">
      <formula>LEN(TRIM(N79))=0</formula>
    </cfRule>
  </conditionalFormatting>
  <conditionalFormatting sqref="O81:Q81">
    <cfRule type="containsBlanks" dxfId="6025" priority="5994">
      <formula>LEN(TRIM(O81))=0</formula>
    </cfRule>
  </conditionalFormatting>
  <conditionalFormatting sqref="M83:T83">
    <cfRule type="containsBlanks" dxfId="6024" priority="5993">
      <formula>LEN(TRIM(M83))=0</formula>
    </cfRule>
  </conditionalFormatting>
  <conditionalFormatting sqref="M89:T89">
    <cfRule type="containsBlanks" dxfId="6023" priority="5992">
      <formula>LEN(TRIM(M89))=0</formula>
    </cfRule>
  </conditionalFormatting>
  <conditionalFormatting sqref="O90:S90">
    <cfRule type="containsBlanks" dxfId="6022" priority="5991">
      <formula>LEN(TRIM(O90))=0</formula>
    </cfRule>
  </conditionalFormatting>
  <conditionalFormatting sqref="M90:N90">
    <cfRule type="containsBlanks" dxfId="6021" priority="5990">
      <formula>LEN(TRIM(M90))=0</formula>
    </cfRule>
  </conditionalFormatting>
  <conditionalFormatting sqref="M53:T53">
    <cfRule type="containsBlanks" dxfId="6020" priority="5989">
      <formula>LEN(TRIM(M53))=0</formula>
    </cfRule>
  </conditionalFormatting>
  <conditionalFormatting sqref="M54:S54">
    <cfRule type="containsBlanks" dxfId="6019" priority="5988">
      <formula>LEN(TRIM(M54))=0</formula>
    </cfRule>
  </conditionalFormatting>
  <conditionalFormatting sqref="O47:Q47">
    <cfRule type="containsBlanks" dxfId="6018" priority="5987">
      <formula>LEN(TRIM(O47))=0</formula>
    </cfRule>
  </conditionalFormatting>
  <conditionalFormatting sqref="O49:Q49">
    <cfRule type="containsBlanks" dxfId="6017" priority="5986">
      <formula>LEN(TRIM(O49))=0</formula>
    </cfRule>
  </conditionalFormatting>
  <conditionalFormatting sqref="O51:Q51">
    <cfRule type="containsBlanks" dxfId="6016" priority="5985">
      <formula>LEN(TRIM(O51))=0</formula>
    </cfRule>
  </conditionalFormatting>
  <conditionalFormatting sqref="O64:Q64">
    <cfRule type="containsBlanks" dxfId="6015" priority="5984">
      <formula>LEN(TRIM(O64))=0</formula>
    </cfRule>
  </conditionalFormatting>
  <conditionalFormatting sqref="O65:Q65">
    <cfRule type="containsBlanks" dxfId="6014" priority="5983">
      <formula>LEN(TRIM(O65))=0</formula>
    </cfRule>
  </conditionalFormatting>
  <conditionalFormatting sqref="O67:Q67">
    <cfRule type="containsBlanks" dxfId="6013" priority="5982">
      <formula>LEN(TRIM(O67))=0</formula>
    </cfRule>
  </conditionalFormatting>
  <conditionalFormatting sqref="N63:T63">
    <cfRule type="containsBlanks" dxfId="6012" priority="5981">
      <formula>LEN(TRIM(N63))=0</formula>
    </cfRule>
  </conditionalFormatting>
  <conditionalFormatting sqref="M80:S80">
    <cfRule type="containsBlanks" dxfId="6011" priority="5980">
      <formula>LEN(TRIM(M80))=0</formula>
    </cfRule>
  </conditionalFormatting>
  <conditionalFormatting sqref="N83:T83">
    <cfRule type="containsBlanks" dxfId="6010" priority="5979">
      <formula>LEN(TRIM(N83))=0</formula>
    </cfRule>
  </conditionalFormatting>
  <conditionalFormatting sqref="O85:Q85">
    <cfRule type="containsBlanks" dxfId="6009" priority="5978">
      <formula>LEN(TRIM(O85))=0</formula>
    </cfRule>
  </conditionalFormatting>
  <conditionalFormatting sqref="M87:T87">
    <cfRule type="containsBlanks" dxfId="6008" priority="5977">
      <formula>LEN(TRIM(M87))=0</formula>
    </cfRule>
  </conditionalFormatting>
  <conditionalFormatting sqref="M93:T93">
    <cfRule type="containsBlanks" dxfId="6007" priority="5976">
      <formula>LEN(TRIM(M93))=0</formula>
    </cfRule>
  </conditionalFormatting>
  <conditionalFormatting sqref="O94:S94">
    <cfRule type="containsBlanks" dxfId="6006" priority="5975">
      <formula>LEN(TRIM(O94))=0</formula>
    </cfRule>
  </conditionalFormatting>
  <conditionalFormatting sqref="M94:N94">
    <cfRule type="containsBlanks" dxfId="6005" priority="5974">
      <formula>LEN(TRIM(M94))=0</formula>
    </cfRule>
  </conditionalFormatting>
  <conditionalFormatting sqref="M57:T57">
    <cfRule type="containsBlanks" dxfId="6004" priority="5973">
      <formula>LEN(TRIM(M57))=0</formula>
    </cfRule>
  </conditionalFormatting>
  <conditionalFormatting sqref="M58:S58">
    <cfRule type="containsBlanks" dxfId="6003" priority="5972">
      <formula>LEN(TRIM(M58))=0</formula>
    </cfRule>
  </conditionalFormatting>
  <conditionalFormatting sqref="O55:Q55">
    <cfRule type="containsBlanks" dxfId="6002" priority="5971">
      <formula>LEN(TRIM(O55))=0</formula>
    </cfRule>
  </conditionalFormatting>
  <conditionalFormatting sqref="O56:Q56">
    <cfRule type="containsBlanks" dxfId="6001" priority="5970">
      <formula>LEN(TRIM(O56))=0</formula>
    </cfRule>
  </conditionalFormatting>
  <conditionalFormatting sqref="O58:Q58">
    <cfRule type="containsBlanks" dxfId="6000" priority="5969">
      <formula>LEN(TRIM(O58))=0</formula>
    </cfRule>
  </conditionalFormatting>
  <conditionalFormatting sqref="N54:T54">
    <cfRule type="containsBlanks" dxfId="5999" priority="5968">
      <formula>LEN(TRIM(N54))=0</formula>
    </cfRule>
  </conditionalFormatting>
  <conditionalFormatting sqref="M71:S71">
    <cfRule type="containsBlanks" dxfId="5998" priority="5967">
      <formula>LEN(TRIM(M71))=0</formula>
    </cfRule>
  </conditionalFormatting>
  <conditionalFormatting sqref="N74:T74">
    <cfRule type="containsBlanks" dxfId="5997" priority="5966">
      <formula>LEN(TRIM(N74))=0</formula>
    </cfRule>
  </conditionalFormatting>
  <conditionalFormatting sqref="O76:Q76">
    <cfRule type="containsBlanks" dxfId="5996" priority="5965">
      <formula>LEN(TRIM(O76))=0</formula>
    </cfRule>
  </conditionalFormatting>
  <conditionalFormatting sqref="M78:T78">
    <cfRule type="containsBlanks" dxfId="5995" priority="5964">
      <formula>LEN(TRIM(M78))=0</formula>
    </cfRule>
  </conditionalFormatting>
  <conditionalFormatting sqref="M84:T84">
    <cfRule type="containsBlanks" dxfId="5994" priority="5963">
      <formula>LEN(TRIM(M84))=0</formula>
    </cfRule>
  </conditionalFormatting>
  <conditionalFormatting sqref="O85:S85">
    <cfRule type="containsBlanks" dxfId="5993" priority="5962">
      <formula>LEN(TRIM(O85))=0</formula>
    </cfRule>
  </conditionalFormatting>
  <conditionalFormatting sqref="M85:N85">
    <cfRule type="containsBlanks" dxfId="5992" priority="5961">
      <formula>LEN(TRIM(M85))=0</formula>
    </cfRule>
  </conditionalFormatting>
  <conditionalFormatting sqref="M48:T48">
    <cfRule type="containsBlanks" dxfId="5991" priority="5960">
      <formula>LEN(TRIM(M48))=0</formula>
    </cfRule>
  </conditionalFormatting>
  <conditionalFormatting sqref="M49:S49">
    <cfRule type="containsBlanks" dxfId="5990" priority="5959">
      <formula>LEN(TRIM(M49))=0</formula>
    </cfRule>
  </conditionalFormatting>
  <conditionalFormatting sqref="M20:N20">
    <cfRule type="containsBlanks" dxfId="5989" priority="5958">
      <formula>LEN(TRIM(M20))=0</formula>
    </cfRule>
  </conditionalFormatting>
  <conditionalFormatting sqref="O48:Q48">
    <cfRule type="containsBlanks" dxfId="5988" priority="5957">
      <formula>LEN(TRIM(O48))=0</formula>
    </cfRule>
  </conditionalFormatting>
  <conditionalFormatting sqref="O55:Q55">
    <cfRule type="containsBlanks" dxfId="5987" priority="5956">
      <formula>LEN(TRIM(O55))=0</formula>
    </cfRule>
  </conditionalFormatting>
  <conditionalFormatting sqref="O52:Q52">
    <cfRule type="containsBlanks" dxfId="5986" priority="5955">
      <formula>LEN(TRIM(O52))=0</formula>
    </cfRule>
  </conditionalFormatting>
  <conditionalFormatting sqref="O53:Q53">
    <cfRule type="containsBlanks" dxfId="5985" priority="5954">
      <formula>LEN(TRIM(O53))=0</formula>
    </cfRule>
  </conditionalFormatting>
  <conditionalFormatting sqref="O57:Q57">
    <cfRule type="containsBlanks" dxfId="5984" priority="5953">
      <formula>LEN(TRIM(O57))=0</formula>
    </cfRule>
  </conditionalFormatting>
  <conditionalFormatting sqref="O59:Q59">
    <cfRule type="containsBlanks" dxfId="5983" priority="5952">
      <formula>LEN(TRIM(O59))=0</formula>
    </cfRule>
  </conditionalFormatting>
  <conditionalFormatting sqref="O61:Q61">
    <cfRule type="containsBlanks" dxfId="5982" priority="5951">
      <formula>LEN(TRIM(O61))=0</formula>
    </cfRule>
  </conditionalFormatting>
  <conditionalFormatting sqref="O74:Q74">
    <cfRule type="containsBlanks" dxfId="5981" priority="5950">
      <formula>LEN(TRIM(O74))=0</formula>
    </cfRule>
  </conditionalFormatting>
  <conditionalFormatting sqref="O75:Q75">
    <cfRule type="containsBlanks" dxfId="5980" priority="5949">
      <formula>LEN(TRIM(O75))=0</formula>
    </cfRule>
  </conditionalFormatting>
  <conditionalFormatting sqref="O77:Q77">
    <cfRule type="containsBlanks" dxfId="5979" priority="5948">
      <formula>LEN(TRIM(O77))=0</formula>
    </cfRule>
  </conditionalFormatting>
  <conditionalFormatting sqref="N73:T73">
    <cfRule type="containsBlanks" dxfId="5978" priority="5947">
      <formula>LEN(TRIM(N73))=0</formula>
    </cfRule>
  </conditionalFormatting>
  <conditionalFormatting sqref="M90:S90">
    <cfRule type="containsBlanks" dxfId="5977" priority="5946">
      <formula>LEN(TRIM(M90))=0</formula>
    </cfRule>
  </conditionalFormatting>
  <conditionalFormatting sqref="N93:T93">
    <cfRule type="containsBlanks" dxfId="5976" priority="5945">
      <formula>LEN(TRIM(N93))=0</formula>
    </cfRule>
  </conditionalFormatting>
  <conditionalFormatting sqref="O95:Q95">
    <cfRule type="containsBlanks" dxfId="5975" priority="5944">
      <formula>LEN(TRIM(O95))=0</formula>
    </cfRule>
  </conditionalFormatting>
  <conditionalFormatting sqref="M97:T97">
    <cfRule type="containsBlanks" dxfId="5974" priority="5943">
      <formula>LEN(TRIM(M97))=0</formula>
    </cfRule>
  </conditionalFormatting>
  <conditionalFormatting sqref="M103:T103">
    <cfRule type="containsBlanks" dxfId="5973" priority="5942">
      <formula>LEN(TRIM(M103))=0</formula>
    </cfRule>
  </conditionalFormatting>
  <conditionalFormatting sqref="O104:S104">
    <cfRule type="containsBlanks" dxfId="5972" priority="5941">
      <formula>LEN(TRIM(O104))=0</formula>
    </cfRule>
  </conditionalFormatting>
  <conditionalFormatting sqref="M104:N104">
    <cfRule type="containsBlanks" dxfId="5971" priority="5940">
      <formula>LEN(TRIM(M104))=0</formula>
    </cfRule>
  </conditionalFormatting>
  <conditionalFormatting sqref="M67:T67">
    <cfRule type="containsBlanks" dxfId="5970" priority="5939">
      <formula>LEN(TRIM(M67))=0</formula>
    </cfRule>
  </conditionalFormatting>
  <conditionalFormatting sqref="M68:S68">
    <cfRule type="containsBlanks" dxfId="5969" priority="5938">
      <formula>LEN(TRIM(M68))=0</formula>
    </cfRule>
  </conditionalFormatting>
  <conditionalFormatting sqref="O39:Q39">
    <cfRule type="containsBlanks" dxfId="5968" priority="5937">
      <formula>LEN(TRIM(O39))=0</formula>
    </cfRule>
  </conditionalFormatting>
  <conditionalFormatting sqref="O46:Q46">
    <cfRule type="containsBlanks" dxfId="5967" priority="5936">
      <formula>LEN(TRIM(O46))=0</formula>
    </cfRule>
  </conditionalFormatting>
  <conditionalFormatting sqref="O43:Q43">
    <cfRule type="containsBlanks" dxfId="5966" priority="5935">
      <formula>LEN(TRIM(O43))=0</formula>
    </cfRule>
  </conditionalFormatting>
  <conditionalFormatting sqref="O44:Q44">
    <cfRule type="containsBlanks" dxfId="5965" priority="5934">
      <formula>LEN(TRIM(O44))=0</formula>
    </cfRule>
  </conditionalFormatting>
  <conditionalFormatting sqref="O48:Q48">
    <cfRule type="containsBlanks" dxfId="5964" priority="5933">
      <formula>LEN(TRIM(O48))=0</formula>
    </cfRule>
  </conditionalFormatting>
  <conditionalFormatting sqref="O50:Q50">
    <cfRule type="containsBlanks" dxfId="5963" priority="5932">
      <formula>LEN(TRIM(O50))=0</formula>
    </cfRule>
  </conditionalFormatting>
  <conditionalFormatting sqref="O52:Q52">
    <cfRule type="containsBlanks" dxfId="5962" priority="5931">
      <formula>LEN(TRIM(O52))=0</formula>
    </cfRule>
  </conditionalFormatting>
  <conditionalFormatting sqref="O65:Q65">
    <cfRule type="containsBlanks" dxfId="5961" priority="5930">
      <formula>LEN(TRIM(O65))=0</formula>
    </cfRule>
  </conditionalFormatting>
  <conditionalFormatting sqref="O66:Q66">
    <cfRule type="containsBlanks" dxfId="5960" priority="5929">
      <formula>LEN(TRIM(O66))=0</formula>
    </cfRule>
  </conditionalFormatting>
  <conditionalFormatting sqref="O68:Q68">
    <cfRule type="containsBlanks" dxfId="5959" priority="5928">
      <formula>LEN(TRIM(O68))=0</formula>
    </cfRule>
  </conditionalFormatting>
  <conditionalFormatting sqref="N64:T64">
    <cfRule type="containsBlanks" dxfId="5958" priority="5927">
      <formula>LEN(TRIM(N64))=0</formula>
    </cfRule>
  </conditionalFormatting>
  <conditionalFormatting sqref="M81:S81">
    <cfRule type="containsBlanks" dxfId="5957" priority="5926">
      <formula>LEN(TRIM(M81))=0</formula>
    </cfRule>
  </conditionalFormatting>
  <conditionalFormatting sqref="N84:T84">
    <cfRule type="containsBlanks" dxfId="5956" priority="5925">
      <formula>LEN(TRIM(N84))=0</formula>
    </cfRule>
  </conditionalFormatting>
  <conditionalFormatting sqref="O86:Q86">
    <cfRule type="containsBlanks" dxfId="5955" priority="5924">
      <formula>LEN(TRIM(O86))=0</formula>
    </cfRule>
  </conditionalFormatting>
  <conditionalFormatting sqref="M88:T88">
    <cfRule type="containsBlanks" dxfId="5954" priority="5923">
      <formula>LEN(TRIM(M88))=0</formula>
    </cfRule>
  </conditionalFormatting>
  <conditionalFormatting sqref="M94:T94">
    <cfRule type="containsBlanks" dxfId="5953" priority="5922">
      <formula>LEN(TRIM(M94))=0</formula>
    </cfRule>
  </conditionalFormatting>
  <conditionalFormatting sqref="O95:S95">
    <cfRule type="containsBlanks" dxfId="5952" priority="5921">
      <formula>LEN(TRIM(O95))=0</formula>
    </cfRule>
  </conditionalFormatting>
  <conditionalFormatting sqref="M95:N95">
    <cfRule type="containsBlanks" dxfId="5951" priority="5920">
      <formula>LEN(TRIM(M95))=0</formula>
    </cfRule>
  </conditionalFormatting>
  <conditionalFormatting sqref="M58:T58">
    <cfRule type="containsBlanks" dxfId="5950" priority="5919">
      <formula>LEN(TRIM(M58))=0</formula>
    </cfRule>
  </conditionalFormatting>
  <conditionalFormatting sqref="M59:S59">
    <cfRule type="containsBlanks" dxfId="5949" priority="5918">
      <formula>LEN(TRIM(M59))=0</formula>
    </cfRule>
  </conditionalFormatting>
  <conditionalFormatting sqref="O43:Q43">
    <cfRule type="containsBlanks" dxfId="5948" priority="5917">
      <formula>LEN(TRIM(O43))=0</formula>
    </cfRule>
  </conditionalFormatting>
  <conditionalFormatting sqref="O50:Q50">
    <cfRule type="containsBlanks" dxfId="5947" priority="5916">
      <formula>LEN(TRIM(O50))=0</formula>
    </cfRule>
  </conditionalFormatting>
  <conditionalFormatting sqref="O47:Q47">
    <cfRule type="containsBlanks" dxfId="5946" priority="5915">
      <formula>LEN(TRIM(O47))=0</formula>
    </cfRule>
  </conditionalFormatting>
  <conditionalFormatting sqref="O48:Q48">
    <cfRule type="containsBlanks" dxfId="5945" priority="5914">
      <formula>LEN(TRIM(O48))=0</formula>
    </cfRule>
  </conditionalFormatting>
  <conditionalFormatting sqref="O52:Q52">
    <cfRule type="containsBlanks" dxfId="5944" priority="5913">
      <formula>LEN(TRIM(O52))=0</formula>
    </cfRule>
  </conditionalFormatting>
  <conditionalFormatting sqref="O54:Q54">
    <cfRule type="containsBlanks" dxfId="5943" priority="5912">
      <formula>LEN(TRIM(O54))=0</formula>
    </cfRule>
  </conditionalFormatting>
  <conditionalFormatting sqref="O56:Q56">
    <cfRule type="containsBlanks" dxfId="5942" priority="5911">
      <formula>LEN(TRIM(O56))=0</formula>
    </cfRule>
  </conditionalFormatting>
  <conditionalFormatting sqref="O69:Q69">
    <cfRule type="containsBlanks" dxfId="5941" priority="5910">
      <formula>LEN(TRIM(O69))=0</formula>
    </cfRule>
  </conditionalFormatting>
  <conditionalFormatting sqref="O70:Q70">
    <cfRule type="containsBlanks" dxfId="5940" priority="5909">
      <formula>LEN(TRIM(O70))=0</formula>
    </cfRule>
  </conditionalFormatting>
  <conditionalFormatting sqref="O72:Q72">
    <cfRule type="containsBlanks" dxfId="5939" priority="5908">
      <formula>LEN(TRIM(O72))=0</formula>
    </cfRule>
  </conditionalFormatting>
  <conditionalFormatting sqref="N68:T68">
    <cfRule type="containsBlanks" dxfId="5938" priority="5907">
      <formula>LEN(TRIM(N68))=0</formula>
    </cfRule>
  </conditionalFormatting>
  <conditionalFormatting sqref="M85:S85">
    <cfRule type="containsBlanks" dxfId="5937" priority="5906">
      <formula>LEN(TRIM(M85))=0</formula>
    </cfRule>
  </conditionalFormatting>
  <conditionalFormatting sqref="N88:T88">
    <cfRule type="containsBlanks" dxfId="5936" priority="5905">
      <formula>LEN(TRIM(N88))=0</formula>
    </cfRule>
  </conditionalFormatting>
  <conditionalFormatting sqref="O90:Q90">
    <cfRule type="containsBlanks" dxfId="5935" priority="5904">
      <formula>LEN(TRIM(O90))=0</formula>
    </cfRule>
  </conditionalFormatting>
  <conditionalFormatting sqref="M92:T92">
    <cfRule type="containsBlanks" dxfId="5934" priority="5903">
      <formula>LEN(TRIM(M92))=0</formula>
    </cfRule>
  </conditionalFormatting>
  <conditionalFormatting sqref="M98:T98">
    <cfRule type="containsBlanks" dxfId="5933" priority="5902">
      <formula>LEN(TRIM(M98))=0</formula>
    </cfRule>
  </conditionalFormatting>
  <conditionalFormatting sqref="M62:T62">
    <cfRule type="containsBlanks" dxfId="5932" priority="5899">
      <formula>LEN(TRIM(M62))=0</formula>
    </cfRule>
  </conditionalFormatting>
  <conditionalFormatting sqref="M63:S63">
    <cfRule type="containsBlanks" dxfId="5931" priority="5898">
      <formula>LEN(TRIM(M63))=0</formula>
    </cfRule>
  </conditionalFormatting>
  <conditionalFormatting sqref="O34:Q34">
    <cfRule type="containsBlanks" dxfId="5930" priority="5897">
      <formula>LEN(TRIM(O34))=0</formula>
    </cfRule>
  </conditionalFormatting>
  <conditionalFormatting sqref="O41:Q41">
    <cfRule type="containsBlanks" dxfId="5929" priority="5896">
      <formula>LEN(TRIM(O41))=0</formula>
    </cfRule>
  </conditionalFormatting>
  <conditionalFormatting sqref="O38:Q38">
    <cfRule type="containsBlanks" dxfId="5928" priority="5895">
      <formula>LEN(TRIM(O38))=0</formula>
    </cfRule>
  </conditionalFormatting>
  <conditionalFormatting sqref="O39:Q39">
    <cfRule type="containsBlanks" dxfId="5927" priority="5894">
      <formula>LEN(TRIM(O39))=0</formula>
    </cfRule>
  </conditionalFormatting>
  <conditionalFormatting sqref="O43:Q43">
    <cfRule type="containsBlanks" dxfId="5926" priority="5893">
      <formula>LEN(TRIM(O43))=0</formula>
    </cfRule>
  </conditionalFormatting>
  <conditionalFormatting sqref="O45:Q45">
    <cfRule type="containsBlanks" dxfId="5925" priority="5892">
      <formula>LEN(TRIM(O45))=0</formula>
    </cfRule>
  </conditionalFormatting>
  <conditionalFormatting sqref="O47:Q47">
    <cfRule type="containsBlanks" dxfId="5924" priority="5891">
      <formula>LEN(TRIM(O47))=0</formula>
    </cfRule>
  </conditionalFormatting>
  <conditionalFormatting sqref="O60:Q60">
    <cfRule type="containsBlanks" dxfId="5923" priority="5890">
      <formula>LEN(TRIM(O60))=0</formula>
    </cfRule>
  </conditionalFormatting>
  <conditionalFormatting sqref="O61:Q61">
    <cfRule type="containsBlanks" dxfId="5922" priority="5889">
      <formula>LEN(TRIM(O61))=0</formula>
    </cfRule>
  </conditionalFormatting>
  <conditionalFormatting sqref="O63:Q63">
    <cfRule type="containsBlanks" dxfId="5921" priority="5888">
      <formula>LEN(TRIM(O63))=0</formula>
    </cfRule>
  </conditionalFormatting>
  <conditionalFormatting sqref="N59:T59">
    <cfRule type="containsBlanks" dxfId="5920" priority="5887">
      <formula>LEN(TRIM(N59))=0</formula>
    </cfRule>
  </conditionalFormatting>
  <conditionalFormatting sqref="M76:S76">
    <cfRule type="containsBlanks" dxfId="5919" priority="5886">
      <formula>LEN(TRIM(M76))=0</formula>
    </cfRule>
  </conditionalFormatting>
  <conditionalFormatting sqref="N79:T79">
    <cfRule type="containsBlanks" dxfId="5918" priority="5885">
      <formula>LEN(TRIM(N79))=0</formula>
    </cfRule>
  </conditionalFormatting>
  <conditionalFormatting sqref="O81:Q81">
    <cfRule type="containsBlanks" dxfId="5917" priority="5884">
      <formula>LEN(TRIM(O81))=0</formula>
    </cfRule>
  </conditionalFormatting>
  <conditionalFormatting sqref="M83:T83">
    <cfRule type="containsBlanks" dxfId="5916" priority="5883">
      <formula>LEN(TRIM(M83))=0</formula>
    </cfRule>
  </conditionalFormatting>
  <conditionalFormatting sqref="M89:T89">
    <cfRule type="containsBlanks" dxfId="5915" priority="5882">
      <formula>LEN(TRIM(M89))=0</formula>
    </cfRule>
  </conditionalFormatting>
  <conditionalFormatting sqref="O90:S90">
    <cfRule type="containsBlanks" dxfId="5914" priority="5881">
      <formula>LEN(TRIM(O90))=0</formula>
    </cfRule>
  </conditionalFormatting>
  <conditionalFormatting sqref="M90:N90">
    <cfRule type="containsBlanks" dxfId="5913" priority="5880">
      <formula>LEN(TRIM(M90))=0</formula>
    </cfRule>
  </conditionalFormatting>
  <conditionalFormatting sqref="M53:T53">
    <cfRule type="containsBlanks" dxfId="5912" priority="5879">
      <formula>LEN(TRIM(M53))=0</formula>
    </cfRule>
  </conditionalFormatting>
  <conditionalFormatting sqref="M54:S54">
    <cfRule type="containsBlanks" dxfId="5911" priority="5878">
      <formula>LEN(TRIM(M54))=0</formula>
    </cfRule>
  </conditionalFormatting>
  <conditionalFormatting sqref="O52:Q52">
    <cfRule type="containsBlanks" dxfId="5910" priority="5877">
      <formula>LEN(TRIM(O52))=0</formula>
    </cfRule>
  </conditionalFormatting>
  <conditionalFormatting sqref="O49:Q49">
    <cfRule type="containsBlanks" dxfId="5909" priority="5876">
      <formula>LEN(TRIM(O49))=0</formula>
    </cfRule>
  </conditionalFormatting>
  <conditionalFormatting sqref="O50:Q50">
    <cfRule type="containsBlanks" dxfId="5908" priority="5875">
      <formula>LEN(TRIM(O50))=0</formula>
    </cfRule>
  </conditionalFormatting>
  <conditionalFormatting sqref="O54:Q54">
    <cfRule type="containsBlanks" dxfId="5907" priority="5874">
      <formula>LEN(TRIM(O54))=0</formula>
    </cfRule>
  </conditionalFormatting>
  <conditionalFormatting sqref="O56:Q56">
    <cfRule type="containsBlanks" dxfId="5906" priority="5873">
      <formula>LEN(TRIM(O56))=0</formula>
    </cfRule>
  </conditionalFormatting>
  <conditionalFormatting sqref="O58:Q58">
    <cfRule type="containsBlanks" dxfId="5905" priority="5872">
      <formula>LEN(TRIM(O58))=0</formula>
    </cfRule>
  </conditionalFormatting>
  <conditionalFormatting sqref="O71:Q71">
    <cfRule type="containsBlanks" dxfId="5904" priority="5871">
      <formula>LEN(TRIM(O71))=0</formula>
    </cfRule>
  </conditionalFormatting>
  <conditionalFormatting sqref="O72:Q72">
    <cfRule type="containsBlanks" dxfId="5903" priority="5870">
      <formula>LEN(TRIM(O72))=0</formula>
    </cfRule>
  </conditionalFormatting>
  <conditionalFormatting sqref="O74:Q74">
    <cfRule type="containsBlanks" dxfId="5902" priority="5869">
      <formula>LEN(TRIM(O74))=0</formula>
    </cfRule>
  </conditionalFormatting>
  <conditionalFormatting sqref="N70:T70">
    <cfRule type="containsBlanks" dxfId="5901" priority="5868">
      <formula>LEN(TRIM(N70))=0</formula>
    </cfRule>
  </conditionalFormatting>
  <conditionalFormatting sqref="M87:S87">
    <cfRule type="containsBlanks" dxfId="5900" priority="5867">
      <formula>LEN(TRIM(M87))=0</formula>
    </cfRule>
  </conditionalFormatting>
  <conditionalFormatting sqref="N90:T90">
    <cfRule type="containsBlanks" dxfId="5899" priority="5866">
      <formula>LEN(TRIM(N90))=0</formula>
    </cfRule>
  </conditionalFormatting>
  <conditionalFormatting sqref="O92:Q92">
    <cfRule type="containsBlanks" dxfId="5898" priority="5865">
      <formula>LEN(TRIM(O92))=0</formula>
    </cfRule>
  </conditionalFormatting>
  <conditionalFormatting sqref="M94:T94">
    <cfRule type="containsBlanks" dxfId="5897" priority="5864">
      <formula>LEN(TRIM(M94))=0</formula>
    </cfRule>
  </conditionalFormatting>
  <conditionalFormatting sqref="M100:T100">
    <cfRule type="containsBlanks" dxfId="5896" priority="5863">
      <formula>LEN(TRIM(M100))=0</formula>
    </cfRule>
  </conditionalFormatting>
  <conditionalFormatting sqref="O101:S101">
    <cfRule type="containsBlanks" dxfId="5895" priority="5862">
      <formula>LEN(TRIM(O101))=0</formula>
    </cfRule>
  </conditionalFormatting>
  <conditionalFormatting sqref="M101:N101">
    <cfRule type="containsBlanks" dxfId="5894" priority="5861">
      <formula>LEN(TRIM(M101))=0</formula>
    </cfRule>
  </conditionalFormatting>
  <conditionalFormatting sqref="M64:T64">
    <cfRule type="containsBlanks" dxfId="5893" priority="5860">
      <formula>LEN(TRIM(M64))=0</formula>
    </cfRule>
  </conditionalFormatting>
  <conditionalFormatting sqref="M65:S65">
    <cfRule type="containsBlanks" dxfId="5892" priority="5859">
      <formula>LEN(TRIM(M65))=0</formula>
    </cfRule>
  </conditionalFormatting>
  <conditionalFormatting sqref="O49:Q49">
    <cfRule type="containsBlanks" dxfId="5891" priority="5858">
      <formula>LEN(TRIM(O49))=0</formula>
    </cfRule>
  </conditionalFormatting>
  <conditionalFormatting sqref="O62:Q62">
    <cfRule type="containsBlanks" dxfId="5890" priority="5857">
      <formula>LEN(TRIM(O62))=0</formula>
    </cfRule>
  </conditionalFormatting>
  <conditionalFormatting sqref="O63:Q63">
    <cfRule type="containsBlanks" dxfId="5889" priority="5856">
      <formula>LEN(TRIM(O63))=0</formula>
    </cfRule>
  </conditionalFormatting>
  <conditionalFormatting sqref="O65:Q65">
    <cfRule type="containsBlanks" dxfId="5888" priority="5855">
      <formula>LEN(TRIM(O65))=0</formula>
    </cfRule>
  </conditionalFormatting>
  <conditionalFormatting sqref="N61:T61">
    <cfRule type="containsBlanks" dxfId="5887" priority="5854">
      <formula>LEN(TRIM(N61))=0</formula>
    </cfRule>
  </conditionalFormatting>
  <conditionalFormatting sqref="M78:S78">
    <cfRule type="containsBlanks" dxfId="5886" priority="5853">
      <formula>LEN(TRIM(M78))=0</formula>
    </cfRule>
  </conditionalFormatting>
  <conditionalFormatting sqref="N81:T81">
    <cfRule type="containsBlanks" dxfId="5885" priority="5852">
      <formula>LEN(TRIM(N81))=0</formula>
    </cfRule>
  </conditionalFormatting>
  <conditionalFormatting sqref="O83:Q83">
    <cfRule type="containsBlanks" dxfId="5884" priority="5851">
      <formula>LEN(TRIM(O83))=0</formula>
    </cfRule>
  </conditionalFormatting>
  <conditionalFormatting sqref="M85:T85">
    <cfRule type="containsBlanks" dxfId="5883" priority="5850">
      <formula>LEN(TRIM(M85))=0</formula>
    </cfRule>
  </conditionalFormatting>
  <conditionalFormatting sqref="M91:T91">
    <cfRule type="containsBlanks" dxfId="5882" priority="5849">
      <formula>LEN(TRIM(M91))=0</formula>
    </cfRule>
  </conditionalFormatting>
  <conditionalFormatting sqref="O92:S92">
    <cfRule type="containsBlanks" dxfId="5881" priority="5848">
      <formula>LEN(TRIM(O92))=0</formula>
    </cfRule>
  </conditionalFormatting>
  <conditionalFormatting sqref="M92:N92">
    <cfRule type="containsBlanks" dxfId="5880" priority="5847">
      <formula>LEN(TRIM(M92))=0</formula>
    </cfRule>
  </conditionalFormatting>
  <conditionalFormatting sqref="M55:T55">
    <cfRule type="containsBlanks" dxfId="5879" priority="5846">
      <formula>LEN(TRIM(M55))=0</formula>
    </cfRule>
  </conditionalFormatting>
  <conditionalFormatting sqref="M56:S56">
    <cfRule type="containsBlanks" dxfId="5878" priority="5845">
      <formula>LEN(TRIM(M56))=0</formula>
    </cfRule>
  </conditionalFormatting>
  <conditionalFormatting sqref="O49:Q49">
    <cfRule type="containsBlanks" dxfId="5877" priority="5844">
      <formula>LEN(TRIM(O49))=0</formula>
    </cfRule>
  </conditionalFormatting>
  <conditionalFormatting sqref="O51:Q51">
    <cfRule type="containsBlanks" dxfId="5876" priority="5843">
      <formula>LEN(TRIM(O51))=0</formula>
    </cfRule>
  </conditionalFormatting>
  <conditionalFormatting sqref="O53:Q53">
    <cfRule type="containsBlanks" dxfId="5875" priority="5842">
      <formula>LEN(TRIM(O53))=0</formula>
    </cfRule>
  </conditionalFormatting>
  <conditionalFormatting sqref="O66:Q66">
    <cfRule type="containsBlanks" dxfId="5874" priority="5841">
      <formula>LEN(TRIM(O66))=0</formula>
    </cfRule>
  </conditionalFormatting>
  <conditionalFormatting sqref="O67:Q67">
    <cfRule type="containsBlanks" dxfId="5873" priority="5840">
      <formula>LEN(TRIM(O67))=0</formula>
    </cfRule>
  </conditionalFormatting>
  <conditionalFormatting sqref="O69:Q69">
    <cfRule type="containsBlanks" dxfId="5872" priority="5839">
      <formula>LEN(TRIM(O69))=0</formula>
    </cfRule>
  </conditionalFormatting>
  <conditionalFormatting sqref="N65:T65">
    <cfRule type="containsBlanks" dxfId="5871" priority="5838">
      <formula>LEN(TRIM(N65))=0</formula>
    </cfRule>
  </conditionalFormatting>
  <conditionalFormatting sqref="M82:S82">
    <cfRule type="containsBlanks" dxfId="5870" priority="5837">
      <formula>LEN(TRIM(M82))=0</formula>
    </cfRule>
  </conditionalFormatting>
  <conditionalFormatting sqref="N85:T85">
    <cfRule type="containsBlanks" dxfId="5869" priority="5836">
      <formula>LEN(TRIM(N85))=0</formula>
    </cfRule>
  </conditionalFormatting>
  <conditionalFormatting sqref="O87:Q87">
    <cfRule type="containsBlanks" dxfId="5868" priority="5835">
      <formula>LEN(TRIM(O87))=0</formula>
    </cfRule>
  </conditionalFormatting>
  <conditionalFormatting sqref="M89:T89">
    <cfRule type="containsBlanks" dxfId="5867" priority="5834">
      <formula>LEN(TRIM(M89))=0</formula>
    </cfRule>
  </conditionalFormatting>
  <conditionalFormatting sqref="M95:T95">
    <cfRule type="containsBlanks" dxfId="5866" priority="5833">
      <formula>LEN(TRIM(M95))=0</formula>
    </cfRule>
  </conditionalFormatting>
  <conditionalFormatting sqref="O96:S96">
    <cfRule type="containsBlanks" dxfId="5865" priority="5832">
      <formula>LEN(TRIM(O96))=0</formula>
    </cfRule>
  </conditionalFormatting>
  <conditionalFormatting sqref="M96:N96">
    <cfRule type="containsBlanks" dxfId="5864" priority="5831">
      <formula>LEN(TRIM(M96))=0</formula>
    </cfRule>
  </conditionalFormatting>
  <conditionalFormatting sqref="M59:T59">
    <cfRule type="containsBlanks" dxfId="5863" priority="5830">
      <formula>LEN(TRIM(M59))=0</formula>
    </cfRule>
  </conditionalFormatting>
  <conditionalFormatting sqref="M60:S60">
    <cfRule type="containsBlanks" dxfId="5862" priority="5829">
      <formula>LEN(TRIM(M60))=0</formula>
    </cfRule>
  </conditionalFormatting>
  <conditionalFormatting sqref="O57:Q57">
    <cfRule type="containsBlanks" dxfId="5861" priority="5828">
      <formula>LEN(TRIM(O57))=0</formula>
    </cfRule>
  </conditionalFormatting>
  <conditionalFormatting sqref="O58:Q58">
    <cfRule type="containsBlanks" dxfId="5860" priority="5827">
      <formula>LEN(TRIM(O58))=0</formula>
    </cfRule>
  </conditionalFormatting>
  <conditionalFormatting sqref="O60:Q60">
    <cfRule type="containsBlanks" dxfId="5859" priority="5826">
      <formula>LEN(TRIM(O60))=0</formula>
    </cfRule>
  </conditionalFormatting>
  <conditionalFormatting sqref="N56:T56">
    <cfRule type="containsBlanks" dxfId="5858" priority="5825">
      <formula>LEN(TRIM(N56))=0</formula>
    </cfRule>
  </conditionalFormatting>
  <conditionalFormatting sqref="M73:S73">
    <cfRule type="containsBlanks" dxfId="5857" priority="5824">
      <formula>LEN(TRIM(M73))=0</formula>
    </cfRule>
  </conditionalFormatting>
  <conditionalFormatting sqref="N76:T76">
    <cfRule type="containsBlanks" dxfId="5856" priority="5823">
      <formula>LEN(TRIM(N76))=0</formula>
    </cfRule>
  </conditionalFormatting>
  <conditionalFormatting sqref="O78:Q78">
    <cfRule type="containsBlanks" dxfId="5855" priority="5822">
      <formula>LEN(TRIM(O78))=0</formula>
    </cfRule>
  </conditionalFormatting>
  <conditionalFormatting sqref="M80:T80">
    <cfRule type="containsBlanks" dxfId="5854" priority="5821">
      <formula>LEN(TRIM(M80))=0</formula>
    </cfRule>
  </conditionalFormatting>
  <conditionalFormatting sqref="M86:T86">
    <cfRule type="containsBlanks" dxfId="5853" priority="5820">
      <formula>LEN(TRIM(M86))=0</formula>
    </cfRule>
  </conditionalFormatting>
  <conditionalFormatting sqref="O87:S87">
    <cfRule type="containsBlanks" dxfId="5852" priority="5819">
      <formula>LEN(TRIM(O87))=0</formula>
    </cfRule>
  </conditionalFormatting>
  <conditionalFormatting sqref="M87:N87">
    <cfRule type="containsBlanks" dxfId="5851" priority="5818">
      <formula>LEN(TRIM(M87))=0</formula>
    </cfRule>
  </conditionalFormatting>
  <conditionalFormatting sqref="M50:T50">
    <cfRule type="containsBlanks" dxfId="5850" priority="5817">
      <formula>LEN(TRIM(M50))=0</formula>
    </cfRule>
  </conditionalFormatting>
  <conditionalFormatting sqref="M51:S51">
    <cfRule type="containsBlanks" dxfId="5849" priority="5816">
      <formula>LEN(TRIM(M51))=0</formula>
    </cfRule>
  </conditionalFormatting>
  <conditionalFormatting sqref="M17:N17">
    <cfRule type="containsBlanks" dxfId="5848" priority="5815">
      <formula>LEN(TRIM(M17))=0</formula>
    </cfRule>
  </conditionalFormatting>
  <conditionalFormatting sqref="O45:Q45">
    <cfRule type="containsBlanks" dxfId="5847" priority="5814">
      <formula>LEN(TRIM(O45))=0</formula>
    </cfRule>
  </conditionalFormatting>
  <conditionalFormatting sqref="O52:Q52">
    <cfRule type="containsBlanks" dxfId="5846" priority="5813">
      <formula>LEN(TRIM(O52))=0</formula>
    </cfRule>
  </conditionalFormatting>
  <conditionalFormatting sqref="O49:Q49">
    <cfRule type="containsBlanks" dxfId="5845" priority="5812">
      <formula>LEN(TRIM(O49))=0</formula>
    </cfRule>
  </conditionalFormatting>
  <conditionalFormatting sqref="O50:Q50">
    <cfRule type="containsBlanks" dxfId="5844" priority="5811">
      <formula>LEN(TRIM(O50))=0</formula>
    </cfRule>
  </conditionalFormatting>
  <conditionalFormatting sqref="O54:Q54">
    <cfRule type="containsBlanks" dxfId="5843" priority="5810">
      <formula>LEN(TRIM(O54))=0</formula>
    </cfRule>
  </conditionalFormatting>
  <conditionalFormatting sqref="O56:Q56">
    <cfRule type="containsBlanks" dxfId="5842" priority="5809">
      <formula>LEN(TRIM(O56))=0</formula>
    </cfRule>
  </conditionalFormatting>
  <conditionalFormatting sqref="O58:Q58">
    <cfRule type="containsBlanks" dxfId="5841" priority="5808">
      <formula>LEN(TRIM(O58))=0</formula>
    </cfRule>
  </conditionalFormatting>
  <conditionalFormatting sqref="O71:Q71">
    <cfRule type="containsBlanks" dxfId="5840" priority="5807">
      <formula>LEN(TRIM(O71))=0</formula>
    </cfRule>
  </conditionalFormatting>
  <conditionalFormatting sqref="O72:Q72">
    <cfRule type="containsBlanks" dxfId="5839" priority="5806">
      <formula>LEN(TRIM(O72))=0</formula>
    </cfRule>
  </conditionalFormatting>
  <conditionalFormatting sqref="O74:Q74">
    <cfRule type="containsBlanks" dxfId="5838" priority="5805">
      <formula>LEN(TRIM(O74))=0</formula>
    </cfRule>
  </conditionalFormatting>
  <conditionalFormatting sqref="N70:T70">
    <cfRule type="containsBlanks" dxfId="5837" priority="5804">
      <formula>LEN(TRIM(N70))=0</formula>
    </cfRule>
  </conditionalFormatting>
  <conditionalFormatting sqref="M87:S87">
    <cfRule type="containsBlanks" dxfId="5836" priority="5803">
      <formula>LEN(TRIM(M87))=0</formula>
    </cfRule>
  </conditionalFormatting>
  <conditionalFormatting sqref="N90:T90">
    <cfRule type="containsBlanks" dxfId="5835" priority="5802">
      <formula>LEN(TRIM(N90))=0</formula>
    </cfRule>
  </conditionalFormatting>
  <conditionalFormatting sqref="O92:Q92">
    <cfRule type="containsBlanks" dxfId="5834" priority="5801">
      <formula>LEN(TRIM(O92))=0</formula>
    </cfRule>
  </conditionalFormatting>
  <conditionalFormatting sqref="M94:T94">
    <cfRule type="containsBlanks" dxfId="5833" priority="5800">
      <formula>LEN(TRIM(M94))=0</formula>
    </cfRule>
  </conditionalFormatting>
  <conditionalFormatting sqref="M100:T100">
    <cfRule type="containsBlanks" dxfId="5832" priority="5799">
      <formula>LEN(TRIM(M100))=0</formula>
    </cfRule>
  </conditionalFormatting>
  <conditionalFormatting sqref="O101:S101">
    <cfRule type="containsBlanks" dxfId="5831" priority="5798">
      <formula>LEN(TRIM(O101))=0</formula>
    </cfRule>
  </conditionalFormatting>
  <conditionalFormatting sqref="M101:N101">
    <cfRule type="containsBlanks" dxfId="5830" priority="5797">
      <formula>LEN(TRIM(M101))=0</formula>
    </cfRule>
  </conditionalFormatting>
  <conditionalFormatting sqref="M64:T64">
    <cfRule type="containsBlanks" dxfId="5829" priority="5796">
      <formula>LEN(TRIM(M64))=0</formula>
    </cfRule>
  </conditionalFormatting>
  <conditionalFormatting sqref="M65:S65">
    <cfRule type="containsBlanks" dxfId="5828" priority="5795">
      <formula>LEN(TRIM(M65))=0</formula>
    </cfRule>
  </conditionalFormatting>
  <conditionalFormatting sqref="O36:Q36">
    <cfRule type="containsBlanks" dxfId="5827" priority="5794">
      <formula>LEN(TRIM(O36))=0</formula>
    </cfRule>
  </conditionalFormatting>
  <conditionalFormatting sqref="O43:Q43">
    <cfRule type="containsBlanks" dxfId="5826" priority="5793">
      <formula>LEN(TRIM(O43))=0</formula>
    </cfRule>
  </conditionalFormatting>
  <conditionalFormatting sqref="O40:Q40">
    <cfRule type="containsBlanks" dxfId="5825" priority="5792">
      <formula>LEN(TRIM(O40))=0</formula>
    </cfRule>
  </conditionalFormatting>
  <conditionalFormatting sqref="O41:Q41">
    <cfRule type="containsBlanks" dxfId="5824" priority="5791">
      <formula>LEN(TRIM(O41))=0</formula>
    </cfRule>
  </conditionalFormatting>
  <conditionalFormatting sqref="O45:Q45">
    <cfRule type="containsBlanks" dxfId="5823" priority="5790">
      <formula>LEN(TRIM(O45))=0</formula>
    </cfRule>
  </conditionalFormatting>
  <conditionalFormatting sqref="O47:Q47">
    <cfRule type="containsBlanks" dxfId="5822" priority="5789">
      <formula>LEN(TRIM(O47))=0</formula>
    </cfRule>
  </conditionalFormatting>
  <conditionalFormatting sqref="O49:Q49">
    <cfRule type="containsBlanks" dxfId="5821" priority="5788">
      <formula>LEN(TRIM(O49))=0</formula>
    </cfRule>
  </conditionalFormatting>
  <conditionalFormatting sqref="O62:Q62">
    <cfRule type="containsBlanks" dxfId="5820" priority="5787">
      <formula>LEN(TRIM(O62))=0</formula>
    </cfRule>
  </conditionalFormatting>
  <conditionalFormatting sqref="O63:Q63">
    <cfRule type="containsBlanks" dxfId="5819" priority="5786">
      <formula>LEN(TRIM(O63))=0</formula>
    </cfRule>
  </conditionalFormatting>
  <conditionalFormatting sqref="O65:Q65">
    <cfRule type="containsBlanks" dxfId="5818" priority="5785">
      <formula>LEN(TRIM(O65))=0</formula>
    </cfRule>
  </conditionalFormatting>
  <conditionalFormatting sqref="N61:T61">
    <cfRule type="containsBlanks" dxfId="5817" priority="5784">
      <formula>LEN(TRIM(N61))=0</formula>
    </cfRule>
  </conditionalFormatting>
  <conditionalFormatting sqref="M78:S78">
    <cfRule type="containsBlanks" dxfId="5816" priority="5783">
      <formula>LEN(TRIM(M78))=0</formula>
    </cfRule>
  </conditionalFormatting>
  <conditionalFormatting sqref="N81:T81">
    <cfRule type="containsBlanks" dxfId="5815" priority="5782">
      <formula>LEN(TRIM(N81))=0</formula>
    </cfRule>
  </conditionalFormatting>
  <conditionalFormatting sqref="O83:Q83">
    <cfRule type="containsBlanks" dxfId="5814" priority="5781">
      <formula>LEN(TRIM(O83))=0</formula>
    </cfRule>
  </conditionalFormatting>
  <conditionalFormatting sqref="M85:T85">
    <cfRule type="containsBlanks" dxfId="5813" priority="5780">
      <formula>LEN(TRIM(M85))=0</formula>
    </cfRule>
  </conditionalFormatting>
  <conditionalFormatting sqref="M91:T91">
    <cfRule type="containsBlanks" dxfId="5812" priority="5779">
      <formula>LEN(TRIM(M91))=0</formula>
    </cfRule>
  </conditionalFormatting>
  <conditionalFormatting sqref="O92:S92">
    <cfRule type="containsBlanks" dxfId="5811" priority="5778">
      <formula>LEN(TRIM(O92))=0</formula>
    </cfRule>
  </conditionalFormatting>
  <conditionalFormatting sqref="M92:N92">
    <cfRule type="containsBlanks" dxfId="5810" priority="5777">
      <formula>LEN(TRIM(M92))=0</formula>
    </cfRule>
  </conditionalFormatting>
  <conditionalFormatting sqref="M55:T55">
    <cfRule type="containsBlanks" dxfId="5809" priority="5776">
      <formula>LEN(TRIM(M55))=0</formula>
    </cfRule>
  </conditionalFormatting>
  <conditionalFormatting sqref="M56:S56">
    <cfRule type="containsBlanks" dxfId="5808" priority="5775">
      <formula>LEN(TRIM(M56))=0</formula>
    </cfRule>
  </conditionalFormatting>
  <conditionalFormatting sqref="O40:Q40">
    <cfRule type="containsBlanks" dxfId="5807" priority="5774">
      <formula>LEN(TRIM(O40))=0</formula>
    </cfRule>
  </conditionalFormatting>
  <conditionalFormatting sqref="O47:Q47">
    <cfRule type="containsBlanks" dxfId="5806" priority="5773">
      <formula>LEN(TRIM(O47))=0</formula>
    </cfRule>
  </conditionalFormatting>
  <conditionalFormatting sqref="O44:Q44">
    <cfRule type="containsBlanks" dxfId="5805" priority="5772">
      <formula>LEN(TRIM(O44))=0</formula>
    </cfRule>
  </conditionalFormatting>
  <conditionalFormatting sqref="O45:Q45">
    <cfRule type="containsBlanks" dxfId="5804" priority="5771">
      <formula>LEN(TRIM(O45))=0</formula>
    </cfRule>
  </conditionalFormatting>
  <conditionalFormatting sqref="O49:Q49">
    <cfRule type="containsBlanks" dxfId="5803" priority="5770">
      <formula>LEN(TRIM(O49))=0</formula>
    </cfRule>
  </conditionalFormatting>
  <conditionalFormatting sqref="O51:Q51">
    <cfRule type="containsBlanks" dxfId="5802" priority="5769">
      <formula>LEN(TRIM(O51))=0</formula>
    </cfRule>
  </conditionalFormatting>
  <conditionalFormatting sqref="O53:Q53">
    <cfRule type="containsBlanks" dxfId="5801" priority="5768">
      <formula>LEN(TRIM(O53))=0</formula>
    </cfRule>
  </conditionalFormatting>
  <conditionalFormatting sqref="O66:Q66">
    <cfRule type="containsBlanks" dxfId="5800" priority="5767">
      <formula>LEN(TRIM(O66))=0</formula>
    </cfRule>
  </conditionalFormatting>
  <conditionalFormatting sqref="O67:Q67">
    <cfRule type="containsBlanks" dxfId="5799" priority="5766">
      <formula>LEN(TRIM(O67))=0</formula>
    </cfRule>
  </conditionalFormatting>
  <conditionalFormatting sqref="O69:Q69">
    <cfRule type="containsBlanks" dxfId="5798" priority="5765">
      <formula>LEN(TRIM(O69))=0</formula>
    </cfRule>
  </conditionalFormatting>
  <conditionalFormatting sqref="N65:T65">
    <cfRule type="containsBlanks" dxfId="5797" priority="5764">
      <formula>LEN(TRIM(N65))=0</formula>
    </cfRule>
  </conditionalFormatting>
  <conditionalFormatting sqref="M82:S82">
    <cfRule type="containsBlanks" dxfId="5796" priority="5763">
      <formula>LEN(TRIM(M82))=0</formula>
    </cfRule>
  </conditionalFormatting>
  <conditionalFormatting sqref="N85:T85">
    <cfRule type="containsBlanks" dxfId="5795" priority="5762">
      <formula>LEN(TRIM(N85))=0</formula>
    </cfRule>
  </conditionalFormatting>
  <conditionalFormatting sqref="O87:Q87">
    <cfRule type="containsBlanks" dxfId="5794" priority="5761">
      <formula>LEN(TRIM(O87))=0</formula>
    </cfRule>
  </conditionalFormatting>
  <conditionalFormatting sqref="M89:T89">
    <cfRule type="containsBlanks" dxfId="5793" priority="5760">
      <formula>LEN(TRIM(M89))=0</formula>
    </cfRule>
  </conditionalFormatting>
  <conditionalFormatting sqref="M95:T95">
    <cfRule type="containsBlanks" dxfId="5792" priority="5759">
      <formula>LEN(TRIM(M95))=0</formula>
    </cfRule>
  </conditionalFormatting>
  <conditionalFormatting sqref="O96:S96">
    <cfRule type="containsBlanks" dxfId="5791" priority="5758">
      <formula>LEN(TRIM(O96))=0</formula>
    </cfRule>
  </conditionalFormatting>
  <conditionalFormatting sqref="M96:N96">
    <cfRule type="containsBlanks" dxfId="5790" priority="5757">
      <formula>LEN(TRIM(M96))=0</formula>
    </cfRule>
  </conditionalFormatting>
  <conditionalFormatting sqref="M59:T59">
    <cfRule type="containsBlanks" dxfId="5789" priority="5756">
      <formula>LEN(TRIM(M59))=0</formula>
    </cfRule>
  </conditionalFormatting>
  <conditionalFormatting sqref="M60:S60">
    <cfRule type="containsBlanks" dxfId="5788" priority="5755">
      <formula>LEN(TRIM(M60))=0</formula>
    </cfRule>
  </conditionalFormatting>
  <conditionalFormatting sqref="O31:Q31">
    <cfRule type="containsBlanks" dxfId="5787" priority="5754">
      <formula>LEN(TRIM(O31))=0</formula>
    </cfRule>
  </conditionalFormatting>
  <conditionalFormatting sqref="O38:Q38">
    <cfRule type="containsBlanks" dxfId="5786" priority="5753">
      <formula>LEN(TRIM(O38))=0</formula>
    </cfRule>
  </conditionalFormatting>
  <conditionalFormatting sqref="O35:Q35">
    <cfRule type="containsBlanks" dxfId="5785" priority="5752">
      <formula>LEN(TRIM(O35))=0</formula>
    </cfRule>
  </conditionalFormatting>
  <conditionalFormatting sqref="O36:Q36">
    <cfRule type="containsBlanks" dxfId="5784" priority="5751">
      <formula>LEN(TRIM(O36))=0</formula>
    </cfRule>
  </conditionalFormatting>
  <conditionalFormatting sqref="O40:Q40">
    <cfRule type="containsBlanks" dxfId="5783" priority="5750">
      <formula>LEN(TRIM(O40))=0</formula>
    </cfRule>
  </conditionalFormatting>
  <conditionalFormatting sqref="O42:Q42">
    <cfRule type="containsBlanks" dxfId="5782" priority="5749">
      <formula>LEN(TRIM(O42))=0</formula>
    </cfRule>
  </conditionalFormatting>
  <conditionalFormatting sqref="O44:Q44">
    <cfRule type="containsBlanks" dxfId="5781" priority="5748">
      <formula>LEN(TRIM(O44))=0</formula>
    </cfRule>
  </conditionalFormatting>
  <conditionalFormatting sqref="O57:Q57">
    <cfRule type="containsBlanks" dxfId="5780" priority="5747">
      <formula>LEN(TRIM(O57))=0</formula>
    </cfRule>
  </conditionalFormatting>
  <conditionalFormatting sqref="O58:Q58">
    <cfRule type="containsBlanks" dxfId="5779" priority="5746">
      <formula>LEN(TRIM(O58))=0</formula>
    </cfRule>
  </conditionalFormatting>
  <conditionalFormatting sqref="O60:Q60">
    <cfRule type="containsBlanks" dxfId="5778" priority="5745">
      <formula>LEN(TRIM(O60))=0</formula>
    </cfRule>
  </conditionalFormatting>
  <conditionalFormatting sqref="N56:T56">
    <cfRule type="containsBlanks" dxfId="5777" priority="5744">
      <formula>LEN(TRIM(N56))=0</formula>
    </cfRule>
  </conditionalFormatting>
  <conditionalFormatting sqref="M73:S73">
    <cfRule type="containsBlanks" dxfId="5776" priority="5743">
      <formula>LEN(TRIM(M73))=0</formula>
    </cfRule>
  </conditionalFormatting>
  <conditionalFormatting sqref="N76:T76">
    <cfRule type="containsBlanks" dxfId="5775" priority="5742">
      <formula>LEN(TRIM(N76))=0</formula>
    </cfRule>
  </conditionalFormatting>
  <conditionalFormatting sqref="O78:Q78">
    <cfRule type="containsBlanks" dxfId="5774" priority="5741">
      <formula>LEN(TRIM(O78))=0</formula>
    </cfRule>
  </conditionalFormatting>
  <conditionalFormatting sqref="M80:T80">
    <cfRule type="containsBlanks" dxfId="5773" priority="5740">
      <formula>LEN(TRIM(M80))=0</formula>
    </cfRule>
  </conditionalFormatting>
  <conditionalFormatting sqref="M86:T86">
    <cfRule type="containsBlanks" dxfId="5772" priority="5739">
      <formula>LEN(TRIM(M86))=0</formula>
    </cfRule>
  </conditionalFormatting>
  <conditionalFormatting sqref="O87:S87">
    <cfRule type="containsBlanks" dxfId="5771" priority="5738">
      <formula>LEN(TRIM(O87))=0</formula>
    </cfRule>
  </conditionalFormatting>
  <conditionalFormatting sqref="M87:N87">
    <cfRule type="containsBlanks" dxfId="5770" priority="5737">
      <formula>LEN(TRIM(M87))=0</formula>
    </cfRule>
  </conditionalFormatting>
  <conditionalFormatting sqref="M50:T50">
    <cfRule type="containsBlanks" dxfId="5769" priority="5736">
      <formula>LEN(TRIM(M50))=0</formula>
    </cfRule>
  </conditionalFormatting>
  <conditionalFormatting sqref="M51:S51">
    <cfRule type="containsBlanks" dxfId="5768" priority="5735">
      <formula>LEN(TRIM(M51))=0</formula>
    </cfRule>
  </conditionalFormatting>
  <conditionalFormatting sqref="O49:Q49">
    <cfRule type="containsBlanks" dxfId="5767" priority="5734">
      <formula>LEN(TRIM(O49))=0</formula>
    </cfRule>
  </conditionalFormatting>
  <conditionalFormatting sqref="O46:Q46">
    <cfRule type="containsBlanks" dxfId="5766" priority="5733">
      <formula>LEN(TRIM(O46))=0</formula>
    </cfRule>
  </conditionalFormatting>
  <conditionalFormatting sqref="O47:Q47">
    <cfRule type="containsBlanks" dxfId="5765" priority="5732">
      <formula>LEN(TRIM(O47))=0</formula>
    </cfRule>
  </conditionalFormatting>
  <conditionalFormatting sqref="O51:Q51">
    <cfRule type="containsBlanks" dxfId="5764" priority="5731">
      <formula>LEN(TRIM(O51))=0</formula>
    </cfRule>
  </conditionalFormatting>
  <conditionalFormatting sqref="O53:Q53">
    <cfRule type="containsBlanks" dxfId="5763" priority="5730">
      <formula>LEN(TRIM(O53))=0</formula>
    </cfRule>
  </conditionalFormatting>
  <conditionalFormatting sqref="O55:Q55">
    <cfRule type="containsBlanks" dxfId="5762" priority="5729">
      <formula>LEN(TRIM(O55))=0</formula>
    </cfRule>
  </conditionalFormatting>
  <conditionalFormatting sqref="O68:Q68">
    <cfRule type="containsBlanks" dxfId="5761" priority="5728">
      <formula>LEN(TRIM(O68))=0</formula>
    </cfRule>
  </conditionalFormatting>
  <conditionalFormatting sqref="O69:Q69">
    <cfRule type="containsBlanks" dxfId="5760" priority="5727">
      <formula>LEN(TRIM(O69))=0</formula>
    </cfRule>
  </conditionalFormatting>
  <conditionalFormatting sqref="O71:Q71">
    <cfRule type="containsBlanks" dxfId="5759" priority="5726">
      <formula>LEN(TRIM(O71))=0</formula>
    </cfRule>
  </conditionalFormatting>
  <conditionalFormatting sqref="N67:T67">
    <cfRule type="containsBlanks" dxfId="5758" priority="5725">
      <formula>LEN(TRIM(N67))=0</formula>
    </cfRule>
  </conditionalFormatting>
  <conditionalFormatting sqref="M84:S84">
    <cfRule type="containsBlanks" dxfId="5757" priority="5724">
      <formula>LEN(TRIM(M84))=0</formula>
    </cfRule>
  </conditionalFormatting>
  <conditionalFormatting sqref="N87:T87">
    <cfRule type="containsBlanks" dxfId="5756" priority="5723">
      <formula>LEN(TRIM(N87))=0</formula>
    </cfRule>
  </conditionalFormatting>
  <conditionalFormatting sqref="O89:Q89">
    <cfRule type="containsBlanks" dxfId="5755" priority="5722">
      <formula>LEN(TRIM(O89))=0</formula>
    </cfRule>
  </conditionalFormatting>
  <conditionalFormatting sqref="M91:T91">
    <cfRule type="containsBlanks" dxfId="5754" priority="5721">
      <formula>LEN(TRIM(M91))=0</formula>
    </cfRule>
  </conditionalFormatting>
  <conditionalFormatting sqref="M97:T97">
    <cfRule type="containsBlanks" dxfId="5753" priority="5720">
      <formula>LEN(TRIM(M97))=0</formula>
    </cfRule>
  </conditionalFormatting>
  <conditionalFormatting sqref="O98:S98">
    <cfRule type="containsBlanks" dxfId="5752" priority="5719">
      <formula>LEN(TRIM(O98))=0</formula>
    </cfRule>
  </conditionalFormatting>
  <conditionalFormatting sqref="M98:N98">
    <cfRule type="containsBlanks" dxfId="5751" priority="5718">
      <formula>LEN(TRIM(M98))=0</formula>
    </cfRule>
  </conditionalFormatting>
  <conditionalFormatting sqref="M61:T61">
    <cfRule type="containsBlanks" dxfId="5750" priority="5717">
      <formula>LEN(TRIM(M61))=0</formula>
    </cfRule>
  </conditionalFormatting>
  <conditionalFormatting sqref="M62:S62">
    <cfRule type="containsBlanks" dxfId="5749" priority="5716">
      <formula>LEN(TRIM(M62))=0</formula>
    </cfRule>
  </conditionalFormatting>
  <conditionalFormatting sqref="O46:Q46">
    <cfRule type="containsBlanks" dxfId="5748" priority="5715">
      <formula>LEN(TRIM(O46))=0</formula>
    </cfRule>
  </conditionalFormatting>
  <conditionalFormatting sqref="O59:Q59">
    <cfRule type="containsBlanks" dxfId="5747" priority="5714">
      <formula>LEN(TRIM(O59))=0</formula>
    </cfRule>
  </conditionalFormatting>
  <conditionalFormatting sqref="O60:Q60">
    <cfRule type="containsBlanks" dxfId="5746" priority="5713">
      <formula>LEN(TRIM(O60))=0</formula>
    </cfRule>
  </conditionalFormatting>
  <conditionalFormatting sqref="O62:Q62">
    <cfRule type="containsBlanks" dxfId="5745" priority="5712">
      <formula>LEN(TRIM(O62))=0</formula>
    </cfRule>
  </conditionalFormatting>
  <conditionalFormatting sqref="N58:T58">
    <cfRule type="containsBlanks" dxfId="5744" priority="5711">
      <formula>LEN(TRIM(N58))=0</formula>
    </cfRule>
  </conditionalFormatting>
  <conditionalFormatting sqref="M75:S75">
    <cfRule type="containsBlanks" dxfId="5743" priority="5710">
      <formula>LEN(TRIM(M75))=0</formula>
    </cfRule>
  </conditionalFormatting>
  <conditionalFormatting sqref="N78:T78">
    <cfRule type="containsBlanks" dxfId="5742" priority="5709">
      <formula>LEN(TRIM(N78))=0</formula>
    </cfRule>
  </conditionalFormatting>
  <conditionalFormatting sqref="O80:Q80">
    <cfRule type="containsBlanks" dxfId="5741" priority="5708">
      <formula>LEN(TRIM(O80))=0</formula>
    </cfRule>
  </conditionalFormatting>
  <conditionalFormatting sqref="M82:T82">
    <cfRule type="containsBlanks" dxfId="5740" priority="5707">
      <formula>LEN(TRIM(M82))=0</formula>
    </cfRule>
  </conditionalFormatting>
  <conditionalFormatting sqref="M88:T88">
    <cfRule type="containsBlanks" dxfId="5739" priority="5706">
      <formula>LEN(TRIM(M88))=0</formula>
    </cfRule>
  </conditionalFormatting>
  <conditionalFormatting sqref="O89:S89">
    <cfRule type="containsBlanks" dxfId="5738" priority="5705">
      <formula>LEN(TRIM(O89))=0</formula>
    </cfRule>
  </conditionalFormatting>
  <conditionalFormatting sqref="M89:N89">
    <cfRule type="containsBlanks" dxfId="5737" priority="5704">
      <formula>LEN(TRIM(M89))=0</formula>
    </cfRule>
  </conditionalFormatting>
  <conditionalFormatting sqref="M52:T52">
    <cfRule type="containsBlanks" dxfId="5736" priority="5703">
      <formula>LEN(TRIM(M52))=0</formula>
    </cfRule>
  </conditionalFormatting>
  <conditionalFormatting sqref="M53:S53">
    <cfRule type="containsBlanks" dxfId="5735" priority="5702">
      <formula>LEN(TRIM(M53))=0</formula>
    </cfRule>
  </conditionalFormatting>
  <conditionalFormatting sqref="O46:Q46">
    <cfRule type="containsBlanks" dxfId="5734" priority="5701">
      <formula>LEN(TRIM(O46))=0</formula>
    </cfRule>
  </conditionalFormatting>
  <conditionalFormatting sqref="O48:Q48">
    <cfRule type="containsBlanks" dxfId="5733" priority="5700">
      <formula>LEN(TRIM(O48))=0</formula>
    </cfRule>
  </conditionalFormatting>
  <conditionalFormatting sqref="O50:Q50">
    <cfRule type="containsBlanks" dxfId="5732" priority="5699">
      <formula>LEN(TRIM(O50))=0</formula>
    </cfRule>
  </conditionalFormatting>
  <conditionalFormatting sqref="O63:Q63">
    <cfRule type="containsBlanks" dxfId="5731" priority="5698">
      <formula>LEN(TRIM(O63))=0</formula>
    </cfRule>
  </conditionalFormatting>
  <conditionalFormatting sqref="O64:Q64">
    <cfRule type="containsBlanks" dxfId="5730" priority="5697">
      <formula>LEN(TRIM(O64))=0</formula>
    </cfRule>
  </conditionalFormatting>
  <conditionalFormatting sqref="O66:Q66">
    <cfRule type="containsBlanks" dxfId="5729" priority="5696">
      <formula>LEN(TRIM(O66))=0</formula>
    </cfRule>
  </conditionalFormatting>
  <conditionalFormatting sqref="N62:T62">
    <cfRule type="containsBlanks" dxfId="5728" priority="5695">
      <formula>LEN(TRIM(N62))=0</formula>
    </cfRule>
  </conditionalFormatting>
  <conditionalFormatting sqref="M79:S79">
    <cfRule type="containsBlanks" dxfId="5727" priority="5694">
      <formula>LEN(TRIM(M79))=0</formula>
    </cfRule>
  </conditionalFormatting>
  <conditionalFormatting sqref="N82:T82">
    <cfRule type="containsBlanks" dxfId="5726" priority="5693">
      <formula>LEN(TRIM(N82))=0</formula>
    </cfRule>
  </conditionalFormatting>
  <conditionalFormatting sqref="O84:Q84">
    <cfRule type="containsBlanks" dxfId="5725" priority="5692">
      <formula>LEN(TRIM(O84))=0</formula>
    </cfRule>
  </conditionalFormatting>
  <conditionalFormatting sqref="M86:T86">
    <cfRule type="containsBlanks" dxfId="5724" priority="5691">
      <formula>LEN(TRIM(M86))=0</formula>
    </cfRule>
  </conditionalFormatting>
  <conditionalFormatting sqref="M92:T92">
    <cfRule type="containsBlanks" dxfId="5723" priority="5690">
      <formula>LEN(TRIM(M92))=0</formula>
    </cfRule>
  </conditionalFormatting>
  <conditionalFormatting sqref="O93:S93">
    <cfRule type="containsBlanks" dxfId="5722" priority="5689">
      <formula>LEN(TRIM(O93))=0</formula>
    </cfRule>
  </conditionalFormatting>
  <conditionalFormatting sqref="M93:N93">
    <cfRule type="containsBlanks" dxfId="5721" priority="5688">
      <formula>LEN(TRIM(M93))=0</formula>
    </cfRule>
  </conditionalFormatting>
  <conditionalFormatting sqref="M56:T56">
    <cfRule type="containsBlanks" dxfId="5720" priority="5687">
      <formula>LEN(TRIM(M56))=0</formula>
    </cfRule>
  </conditionalFormatting>
  <conditionalFormatting sqref="M57:S57">
    <cfRule type="containsBlanks" dxfId="5719" priority="5686">
      <formula>LEN(TRIM(M57))=0</formula>
    </cfRule>
  </conditionalFormatting>
  <conditionalFormatting sqref="O54:Q54">
    <cfRule type="containsBlanks" dxfId="5718" priority="5685">
      <formula>LEN(TRIM(O54))=0</formula>
    </cfRule>
  </conditionalFormatting>
  <conditionalFormatting sqref="O55:Q55">
    <cfRule type="containsBlanks" dxfId="5717" priority="5684">
      <formula>LEN(TRIM(O55))=0</formula>
    </cfRule>
  </conditionalFormatting>
  <conditionalFormatting sqref="O57:Q57">
    <cfRule type="containsBlanks" dxfId="5716" priority="5683">
      <formula>LEN(TRIM(O57))=0</formula>
    </cfRule>
  </conditionalFormatting>
  <conditionalFormatting sqref="N53:T53">
    <cfRule type="containsBlanks" dxfId="5715" priority="5682">
      <formula>LEN(TRIM(N53))=0</formula>
    </cfRule>
  </conditionalFormatting>
  <conditionalFormatting sqref="M70:S70">
    <cfRule type="containsBlanks" dxfId="5714" priority="5681">
      <formula>LEN(TRIM(M70))=0</formula>
    </cfRule>
  </conditionalFormatting>
  <conditionalFormatting sqref="N73:T73">
    <cfRule type="containsBlanks" dxfId="5713" priority="5680">
      <formula>LEN(TRIM(N73))=0</formula>
    </cfRule>
  </conditionalFormatting>
  <conditionalFormatting sqref="O75:Q75">
    <cfRule type="containsBlanks" dxfId="5712" priority="5679">
      <formula>LEN(TRIM(O75))=0</formula>
    </cfRule>
  </conditionalFormatting>
  <conditionalFormatting sqref="M77:T77">
    <cfRule type="containsBlanks" dxfId="5711" priority="5678">
      <formula>LEN(TRIM(M77))=0</formula>
    </cfRule>
  </conditionalFormatting>
  <conditionalFormatting sqref="M83:T83">
    <cfRule type="containsBlanks" dxfId="5710" priority="5677">
      <formula>LEN(TRIM(M83))=0</formula>
    </cfRule>
  </conditionalFormatting>
  <conditionalFormatting sqref="O84:S84">
    <cfRule type="containsBlanks" dxfId="5709" priority="5676">
      <formula>LEN(TRIM(O84))=0</formula>
    </cfRule>
  </conditionalFormatting>
  <conditionalFormatting sqref="M84:N84">
    <cfRule type="containsBlanks" dxfId="5708" priority="5675">
      <formula>LEN(TRIM(M84))=0</formula>
    </cfRule>
  </conditionalFormatting>
  <conditionalFormatting sqref="M47:T47">
    <cfRule type="containsBlanks" dxfId="5707" priority="5674">
      <formula>LEN(TRIM(M47))=0</formula>
    </cfRule>
  </conditionalFormatting>
  <conditionalFormatting sqref="M48:S48">
    <cfRule type="containsBlanks" dxfId="5706" priority="5673">
      <formula>LEN(TRIM(M48))=0</formula>
    </cfRule>
  </conditionalFormatting>
  <conditionalFormatting sqref="O50:Q50">
    <cfRule type="containsBlanks" dxfId="5705" priority="5672">
      <formula>LEN(TRIM(O50))=0</formula>
    </cfRule>
  </conditionalFormatting>
  <conditionalFormatting sqref="O57:Q57">
    <cfRule type="containsBlanks" dxfId="5704" priority="5671">
      <formula>LEN(TRIM(O57))=0</formula>
    </cfRule>
  </conditionalFormatting>
  <conditionalFormatting sqref="O54:Q54">
    <cfRule type="containsBlanks" dxfId="5703" priority="5670">
      <formula>LEN(TRIM(O54))=0</formula>
    </cfRule>
  </conditionalFormatting>
  <conditionalFormatting sqref="O55:Q55">
    <cfRule type="containsBlanks" dxfId="5702" priority="5669">
      <formula>LEN(TRIM(O55))=0</formula>
    </cfRule>
  </conditionalFormatting>
  <conditionalFormatting sqref="O59:Q59">
    <cfRule type="containsBlanks" dxfId="5701" priority="5668">
      <formula>LEN(TRIM(O59))=0</formula>
    </cfRule>
  </conditionalFormatting>
  <conditionalFormatting sqref="O61:Q61">
    <cfRule type="containsBlanks" dxfId="5700" priority="5667">
      <formula>LEN(TRIM(O61))=0</formula>
    </cfRule>
  </conditionalFormatting>
  <conditionalFormatting sqref="O63:Q63">
    <cfRule type="containsBlanks" dxfId="5699" priority="5666">
      <formula>LEN(TRIM(O63))=0</formula>
    </cfRule>
  </conditionalFormatting>
  <conditionalFormatting sqref="O76:Q76">
    <cfRule type="containsBlanks" dxfId="5698" priority="5665">
      <formula>LEN(TRIM(O76))=0</formula>
    </cfRule>
  </conditionalFormatting>
  <conditionalFormatting sqref="O77:Q77">
    <cfRule type="containsBlanks" dxfId="5697" priority="5664">
      <formula>LEN(TRIM(O77))=0</formula>
    </cfRule>
  </conditionalFormatting>
  <conditionalFormatting sqref="O79:Q79">
    <cfRule type="containsBlanks" dxfId="5696" priority="5663">
      <formula>LEN(TRIM(O79))=0</formula>
    </cfRule>
  </conditionalFormatting>
  <conditionalFormatting sqref="N75:T75">
    <cfRule type="containsBlanks" dxfId="5695" priority="5662">
      <formula>LEN(TRIM(N75))=0</formula>
    </cfRule>
  </conditionalFormatting>
  <conditionalFormatting sqref="M92:S92">
    <cfRule type="containsBlanks" dxfId="5694" priority="5661">
      <formula>LEN(TRIM(M92))=0</formula>
    </cfRule>
  </conditionalFormatting>
  <conditionalFormatting sqref="N95:T95">
    <cfRule type="containsBlanks" dxfId="5693" priority="5660">
      <formula>LEN(TRIM(N95))=0</formula>
    </cfRule>
  </conditionalFormatting>
  <conditionalFormatting sqref="O97:Q97">
    <cfRule type="containsBlanks" dxfId="5692" priority="5659">
      <formula>LEN(TRIM(O97))=0</formula>
    </cfRule>
  </conditionalFormatting>
  <conditionalFormatting sqref="M105:T105">
    <cfRule type="containsBlanks" dxfId="5691" priority="5657">
      <formula>LEN(TRIM(M105))=0</formula>
    </cfRule>
  </conditionalFormatting>
  <conditionalFormatting sqref="O106:S106">
    <cfRule type="containsBlanks" dxfId="5690" priority="5656">
      <formula>LEN(TRIM(O106))=0</formula>
    </cfRule>
  </conditionalFormatting>
  <conditionalFormatting sqref="M106:N106">
    <cfRule type="containsBlanks" dxfId="5689" priority="5655">
      <formula>LEN(TRIM(M106))=0</formula>
    </cfRule>
  </conditionalFormatting>
  <conditionalFormatting sqref="M69:T69">
    <cfRule type="containsBlanks" dxfId="5688" priority="5654">
      <formula>LEN(TRIM(M69))=0</formula>
    </cfRule>
  </conditionalFormatting>
  <conditionalFormatting sqref="M70:S70">
    <cfRule type="containsBlanks" dxfId="5687" priority="5653">
      <formula>LEN(TRIM(M70))=0</formula>
    </cfRule>
  </conditionalFormatting>
  <conditionalFormatting sqref="O41:Q41">
    <cfRule type="containsBlanks" dxfId="5686" priority="5652">
      <formula>LEN(TRIM(O41))=0</formula>
    </cfRule>
  </conditionalFormatting>
  <conditionalFormatting sqref="O48:Q48">
    <cfRule type="containsBlanks" dxfId="5685" priority="5651">
      <formula>LEN(TRIM(O48))=0</formula>
    </cfRule>
  </conditionalFormatting>
  <conditionalFormatting sqref="O45:Q45">
    <cfRule type="containsBlanks" dxfId="5684" priority="5650">
      <formula>LEN(TRIM(O45))=0</formula>
    </cfRule>
  </conditionalFormatting>
  <conditionalFormatting sqref="O46:Q46">
    <cfRule type="containsBlanks" dxfId="5683" priority="5649">
      <formula>LEN(TRIM(O46))=0</formula>
    </cfRule>
  </conditionalFormatting>
  <conditionalFormatting sqref="O50:Q50">
    <cfRule type="containsBlanks" dxfId="5682" priority="5648">
      <formula>LEN(TRIM(O50))=0</formula>
    </cfRule>
  </conditionalFormatting>
  <conditionalFormatting sqref="O52:Q52">
    <cfRule type="containsBlanks" dxfId="5681" priority="5647">
      <formula>LEN(TRIM(O52))=0</formula>
    </cfRule>
  </conditionalFormatting>
  <conditionalFormatting sqref="O54:Q54">
    <cfRule type="containsBlanks" dxfId="5680" priority="5646">
      <formula>LEN(TRIM(O54))=0</formula>
    </cfRule>
  </conditionalFormatting>
  <conditionalFormatting sqref="O67:Q67">
    <cfRule type="containsBlanks" dxfId="5679" priority="5645">
      <formula>LEN(TRIM(O67))=0</formula>
    </cfRule>
  </conditionalFormatting>
  <conditionalFormatting sqref="O68:Q68">
    <cfRule type="containsBlanks" dxfId="5678" priority="5644">
      <formula>LEN(TRIM(O68))=0</formula>
    </cfRule>
  </conditionalFormatting>
  <conditionalFormatting sqref="O70:Q70">
    <cfRule type="containsBlanks" dxfId="5677" priority="5643">
      <formula>LEN(TRIM(O70))=0</formula>
    </cfRule>
  </conditionalFormatting>
  <conditionalFormatting sqref="N66:T66">
    <cfRule type="containsBlanks" dxfId="5676" priority="5642">
      <formula>LEN(TRIM(N66))=0</formula>
    </cfRule>
  </conditionalFormatting>
  <conditionalFormatting sqref="M83:S83">
    <cfRule type="containsBlanks" dxfId="5675" priority="5641">
      <formula>LEN(TRIM(M83))=0</formula>
    </cfRule>
  </conditionalFormatting>
  <conditionalFormatting sqref="N86:T86">
    <cfRule type="containsBlanks" dxfId="5674" priority="5640">
      <formula>LEN(TRIM(N86))=0</formula>
    </cfRule>
  </conditionalFormatting>
  <conditionalFormatting sqref="O88:Q88">
    <cfRule type="containsBlanks" dxfId="5673" priority="5639">
      <formula>LEN(TRIM(O88))=0</formula>
    </cfRule>
  </conditionalFormatting>
  <conditionalFormatting sqref="M90:T90">
    <cfRule type="containsBlanks" dxfId="5672" priority="5638">
      <formula>LEN(TRIM(M90))=0</formula>
    </cfRule>
  </conditionalFormatting>
  <conditionalFormatting sqref="M96:T96">
    <cfRule type="containsBlanks" dxfId="5671" priority="5637">
      <formula>LEN(TRIM(M96))=0</formula>
    </cfRule>
  </conditionalFormatting>
  <conditionalFormatting sqref="O97:S97">
    <cfRule type="containsBlanks" dxfId="5670" priority="5636">
      <formula>LEN(TRIM(O97))=0</formula>
    </cfRule>
  </conditionalFormatting>
  <conditionalFormatting sqref="M97:N97">
    <cfRule type="containsBlanks" dxfId="5669" priority="5635">
      <formula>LEN(TRIM(M97))=0</formula>
    </cfRule>
  </conditionalFormatting>
  <conditionalFormatting sqref="M60:T60">
    <cfRule type="containsBlanks" dxfId="5668" priority="5634">
      <formula>LEN(TRIM(M60))=0</formula>
    </cfRule>
  </conditionalFormatting>
  <conditionalFormatting sqref="M61:S61">
    <cfRule type="containsBlanks" dxfId="5667" priority="5633">
      <formula>LEN(TRIM(M61))=0</formula>
    </cfRule>
  </conditionalFormatting>
  <conditionalFormatting sqref="O45:Q45">
    <cfRule type="containsBlanks" dxfId="5666" priority="5632">
      <formula>LEN(TRIM(O45))=0</formula>
    </cfRule>
  </conditionalFormatting>
  <conditionalFormatting sqref="O52:Q52">
    <cfRule type="containsBlanks" dxfId="5665" priority="5631">
      <formula>LEN(TRIM(O52))=0</formula>
    </cfRule>
  </conditionalFormatting>
  <conditionalFormatting sqref="O49:Q49">
    <cfRule type="containsBlanks" dxfId="5664" priority="5630">
      <formula>LEN(TRIM(O49))=0</formula>
    </cfRule>
  </conditionalFormatting>
  <conditionalFormatting sqref="O50:Q50">
    <cfRule type="containsBlanks" dxfId="5663" priority="5629">
      <formula>LEN(TRIM(O50))=0</formula>
    </cfRule>
  </conditionalFormatting>
  <conditionalFormatting sqref="O54:Q54">
    <cfRule type="containsBlanks" dxfId="5662" priority="5628">
      <formula>LEN(TRIM(O54))=0</formula>
    </cfRule>
  </conditionalFormatting>
  <conditionalFormatting sqref="O56:Q56">
    <cfRule type="containsBlanks" dxfId="5661" priority="5627">
      <formula>LEN(TRIM(O56))=0</formula>
    </cfRule>
  </conditionalFormatting>
  <conditionalFormatting sqref="O58:Q58">
    <cfRule type="containsBlanks" dxfId="5660" priority="5626">
      <formula>LEN(TRIM(O58))=0</formula>
    </cfRule>
  </conditionalFormatting>
  <conditionalFormatting sqref="O71:Q71">
    <cfRule type="containsBlanks" dxfId="5659" priority="5625">
      <formula>LEN(TRIM(O71))=0</formula>
    </cfRule>
  </conditionalFormatting>
  <conditionalFormatting sqref="O72:Q72">
    <cfRule type="containsBlanks" dxfId="5658" priority="5624">
      <formula>LEN(TRIM(O72))=0</formula>
    </cfRule>
  </conditionalFormatting>
  <conditionalFormatting sqref="O74:Q74">
    <cfRule type="containsBlanks" dxfId="5657" priority="5623">
      <formula>LEN(TRIM(O74))=0</formula>
    </cfRule>
  </conditionalFormatting>
  <conditionalFormatting sqref="N70:T70">
    <cfRule type="containsBlanks" dxfId="5656" priority="5622">
      <formula>LEN(TRIM(N70))=0</formula>
    </cfRule>
  </conditionalFormatting>
  <conditionalFormatting sqref="M87:S87">
    <cfRule type="containsBlanks" dxfId="5655" priority="5621">
      <formula>LEN(TRIM(M87))=0</formula>
    </cfRule>
  </conditionalFormatting>
  <conditionalFormatting sqref="N90:T90">
    <cfRule type="containsBlanks" dxfId="5654" priority="5620">
      <formula>LEN(TRIM(N90))=0</formula>
    </cfRule>
  </conditionalFormatting>
  <conditionalFormatting sqref="O92:Q92">
    <cfRule type="containsBlanks" dxfId="5653" priority="5619">
      <formula>LEN(TRIM(O92))=0</formula>
    </cfRule>
  </conditionalFormatting>
  <conditionalFormatting sqref="M94:T94">
    <cfRule type="containsBlanks" dxfId="5652" priority="5618">
      <formula>LEN(TRIM(M94))=0</formula>
    </cfRule>
  </conditionalFormatting>
  <conditionalFormatting sqref="M100:T100">
    <cfRule type="containsBlanks" dxfId="5651" priority="5617">
      <formula>LEN(TRIM(M100))=0</formula>
    </cfRule>
  </conditionalFormatting>
  <conditionalFormatting sqref="O101:S101">
    <cfRule type="containsBlanks" dxfId="5650" priority="5616">
      <formula>LEN(TRIM(O101))=0</formula>
    </cfRule>
  </conditionalFormatting>
  <conditionalFormatting sqref="M101:N101">
    <cfRule type="containsBlanks" dxfId="5649" priority="5615">
      <formula>LEN(TRIM(M101))=0</formula>
    </cfRule>
  </conditionalFormatting>
  <conditionalFormatting sqref="M64:T64">
    <cfRule type="containsBlanks" dxfId="5648" priority="5614">
      <formula>LEN(TRIM(M64))=0</formula>
    </cfRule>
  </conditionalFormatting>
  <conditionalFormatting sqref="M65:S65">
    <cfRule type="containsBlanks" dxfId="5647" priority="5613">
      <formula>LEN(TRIM(M65))=0</formula>
    </cfRule>
  </conditionalFormatting>
  <conditionalFormatting sqref="O36:Q36">
    <cfRule type="containsBlanks" dxfId="5646" priority="5612">
      <formula>LEN(TRIM(O36))=0</formula>
    </cfRule>
  </conditionalFormatting>
  <conditionalFormatting sqref="O43:Q43">
    <cfRule type="containsBlanks" dxfId="5645" priority="5611">
      <formula>LEN(TRIM(O43))=0</formula>
    </cfRule>
  </conditionalFormatting>
  <conditionalFormatting sqref="O40:Q40">
    <cfRule type="containsBlanks" dxfId="5644" priority="5610">
      <formula>LEN(TRIM(O40))=0</formula>
    </cfRule>
  </conditionalFormatting>
  <conditionalFormatting sqref="O41:Q41">
    <cfRule type="containsBlanks" dxfId="5643" priority="5609">
      <formula>LEN(TRIM(O41))=0</formula>
    </cfRule>
  </conditionalFormatting>
  <conditionalFormatting sqref="O45:Q45">
    <cfRule type="containsBlanks" dxfId="5642" priority="5608">
      <formula>LEN(TRIM(O45))=0</formula>
    </cfRule>
  </conditionalFormatting>
  <conditionalFormatting sqref="O47:Q47">
    <cfRule type="containsBlanks" dxfId="5641" priority="5607">
      <formula>LEN(TRIM(O47))=0</formula>
    </cfRule>
  </conditionalFormatting>
  <conditionalFormatting sqref="O49:Q49">
    <cfRule type="containsBlanks" dxfId="5640" priority="5606">
      <formula>LEN(TRIM(O49))=0</formula>
    </cfRule>
  </conditionalFormatting>
  <conditionalFormatting sqref="O62:Q62">
    <cfRule type="containsBlanks" dxfId="5639" priority="5605">
      <formula>LEN(TRIM(O62))=0</formula>
    </cfRule>
  </conditionalFormatting>
  <conditionalFormatting sqref="O63:Q63">
    <cfRule type="containsBlanks" dxfId="5638" priority="5604">
      <formula>LEN(TRIM(O63))=0</formula>
    </cfRule>
  </conditionalFormatting>
  <conditionalFormatting sqref="O65:Q65">
    <cfRule type="containsBlanks" dxfId="5637" priority="5603">
      <formula>LEN(TRIM(O65))=0</formula>
    </cfRule>
  </conditionalFormatting>
  <conditionalFormatting sqref="N61:T61">
    <cfRule type="containsBlanks" dxfId="5636" priority="5602">
      <formula>LEN(TRIM(N61))=0</formula>
    </cfRule>
  </conditionalFormatting>
  <conditionalFormatting sqref="M78:S78">
    <cfRule type="containsBlanks" dxfId="5635" priority="5601">
      <formula>LEN(TRIM(M78))=0</formula>
    </cfRule>
  </conditionalFormatting>
  <conditionalFormatting sqref="N81:T81">
    <cfRule type="containsBlanks" dxfId="5634" priority="5600">
      <formula>LEN(TRIM(N81))=0</formula>
    </cfRule>
  </conditionalFormatting>
  <conditionalFormatting sqref="O83:Q83">
    <cfRule type="containsBlanks" dxfId="5633" priority="5599">
      <formula>LEN(TRIM(O83))=0</formula>
    </cfRule>
  </conditionalFormatting>
  <conditionalFormatting sqref="M85:T85">
    <cfRule type="containsBlanks" dxfId="5632" priority="5598">
      <formula>LEN(TRIM(M85))=0</formula>
    </cfRule>
  </conditionalFormatting>
  <conditionalFormatting sqref="M91:T91">
    <cfRule type="containsBlanks" dxfId="5631" priority="5597">
      <formula>LEN(TRIM(M91))=0</formula>
    </cfRule>
  </conditionalFormatting>
  <conditionalFormatting sqref="O92:S92">
    <cfRule type="containsBlanks" dxfId="5630" priority="5596">
      <formula>LEN(TRIM(O92))=0</formula>
    </cfRule>
  </conditionalFormatting>
  <conditionalFormatting sqref="M92:N92">
    <cfRule type="containsBlanks" dxfId="5629" priority="5595">
      <formula>LEN(TRIM(M92))=0</formula>
    </cfRule>
  </conditionalFormatting>
  <conditionalFormatting sqref="M55:T55">
    <cfRule type="containsBlanks" dxfId="5628" priority="5594">
      <formula>LEN(TRIM(M55))=0</formula>
    </cfRule>
  </conditionalFormatting>
  <conditionalFormatting sqref="M56:S56">
    <cfRule type="containsBlanks" dxfId="5627" priority="5593">
      <formula>LEN(TRIM(M56))=0</formula>
    </cfRule>
  </conditionalFormatting>
  <conditionalFormatting sqref="O54:Q54">
    <cfRule type="containsBlanks" dxfId="5626" priority="5592">
      <formula>LEN(TRIM(O54))=0</formula>
    </cfRule>
  </conditionalFormatting>
  <conditionalFormatting sqref="O51:Q51">
    <cfRule type="containsBlanks" dxfId="5625" priority="5591">
      <formula>LEN(TRIM(O51))=0</formula>
    </cfRule>
  </conditionalFormatting>
  <conditionalFormatting sqref="O52:Q52">
    <cfRule type="containsBlanks" dxfId="5624" priority="5590">
      <formula>LEN(TRIM(O52))=0</formula>
    </cfRule>
  </conditionalFormatting>
  <conditionalFormatting sqref="O56:Q56">
    <cfRule type="containsBlanks" dxfId="5623" priority="5589">
      <formula>LEN(TRIM(O56))=0</formula>
    </cfRule>
  </conditionalFormatting>
  <conditionalFormatting sqref="O58:Q58">
    <cfRule type="containsBlanks" dxfId="5622" priority="5588">
      <formula>LEN(TRIM(O58))=0</formula>
    </cfRule>
  </conditionalFormatting>
  <conditionalFormatting sqref="O60:Q60">
    <cfRule type="containsBlanks" dxfId="5621" priority="5587">
      <formula>LEN(TRIM(O60))=0</formula>
    </cfRule>
  </conditionalFormatting>
  <conditionalFormatting sqref="O73:Q73">
    <cfRule type="containsBlanks" dxfId="5620" priority="5586">
      <formula>LEN(TRIM(O73))=0</formula>
    </cfRule>
  </conditionalFormatting>
  <conditionalFormatting sqref="O74:Q74">
    <cfRule type="containsBlanks" dxfId="5619" priority="5585">
      <formula>LEN(TRIM(O74))=0</formula>
    </cfRule>
  </conditionalFormatting>
  <conditionalFormatting sqref="O76:Q76">
    <cfRule type="containsBlanks" dxfId="5618" priority="5584">
      <formula>LEN(TRIM(O76))=0</formula>
    </cfRule>
  </conditionalFormatting>
  <conditionalFormatting sqref="N72:T72">
    <cfRule type="containsBlanks" dxfId="5617" priority="5583">
      <formula>LEN(TRIM(N72))=0</formula>
    </cfRule>
  </conditionalFormatting>
  <conditionalFormatting sqref="M89:S89">
    <cfRule type="containsBlanks" dxfId="5616" priority="5582">
      <formula>LEN(TRIM(M89))=0</formula>
    </cfRule>
  </conditionalFormatting>
  <conditionalFormatting sqref="N92:T92">
    <cfRule type="containsBlanks" dxfId="5615" priority="5581">
      <formula>LEN(TRIM(N92))=0</formula>
    </cfRule>
  </conditionalFormatting>
  <conditionalFormatting sqref="O94:Q94">
    <cfRule type="containsBlanks" dxfId="5614" priority="5580">
      <formula>LEN(TRIM(O94))=0</formula>
    </cfRule>
  </conditionalFormatting>
  <conditionalFormatting sqref="M96:T96">
    <cfRule type="containsBlanks" dxfId="5613" priority="5579">
      <formula>LEN(TRIM(M96))=0</formula>
    </cfRule>
  </conditionalFormatting>
  <conditionalFormatting sqref="M102:T102">
    <cfRule type="containsBlanks" dxfId="5612" priority="5578">
      <formula>LEN(TRIM(M102))=0</formula>
    </cfRule>
  </conditionalFormatting>
  <conditionalFormatting sqref="O103:S103">
    <cfRule type="containsBlanks" dxfId="5611" priority="5577">
      <formula>LEN(TRIM(O103))=0</formula>
    </cfRule>
  </conditionalFormatting>
  <conditionalFormatting sqref="M103:N103">
    <cfRule type="containsBlanks" dxfId="5610" priority="5576">
      <formula>LEN(TRIM(M103))=0</formula>
    </cfRule>
  </conditionalFormatting>
  <conditionalFormatting sqref="M66:T66">
    <cfRule type="containsBlanks" dxfId="5609" priority="5575">
      <formula>LEN(TRIM(M66))=0</formula>
    </cfRule>
  </conditionalFormatting>
  <conditionalFormatting sqref="M67:S67">
    <cfRule type="containsBlanks" dxfId="5608" priority="5574">
      <formula>LEN(TRIM(M67))=0</formula>
    </cfRule>
  </conditionalFormatting>
  <conditionalFormatting sqref="O51:Q51">
    <cfRule type="containsBlanks" dxfId="5607" priority="5573">
      <formula>LEN(TRIM(O51))=0</formula>
    </cfRule>
  </conditionalFormatting>
  <conditionalFormatting sqref="O64:Q64">
    <cfRule type="containsBlanks" dxfId="5606" priority="5572">
      <formula>LEN(TRIM(O64))=0</formula>
    </cfRule>
  </conditionalFormatting>
  <conditionalFormatting sqref="O65:Q65">
    <cfRule type="containsBlanks" dxfId="5605" priority="5571">
      <formula>LEN(TRIM(O65))=0</formula>
    </cfRule>
  </conditionalFormatting>
  <conditionalFormatting sqref="O67:Q67">
    <cfRule type="containsBlanks" dxfId="5604" priority="5570">
      <formula>LEN(TRIM(O67))=0</formula>
    </cfRule>
  </conditionalFormatting>
  <conditionalFormatting sqref="N63:T63">
    <cfRule type="containsBlanks" dxfId="5603" priority="5569">
      <formula>LEN(TRIM(N63))=0</formula>
    </cfRule>
  </conditionalFormatting>
  <conditionalFormatting sqref="M80:S80">
    <cfRule type="containsBlanks" dxfId="5602" priority="5568">
      <formula>LEN(TRIM(M80))=0</formula>
    </cfRule>
  </conditionalFormatting>
  <conditionalFormatting sqref="N83:T83">
    <cfRule type="containsBlanks" dxfId="5601" priority="5567">
      <formula>LEN(TRIM(N83))=0</formula>
    </cfRule>
  </conditionalFormatting>
  <conditionalFormatting sqref="O85:Q85">
    <cfRule type="containsBlanks" dxfId="5600" priority="5566">
      <formula>LEN(TRIM(O85))=0</formula>
    </cfRule>
  </conditionalFormatting>
  <conditionalFormatting sqref="M87:T87">
    <cfRule type="containsBlanks" dxfId="5599" priority="5565">
      <formula>LEN(TRIM(M87))=0</formula>
    </cfRule>
  </conditionalFormatting>
  <conditionalFormatting sqref="M93:T93">
    <cfRule type="containsBlanks" dxfId="5598" priority="5564">
      <formula>LEN(TRIM(M93))=0</formula>
    </cfRule>
  </conditionalFormatting>
  <conditionalFormatting sqref="O94:S94">
    <cfRule type="containsBlanks" dxfId="5597" priority="5563">
      <formula>LEN(TRIM(O94))=0</formula>
    </cfRule>
  </conditionalFormatting>
  <conditionalFormatting sqref="M94:N94">
    <cfRule type="containsBlanks" dxfId="5596" priority="5562">
      <formula>LEN(TRIM(M94))=0</formula>
    </cfRule>
  </conditionalFormatting>
  <conditionalFormatting sqref="M57:T57">
    <cfRule type="containsBlanks" dxfId="5595" priority="5561">
      <formula>LEN(TRIM(M57))=0</formula>
    </cfRule>
  </conditionalFormatting>
  <conditionalFormatting sqref="M58:S58">
    <cfRule type="containsBlanks" dxfId="5594" priority="5560">
      <formula>LEN(TRIM(M58))=0</formula>
    </cfRule>
  </conditionalFormatting>
  <conditionalFormatting sqref="O51:Q51">
    <cfRule type="containsBlanks" dxfId="5593" priority="5559">
      <formula>LEN(TRIM(O51))=0</formula>
    </cfRule>
  </conditionalFormatting>
  <conditionalFormatting sqref="O53:Q53">
    <cfRule type="containsBlanks" dxfId="5592" priority="5558">
      <formula>LEN(TRIM(O53))=0</formula>
    </cfRule>
  </conditionalFormatting>
  <conditionalFormatting sqref="O55:Q55">
    <cfRule type="containsBlanks" dxfId="5591" priority="5557">
      <formula>LEN(TRIM(O55))=0</formula>
    </cfRule>
  </conditionalFormatting>
  <conditionalFormatting sqref="O68:Q68">
    <cfRule type="containsBlanks" dxfId="5590" priority="5556">
      <formula>LEN(TRIM(O68))=0</formula>
    </cfRule>
  </conditionalFormatting>
  <conditionalFormatting sqref="O69:Q69">
    <cfRule type="containsBlanks" dxfId="5589" priority="5555">
      <formula>LEN(TRIM(O69))=0</formula>
    </cfRule>
  </conditionalFormatting>
  <conditionalFormatting sqref="O71:Q71">
    <cfRule type="containsBlanks" dxfId="5588" priority="5554">
      <formula>LEN(TRIM(O71))=0</formula>
    </cfRule>
  </conditionalFormatting>
  <conditionalFormatting sqref="N67:T67">
    <cfRule type="containsBlanks" dxfId="5587" priority="5553">
      <formula>LEN(TRIM(N67))=0</formula>
    </cfRule>
  </conditionalFormatting>
  <conditionalFormatting sqref="M84:S84">
    <cfRule type="containsBlanks" dxfId="5586" priority="5552">
      <formula>LEN(TRIM(M84))=0</formula>
    </cfRule>
  </conditionalFormatting>
  <conditionalFormatting sqref="N87:T87">
    <cfRule type="containsBlanks" dxfId="5585" priority="5551">
      <formula>LEN(TRIM(N87))=0</formula>
    </cfRule>
  </conditionalFormatting>
  <conditionalFormatting sqref="O89:Q89">
    <cfRule type="containsBlanks" dxfId="5584" priority="5550">
      <formula>LEN(TRIM(O89))=0</formula>
    </cfRule>
  </conditionalFormatting>
  <conditionalFormatting sqref="M91:T91">
    <cfRule type="containsBlanks" dxfId="5583" priority="5549">
      <formula>LEN(TRIM(M91))=0</formula>
    </cfRule>
  </conditionalFormatting>
  <conditionalFormatting sqref="M97:T97">
    <cfRule type="containsBlanks" dxfId="5582" priority="5548">
      <formula>LEN(TRIM(M97))=0</formula>
    </cfRule>
  </conditionalFormatting>
  <conditionalFormatting sqref="O98:S98">
    <cfRule type="containsBlanks" dxfId="5581" priority="5547">
      <formula>LEN(TRIM(O98))=0</formula>
    </cfRule>
  </conditionalFormatting>
  <conditionalFormatting sqref="M98:N98">
    <cfRule type="containsBlanks" dxfId="5580" priority="5546">
      <formula>LEN(TRIM(M98))=0</formula>
    </cfRule>
  </conditionalFormatting>
  <conditionalFormatting sqref="M61:T61">
    <cfRule type="containsBlanks" dxfId="5579" priority="5545">
      <formula>LEN(TRIM(M61))=0</formula>
    </cfRule>
  </conditionalFormatting>
  <conditionalFormatting sqref="M62:S62">
    <cfRule type="containsBlanks" dxfId="5578" priority="5544">
      <formula>LEN(TRIM(M62))=0</formula>
    </cfRule>
  </conditionalFormatting>
  <conditionalFormatting sqref="O59:Q59">
    <cfRule type="containsBlanks" dxfId="5577" priority="5543">
      <formula>LEN(TRIM(O59))=0</formula>
    </cfRule>
  </conditionalFormatting>
  <conditionalFormatting sqref="O60:Q60">
    <cfRule type="containsBlanks" dxfId="5576" priority="5542">
      <formula>LEN(TRIM(O60))=0</formula>
    </cfRule>
  </conditionalFormatting>
  <conditionalFormatting sqref="O62:Q62">
    <cfRule type="containsBlanks" dxfId="5575" priority="5541">
      <formula>LEN(TRIM(O62))=0</formula>
    </cfRule>
  </conditionalFormatting>
  <conditionalFormatting sqref="N58:T58">
    <cfRule type="containsBlanks" dxfId="5574" priority="5540">
      <formula>LEN(TRIM(N58))=0</formula>
    </cfRule>
  </conditionalFormatting>
  <conditionalFormatting sqref="M75:S75">
    <cfRule type="containsBlanks" dxfId="5573" priority="5539">
      <formula>LEN(TRIM(M75))=0</formula>
    </cfRule>
  </conditionalFormatting>
  <conditionalFormatting sqref="N78:T78">
    <cfRule type="containsBlanks" dxfId="5572" priority="5538">
      <formula>LEN(TRIM(N78))=0</formula>
    </cfRule>
  </conditionalFormatting>
  <conditionalFormatting sqref="O80:Q80">
    <cfRule type="containsBlanks" dxfId="5571" priority="5537">
      <formula>LEN(TRIM(O80))=0</formula>
    </cfRule>
  </conditionalFormatting>
  <conditionalFormatting sqref="M82:T82">
    <cfRule type="containsBlanks" dxfId="5570" priority="5536">
      <formula>LEN(TRIM(M82))=0</formula>
    </cfRule>
  </conditionalFormatting>
  <conditionalFormatting sqref="M88:T88">
    <cfRule type="containsBlanks" dxfId="5569" priority="5535">
      <formula>LEN(TRIM(M88))=0</formula>
    </cfRule>
  </conditionalFormatting>
  <conditionalFormatting sqref="O89:S89">
    <cfRule type="containsBlanks" dxfId="5568" priority="5534">
      <formula>LEN(TRIM(O89))=0</formula>
    </cfRule>
  </conditionalFormatting>
  <conditionalFormatting sqref="M89:N89">
    <cfRule type="containsBlanks" dxfId="5567" priority="5533">
      <formula>LEN(TRIM(M89))=0</formula>
    </cfRule>
  </conditionalFormatting>
  <conditionalFormatting sqref="M52:T52">
    <cfRule type="containsBlanks" dxfId="5566" priority="5532">
      <formula>LEN(TRIM(M52))=0</formula>
    </cfRule>
  </conditionalFormatting>
  <conditionalFormatting sqref="M53:S53">
    <cfRule type="containsBlanks" dxfId="5565" priority="5531">
      <formula>LEN(TRIM(M53))=0</formula>
    </cfRule>
  </conditionalFormatting>
  <conditionalFormatting sqref="O47:Q47">
    <cfRule type="containsBlanks" dxfId="5564" priority="5530">
      <formula>LEN(TRIM(O47))=0</formula>
    </cfRule>
  </conditionalFormatting>
  <conditionalFormatting sqref="O54:Q54">
    <cfRule type="containsBlanks" dxfId="5563" priority="5529">
      <formula>LEN(TRIM(O54))=0</formula>
    </cfRule>
  </conditionalFormatting>
  <conditionalFormatting sqref="O51:Q51">
    <cfRule type="containsBlanks" dxfId="5562" priority="5528">
      <formula>LEN(TRIM(O51))=0</formula>
    </cfRule>
  </conditionalFormatting>
  <conditionalFormatting sqref="O52:Q52">
    <cfRule type="containsBlanks" dxfId="5561" priority="5527">
      <formula>LEN(TRIM(O52))=0</formula>
    </cfRule>
  </conditionalFormatting>
  <conditionalFormatting sqref="O56:Q56">
    <cfRule type="containsBlanks" dxfId="5560" priority="5526">
      <formula>LEN(TRIM(O56))=0</formula>
    </cfRule>
  </conditionalFormatting>
  <conditionalFormatting sqref="O58:Q58">
    <cfRule type="containsBlanks" dxfId="5559" priority="5525">
      <formula>LEN(TRIM(O58))=0</formula>
    </cfRule>
  </conditionalFormatting>
  <conditionalFormatting sqref="O60:Q60">
    <cfRule type="containsBlanks" dxfId="5558" priority="5524">
      <formula>LEN(TRIM(O60))=0</formula>
    </cfRule>
  </conditionalFormatting>
  <conditionalFormatting sqref="O73:Q73">
    <cfRule type="containsBlanks" dxfId="5557" priority="5523">
      <formula>LEN(TRIM(O73))=0</formula>
    </cfRule>
  </conditionalFormatting>
  <conditionalFormatting sqref="O74:Q74">
    <cfRule type="containsBlanks" dxfId="5556" priority="5522">
      <formula>LEN(TRIM(O74))=0</formula>
    </cfRule>
  </conditionalFormatting>
  <conditionalFormatting sqref="O76:Q76">
    <cfRule type="containsBlanks" dxfId="5555" priority="5521">
      <formula>LEN(TRIM(O76))=0</formula>
    </cfRule>
  </conditionalFormatting>
  <conditionalFormatting sqref="N72:T72">
    <cfRule type="containsBlanks" dxfId="5554" priority="5520">
      <formula>LEN(TRIM(N72))=0</formula>
    </cfRule>
  </conditionalFormatting>
  <conditionalFormatting sqref="M89:S89">
    <cfRule type="containsBlanks" dxfId="5553" priority="5519">
      <formula>LEN(TRIM(M89))=0</formula>
    </cfRule>
  </conditionalFormatting>
  <conditionalFormatting sqref="N92:T92">
    <cfRule type="containsBlanks" dxfId="5552" priority="5518">
      <formula>LEN(TRIM(N92))=0</formula>
    </cfRule>
  </conditionalFormatting>
  <conditionalFormatting sqref="O94:Q94">
    <cfRule type="containsBlanks" dxfId="5551" priority="5517">
      <formula>LEN(TRIM(O94))=0</formula>
    </cfRule>
  </conditionalFormatting>
  <conditionalFormatting sqref="M96:T96">
    <cfRule type="containsBlanks" dxfId="5550" priority="5516">
      <formula>LEN(TRIM(M96))=0</formula>
    </cfRule>
  </conditionalFormatting>
  <conditionalFormatting sqref="M102:T102">
    <cfRule type="containsBlanks" dxfId="5549" priority="5515">
      <formula>LEN(TRIM(M102))=0</formula>
    </cfRule>
  </conditionalFormatting>
  <conditionalFormatting sqref="O103:S103">
    <cfRule type="containsBlanks" dxfId="5548" priority="5514">
      <formula>LEN(TRIM(O103))=0</formula>
    </cfRule>
  </conditionalFormatting>
  <conditionalFormatting sqref="M103:N103">
    <cfRule type="containsBlanks" dxfId="5547" priority="5513">
      <formula>LEN(TRIM(M103))=0</formula>
    </cfRule>
  </conditionalFormatting>
  <conditionalFormatting sqref="M66:T66">
    <cfRule type="containsBlanks" dxfId="5546" priority="5512">
      <formula>LEN(TRIM(M66))=0</formula>
    </cfRule>
  </conditionalFormatting>
  <conditionalFormatting sqref="M67:S67">
    <cfRule type="containsBlanks" dxfId="5545" priority="5511">
      <formula>LEN(TRIM(M67))=0</formula>
    </cfRule>
  </conditionalFormatting>
  <conditionalFormatting sqref="O38:Q38">
    <cfRule type="containsBlanks" dxfId="5544" priority="5510">
      <formula>LEN(TRIM(O38))=0</formula>
    </cfRule>
  </conditionalFormatting>
  <conditionalFormatting sqref="O45:Q45">
    <cfRule type="containsBlanks" dxfId="5543" priority="5509">
      <formula>LEN(TRIM(O45))=0</formula>
    </cfRule>
  </conditionalFormatting>
  <conditionalFormatting sqref="O42:Q42">
    <cfRule type="containsBlanks" dxfId="5542" priority="5508">
      <formula>LEN(TRIM(O42))=0</formula>
    </cfRule>
  </conditionalFormatting>
  <conditionalFormatting sqref="O43:Q43">
    <cfRule type="containsBlanks" dxfId="5541" priority="5507">
      <formula>LEN(TRIM(O43))=0</formula>
    </cfRule>
  </conditionalFormatting>
  <conditionalFormatting sqref="O47:Q47">
    <cfRule type="containsBlanks" dxfId="5540" priority="5506">
      <formula>LEN(TRIM(O47))=0</formula>
    </cfRule>
  </conditionalFormatting>
  <conditionalFormatting sqref="O49:Q49">
    <cfRule type="containsBlanks" dxfId="5539" priority="5505">
      <formula>LEN(TRIM(O49))=0</formula>
    </cfRule>
  </conditionalFormatting>
  <conditionalFormatting sqref="O51:Q51">
    <cfRule type="containsBlanks" dxfId="5538" priority="5504">
      <formula>LEN(TRIM(O51))=0</formula>
    </cfRule>
  </conditionalFormatting>
  <conditionalFormatting sqref="O64:Q64">
    <cfRule type="containsBlanks" dxfId="5537" priority="5503">
      <formula>LEN(TRIM(O64))=0</formula>
    </cfRule>
  </conditionalFormatting>
  <conditionalFormatting sqref="O65:Q65">
    <cfRule type="containsBlanks" dxfId="5536" priority="5502">
      <formula>LEN(TRIM(O65))=0</formula>
    </cfRule>
  </conditionalFormatting>
  <conditionalFormatting sqref="O67:Q67">
    <cfRule type="containsBlanks" dxfId="5535" priority="5501">
      <formula>LEN(TRIM(O67))=0</formula>
    </cfRule>
  </conditionalFormatting>
  <conditionalFormatting sqref="N63:T63">
    <cfRule type="containsBlanks" dxfId="5534" priority="5500">
      <formula>LEN(TRIM(N63))=0</formula>
    </cfRule>
  </conditionalFormatting>
  <conditionalFormatting sqref="M80:S80">
    <cfRule type="containsBlanks" dxfId="5533" priority="5499">
      <formula>LEN(TRIM(M80))=0</formula>
    </cfRule>
  </conditionalFormatting>
  <conditionalFormatting sqref="N83:T83">
    <cfRule type="containsBlanks" dxfId="5532" priority="5498">
      <formula>LEN(TRIM(N83))=0</formula>
    </cfRule>
  </conditionalFormatting>
  <conditionalFormatting sqref="O85:Q85">
    <cfRule type="containsBlanks" dxfId="5531" priority="5497">
      <formula>LEN(TRIM(O85))=0</formula>
    </cfRule>
  </conditionalFormatting>
  <conditionalFormatting sqref="M87:T87">
    <cfRule type="containsBlanks" dxfId="5530" priority="5496">
      <formula>LEN(TRIM(M87))=0</formula>
    </cfRule>
  </conditionalFormatting>
  <conditionalFormatting sqref="M93:T93">
    <cfRule type="containsBlanks" dxfId="5529" priority="5495">
      <formula>LEN(TRIM(M93))=0</formula>
    </cfRule>
  </conditionalFormatting>
  <conditionalFormatting sqref="O94:S94">
    <cfRule type="containsBlanks" dxfId="5528" priority="5494">
      <formula>LEN(TRIM(O94))=0</formula>
    </cfRule>
  </conditionalFormatting>
  <conditionalFormatting sqref="M94:N94">
    <cfRule type="containsBlanks" dxfId="5527" priority="5493">
      <formula>LEN(TRIM(M94))=0</formula>
    </cfRule>
  </conditionalFormatting>
  <conditionalFormatting sqref="M57:T57">
    <cfRule type="containsBlanks" dxfId="5526" priority="5492">
      <formula>LEN(TRIM(M57))=0</formula>
    </cfRule>
  </conditionalFormatting>
  <conditionalFormatting sqref="M58:S58">
    <cfRule type="containsBlanks" dxfId="5525" priority="5491">
      <formula>LEN(TRIM(M58))=0</formula>
    </cfRule>
  </conditionalFormatting>
  <conditionalFormatting sqref="O42:Q42">
    <cfRule type="containsBlanks" dxfId="5524" priority="5490">
      <formula>LEN(TRIM(O42))=0</formula>
    </cfRule>
  </conditionalFormatting>
  <conditionalFormatting sqref="O49:Q49">
    <cfRule type="containsBlanks" dxfId="5523" priority="5489">
      <formula>LEN(TRIM(O49))=0</formula>
    </cfRule>
  </conditionalFormatting>
  <conditionalFormatting sqref="O46:Q46">
    <cfRule type="containsBlanks" dxfId="5522" priority="5488">
      <formula>LEN(TRIM(O46))=0</formula>
    </cfRule>
  </conditionalFormatting>
  <conditionalFormatting sqref="O47:Q47">
    <cfRule type="containsBlanks" dxfId="5521" priority="5487">
      <formula>LEN(TRIM(O47))=0</formula>
    </cfRule>
  </conditionalFormatting>
  <conditionalFormatting sqref="O51:Q51">
    <cfRule type="containsBlanks" dxfId="5520" priority="5486">
      <formula>LEN(TRIM(O51))=0</formula>
    </cfRule>
  </conditionalFormatting>
  <conditionalFormatting sqref="O53:Q53">
    <cfRule type="containsBlanks" dxfId="5519" priority="5485">
      <formula>LEN(TRIM(O53))=0</formula>
    </cfRule>
  </conditionalFormatting>
  <conditionalFormatting sqref="O55:Q55">
    <cfRule type="containsBlanks" dxfId="5518" priority="5484">
      <formula>LEN(TRIM(O55))=0</formula>
    </cfRule>
  </conditionalFormatting>
  <conditionalFormatting sqref="O68:Q68">
    <cfRule type="containsBlanks" dxfId="5517" priority="5483">
      <formula>LEN(TRIM(O68))=0</formula>
    </cfRule>
  </conditionalFormatting>
  <conditionalFormatting sqref="O69:Q69">
    <cfRule type="containsBlanks" dxfId="5516" priority="5482">
      <formula>LEN(TRIM(O69))=0</formula>
    </cfRule>
  </conditionalFormatting>
  <conditionalFormatting sqref="O71:Q71">
    <cfRule type="containsBlanks" dxfId="5515" priority="5481">
      <formula>LEN(TRIM(O71))=0</formula>
    </cfRule>
  </conditionalFormatting>
  <conditionalFormatting sqref="N67:T67">
    <cfRule type="containsBlanks" dxfId="5514" priority="5480">
      <formula>LEN(TRIM(N67))=0</formula>
    </cfRule>
  </conditionalFormatting>
  <conditionalFormatting sqref="M84:S84">
    <cfRule type="containsBlanks" dxfId="5513" priority="5479">
      <formula>LEN(TRIM(M84))=0</formula>
    </cfRule>
  </conditionalFormatting>
  <conditionalFormatting sqref="N87:T87">
    <cfRule type="containsBlanks" dxfId="5512" priority="5478">
      <formula>LEN(TRIM(N87))=0</formula>
    </cfRule>
  </conditionalFormatting>
  <conditionalFormatting sqref="O89:Q89">
    <cfRule type="containsBlanks" dxfId="5511" priority="5477">
      <formula>LEN(TRIM(O89))=0</formula>
    </cfRule>
  </conditionalFormatting>
  <conditionalFormatting sqref="M91:T91">
    <cfRule type="containsBlanks" dxfId="5510" priority="5476">
      <formula>LEN(TRIM(M91))=0</formula>
    </cfRule>
  </conditionalFormatting>
  <conditionalFormatting sqref="M97:T97">
    <cfRule type="containsBlanks" dxfId="5509" priority="5475">
      <formula>LEN(TRIM(M97))=0</formula>
    </cfRule>
  </conditionalFormatting>
  <conditionalFormatting sqref="O98:S98">
    <cfRule type="containsBlanks" dxfId="5508" priority="5474">
      <formula>LEN(TRIM(O98))=0</formula>
    </cfRule>
  </conditionalFormatting>
  <conditionalFormatting sqref="M98:N98">
    <cfRule type="containsBlanks" dxfId="5507" priority="5473">
      <formula>LEN(TRIM(M98))=0</formula>
    </cfRule>
  </conditionalFormatting>
  <conditionalFormatting sqref="M61:T61">
    <cfRule type="containsBlanks" dxfId="5506" priority="5472">
      <formula>LEN(TRIM(M61))=0</formula>
    </cfRule>
  </conditionalFormatting>
  <conditionalFormatting sqref="M62:S62">
    <cfRule type="containsBlanks" dxfId="5505" priority="5471">
      <formula>LEN(TRIM(M62))=0</formula>
    </cfRule>
  </conditionalFormatting>
  <conditionalFormatting sqref="O33:Q33">
    <cfRule type="containsBlanks" dxfId="5504" priority="5470">
      <formula>LEN(TRIM(O33))=0</formula>
    </cfRule>
  </conditionalFormatting>
  <conditionalFormatting sqref="O40:Q40">
    <cfRule type="containsBlanks" dxfId="5503" priority="5469">
      <formula>LEN(TRIM(O40))=0</formula>
    </cfRule>
  </conditionalFormatting>
  <conditionalFormatting sqref="O37:Q37">
    <cfRule type="containsBlanks" dxfId="5502" priority="5468">
      <formula>LEN(TRIM(O37))=0</formula>
    </cfRule>
  </conditionalFormatting>
  <conditionalFormatting sqref="O38:Q38">
    <cfRule type="containsBlanks" dxfId="5501" priority="5467">
      <formula>LEN(TRIM(O38))=0</formula>
    </cfRule>
  </conditionalFormatting>
  <conditionalFormatting sqref="O42:Q42">
    <cfRule type="containsBlanks" dxfId="5500" priority="5466">
      <formula>LEN(TRIM(O42))=0</formula>
    </cfRule>
  </conditionalFormatting>
  <conditionalFormatting sqref="O44:Q44">
    <cfRule type="containsBlanks" dxfId="5499" priority="5465">
      <formula>LEN(TRIM(O44))=0</formula>
    </cfRule>
  </conditionalFormatting>
  <conditionalFormatting sqref="O46:Q46">
    <cfRule type="containsBlanks" dxfId="5498" priority="5464">
      <formula>LEN(TRIM(O46))=0</formula>
    </cfRule>
  </conditionalFormatting>
  <conditionalFormatting sqref="O59:Q59">
    <cfRule type="containsBlanks" dxfId="5497" priority="5463">
      <formula>LEN(TRIM(O59))=0</formula>
    </cfRule>
  </conditionalFormatting>
  <conditionalFormatting sqref="O60:Q60">
    <cfRule type="containsBlanks" dxfId="5496" priority="5462">
      <formula>LEN(TRIM(O60))=0</formula>
    </cfRule>
  </conditionalFormatting>
  <conditionalFormatting sqref="O62:Q62">
    <cfRule type="containsBlanks" dxfId="5495" priority="5461">
      <formula>LEN(TRIM(O62))=0</formula>
    </cfRule>
  </conditionalFormatting>
  <conditionalFormatting sqref="N58:T58">
    <cfRule type="containsBlanks" dxfId="5494" priority="5460">
      <formula>LEN(TRIM(N58))=0</formula>
    </cfRule>
  </conditionalFormatting>
  <conditionalFormatting sqref="M75:S75">
    <cfRule type="containsBlanks" dxfId="5493" priority="5459">
      <formula>LEN(TRIM(M75))=0</formula>
    </cfRule>
  </conditionalFormatting>
  <conditionalFormatting sqref="N78:T78">
    <cfRule type="containsBlanks" dxfId="5492" priority="5458">
      <formula>LEN(TRIM(N78))=0</formula>
    </cfRule>
  </conditionalFormatting>
  <conditionalFormatting sqref="O80:Q80">
    <cfRule type="containsBlanks" dxfId="5491" priority="5457">
      <formula>LEN(TRIM(O80))=0</formula>
    </cfRule>
  </conditionalFormatting>
  <conditionalFormatting sqref="M82:T82">
    <cfRule type="containsBlanks" dxfId="5490" priority="5456">
      <formula>LEN(TRIM(M82))=0</formula>
    </cfRule>
  </conditionalFormatting>
  <conditionalFormatting sqref="M88:T88">
    <cfRule type="containsBlanks" dxfId="5489" priority="5455">
      <formula>LEN(TRIM(M88))=0</formula>
    </cfRule>
  </conditionalFormatting>
  <conditionalFormatting sqref="O89:S89">
    <cfRule type="containsBlanks" dxfId="5488" priority="5454">
      <formula>LEN(TRIM(O89))=0</formula>
    </cfRule>
  </conditionalFormatting>
  <conditionalFormatting sqref="M89:N89">
    <cfRule type="containsBlanks" dxfId="5487" priority="5453">
      <formula>LEN(TRIM(M89))=0</formula>
    </cfRule>
  </conditionalFormatting>
  <conditionalFormatting sqref="M52:T52">
    <cfRule type="containsBlanks" dxfId="5486" priority="5452">
      <formula>LEN(TRIM(M52))=0</formula>
    </cfRule>
  </conditionalFormatting>
  <conditionalFormatting sqref="M53:S53">
    <cfRule type="containsBlanks" dxfId="5485" priority="5451">
      <formula>LEN(TRIM(M53))=0</formula>
    </cfRule>
  </conditionalFormatting>
  <conditionalFormatting sqref="O51:Q51">
    <cfRule type="containsBlanks" dxfId="5484" priority="5450">
      <formula>LEN(TRIM(O51))=0</formula>
    </cfRule>
  </conditionalFormatting>
  <conditionalFormatting sqref="O48:Q48">
    <cfRule type="containsBlanks" dxfId="5483" priority="5449">
      <formula>LEN(TRIM(O48))=0</formula>
    </cfRule>
  </conditionalFormatting>
  <conditionalFormatting sqref="O49:Q49">
    <cfRule type="containsBlanks" dxfId="5482" priority="5448">
      <formula>LEN(TRIM(O49))=0</formula>
    </cfRule>
  </conditionalFormatting>
  <conditionalFormatting sqref="O53:Q53">
    <cfRule type="containsBlanks" dxfId="5481" priority="5447">
      <formula>LEN(TRIM(O53))=0</formula>
    </cfRule>
  </conditionalFormatting>
  <conditionalFormatting sqref="O55:Q55">
    <cfRule type="containsBlanks" dxfId="5480" priority="5446">
      <formula>LEN(TRIM(O55))=0</formula>
    </cfRule>
  </conditionalFormatting>
  <conditionalFormatting sqref="O57:Q57">
    <cfRule type="containsBlanks" dxfId="5479" priority="5445">
      <formula>LEN(TRIM(O57))=0</formula>
    </cfRule>
  </conditionalFormatting>
  <conditionalFormatting sqref="O70:Q70">
    <cfRule type="containsBlanks" dxfId="5478" priority="5444">
      <formula>LEN(TRIM(O70))=0</formula>
    </cfRule>
  </conditionalFormatting>
  <conditionalFormatting sqref="O71:Q71">
    <cfRule type="containsBlanks" dxfId="5477" priority="5443">
      <formula>LEN(TRIM(O71))=0</formula>
    </cfRule>
  </conditionalFormatting>
  <conditionalFormatting sqref="O73:Q73">
    <cfRule type="containsBlanks" dxfId="5476" priority="5442">
      <formula>LEN(TRIM(O73))=0</formula>
    </cfRule>
  </conditionalFormatting>
  <conditionalFormatting sqref="N69:T69">
    <cfRule type="containsBlanks" dxfId="5475" priority="5441">
      <formula>LEN(TRIM(N69))=0</formula>
    </cfRule>
  </conditionalFormatting>
  <conditionalFormatting sqref="M86:S86">
    <cfRule type="containsBlanks" dxfId="5474" priority="5440">
      <formula>LEN(TRIM(M86))=0</formula>
    </cfRule>
  </conditionalFormatting>
  <conditionalFormatting sqref="N89:T89">
    <cfRule type="containsBlanks" dxfId="5473" priority="5439">
      <formula>LEN(TRIM(N89))=0</formula>
    </cfRule>
  </conditionalFormatting>
  <conditionalFormatting sqref="O91:Q91">
    <cfRule type="containsBlanks" dxfId="5472" priority="5438">
      <formula>LEN(TRIM(O91))=0</formula>
    </cfRule>
  </conditionalFormatting>
  <conditionalFormatting sqref="M93:T93">
    <cfRule type="containsBlanks" dxfId="5471" priority="5437">
      <formula>LEN(TRIM(M93))=0</formula>
    </cfRule>
  </conditionalFormatting>
  <conditionalFormatting sqref="O100:S100">
    <cfRule type="containsBlanks" dxfId="5470" priority="5435">
      <formula>LEN(TRIM(O100))=0</formula>
    </cfRule>
  </conditionalFormatting>
  <conditionalFormatting sqref="M100:N100">
    <cfRule type="containsBlanks" dxfId="5469" priority="5434">
      <formula>LEN(TRIM(M100))=0</formula>
    </cfRule>
  </conditionalFormatting>
  <conditionalFormatting sqref="M63:T63">
    <cfRule type="containsBlanks" dxfId="5468" priority="5433">
      <formula>LEN(TRIM(M63))=0</formula>
    </cfRule>
  </conditionalFormatting>
  <conditionalFormatting sqref="M64:S64">
    <cfRule type="containsBlanks" dxfId="5467" priority="5432">
      <formula>LEN(TRIM(M64))=0</formula>
    </cfRule>
  </conditionalFormatting>
  <conditionalFormatting sqref="O48:Q48">
    <cfRule type="containsBlanks" dxfId="5466" priority="5431">
      <formula>LEN(TRIM(O48))=0</formula>
    </cfRule>
  </conditionalFormatting>
  <conditionalFormatting sqref="O61:Q61">
    <cfRule type="containsBlanks" dxfId="5465" priority="5430">
      <formula>LEN(TRIM(O61))=0</formula>
    </cfRule>
  </conditionalFormatting>
  <conditionalFormatting sqref="O62:Q62">
    <cfRule type="containsBlanks" dxfId="5464" priority="5429">
      <formula>LEN(TRIM(O62))=0</formula>
    </cfRule>
  </conditionalFormatting>
  <conditionalFormatting sqref="O64:Q64">
    <cfRule type="containsBlanks" dxfId="5463" priority="5428">
      <formula>LEN(TRIM(O64))=0</formula>
    </cfRule>
  </conditionalFormatting>
  <conditionalFormatting sqref="N60:T60">
    <cfRule type="containsBlanks" dxfId="5462" priority="5427">
      <formula>LEN(TRIM(N60))=0</formula>
    </cfRule>
  </conditionalFormatting>
  <conditionalFormatting sqref="M77:S77">
    <cfRule type="containsBlanks" dxfId="5461" priority="5426">
      <formula>LEN(TRIM(M77))=0</formula>
    </cfRule>
  </conditionalFormatting>
  <conditionalFormatting sqref="N80:T80">
    <cfRule type="containsBlanks" dxfId="5460" priority="5425">
      <formula>LEN(TRIM(N80))=0</formula>
    </cfRule>
  </conditionalFormatting>
  <conditionalFormatting sqref="O82:Q82">
    <cfRule type="containsBlanks" dxfId="5459" priority="5424">
      <formula>LEN(TRIM(O82))=0</formula>
    </cfRule>
  </conditionalFormatting>
  <conditionalFormatting sqref="M84:T84">
    <cfRule type="containsBlanks" dxfId="5458" priority="5423">
      <formula>LEN(TRIM(M84))=0</formula>
    </cfRule>
  </conditionalFormatting>
  <conditionalFormatting sqref="M90:T90">
    <cfRule type="containsBlanks" dxfId="5457" priority="5422">
      <formula>LEN(TRIM(M90))=0</formula>
    </cfRule>
  </conditionalFormatting>
  <conditionalFormatting sqref="O91:S91">
    <cfRule type="containsBlanks" dxfId="5456" priority="5421">
      <formula>LEN(TRIM(O91))=0</formula>
    </cfRule>
  </conditionalFormatting>
  <conditionalFormatting sqref="M91:N91">
    <cfRule type="containsBlanks" dxfId="5455" priority="5420">
      <formula>LEN(TRIM(M91))=0</formula>
    </cfRule>
  </conditionalFormatting>
  <conditionalFormatting sqref="M54:T54">
    <cfRule type="containsBlanks" dxfId="5454" priority="5419">
      <formula>LEN(TRIM(M54))=0</formula>
    </cfRule>
  </conditionalFormatting>
  <conditionalFormatting sqref="M55:S55">
    <cfRule type="containsBlanks" dxfId="5453" priority="5418">
      <formula>LEN(TRIM(M55))=0</formula>
    </cfRule>
  </conditionalFormatting>
  <conditionalFormatting sqref="O48:Q48">
    <cfRule type="containsBlanks" dxfId="5452" priority="5417">
      <formula>LEN(TRIM(O48))=0</formula>
    </cfRule>
  </conditionalFormatting>
  <conditionalFormatting sqref="O50:Q50">
    <cfRule type="containsBlanks" dxfId="5451" priority="5416">
      <formula>LEN(TRIM(O50))=0</formula>
    </cfRule>
  </conditionalFormatting>
  <conditionalFormatting sqref="O52:Q52">
    <cfRule type="containsBlanks" dxfId="5450" priority="5415">
      <formula>LEN(TRIM(O52))=0</formula>
    </cfRule>
  </conditionalFormatting>
  <conditionalFormatting sqref="O65:Q65">
    <cfRule type="containsBlanks" dxfId="5449" priority="5414">
      <formula>LEN(TRIM(O65))=0</formula>
    </cfRule>
  </conditionalFormatting>
  <conditionalFormatting sqref="O66:Q66">
    <cfRule type="containsBlanks" dxfId="5448" priority="5413">
      <formula>LEN(TRIM(O66))=0</formula>
    </cfRule>
  </conditionalFormatting>
  <conditionalFormatting sqref="O68:Q68">
    <cfRule type="containsBlanks" dxfId="5447" priority="5412">
      <formula>LEN(TRIM(O68))=0</formula>
    </cfRule>
  </conditionalFormatting>
  <conditionalFormatting sqref="N64:T64">
    <cfRule type="containsBlanks" dxfId="5446" priority="5411">
      <formula>LEN(TRIM(N64))=0</formula>
    </cfRule>
  </conditionalFormatting>
  <conditionalFormatting sqref="M81:S81">
    <cfRule type="containsBlanks" dxfId="5445" priority="5410">
      <formula>LEN(TRIM(M81))=0</formula>
    </cfRule>
  </conditionalFormatting>
  <conditionalFormatting sqref="N84:T84">
    <cfRule type="containsBlanks" dxfId="5444" priority="5409">
      <formula>LEN(TRIM(N84))=0</formula>
    </cfRule>
  </conditionalFormatting>
  <conditionalFormatting sqref="O86:Q86">
    <cfRule type="containsBlanks" dxfId="5443" priority="5408">
      <formula>LEN(TRIM(O86))=0</formula>
    </cfRule>
  </conditionalFormatting>
  <conditionalFormatting sqref="M88:T88">
    <cfRule type="containsBlanks" dxfId="5442" priority="5407">
      <formula>LEN(TRIM(M88))=0</formula>
    </cfRule>
  </conditionalFormatting>
  <conditionalFormatting sqref="M94:T94">
    <cfRule type="containsBlanks" dxfId="5441" priority="5406">
      <formula>LEN(TRIM(M94))=0</formula>
    </cfRule>
  </conditionalFormatting>
  <conditionalFormatting sqref="O95:S95">
    <cfRule type="containsBlanks" dxfId="5440" priority="5405">
      <formula>LEN(TRIM(O95))=0</formula>
    </cfRule>
  </conditionalFormatting>
  <conditionalFormatting sqref="M95:N95">
    <cfRule type="containsBlanks" dxfId="5439" priority="5404">
      <formula>LEN(TRIM(M95))=0</formula>
    </cfRule>
  </conditionalFormatting>
  <conditionalFormatting sqref="M58:T58">
    <cfRule type="containsBlanks" dxfId="5438" priority="5403">
      <formula>LEN(TRIM(M58))=0</formula>
    </cfRule>
  </conditionalFormatting>
  <conditionalFormatting sqref="M59:S59">
    <cfRule type="containsBlanks" dxfId="5437" priority="5402">
      <formula>LEN(TRIM(M59))=0</formula>
    </cfRule>
  </conditionalFormatting>
  <conditionalFormatting sqref="O56:Q56">
    <cfRule type="containsBlanks" dxfId="5436" priority="5401">
      <formula>LEN(TRIM(O56))=0</formula>
    </cfRule>
  </conditionalFormatting>
  <conditionalFormatting sqref="O57:Q57">
    <cfRule type="containsBlanks" dxfId="5435" priority="5400">
      <formula>LEN(TRIM(O57))=0</formula>
    </cfRule>
  </conditionalFormatting>
  <conditionalFormatting sqref="O59:Q59">
    <cfRule type="containsBlanks" dxfId="5434" priority="5399">
      <formula>LEN(TRIM(O59))=0</formula>
    </cfRule>
  </conditionalFormatting>
  <conditionalFormatting sqref="N55:T55">
    <cfRule type="containsBlanks" dxfId="5433" priority="5398">
      <formula>LEN(TRIM(N55))=0</formula>
    </cfRule>
  </conditionalFormatting>
  <conditionalFormatting sqref="M72:S72">
    <cfRule type="containsBlanks" dxfId="5432" priority="5397">
      <formula>LEN(TRIM(M72))=0</formula>
    </cfRule>
  </conditionalFormatting>
  <conditionalFormatting sqref="N75:T75">
    <cfRule type="containsBlanks" dxfId="5431" priority="5396">
      <formula>LEN(TRIM(N75))=0</formula>
    </cfRule>
  </conditionalFormatting>
  <conditionalFormatting sqref="O77:Q77">
    <cfRule type="containsBlanks" dxfId="5430" priority="5395">
      <formula>LEN(TRIM(O77))=0</formula>
    </cfRule>
  </conditionalFormatting>
  <conditionalFormatting sqref="M79:T79">
    <cfRule type="containsBlanks" dxfId="5429" priority="5394">
      <formula>LEN(TRIM(M79))=0</formula>
    </cfRule>
  </conditionalFormatting>
  <conditionalFormatting sqref="M85:T85">
    <cfRule type="containsBlanks" dxfId="5428" priority="5393">
      <formula>LEN(TRIM(M85))=0</formula>
    </cfRule>
  </conditionalFormatting>
  <conditionalFormatting sqref="O86:S86">
    <cfRule type="containsBlanks" dxfId="5427" priority="5392">
      <formula>LEN(TRIM(O86))=0</formula>
    </cfRule>
  </conditionalFormatting>
  <conditionalFormatting sqref="M86:N86">
    <cfRule type="containsBlanks" dxfId="5426" priority="5391">
      <formula>LEN(TRIM(M86))=0</formula>
    </cfRule>
  </conditionalFormatting>
  <conditionalFormatting sqref="M49:T49">
    <cfRule type="containsBlanks" dxfId="5425" priority="5390">
      <formula>LEN(TRIM(M49))=0</formula>
    </cfRule>
  </conditionalFormatting>
  <conditionalFormatting sqref="M50:S50">
    <cfRule type="containsBlanks" dxfId="5424" priority="5389">
      <formula>LEN(TRIM(M50))=0</formula>
    </cfRule>
  </conditionalFormatting>
  <conditionalFormatting sqref="O49:Q49">
    <cfRule type="containsBlanks" dxfId="5423" priority="5388">
      <formula>LEN(TRIM(O49))=0</formula>
    </cfRule>
  </conditionalFormatting>
  <conditionalFormatting sqref="O56:Q56">
    <cfRule type="containsBlanks" dxfId="5422" priority="5387">
      <formula>LEN(TRIM(O56))=0</formula>
    </cfRule>
  </conditionalFormatting>
  <conditionalFormatting sqref="O53:Q53">
    <cfRule type="containsBlanks" dxfId="5421" priority="5386">
      <formula>LEN(TRIM(O53))=0</formula>
    </cfRule>
  </conditionalFormatting>
  <conditionalFormatting sqref="O54:Q54">
    <cfRule type="containsBlanks" dxfId="5420" priority="5385">
      <formula>LEN(TRIM(O54))=0</formula>
    </cfRule>
  </conditionalFormatting>
  <conditionalFormatting sqref="O58:Q58">
    <cfRule type="containsBlanks" dxfId="5419" priority="5384">
      <formula>LEN(TRIM(O58))=0</formula>
    </cfRule>
  </conditionalFormatting>
  <conditionalFormatting sqref="O60:Q60">
    <cfRule type="containsBlanks" dxfId="5418" priority="5383">
      <formula>LEN(TRIM(O60))=0</formula>
    </cfRule>
  </conditionalFormatting>
  <conditionalFormatting sqref="O62:Q62">
    <cfRule type="containsBlanks" dxfId="5417" priority="5382">
      <formula>LEN(TRIM(O62))=0</formula>
    </cfRule>
  </conditionalFormatting>
  <conditionalFormatting sqref="O75:Q75">
    <cfRule type="containsBlanks" dxfId="5416" priority="5381">
      <formula>LEN(TRIM(O75))=0</formula>
    </cfRule>
  </conditionalFormatting>
  <conditionalFormatting sqref="O76:Q76">
    <cfRule type="containsBlanks" dxfId="5415" priority="5380">
      <formula>LEN(TRIM(O76))=0</formula>
    </cfRule>
  </conditionalFormatting>
  <conditionalFormatting sqref="O78:Q78">
    <cfRule type="containsBlanks" dxfId="5414" priority="5379">
      <formula>LEN(TRIM(O78))=0</formula>
    </cfRule>
  </conditionalFormatting>
  <conditionalFormatting sqref="N74:T74">
    <cfRule type="containsBlanks" dxfId="5413" priority="5378">
      <formula>LEN(TRIM(N74))=0</formula>
    </cfRule>
  </conditionalFormatting>
  <conditionalFormatting sqref="M91:S91">
    <cfRule type="containsBlanks" dxfId="5412" priority="5377">
      <formula>LEN(TRIM(M91))=0</formula>
    </cfRule>
  </conditionalFormatting>
  <conditionalFormatting sqref="N94:T94">
    <cfRule type="containsBlanks" dxfId="5411" priority="5376">
      <formula>LEN(TRIM(N94))=0</formula>
    </cfRule>
  </conditionalFormatting>
  <conditionalFormatting sqref="O96:Q96">
    <cfRule type="containsBlanks" dxfId="5410" priority="5375">
      <formula>LEN(TRIM(O96))=0</formula>
    </cfRule>
  </conditionalFormatting>
  <conditionalFormatting sqref="M98:T98">
    <cfRule type="containsBlanks" dxfId="5409" priority="5374">
      <formula>LEN(TRIM(M98))=0</formula>
    </cfRule>
  </conditionalFormatting>
  <conditionalFormatting sqref="M104:T104">
    <cfRule type="containsBlanks" dxfId="5408" priority="5373">
      <formula>LEN(TRIM(M104))=0</formula>
    </cfRule>
  </conditionalFormatting>
  <conditionalFormatting sqref="O105:S105">
    <cfRule type="containsBlanks" dxfId="5407" priority="5372">
      <formula>LEN(TRIM(O105))=0</formula>
    </cfRule>
  </conditionalFormatting>
  <conditionalFormatting sqref="M105:N105">
    <cfRule type="containsBlanks" dxfId="5406" priority="5371">
      <formula>LEN(TRIM(M105))=0</formula>
    </cfRule>
  </conditionalFormatting>
  <conditionalFormatting sqref="M68:T68">
    <cfRule type="containsBlanks" dxfId="5405" priority="5370">
      <formula>LEN(TRIM(M68))=0</formula>
    </cfRule>
  </conditionalFormatting>
  <conditionalFormatting sqref="M69:S69">
    <cfRule type="containsBlanks" dxfId="5404" priority="5369">
      <formula>LEN(TRIM(M69))=0</formula>
    </cfRule>
  </conditionalFormatting>
  <conditionalFormatting sqref="O40:Q40">
    <cfRule type="containsBlanks" dxfId="5403" priority="5368">
      <formula>LEN(TRIM(O40))=0</formula>
    </cfRule>
  </conditionalFormatting>
  <conditionalFormatting sqref="O47:Q47">
    <cfRule type="containsBlanks" dxfId="5402" priority="5367">
      <formula>LEN(TRIM(O47))=0</formula>
    </cfRule>
  </conditionalFormatting>
  <conditionalFormatting sqref="O44:Q44">
    <cfRule type="containsBlanks" dxfId="5401" priority="5366">
      <formula>LEN(TRIM(O44))=0</formula>
    </cfRule>
  </conditionalFormatting>
  <conditionalFormatting sqref="O45:Q45">
    <cfRule type="containsBlanks" dxfId="5400" priority="5365">
      <formula>LEN(TRIM(O45))=0</formula>
    </cfRule>
  </conditionalFormatting>
  <conditionalFormatting sqref="O49:Q49">
    <cfRule type="containsBlanks" dxfId="5399" priority="5364">
      <formula>LEN(TRIM(O49))=0</formula>
    </cfRule>
  </conditionalFormatting>
  <conditionalFormatting sqref="O51:Q51">
    <cfRule type="containsBlanks" dxfId="5398" priority="5363">
      <formula>LEN(TRIM(O51))=0</formula>
    </cfRule>
  </conditionalFormatting>
  <conditionalFormatting sqref="O53:Q53">
    <cfRule type="containsBlanks" dxfId="5397" priority="5362">
      <formula>LEN(TRIM(O53))=0</formula>
    </cfRule>
  </conditionalFormatting>
  <conditionalFormatting sqref="O66:Q66">
    <cfRule type="containsBlanks" dxfId="5396" priority="5361">
      <formula>LEN(TRIM(O66))=0</formula>
    </cfRule>
  </conditionalFormatting>
  <conditionalFormatting sqref="O67:Q67">
    <cfRule type="containsBlanks" dxfId="5395" priority="5360">
      <formula>LEN(TRIM(O67))=0</formula>
    </cfRule>
  </conditionalFormatting>
  <conditionalFormatting sqref="O69:Q69">
    <cfRule type="containsBlanks" dxfId="5394" priority="5359">
      <formula>LEN(TRIM(O69))=0</formula>
    </cfRule>
  </conditionalFormatting>
  <conditionalFormatting sqref="N65:T65">
    <cfRule type="containsBlanks" dxfId="5393" priority="5358">
      <formula>LEN(TRIM(N65))=0</formula>
    </cfRule>
  </conditionalFormatting>
  <conditionalFormatting sqref="M82:S82">
    <cfRule type="containsBlanks" dxfId="5392" priority="5357">
      <formula>LEN(TRIM(M82))=0</formula>
    </cfRule>
  </conditionalFormatting>
  <conditionalFormatting sqref="N85:T85">
    <cfRule type="containsBlanks" dxfId="5391" priority="5356">
      <formula>LEN(TRIM(N85))=0</formula>
    </cfRule>
  </conditionalFormatting>
  <conditionalFormatting sqref="O87:Q87">
    <cfRule type="containsBlanks" dxfId="5390" priority="5355">
      <formula>LEN(TRIM(O87))=0</formula>
    </cfRule>
  </conditionalFormatting>
  <conditionalFormatting sqref="M89:T89">
    <cfRule type="containsBlanks" dxfId="5389" priority="5354">
      <formula>LEN(TRIM(M89))=0</formula>
    </cfRule>
  </conditionalFormatting>
  <conditionalFormatting sqref="M95:T95">
    <cfRule type="containsBlanks" dxfId="5388" priority="5353">
      <formula>LEN(TRIM(M95))=0</formula>
    </cfRule>
  </conditionalFormatting>
  <conditionalFormatting sqref="O96:S96">
    <cfRule type="containsBlanks" dxfId="5387" priority="5352">
      <formula>LEN(TRIM(O96))=0</formula>
    </cfRule>
  </conditionalFormatting>
  <conditionalFormatting sqref="M96:N96">
    <cfRule type="containsBlanks" dxfId="5386" priority="5351">
      <formula>LEN(TRIM(M96))=0</formula>
    </cfRule>
  </conditionalFormatting>
  <conditionalFormatting sqref="M59:T59">
    <cfRule type="containsBlanks" dxfId="5385" priority="5350">
      <formula>LEN(TRIM(M59))=0</formula>
    </cfRule>
  </conditionalFormatting>
  <conditionalFormatting sqref="M60:S60">
    <cfRule type="containsBlanks" dxfId="5384" priority="5349">
      <formula>LEN(TRIM(M60))=0</formula>
    </cfRule>
  </conditionalFormatting>
  <conditionalFormatting sqref="O44:Q44">
    <cfRule type="containsBlanks" dxfId="5383" priority="5348">
      <formula>LEN(TRIM(O44))=0</formula>
    </cfRule>
  </conditionalFormatting>
  <conditionalFormatting sqref="O51:Q51">
    <cfRule type="containsBlanks" dxfId="5382" priority="5347">
      <formula>LEN(TRIM(O51))=0</formula>
    </cfRule>
  </conditionalFormatting>
  <conditionalFormatting sqref="O48:Q48">
    <cfRule type="containsBlanks" dxfId="5381" priority="5346">
      <formula>LEN(TRIM(O48))=0</formula>
    </cfRule>
  </conditionalFormatting>
  <conditionalFormatting sqref="O49:Q49">
    <cfRule type="containsBlanks" dxfId="5380" priority="5345">
      <formula>LEN(TRIM(O49))=0</formula>
    </cfRule>
  </conditionalFormatting>
  <conditionalFormatting sqref="O53:Q53">
    <cfRule type="containsBlanks" dxfId="5379" priority="5344">
      <formula>LEN(TRIM(O53))=0</formula>
    </cfRule>
  </conditionalFormatting>
  <conditionalFormatting sqref="O55:Q55">
    <cfRule type="containsBlanks" dxfId="5378" priority="5343">
      <formula>LEN(TRIM(O55))=0</formula>
    </cfRule>
  </conditionalFormatting>
  <conditionalFormatting sqref="O57:Q57">
    <cfRule type="containsBlanks" dxfId="5377" priority="5342">
      <formula>LEN(TRIM(O57))=0</formula>
    </cfRule>
  </conditionalFormatting>
  <conditionalFormatting sqref="O70:Q70">
    <cfRule type="containsBlanks" dxfId="5376" priority="5341">
      <formula>LEN(TRIM(O70))=0</formula>
    </cfRule>
  </conditionalFormatting>
  <conditionalFormatting sqref="O71:Q71">
    <cfRule type="containsBlanks" dxfId="5375" priority="5340">
      <formula>LEN(TRIM(O71))=0</formula>
    </cfRule>
  </conditionalFormatting>
  <conditionalFormatting sqref="O73:Q73">
    <cfRule type="containsBlanks" dxfId="5374" priority="5339">
      <formula>LEN(TRIM(O73))=0</formula>
    </cfRule>
  </conditionalFormatting>
  <conditionalFormatting sqref="N69:T69">
    <cfRule type="containsBlanks" dxfId="5373" priority="5338">
      <formula>LEN(TRIM(N69))=0</formula>
    </cfRule>
  </conditionalFormatting>
  <conditionalFormatting sqref="M86:S86">
    <cfRule type="containsBlanks" dxfId="5372" priority="5337">
      <formula>LEN(TRIM(M86))=0</formula>
    </cfRule>
  </conditionalFormatting>
  <conditionalFormatting sqref="N89:T89">
    <cfRule type="containsBlanks" dxfId="5371" priority="5336">
      <formula>LEN(TRIM(N89))=0</formula>
    </cfRule>
  </conditionalFormatting>
  <conditionalFormatting sqref="O91:Q91">
    <cfRule type="containsBlanks" dxfId="5370" priority="5335">
      <formula>LEN(TRIM(O91))=0</formula>
    </cfRule>
  </conditionalFormatting>
  <conditionalFormatting sqref="M93:T93">
    <cfRule type="containsBlanks" dxfId="5369" priority="5334">
      <formula>LEN(TRIM(M93))=0</formula>
    </cfRule>
  </conditionalFormatting>
  <conditionalFormatting sqref="O100:S100">
    <cfRule type="containsBlanks" dxfId="5368" priority="5332">
      <formula>LEN(TRIM(O100))=0</formula>
    </cfRule>
  </conditionalFormatting>
  <conditionalFormatting sqref="M100:N100">
    <cfRule type="containsBlanks" dxfId="5367" priority="5331">
      <formula>LEN(TRIM(M100))=0</formula>
    </cfRule>
  </conditionalFormatting>
  <conditionalFormatting sqref="M63:T63">
    <cfRule type="containsBlanks" dxfId="5366" priority="5330">
      <formula>LEN(TRIM(M63))=0</formula>
    </cfRule>
  </conditionalFormatting>
  <conditionalFormatting sqref="M64:S64">
    <cfRule type="containsBlanks" dxfId="5365" priority="5329">
      <formula>LEN(TRIM(M64))=0</formula>
    </cfRule>
  </conditionalFormatting>
  <conditionalFormatting sqref="O35:Q35">
    <cfRule type="containsBlanks" dxfId="5364" priority="5328">
      <formula>LEN(TRIM(O35))=0</formula>
    </cfRule>
  </conditionalFormatting>
  <conditionalFormatting sqref="O42:Q42">
    <cfRule type="containsBlanks" dxfId="5363" priority="5327">
      <formula>LEN(TRIM(O42))=0</formula>
    </cfRule>
  </conditionalFormatting>
  <conditionalFormatting sqref="O39:Q39">
    <cfRule type="containsBlanks" dxfId="5362" priority="5326">
      <formula>LEN(TRIM(O39))=0</formula>
    </cfRule>
  </conditionalFormatting>
  <conditionalFormatting sqref="O40:Q40">
    <cfRule type="containsBlanks" dxfId="5361" priority="5325">
      <formula>LEN(TRIM(O40))=0</formula>
    </cfRule>
  </conditionalFormatting>
  <conditionalFormatting sqref="O44:Q44">
    <cfRule type="containsBlanks" dxfId="5360" priority="5324">
      <formula>LEN(TRIM(O44))=0</formula>
    </cfRule>
  </conditionalFormatting>
  <conditionalFormatting sqref="O46:Q46">
    <cfRule type="containsBlanks" dxfId="5359" priority="5323">
      <formula>LEN(TRIM(O46))=0</formula>
    </cfRule>
  </conditionalFormatting>
  <conditionalFormatting sqref="O48:Q48">
    <cfRule type="containsBlanks" dxfId="5358" priority="5322">
      <formula>LEN(TRIM(O48))=0</formula>
    </cfRule>
  </conditionalFormatting>
  <conditionalFormatting sqref="O61:Q61">
    <cfRule type="containsBlanks" dxfId="5357" priority="5321">
      <formula>LEN(TRIM(O61))=0</formula>
    </cfRule>
  </conditionalFormatting>
  <conditionalFormatting sqref="O62:Q62">
    <cfRule type="containsBlanks" dxfId="5356" priority="5320">
      <formula>LEN(TRIM(O62))=0</formula>
    </cfRule>
  </conditionalFormatting>
  <conditionalFormatting sqref="O64:Q64">
    <cfRule type="containsBlanks" dxfId="5355" priority="5319">
      <formula>LEN(TRIM(O64))=0</formula>
    </cfRule>
  </conditionalFormatting>
  <conditionalFormatting sqref="N60:T60">
    <cfRule type="containsBlanks" dxfId="5354" priority="5318">
      <formula>LEN(TRIM(N60))=0</formula>
    </cfRule>
  </conditionalFormatting>
  <conditionalFormatting sqref="M77:S77">
    <cfRule type="containsBlanks" dxfId="5353" priority="5317">
      <formula>LEN(TRIM(M77))=0</formula>
    </cfRule>
  </conditionalFormatting>
  <conditionalFormatting sqref="N80:T80">
    <cfRule type="containsBlanks" dxfId="5352" priority="5316">
      <formula>LEN(TRIM(N80))=0</formula>
    </cfRule>
  </conditionalFormatting>
  <conditionalFormatting sqref="O82:Q82">
    <cfRule type="containsBlanks" dxfId="5351" priority="5315">
      <formula>LEN(TRIM(O82))=0</formula>
    </cfRule>
  </conditionalFormatting>
  <conditionalFormatting sqref="M84:T84">
    <cfRule type="containsBlanks" dxfId="5350" priority="5314">
      <formula>LEN(TRIM(M84))=0</formula>
    </cfRule>
  </conditionalFormatting>
  <conditionalFormatting sqref="M90:T90">
    <cfRule type="containsBlanks" dxfId="5349" priority="5313">
      <formula>LEN(TRIM(M90))=0</formula>
    </cfRule>
  </conditionalFormatting>
  <conditionalFormatting sqref="O91:S91">
    <cfRule type="containsBlanks" dxfId="5348" priority="5312">
      <formula>LEN(TRIM(O91))=0</formula>
    </cfRule>
  </conditionalFormatting>
  <conditionalFormatting sqref="M91:N91">
    <cfRule type="containsBlanks" dxfId="5347" priority="5311">
      <formula>LEN(TRIM(M91))=0</formula>
    </cfRule>
  </conditionalFormatting>
  <conditionalFormatting sqref="M54:T54">
    <cfRule type="containsBlanks" dxfId="5346" priority="5310">
      <formula>LEN(TRIM(M54))=0</formula>
    </cfRule>
  </conditionalFormatting>
  <conditionalFormatting sqref="M55:S55">
    <cfRule type="containsBlanks" dxfId="5345" priority="5309">
      <formula>LEN(TRIM(M55))=0</formula>
    </cfRule>
  </conditionalFormatting>
  <conditionalFormatting sqref="O53:Q53">
    <cfRule type="containsBlanks" dxfId="5344" priority="5308">
      <formula>LEN(TRIM(O53))=0</formula>
    </cfRule>
  </conditionalFormatting>
  <conditionalFormatting sqref="O50:Q50">
    <cfRule type="containsBlanks" dxfId="5343" priority="5307">
      <formula>LEN(TRIM(O50))=0</formula>
    </cfRule>
  </conditionalFormatting>
  <conditionalFormatting sqref="O51:Q51">
    <cfRule type="containsBlanks" dxfId="5342" priority="5306">
      <formula>LEN(TRIM(O51))=0</formula>
    </cfRule>
  </conditionalFormatting>
  <conditionalFormatting sqref="O55:Q55">
    <cfRule type="containsBlanks" dxfId="5341" priority="5305">
      <formula>LEN(TRIM(O55))=0</formula>
    </cfRule>
  </conditionalFormatting>
  <conditionalFormatting sqref="O57:Q57">
    <cfRule type="containsBlanks" dxfId="5340" priority="5304">
      <formula>LEN(TRIM(O57))=0</formula>
    </cfRule>
  </conditionalFormatting>
  <conditionalFormatting sqref="O59:Q59">
    <cfRule type="containsBlanks" dxfId="5339" priority="5303">
      <formula>LEN(TRIM(O59))=0</formula>
    </cfRule>
  </conditionalFormatting>
  <conditionalFormatting sqref="O72:Q72">
    <cfRule type="containsBlanks" dxfId="5338" priority="5302">
      <formula>LEN(TRIM(O72))=0</formula>
    </cfRule>
  </conditionalFormatting>
  <conditionalFormatting sqref="O73:Q73">
    <cfRule type="containsBlanks" dxfId="5337" priority="5301">
      <formula>LEN(TRIM(O73))=0</formula>
    </cfRule>
  </conditionalFormatting>
  <conditionalFormatting sqref="O75:Q75">
    <cfRule type="containsBlanks" dxfId="5336" priority="5300">
      <formula>LEN(TRIM(O75))=0</formula>
    </cfRule>
  </conditionalFormatting>
  <conditionalFormatting sqref="N71:T71">
    <cfRule type="containsBlanks" dxfId="5335" priority="5299">
      <formula>LEN(TRIM(N71))=0</formula>
    </cfRule>
  </conditionalFormatting>
  <conditionalFormatting sqref="M88:S88">
    <cfRule type="containsBlanks" dxfId="5334" priority="5298">
      <formula>LEN(TRIM(M88))=0</formula>
    </cfRule>
  </conditionalFormatting>
  <conditionalFormatting sqref="N91:T91">
    <cfRule type="containsBlanks" dxfId="5333" priority="5297">
      <formula>LEN(TRIM(N91))=0</formula>
    </cfRule>
  </conditionalFormatting>
  <conditionalFormatting sqref="O93:Q93">
    <cfRule type="containsBlanks" dxfId="5332" priority="5296">
      <formula>LEN(TRIM(O93))=0</formula>
    </cfRule>
  </conditionalFormatting>
  <conditionalFormatting sqref="M95:T95">
    <cfRule type="containsBlanks" dxfId="5331" priority="5295">
      <formula>LEN(TRIM(M95))=0</formula>
    </cfRule>
  </conditionalFormatting>
  <conditionalFormatting sqref="M101:T101">
    <cfRule type="containsBlanks" dxfId="5330" priority="5294">
      <formula>LEN(TRIM(M101))=0</formula>
    </cfRule>
  </conditionalFormatting>
  <conditionalFormatting sqref="O102:S102">
    <cfRule type="containsBlanks" dxfId="5329" priority="5293">
      <formula>LEN(TRIM(O102))=0</formula>
    </cfRule>
  </conditionalFormatting>
  <conditionalFormatting sqref="M102:N102">
    <cfRule type="containsBlanks" dxfId="5328" priority="5292">
      <formula>LEN(TRIM(M102))=0</formula>
    </cfRule>
  </conditionalFormatting>
  <conditionalFormatting sqref="M65:T65">
    <cfRule type="containsBlanks" dxfId="5327" priority="5291">
      <formula>LEN(TRIM(M65))=0</formula>
    </cfRule>
  </conditionalFormatting>
  <conditionalFormatting sqref="M66:S66">
    <cfRule type="containsBlanks" dxfId="5326" priority="5290">
      <formula>LEN(TRIM(M66))=0</formula>
    </cfRule>
  </conditionalFormatting>
  <conditionalFormatting sqref="O50:Q50">
    <cfRule type="containsBlanks" dxfId="5325" priority="5289">
      <formula>LEN(TRIM(O50))=0</formula>
    </cfRule>
  </conditionalFormatting>
  <conditionalFormatting sqref="O63:Q63">
    <cfRule type="containsBlanks" dxfId="5324" priority="5288">
      <formula>LEN(TRIM(O63))=0</formula>
    </cfRule>
  </conditionalFormatting>
  <conditionalFormatting sqref="O64:Q64">
    <cfRule type="containsBlanks" dxfId="5323" priority="5287">
      <formula>LEN(TRIM(O64))=0</formula>
    </cfRule>
  </conditionalFormatting>
  <conditionalFormatting sqref="O66:Q66">
    <cfRule type="containsBlanks" dxfId="5322" priority="5286">
      <formula>LEN(TRIM(O66))=0</formula>
    </cfRule>
  </conditionalFormatting>
  <conditionalFormatting sqref="N62:T62">
    <cfRule type="containsBlanks" dxfId="5321" priority="5285">
      <formula>LEN(TRIM(N62))=0</formula>
    </cfRule>
  </conditionalFormatting>
  <conditionalFormatting sqref="M79:S79">
    <cfRule type="containsBlanks" dxfId="5320" priority="5284">
      <formula>LEN(TRIM(M79))=0</formula>
    </cfRule>
  </conditionalFormatting>
  <conditionalFormatting sqref="N82:T82">
    <cfRule type="containsBlanks" dxfId="5319" priority="5283">
      <formula>LEN(TRIM(N82))=0</formula>
    </cfRule>
  </conditionalFormatting>
  <conditionalFormatting sqref="O84:Q84">
    <cfRule type="containsBlanks" dxfId="5318" priority="5282">
      <formula>LEN(TRIM(O84))=0</formula>
    </cfRule>
  </conditionalFormatting>
  <conditionalFormatting sqref="M86:T86">
    <cfRule type="containsBlanks" dxfId="5317" priority="5281">
      <formula>LEN(TRIM(M86))=0</formula>
    </cfRule>
  </conditionalFormatting>
  <conditionalFormatting sqref="M92:T92">
    <cfRule type="containsBlanks" dxfId="5316" priority="5280">
      <formula>LEN(TRIM(M92))=0</formula>
    </cfRule>
  </conditionalFormatting>
  <conditionalFormatting sqref="O93:S93">
    <cfRule type="containsBlanks" dxfId="5315" priority="5279">
      <formula>LEN(TRIM(O93))=0</formula>
    </cfRule>
  </conditionalFormatting>
  <conditionalFormatting sqref="M93:N93">
    <cfRule type="containsBlanks" dxfId="5314" priority="5278">
      <formula>LEN(TRIM(M93))=0</formula>
    </cfRule>
  </conditionalFormatting>
  <conditionalFormatting sqref="M56:T56">
    <cfRule type="containsBlanks" dxfId="5313" priority="5277">
      <formula>LEN(TRIM(M56))=0</formula>
    </cfRule>
  </conditionalFormatting>
  <conditionalFormatting sqref="M57:S57">
    <cfRule type="containsBlanks" dxfId="5312" priority="5276">
      <formula>LEN(TRIM(M57))=0</formula>
    </cfRule>
  </conditionalFormatting>
  <conditionalFormatting sqref="O50:Q50">
    <cfRule type="containsBlanks" dxfId="5311" priority="5275">
      <formula>LEN(TRIM(O50))=0</formula>
    </cfRule>
  </conditionalFormatting>
  <conditionalFormatting sqref="O52:Q52">
    <cfRule type="containsBlanks" dxfId="5310" priority="5274">
      <formula>LEN(TRIM(O52))=0</formula>
    </cfRule>
  </conditionalFormatting>
  <conditionalFormatting sqref="O54:Q54">
    <cfRule type="containsBlanks" dxfId="5309" priority="5273">
      <formula>LEN(TRIM(O54))=0</formula>
    </cfRule>
  </conditionalFormatting>
  <conditionalFormatting sqref="O67:Q67">
    <cfRule type="containsBlanks" dxfId="5308" priority="5272">
      <formula>LEN(TRIM(O67))=0</formula>
    </cfRule>
  </conditionalFormatting>
  <conditionalFormatting sqref="O68:Q68">
    <cfRule type="containsBlanks" dxfId="5307" priority="5271">
      <formula>LEN(TRIM(O68))=0</formula>
    </cfRule>
  </conditionalFormatting>
  <conditionalFormatting sqref="O70:Q70">
    <cfRule type="containsBlanks" dxfId="5306" priority="5270">
      <formula>LEN(TRIM(O70))=0</formula>
    </cfRule>
  </conditionalFormatting>
  <conditionalFormatting sqref="N66:T66">
    <cfRule type="containsBlanks" dxfId="5305" priority="5269">
      <formula>LEN(TRIM(N66))=0</formula>
    </cfRule>
  </conditionalFormatting>
  <conditionalFormatting sqref="M83:S83">
    <cfRule type="containsBlanks" dxfId="5304" priority="5268">
      <formula>LEN(TRIM(M83))=0</formula>
    </cfRule>
  </conditionalFormatting>
  <conditionalFormatting sqref="N86:T86">
    <cfRule type="containsBlanks" dxfId="5303" priority="5267">
      <formula>LEN(TRIM(N86))=0</formula>
    </cfRule>
  </conditionalFormatting>
  <conditionalFormatting sqref="O88:Q88">
    <cfRule type="containsBlanks" dxfId="5302" priority="5266">
      <formula>LEN(TRIM(O88))=0</formula>
    </cfRule>
  </conditionalFormatting>
  <conditionalFormatting sqref="M90:T90">
    <cfRule type="containsBlanks" dxfId="5301" priority="5265">
      <formula>LEN(TRIM(M90))=0</formula>
    </cfRule>
  </conditionalFormatting>
  <conditionalFormatting sqref="M96:T96">
    <cfRule type="containsBlanks" dxfId="5300" priority="5264">
      <formula>LEN(TRIM(M96))=0</formula>
    </cfRule>
  </conditionalFormatting>
  <conditionalFormatting sqref="O97:S97">
    <cfRule type="containsBlanks" dxfId="5299" priority="5263">
      <formula>LEN(TRIM(O97))=0</formula>
    </cfRule>
  </conditionalFormatting>
  <conditionalFormatting sqref="M97:N97">
    <cfRule type="containsBlanks" dxfId="5298" priority="5262">
      <formula>LEN(TRIM(M97))=0</formula>
    </cfRule>
  </conditionalFormatting>
  <conditionalFormatting sqref="M60:T60">
    <cfRule type="containsBlanks" dxfId="5297" priority="5261">
      <formula>LEN(TRIM(M60))=0</formula>
    </cfRule>
  </conditionalFormatting>
  <conditionalFormatting sqref="M61:S61">
    <cfRule type="containsBlanks" dxfId="5296" priority="5260">
      <formula>LEN(TRIM(M61))=0</formula>
    </cfRule>
  </conditionalFormatting>
  <conditionalFormatting sqref="O58:Q58">
    <cfRule type="containsBlanks" dxfId="5295" priority="5259">
      <formula>LEN(TRIM(O58))=0</formula>
    </cfRule>
  </conditionalFormatting>
  <conditionalFormatting sqref="O59:Q59">
    <cfRule type="containsBlanks" dxfId="5294" priority="5258">
      <formula>LEN(TRIM(O59))=0</formula>
    </cfRule>
  </conditionalFormatting>
  <conditionalFormatting sqref="O61:Q61">
    <cfRule type="containsBlanks" dxfId="5293" priority="5257">
      <formula>LEN(TRIM(O61))=0</formula>
    </cfRule>
  </conditionalFormatting>
  <conditionalFormatting sqref="N57:T57">
    <cfRule type="containsBlanks" dxfId="5292" priority="5256">
      <formula>LEN(TRIM(N57))=0</formula>
    </cfRule>
  </conditionalFormatting>
  <conditionalFormatting sqref="M74:S74">
    <cfRule type="containsBlanks" dxfId="5291" priority="5255">
      <formula>LEN(TRIM(M74))=0</formula>
    </cfRule>
  </conditionalFormatting>
  <conditionalFormatting sqref="N77:T77">
    <cfRule type="containsBlanks" dxfId="5290" priority="5254">
      <formula>LEN(TRIM(N77))=0</formula>
    </cfRule>
  </conditionalFormatting>
  <conditionalFormatting sqref="O79:Q79">
    <cfRule type="containsBlanks" dxfId="5289" priority="5253">
      <formula>LEN(TRIM(O79))=0</formula>
    </cfRule>
  </conditionalFormatting>
  <conditionalFormatting sqref="M81:T81">
    <cfRule type="containsBlanks" dxfId="5288" priority="5252">
      <formula>LEN(TRIM(M81))=0</formula>
    </cfRule>
  </conditionalFormatting>
  <conditionalFormatting sqref="M87:T87">
    <cfRule type="containsBlanks" dxfId="5287" priority="5251">
      <formula>LEN(TRIM(M87))=0</formula>
    </cfRule>
  </conditionalFormatting>
  <conditionalFormatting sqref="O88:S88">
    <cfRule type="containsBlanks" dxfId="5286" priority="5250">
      <formula>LEN(TRIM(O88))=0</formula>
    </cfRule>
  </conditionalFormatting>
  <conditionalFormatting sqref="M88:N88">
    <cfRule type="containsBlanks" dxfId="5285" priority="5249">
      <formula>LEN(TRIM(M88))=0</formula>
    </cfRule>
  </conditionalFormatting>
  <conditionalFormatting sqref="M51:T51">
    <cfRule type="containsBlanks" dxfId="5284" priority="5248">
      <formula>LEN(TRIM(M51))=0</formula>
    </cfRule>
  </conditionalFormatting>
  <conditionalFormatting sqref="M52:S52">
    <cfRule type="containsBlanks" dxfId="5283" priority="5247">
      <formula>LEN(TRIM(M52))=0</formula>
    </cfRule>
  </conditionalFormatting>
  <conditionalFormatting sqref="O46:Q46">
    <cfRule type="containsBlanks" dxfId="5282" priority="5246">
      <formula>LEN(TRIM(O46))=0</formula>
    </cfRule>
  </conditionalFormatting>
  <conditionalFormatting sqref="O53:Q53">
    <cfRule type="containsBlanks" dxfId="5281" priority="5245">
      <formula>LEN(TRIM(O53))=0</formula>
    </cfRule>
  </conditionalFormatting>
  <conditionalFormatting sqref="O50:Q50">
    <cfRule type="containsBlanks" dxfId="5280" priority="5244">
      <formula>LEN(TRIM(O50))=0</formula>
    </cfRule>
  </conditionalFormatting>
  <conditionalFormatting sqref="O51:Q51">
    <cfRule type="containsBlanks" dxfId="5279" priority="5243">
      <formula>LEN(TRIM(O51))=0</formula>
    </cfRule>
  </conditionalFormatting>
  <conditionalFormatting sqref="O55:Q55">
    <cfRule type="containsBlanks" dxfId="5278" priority="5242">
      <formula>LEN(TRIM(O55))=0</formula>
    </cfRule>
  </conditionalFormatting>
  <conditionalFormatting sqref="O57:Q57">
    <cfRule type="containsBlanks" dxfId="5277" priority="5241">
      <formula>LEN(TRIM(O57))=0</formula>
    </cfRule>
  </conditionalFormatting>
  <conditionalFormatting sqref="O59:Q59">
    <cfRule type="containsBlanks" dxfId="5276" priority="5240">
      <formula>LEN(TRIM(O59))=0</formula>
    </cfRule>
  </conditionalFormatting>
  <conditionalFormatting sqref="O72:Q72">
    <cfRule type="containsBlanks" dxfId="5275" priority="5239">
      <formula>LEN(TRIM(O72))=0</formula>
    </cfRule>
  </conditionalFormatting>
  <conditionalFormatting sqref="O73:Q73">
    <cfRule type="containsBlanks" dxfId="5274" priority="5238">
      <formula>LEN(TRIM(O73))=0</formula>
    </cfRule>
  </conditionalFormatting>
  <conditionalFormatting sqref="O75:Q75">
    <cfRule type="containsBlanks" dxfId="5273" priority="5237">
      <formula>LEN(TRIM(O75))=0</formula>
    </cfRule>
  </conditionalFormatting>
  <conditionalFormatting sqref="N71:T71">
    <cfRule type="containsBlanks" dxfId="5272" priority="5236">
      <formula>LEN(TRIM(N71))=0</formula>
    </cfRule>
  </conditionalFormatting>
  <conditionalFormatting sqref="M88:S88">
    <cfRule type="containsBlanks" dxfId="5271" priority="5235">
      <formula>LEN(TRIM(M88))=0</formula>
    </cfRule>
  </conditionalFormatting>
  <conditionalFormatting sqref="N91:T91">
    <cfRule type="containsBlanks" dxfId="5270" priority="5234">
      <formula>LEN(TRIM(N91))=0</formula>
    </cfRule>
  </conditionalFormatting>
  <conditionalFormatting sqref="O93:Q93">
    <cfRule type="containsBlanks" dxfId="5269" priority="5233">
      <formula>LEN(TRIM(O93))=0</formula>
    </cfRule>
  </conditionalFormatting>
  <conditionalFormatting sqref="M95:T95">
    <cfRule type="containsBlanks" dxfId="5268" priority="5232">
      <formula>LEN(TRIM(M95))=0</formula>
    </cfRule>
  </conditionalFormatting>
  <conditionalFormatting sqref="M101:T101">
    <cfRule type="containsBlanks" dxfId="5267" priority="5231">
      <formula>LEN(TRIM(M101))=0</formula>
    </cfRule>
  </conditionalFormatting>
  <conditionalFormatting sqref="O102:S102">
    <cfRule type="containsBlanks" dxfId="5266" priority="5230">
      <formula>LEN(TRIM(O102))=0</formula>
    </cfRule>
  </conditionalFormatting>
  <conditionalFormatting sqref="M102:N102">
    <cfRule type="containsBlanks" dxfId="5265" priority="5229">
      <formula>LEN(TRIM(M102))=0</formula>
    </cfRule>
  </conditionalFormatting>
  <conditionalFormatting sqref="M65:T65">
    <cfRule type="containsBlanks" dxfId="5264" priority="5228">
      <formula>LEN(TRIM(M65))=0</formula>
    </cfRule>
  </conditionalFormatting>
  <conditionalFormatting sqref="M66:S66">
    <cfRule type="containsBlanks" dxfId="5263" priority="5227">
      <formula>LEN(TRIM(M66))=0</formula>
    </cfRule>
  </conditionalFormatting>
  <conditionalFormatting sqref="O37:Q37">
    <cfRule type="containsBlanks" dxfId="5262" priority="5226">
      <formula>LEN(TRIM(O37))=0</formula>
    </cfRule>
  </conditionalFormatting>
  <conditionalFormatting sqref="O44:Q44">
    <cfRule type="containsBlanks" dxfId="5261" priority="5225">
      <formula>LEN(TRIM(O44))=0</formula>
    </cfRule>
  </conditionalFormatting>
  <conditionalFormatting sqref="O41:Q41">
    <cfRule type="containsBlanks" dxfId="5260" priority="5224">
      <formula>LEN(TRIM(O41))=0</formula>
    </cfRule>
  </conditionalFormatting>
  <conditionalFormatting sqref="O42:Q42">
    <cfRule type="containsBlanks" dxfId="5259" priority="5223">
      <formula>LEN(TRIM(O42))=0</formula>
    </cfRule>
  </conditionalFormatting>
  <conditionalFormatting sqref="O46:Q46">
    <cfRule type="containsBlanks" dxfId="5258" priority="5222">
      <formula>LEN(TRIM(O46))=0</formula>
    </cfRule>
  </conditionalFormatting>
  <conditionalFormatting sqref="O48:Q48">
    <cfRule type="containsBlanks" dxfId="5257" priority="5221">
      <formula>LEN(TRIM(O48))=0</formula>
    </cfRule>
  </conditionalFormatting>
  <conditionalFormatting sqref="O50:Q50">
    <cfRule type="containsBlanks" dxfId="5256" priority="5220">
      <formula>LEN(TRIM(O50))=0</formula>
    </cfRule>
  </conditionalFormatting>
  <conditionalFormatting sqref="O63:Q63">
    <cfRule type="containsBlanks" dxfId="5255" priority="5219">
      <formula>LEN(TRIM(O63))=0</formula>
    </cfRule>
  </conditionalFormatting>
  <conditionalFormatting sqref="O64:Q64">
    <cfRule type="containsBlanks" dxfId="5254" priority="5218">
      <formula>LEN(TRIM(O64))=0</formula>
    </cfRule>
  </conditionalFormatting>
  <conditionalFormatting sqref="O66:Q66">
    <cfRule type="containsBlanks" dxfId="5253" priority="5217">
      <formula>LEN(TRIM(O66))=0</formula>
    </cfRule>
  </conditionalFormatting>
  <conditionalFormatting sqref="N62:T62">
    <cfRule type="containsBlanks" dxfId="5252" priority="5216">
      <formula>LEN(TRIM(N62))=0</formula>
    </cfRule>
  </conditionalFormatting>
  <conditionalFormatting sqref="M79:S79">
    <cfRule type="containsBlanks" dxfId="5251" priority="5215">
      <formula>LEN(TRIM(M79))=0</formula>
    </cfRule>
  </conditionalFormatting>
  <conditionalFormatting sqref="N82:T82">
    <cfRule type="containsBlanks" dxfId="5250" priority="5214">
      <formula>LEN(TRIM(N82))=0</formula>
    </cfRule>
  </conditionalFormatting>
  <conditionalFormatting sqref="O84:Q84">
    <cfRule type="containsBlanks" dxfId="5249" priority="5213">
      <formula>LEN(TRIM(O84))=0</formula>
    </cfRule>
  </conditionalFormatting>
  <conditionalFormatting sqref="M86:T86">
    <cfRule type="containsBlanks" dxfId="5248" priority="5212">
      <formula>LEN(TRIM(M86))=0</formula>
    </cfRule>
  </conditionalFormatting>
  <conditionalFormatting sqref="M92:T92">
    <cfRule type="containsBlanks" dxfId="5247" priority="5211">
      <formula>LEN(TRIM(M92))=0</formula>
    </cfRule>
  </conditionalFormatting>
  <conditionalFormatting sqref="O93:S93">
    <cfRule type="containsBlanks" dxfId="5246" priority="5210">
      <formula>LEN(TRIM(O93))=0</formula>
    </cfRule>
  </conditionalFormatting>
  <conditionalFormatting sqref="M93:N93">
    <cfRule type="containsBlanks" dxfId="5245" priority="5209">
      <formula>LEN(TRIM(M93))=0</formula>
    </cfRule>
  </conditionalFormatting>
  <conditionalFormatting sqref="M56:T56">
    <cfRule type="containsBlanks" dxfId="5244" priority="5208">
      <formula>LEN(TRIM(M56))=0</formula>
    </cfRule>
  </conditionalFormatting>
  <conditionalFormatting sqref="M57:S57">
    <cfRule type="containsBlanks" dxfId="5243" priority="5207">
      <formula>LEN(TRIM(M57))=0</formula>
    </cfRule>
  </conditionalFormatting>
  <conditionalFormatting sqref="O41:Q41">
    <cfRule type="containsBlanks" dxfId="5242" priority="5206">
      <formula>LEN(TRIM(O41))=0</formula>
    </cfRule>
  </conditionalFormatting>
  <conditionalFormatting sqref="O48:Q48">
    <cfRule type="containsBlanks" dxfId="5241" priority="5205">
      <formula>LEN(TRIM(O48))=0</formula>
    </cfRule>
  </conditionalFormatting>
  <conditionalFormatting sqref="O45:Q45">
    <cfRule type="containsBlanks" dxfId="5240" priority="5204">
      <formula>LEN(TRIM(O45))=0</formula>
    </cfRule>
  </conditionalFormatting>
  <conditionalFormatting sqref="O46:Q46">
    <cfRule type="containsBlanks" dxfId="5239" priority="5203">
      <formula>LEN(TRIM(O46))=0</formula>
    </cfRule>
  </conditionalFormatting>
  <conditionalFormatting sqref="O50:Q50">
    <cfRule type="containsBlanks" dxfId="5238" priority="5202">
      <formula>LEN(TRIM(O50))=0</formula>
    </cfRule>
  </conditionalFormatting>
  <conditionalFormatting sqref="O52:Q52">
    <cfRule type="containsBlanks" dxfId="5237" priority="5201">
      <formula>LEN(TRIM(O52))=0</formula>
    </cfRule>
  </conditionalFormatting>
  <conditionalFormatting sqref="O54:Q54">
    <cfRule type="containsBlanks" dxfId="5236" priority="5200">
      <formula>LEN(TRIM(O54))=0</formula>
    </cfRule>
  </conditionalFormatting>
  <conditionalFormatting sqref="O67:Q67">
    <cfRule type="containsBlanks" dxfId="5235" priority="5199">
      <formula>LEN(TRIM(O67))=0</formula>
    </cfRule>
  </conditionalFormatting>
  <conditionalFormatting sqref="O68:Q68">
    <cfRule type="containsBlanks" dxfId="5234" priority="5198">
      <formula>LEN(TRIM(O68))=0</formula>
    </cfRule>
  </conditionalFormatting>
  <conditionalFormatting sqref="O70:Q70">
    <cfRule type="containsBlanks" dxfId="5233" priority="5197">
      <formula>LEN(TRIM(O70))=0</formula>
    </cfRule>
  </conditionalFormatting>
  <conditionalFormatting sqref="N66:T66">
    <cfRule type="containsBlanks" dxfId="5232" priority="5196">
      <formula>LEN(TRIM(N66))=0</formula>
    </cfRule>
  </conditionalFormatting>
  <conditionalFormatting sqref="M83:S83">
    <cfRule type="containsBlanks" dxfId="5231" priority="5195">
      <formula>LEN(TRIM(M83))=0</formula>
    </cfRule>
  </conditionalFormatting>
  <conditionalFormatting sqref="N86:T86">
    <cfRule type="containsBlanks" dxfId="5230" priority="5194">
      <formula>LEN(TRIM(N86))=0</formula>
    </cfRule>
  </conditionalFormatting>
  <conditionalFormatting sqref="O88:Q88">
    <cfRule type="containsBlanks" dxfId="5229" priority="5193">
      <formula>LEN(TRIM(O88))=0</formula>
    </cfRule>
  </conditionalFormatting>
  <conditionalFormatting sqref="M90:T90">
    <cfRule type="containsBlanks" dxfId="5228" priority="5192">
      <formula>LEN(TRIM(M90))=0</formula>
    </cfRule>
  </conditionalFormatting>
  <conditionalFormatting sqref="M96:T96">
    <cfRule type="containsBlanks" dxfId="5227" priority="5191">
      <formula>LEN(TRIM(M96))=0</formula>
    </cfRule>
  </conditionalFormatting>
  <conditionalFormatting sqref="O97:S97">
    <cfRule type="containsBlanks" dxfId="5226" priority="5190">
      <formula>LEN(TRIM(O97))=0</formula>
    </cfRule>
  </conditionalFormatting>
  <conditionalFormatting sqref="M97:N97">
    <cfRule type="containsBlanks" dxfId="5225" priority="5189">
      <formula>LEN(TRIM(M97))=0</formula>
    </cfRule>
  </conditionalFormatting>
  <conditionalFormatting sqref="M60:T60">
    <cfRule type="containsBlanks" dxfId="5224" priority="5188">
      <formula>LEN(TRIM(M60))=0</formula>
    </cfRule>
  </conditionalFormatting>
  <conditionalFormatting sqref="M61:S61">
    <cfRule type="containsBlanks" dxfId="5223" priority="5187">
      <formula>LEN(TRIM(M61))=0</formula>
    </cfRule>
  </conditionalFormatting>
  <conditionalFormatting sqref="O32:Q32">
    <cfRule type="containsBlanks" dxfId="5222" priority="5186">
      <formula>LEN(TRIM(O32))=0</formula>
    </cfRule>
  </conditionalFormatting>
  <conditionalFormatting sqref="O39:Q39">
    <cfRule type="containsBlanks" dxfId="5221" priority="5185">
      <formula>LEN(TRIM(O39))=0</formula>
    </cfRule>
  </conditionalFormatting>
  <conditionalFormatting sqref="O36:Q36">
    <cfRule type="containsBlanks" dxfId="5220" priority="5184">
      <formula>LEN(TRIM(O36))=0</formula>
    </cfRule>
  </conditionalFormatting>
  <conditionalFormatting sqref="O37:Q37">
    <cfRule type="containsBlanks" dxfId="5219" priority="5183">
      <formula>LEN(TRIM(O37))=0</formula>
    </cfRule>
  </conditionalFormatting>
  <conditionalFormatting sqref="O41:Q41">
    <cfRule type="containsBlanks" dxfId="5218" priority="5182">
      <formula>LEN(TRIM(O41))=0</formula>
    </cfRule>
  </conditionalFormatting>
  <conditionalFormatting sqref="O43:Q43">
    <cfRule type="containsBlanks" dxfId="5217" priority="5181">
      <formula>LEN(TRIM(O43))=0</formula>
    </cfRule>
  </conditionalFormatting>
  <conditionalFormatting sqref="O45:Q45">
    <cfRule type="containsBlanks" dxfId="5216" priority="5180">
      <formula>LEN(TRIM(O45))=0</formula>
    </cfRule>
  </conditionalFormatting>
  <conditionalFormatting sqref="O58:Q58">
    <cfRule type="containsBlanks" dxfId="5215" priority="5179">
      <formula>LEN(TRIM(O58))=0</formula>
    </cfRule>
  </conditionalFormatting>
  <conditionalFormatting sqref="O59:Q59">
    <cfRule type="containsBlanks" dxfId="5214" priority="5178">
      <formula>LEN(TRIM(O59))=0</formula>
    </cfRule>
  </conditionalFormatting>
  <conditionalFormatting sqref="O61:Q61">
    <cfRule type="containsBlanks" dxfId="5213" priority="5177">
      <formula>LEN(TRIM(O61))=0</formula>
    </cfRule>
  </conditionalFormatting>
  <conditionalFormatting sqref="N57:T57">
    <cfRule type="containsBlanks" dxfId="5212" priority="5176">
      <formula>LEN(TRIM(N57))=0</formula>
    </cfRule>
  </conditionalFormatting>
  <conditionalFormatting sqref="M74:S74">
    <cfRule type="containsBlanks" dxfId="5211" priority="5175">
      <formula>LEN(TRIM(M74))=0</formula>
    </cfRule>
  </conditionalFormatting>
  <conditionalFormatting sqref="N77:T77">
    <cfRule type="containsBlanks" dxfId="5210" priority="5174">
      <formula>LEN(TRIM(N77))=0</formula>
    </cfRule>
  </conditionalFormatting>
  <conditionalFormatting sqref="O79:Q79">
    <cfRule type="containsBlanks" dxfId="5209" priority="5173">
      <formula>LEN(TRIM(O79))=0</formula>
    </cfRule>
  </conditionalFormatting>
  <conditionalFormatting sqref="M81:T81">
    <cfRule type="containsBlanks" dxfId="5208" priority="5172">
      <formula>LEN(TRIM(M81))=0</formula>
    </cfRule>
  </conditionalFormatting>
  <conditionalFormatting sqref="M87:T87">
    <cfRule type="containsBlanks" dxfId="5207" priority="5171">
      <formula>LEN(TRIM(M87))=0</formula>
    </cfRule>
  </conditionalFormatting>
  <conditionalFormatting sqref="O88:S88">
    <cfRule type="containsBlanks" dxfId="5206" priority="5170">
      <formula>LEN(TRIM(O88))=0</formula>
    </cfRule>
  </conditionalFormatting>
  <conditionalFormatting sqref="M88:N88">
    <cfRule type="containsBlanks" dxfId="5205" priority="5169">
      <formula>LEN(TRIM(M88))=0</formula>
    </cfRule>
  </conditionalFormatting>
  <conditionalFormatting sqref="M51:T51">
    <cfRule type="containsBlanks" dxfId="5204" priority="5168">
      <formula>LEN(TRIM(M51))=0</formula>
    </cfRule>
  </conditionalFormatting>
  <conditionalFormatting sqref="M52:S52">
    <cfRule type="containsBlanks" dxfId="5203" priority="5167">
      <formula>LEN(TRIM(M52))=0</formula>
    </cfRule>
  </conditionalFormatting>
  <conditionalFormatting sqref="O50:Q50">
    <cfRule type="containsBlanks" dxfId="5202" priority="5166">
      <formula>LEN(TRIM(O50))=0</formula>
    </cfRule>
  </conditionalFormatting>
  <conditionalFormatting sqref="O47:Q47">
    <cfRule type="containsBlanks" dxfId="5201" priority="5165">
      <formula>LEN(TRIM(O47))=0</formula>
    </cfRule>
  </conditionalFormatting>
  <conditionalFormatting sqref="O48:Q48">
    <cfRule type="containsBlanks" dxfId="5200" priority="5164">
      <formula>LEN(TRIM(O48))=0</formula>
    </cfRule>
  </conditionalFormatting>
  <conditionalFormatting sqref="O52:Q52">
    <cfRule type="containsBlanks" dxfId="5199" priority="5163">
      <formula>LEN(TRIM(O52))=0</formula>
    </cfRule>
  </conditionalFormatting>
  <conditionalFormatting sqref="O54:Q54">
    <cfRule type="containsBlanks" dxfId="5198" priority="5162">
      <formula>LEN(TRIM(O54))=0</formula>
    </cfRule>
  </conditionalFormatting>
  <conditionalFormatting sqref="O56:Q56">
    <cfRule type="containsBlanks" dxfId="5197" priority="5161">
      <formula>LEN(TRIM(O56))=0</formula>
    </cfRule>
  </conditionalFormatting>
  <conditionalFormatting sqref="O69:Q69">
    <cfRule type="containsBlanks" dxfId="5196" priority="5160">
      <formula>LEN(TRIM(O69))=0</formula>
    </cfRule>
  </conditionalFormatting>
  <conditionalFormatting sqref="O70:Q70">
    <cfRule type="containsBlanks" dxfId="5195" priority="5159">
      <formula>LEN(TRIM(O70))=0</formula>
    </cfRule>
  </conditionalFormatting>
  <conditionalFormatting sqref="O72:Q72">
    <cfRule type="containsBlanks" dxfId="5194" priority="5158">
      <formula>LEN(TRIM(O72))=0</formula>
    </cfRule>
  </conditionalFormatting>
  <conditionalFormatting sqref="N68:T68">
    <cfRule type="containsBlanks" dxfId="5193" priority="5157">
      <formula>LEN(TRIM(N68))=0</formula>
    </cfRule>
  </conditionalFormatting>
  <conditionalFormatting sqref="M85:S85">
    <cfRule type="containsBlanks" dxfId="5192" priority="5156">
      <formula>LEN(TRIM(M85))=0</formula>
    </cfRule>
  </conditionalFormatting>
  <conditionalFormatting sqref="N88:T88">
    <cfRule type="containsBlanks" dxfId="5191" priority="5155">
      <formula>LEN(TRIM(N88))=0</formula>
    </cfRule>
  </conditionalFormatting>
  <conditionalFormatting sqref="O90:Q90">
    <cfRule type="containsBlanks" dxfId="5190" priority="5154">
      <formula>LEN(TRIM(O90))=0</formula>
    </cfRule>
  </conditionalFormatting>
  <conditionalFormatting sqref="M92:T92">
    <cfRule type="containsBlanks" dxfId="5189" priority="5153">
      <formula>LEN(TRIM(M92))=0</formula>
    </cfRule>
  </conditionalFormatting>
  <conditionalFormatting sqref="M98:T98">
    <cfRule type="containsBlanks" dxfId="5188" priority="5152">
      <formula>LEN(TRIM(M98))=0</formula>
    </cfRule>
  </conditionalFormatting>
  <conditionalFormatting sqref="M62:T62">
    <cfRule type="containsBlanks" dxfId="5187" priority="5149">
      <formula>LEN(TRIM(M62))=0</formula>
    </cfRule>
  </conditionalFormatting>
  <conditionalFormatting sqref="M63:S63">
    <cfRule type="containsBlanks" dxfId="5186" priority="5148">
      <formula>LEN(TRIM(M63))=0</formula>
    </cfRule>
  </conditionalFormatting>
  <conditionalFormatting sqref="O47:Q47">
    <cfRule type="containsBlanks" dxfId="5185" priority="5147">
      <formula>LEN(TRIM(O47))=0</formula>
    </cfRule>
  </conditionalFormatting>
  <conditionalFormatting sqref="O60:Q60">
    <cfRule type="containsBlanks" dxfId="5184" priority="5146">
      <formula>LEN(TRIM(O60))=0</formula>
    </cfRule>
  </conditionalFormatting>
  <conditionalFormatting sqref="O61:Q61">
    <cfRule type="containsBlanks" dxfId="5183" priority="5145">
      <formula>LEN(TRIM(O61))=0</formula>
    </cfRule>
  </conditionalFormatting>
  <conditionalFormatting sqref="O63:Q63">
    <cfRule type="containsBlanks" dxfId="5182" priority="5144">
      <formula>LEN(TRIM(O63))=0</formula>
    </cfRule>
  </conditionalFormatting>
  <conditionalFormatting sqref="N59:T59">
    <cfRule type="containsBlanks" dxfId="5181" priority="5143">
      <formula>LEN(TRIM(N59))=0</formula>
    </cfRule>
  </conditionalFormatting>
  <conditionalFormatting sqref="M76:S76">
    <cfRule type="containsBlanks" dxfId="5180" priority="5142">
      <formula>LEN(TRIM(M76))=0</formula>
    </cfRule>
  </conditionalFormatting>
  <conditionalFormatting sqref="N79:T79">
    <cfRule type="containsBlanks" dxfId="5179" priority="5141">
      <formula>LEN(TRIM(N79))=0</formula>
    </cfRule>
  </conditionalFormatting>
  <conditionalFormatting sqref="O81:Q81">
    <cfRule type="containsBlanks" dxfId="5178" priority="5140">
      <formula>LEN(TRIM(O81))=0</formula>
    </cfRule>
  </conditionalFormatting>
  <conditionalFormatting sqref="M83:T83">
    <cfRule type="containsBlanks" dxfId="5177" priority="5139">
      <formula>LEN(TRIM(M83))=0</formula>
    </cfRule>
  </conditionalFormatting>
  <conditionalFormatting sqref="M89:T89">
    <cfRule type="containsBlanks" dxfId="5176" priority="5138">
      <formula>LEN(TRIM(M89))=0</formula>
    </cfRule>
  </conditionalFormatting>
  <conditionalFormatting sqref="O90:S90">
    <cfRule type="containsBlanks" dxfId="5175" priority="5137">
      <formula>LEN(TRIM(O90))=0</formula>
    </cfRule>
  </conditionalFormatting>
  <conditionalFormatting sqref="M90:N90">
    <cfRule type="containsBlanks" dxfId="5174" priority="5136">
      <formula>LEN(TRIM(M90))=0</formula>
    </cfRule>
  </conditionalFormatting>
  <conditionalFormatting sqref="M53:T53">
    <cfRule type="containsBlanks" dxfId="5173" priority="5135">
      <formula>LEN(TRIM(M53))=0</formula>
    </cfRule>
  </conditionalFormatting>
  <conditionalFormatting sqref="M54:S54">
    <cfRule type="containsBlanks" dxfId="5172" priority="5134">
      <formula>LEN(TRIM(M54))=0</formula>
    </cfRule>
  </conditionalFormatting>
  <conditionalFormatting sqref="O47:Q47">
    <cfRule type="containsBlanks" dxfId="5171" priority="5133">
      <formula>LEN(TRIM(O47))=0</formula>
    </cfRule>
  </conditionalFormatting>
  <conditionalFormatting sqref="O49:Q49">
    <cfRule type="containsBlanks" dxfId="5170" priority="5132">
      <formula>LEN(TRIM(O49))=0</formula>
    </cfRule>
  </conditionalFormatting>
  <conditionalFormatting sqref="O51:Q51">
    <cfRule type="containsBlanks" dxfId="5169" priority="5131">
      <formula>LEN(TRIM(O51))=0</formula>
    </cfRule>
  </conditionalFormatting>
  <conditionalFormatting sqref="O64:Q64">
    <cfRule type="containsBlanks" dxfId="5168" priority="5130">
      <formula>LEN(TRIM(O64))=0</formula>
    </cfRule>
  </conditionalFormatting>
  <conditionalFormatting sqref="O65:Q65">
    <cfRule type="containsBlanks" dxfId="5167" priority="5129">
      <formula>LEN(TRIM(O65))=0</formula>
    </cfRule>
  </conditionalFormatting>
  <conditionalFormatting sqref="O67:Q67">
    <cfRule type="containsBlanks" dxfId="5166" priority="5128">
      <formula>LEN(TRIM(O67))=0</formula>
    </cfRule>
  </conditionalFormatting>
  <conditionalFormatting sqref="N63:T63">
    <cfRule type="containsBlanks" dxfId="5165" priority="5127">
      <formula>LEN(TRIM(N63))=0</formula>
    </cfRule>
  </conditionalFormatting>
  <conditionalFormatting sqref="M80:S80">
    <cfRule type="containsBlanks" dxfId="5164" priority="5126">
      <formula>LEN(TRIM(M80))=0</formula>
    </cfRule>
  </conditionalFormatting>
  <conditionalFormatting sqref="N83:T83">
    <cfRule type="containsBlanks" dxfId="5163" priority="5125">
      <formula>LEN(TRIM(N83))=0</formula>
    </cfRule>
  </conditionalFormatting>
  <conditionalFormatting sqref="O85:Q85">
    <cfRule type="containsBlanks" dxfId="5162" priority="5124">
      <formula>LEN(TRIM(O85))=0</formula>
    </cfRule>
  </conditionalFormatting>
  <conditionalFormatting sqref="M87:T87">
    <cfRule type="containsBlanks" dxfId="5161" priority="5123">
      <formula>LEN(TRIM(M87))=0</formula>
    </cfRule>
  </conditionalFormatting>
  <conditionalFormatting sqref="M93:T93">
    <cfRule type="containsBlanks" dxfId="5160" priority="5122">
      <formula>LEN(TRIM(M93))=0</formula>
    </cfRule>
  </conditionalFormatting>
  <conditionalFormatting sqref="O94:S94">
    <cfRule type="containsBlanks" dxfId="5159" priority="5121">
      <formula>LEN(TRIM(O94))=0</formula>
    </cfRule>
  </conditionalFormatting>
  <conditionalFormatting sqref="M94:N94">
    <cfRule type="containsBlanks" dxfId="5158" priority="5120">
      <formula>LEN(TRIM(M94))=0</formula>
    </cfRule>
  </conditionalFormatting>
  <conditionalFormatting sqref="M57:T57">
    <cfRule type="containsBlanks" dxfId="5157" priority="5119">
      <formula>LEN(TRIM(M57))=0</formula>
    </cfRule>
  </conditionalFormatting>
  <conditionalFormatting sqref="M58:S58">
    <cfRule type="containsBlanks" dxfId="5156" priority="5118">
      <formula>LEN(TRIM(M58))=0</formula>
    </cfRule>
  </conditionalFormatting>
  <conditionalFormatting sqref="O55:Q55">
    <cfRule type="containsBlanks" dxfId="5155" priority="5117">
      <formula>LEN(TRIM(O55))=0</formula>
    </cfRule>
  </conditionalFormatting>
  <conditionalFormatting sqref="O56:Q56">
    <cfRule type="containsBlanks" dxfId="5154" priority="5116">
      <formula>LEN(TRIM(O56))=0</formula>
    </cfRule>
  </conditionalFormatting>
  <conditionalFormatting sqref="O58:Q58">
    <cfRule type="containsBlanks" dxfId="5153" priority="5115">
      <formula>LEN(TRIM(O58))=0</formula>
    </cfRule>
  </conditionalFormatting>
  <conditionalFormatting sqref="N54:T54">
    <cfRule type="containsBlanks" dxfId="5152" priority="5114">
      <formula>LEN(TRIM(N54))=0</formula>
    </cfRule>
  </conditionalFormatting>
  <conditionalFormatting sqref="M71:S71">
    <cfRule type="containsBlanks" dxfId="5151" priority="5113">
      <formula>LEN(TRIM(M71))=0</formula>
    </cfRule>
  </conditionalFormatting>
  <conditionalFormatting sqref="N74:T74">
    <cfRule type="containsBlanks" dxfId="5150" priority="5112">
      <formula>LEN(TRIM(N74))=0</formula>
    </cfRule>
  </conditionalFormatting>
  <conditionalFormatting sqref="O76:Q76">
    <cfRule type="containsBlanks" dxfId="5149" priority="5111">
      <formula>LEN(TRIM(O76))=0</formula>
    </cfRule>
  </conditionalFormatting>
  <conditionalFormatting sqref="M78:T78">
    <cfRule type="containsBlanks" dxfId="5148" priority="5110">
      <formula>LEN(TRIM(M78))=0</formula>
    </cfRule>
  </conditionalFormatting>
  <conditionalFormatting sqref="M84:T84">
    <cfRule type="containsBlanks" dxfId="5147" priority="5109">
      <formula>LEN(TRIM(M84))=0</formula>
    </cfRule>
  </conditionalFormatting>
  <conditionalFormatting sqref="O85:S85">
    <cfRule type="containsBlanks" dxfId="5146" priority="5108">
      <formula>LEN(TRIM(O85))=0</formula>
    </cfRule>
  </conditionalFormatting>
  <conditionalFormatting sqref="M85:N85">
    <cfRule type="containsBlanks" dxfId="5145" priority="5107">
      <formula>LEN(TRIM(M85))=0</formula>
    </cfRule>
  </conditionalFormatting>
  <conditionalFormatting sqref="M48:T48">
    <cfRule type="containsBlanks" dxfId="5144" priority="5106">
      <formula>LEN(TRIM(M48))=0</formula>
    </cfRule>
  </conditionalFormatting>
  <conditionalFormatting sqref="M49:S49">
    <cfRule type="containsBlanks" dxfId="5143" priority="5105">
      <formula>LEN(TRIM(M49))=0</formula>
    </cfRule>
  </conditionalFormatting>
  <conditionalFormatting sqref="O49:Q49">
    <cfRule type="containsBlanks" dxfId="5142" priority="5104">
      <formula>LEN(TRIM(O49))=0</formula>
    </cfRule>
  </conditionalFormatting>
  <conditionalFormatting sqref="O56:Q56">
    <cfRule type="containsBlanks" dxfId="5141" priority="5103">
      <formula>LEN(TRIM(O56))=0</formula>
    </cfRule>
  </conditionalFormatting>
  <conditionalFormatting sqref="O53:Q53">
    <cfRule type="containsBlanks" dxfId="5140" priority="5102">
      <formula>LEN(TRIM(O53))=0</formula>
    </cfRule>
  </conditionalFormatting>
  <conditionalFormatting sqref="O54:Q54">
    <cfRule type="containsBlanks" dxfId="5139" priority="5101">
      <formula>LEN(TRIM(O54))=0</formula>
    </cfRule>
  </conditionalFormatting>
  <conditionalFormatting sqref="O58:Q58">
    <cfRule type="containsBlanks" dxfId="5138" priority="5100">
      <formula>LEN(TRIM(O58))=0</formula>
    </cfRule>
  </conditionalFormatting>
  <conditionalFormatting sqref="O60:Q60">
    <cfRule type="containsBlanks" dxfId="5137" priority="5099">
      <formula>LEN(TRIM(O60))=0</formula>
    </cfRule>
  </conditionalFormatting>
  <conditionalFormatting sqref="O62:Q62">
    <cfRule type="containsBlanks" dxfId="5136" priority="5098">
      <formula>LEN(TRIM(O62))=0</formula>
    </cfRule>
  </conditionalFormatting>
  <conditionalFormatting sqref="O75:Q75">
    <cfRule type="containsBlanks" dxfId="5135" priority="5097">
      <formula>LEN(TRIM(O75))=0</formula>
    </cfRule>
  </conditionalFormatting>
  <conditionalFormatting sqref="O76:Q76">
    <cfRule type="containsBlanks" dxfId="5134" priority="5096">
      <formula>LEN(TRIM(O76))=0</formula>
    </cfRule>
  </conditionalFormatting>
  <conditionalFormatting sqref="O78:Q78">
    <cfRule type="containsBlanks" dxfId="5133" priority="5095">
      <formula>LEN(TRIM(O78))=0</formula>
    </cfRule>
  </conditionalFormatting>
  <conditionalFormatting sqref="N74:T74">
    <cfRule type="containsBlanks" dxfId="5132" priority="5094">
      <formula>LEN(TRIM(N74))=0</formula>
    </cfRule>
  </conditionalFormatting>
  <conditionalFormatting sqref="M91:S91">
    <cfRule type="containsBlanks" dxfId="5131" priority="5093">
      <formula>LEN(TRIM(M91))=0</formula>
    </cfRule>
  </conditionalFormatting>
  <conditionalFormatting sqref="N94:T94">
    <cfRule type="containsBlanks" dxfId="5130" priority="5092">
      <formula>LEN(TRIM(N94))=0</formula>
    </cfRule>
  </conditionalFormatting>
  <conditionalFormatting sqref="O96:Q96">
    <cfRule type="containsBlanks" dxfId="5129" priority="5091">
      <formula>LEN(TRIM(O96))=0</formula>
    </cfRule>
  </conditionalFormatting>
  <conditionalFormatting sqref="M98:T98">
    <cfRule type="containsBlanks" dxfId="5128" priority="5090">
      <formula>LEN(TRIM(M98))=0</formula>
    </cfRule>
  </conditionalFormatting>
  <conditionalFormatting sqref="M104:T104">
    <cfRule type="containsBlanks" dxfId="5127" priority="5089">
      <formula>LEN(TRIM(M104))=0</formula>
    </cfRule>
  </conditionalFormatting>
  <conditionalFormatting sqref="O105:S105">
    <cfRule type="containsBlanks" dxfId="5126" priority="5088">
      <formula>LEN(TRIM(O105))=0</formula>
    </cfRule>
  </conditionalFormatting>
  <conditionalFormatting sqref="M105:N105">
    <cfRule type="containsBlanks" dxfId="5125" priority="5087">
      <formula>LEN(TRIM(M105))=0</formula>
    </cfRule>
  </conditionalFormatting>
  <conditionalFormatting sqref="M68:T68">
    <cfRule type="containsBlanks" dxfId="5124" priority="5086">
      <formula>LEN(TRIM(M68))=0</formula>
    </cfRule>
  </conditionalFormatting>
  <conditionalFormatting sqref="M69:S69">
    <cfRule type="containsBlanks" dxfId="5123" priority="5085">
      <formula>LEN(TRIM(M69))=0</formula>
    </cfRule>
  </conditionalFormatting>
  <conditionalFormatting sqref="O40:Q40">
    <cfRule type="containsBlanks" dxfId="5122" priority="5084">
      <formula>LEN(TRIM(O40))=0</formula>
    </cfRule>
  </conditionalFormatting>
  <conditionalFormatting sqref="O47:Q47">
    <cfRule type="containsBlanks" dxfId="5121" priority="5083">
      <formula>LEN(TRIM(O47))=0</formula>
    </cfRule>
  </conditionalFormatting>
  <conditionalFormatting sqref="O44:Q44">
    <cfRule type="containsBlanks" dxfId="5120" priority="5082">
      <formula>LEN(TRIM(O44))=0</formula>
    </cfRule>
  </conditionalFormatting>
  <conditionalFormatting sqref="O45:Q45">
    <cfRule type="containsBlanks" dxfId="5119" priority="5081">
      <formula>LEN(TRIM(O45))=0</formula>
    </cfRule>
  </conditionalFormatting>
  <conditionalFormatting sqref="O49:Q49">
    <cfRule type="containsBlanks" dxfId="5118" priority="5080">
      <formula>LEN(TRIM(O49))=0</formula>
    </cfRule>
  </conditionalFormatting>
  <conditionalFormatting sqref="O51:Q51">
    <cfRule type="containsBlanks" dxfId="5117" priority="5079">
      <formula>LEN(TRIM(O51))=0</formula>
    </cfRule>
  </conditionalFormatting>
  <conditionalFormatting sqref="O53:Q53">
    <cfRule type="containsBlanks" dxfId="5116" priority="5078">
      <formula>LEN(TRIM(O53))=0</formula>
    </cfRule>
  </conditionalFormatting>
  <conditionalFormatting sqref="O66:Q66">
    <cfRule type="containsBlanks" dxfId="5115" priority="5077">
      <formula>LEN(TRIM(O66))=0</formula>
    </cfRule>
  </conditionalFormatting>
  <conditionalFormatting sqref="O67:Q67">
    <cfRule type="containsBlanks" dxfId="5114" priority="5076">
      <formula>LEN(TRIM(O67))=0</formula>
    </cfRule>
  </conditionalFormatting>
  <conditionalFormatting sqref="O69:Q69">
    <cfRule type="containsBlanks" dxfId="5113" priority="5075">
      <formula>LEN(TRIM(O69))=0</formula>
    </cfRule>
  </conditionalFormatting>
  <conditionalFormatting sqref="N65:T65">
    <cfRule type="containsBlanks" dxfId="5112" priority="5074">
      <formula>LEN(TRIM(N65))=0</formula>
    </cfRule>
  </conditionalFormatting>
  <conditionalFormatting sqref="M82:S82">
    <cfRule type="containsBlanks" dxfId="5111" priority="5073">
      <formula>LEN(TRIM(M82))=0</formula>
    </cfRule>
  </conditionalFormatting>
  <conditionalFormatting sqref="N85:T85">
    <cfRule type="containsBlanks" dxfId="5110" priority="5072">
      <formula>LEN(TRIM(N85))=0</formula>
    </cfRule>
  </conditionalFormatting>
  <conditionalFormatting sqref="O87:Q87">
    <cfRule type="containsBlanks" dxfId="5109" priority="5071">
      <formula>LEN(TRIM(O87))=0</formula>
    </cfRule>
  </conditionalFormatting>
  <conditionalFormatting sqref="M89:T89">
    <cfRule type="containsBlanks" dxfId="5108" priority="5070">
      <formula>LEN(TRIM(M89))=0</formula>
    </cfRule>
  </conditionalFormatting>
  <conditionalFormatting sqref="M95:T95">
    <cfRule type="containsBlanks" dxfId="5107" priority="5069">
      <formula>LEN(TRIM(M95))=0</formula>
    </cfRule>
  </conditionalFormatting>
  <conditionalFormatting sqref="O96:S96">
    <cfRule type="containsBlanks" dxfId="5106" priority="5068">
      <formula>LEN(TRIM(O96))=0</formula>
    </cfRule>
  </conditionalFormatting>
  <conditionalFormatting sqref="M96:N96">
    <cfRule type="containsBlanks" dxfId="5105" priority="5067">
      <formula>LEN(TRIM(M96))=0</formula>
    </cfRule>
  </conditionalFormatting>
  <conditionalFormatting sqref="M59:T59">
    <cfRule type="containsBlanks" dxfId="5104" priority="5066">
      <formula>LEN(TRIM(M59))=0</formula>
    </cfRule>
  </conditionalFormatting>
  <conditionalFormatting sqref="M60:S60">
    <cfRule type="containsBlanks" dxfId="5103" priority="5065">
      <formula>LEN(TRIM(M60))=0</formula>
    </cfRule>
  </conditionalFormatting>
  <conditionalFormatting sqref="O44:Q44">
    <cfRule type="containsBlanks" dxfId="5102" priority="5064">
      <formula>LEN(TRIM(O44))=0</formula>
    </cfRule>
  </conditionalFormatting>
  <conditionalFormatting sqref="O51:Q51">
    <cfRule type="containsBlanks" dxfId="5101" priority="5063">
      <formula>LEN(TRIM(O51))=0</formula>
    </cfRule>
  </conditionalFormatting>
  <conditionalFormatting sqref="O48:Q48">
    <cfRule type="containsBlanks" dxfId="5100" priority="5062">
      <formula>LEN(TRIM(O48))=0</formula>
    </cfRule>
  </conditionalFormatting>
  <conditionalFormatting sqref="O49:Q49">
    <cfRule type="containsBlanks" dxfId="5099" priority="5061">
      <formula>LEN(TRIM(O49))=0</formula>
    </cfRule>
  </conditionalFormatting>
  <conditionalFormatting sqref="O53:Q53">
    <cfRule type="containsBlanks" dxfId="5098" priority="5060">
      <formula>LEN(TRIM(O53))=0</formula>
    </cfRule>
  </conditionalFormatting>
  <conditionalFormatting sqref="O55:Q55">
    <cfRule type="containsBlanks" dxfId="5097" priority="5059">
      <formula>LEN(TRIM(O55))=0</formula>
    </cfRule>
  </conditionalFormatting>
  <conditionalFormatting sqref="O57:Q57">
    <cfRule type="containsBlanks" dxfId="5096" priority="5058">
      <formula>LEN(TRIM(O57))=0</formula>
    </cfRule>
  </conditionalFormatting>
  <conditionalFormatting sqref="O70:Q70">
    <cfRule type="containsBlanks" dxfId="5095" priority="5057">
      <formula>LEN(TRIM(O70))=0</formula>
    </cfRule>
  </conditionalFormatting>
  <conditionalFormatting sqref="O71:Q71">
    <cfRule type="containsBlanks" dxfId="5094" priority="5056">
      <formula>LEN(TRIM(O71))=0</formula>
    </cfRule>
  </conditionalFormatting>
  <conditionalFormatting sqref="O73:Q73">
    <cfRule type="containsBlanks" dxfId="5093" priority="5055">
      <formula>LEN(TRIM(O73))=0</formula>
    </cfRule>
  </conditionalFormatting>
  <conditionalFormatting sqref="N69:T69">
    <cfRule type="containsBlanks" dxfId="5092" priority="5054">
      <formula>LEN(TRIM(N69))=0</formula>
    </cfRule>
  </conditionalFormatting>
  <conditionalFormatting sqref="M86:S86">
    <cfRule type="containsBlanks" dxfId="5091" priority="5053">
      <formula>LEN(TRIM(M86))=0</formula>
    </cfRule>
  </conditionalFormatting>
  <conditionalFormatting sqref="N89:T89">
    <cfRule type="containsBlanks" dxfId="5090" priority="5052">
      <formula>LEN(TRIM(N89))=0</formula>
    </cfRule>
  </conditionalFormatting>
  <conditionalFormatting sqref="O91:Q91">
    <cfRule type="containsBlanks" dxfId="5089" priority="5051">
      <formula>LEN(TRIM(O91))=0</formula>
    </cfRule>
  </conditionalFormatting>
  <conditionalFormatting sqref="M93:T93">
    <cfRule type="containsBlanks" dxfId="5088" priority="5050">
      <formula>LEN(TRIM(M93))=0</formula>
    </cfRule>
  </conditionalFormatting>
  <conditionalFormatting sqref="O100:S100">
    <cfRule type="containsBlanks" dxfId="5087" priority="5048">
      <formula>LEN(TRIM(O100))=0</formula>
    </cfRule>
  </conditionalFormatting>
  <conditionalFormatting sqref="M100:N100">
    <cfRule type="containsBlanks" dxfId="5086" priority="5047">
      <formula>LEN(TRIM(M100))=0</formula>
    </cfRule>
  </conditionalFormatting>
  <conditionalFormatting sqref="M63:T63">
    <cfRule type="containsBlanks" dxfId="5085" priority="5046">
      <formula>LEN(TRIM(M63))=0</formula>
    </cfRule>
  </conditionalFormatting>
  <conditionalFormatting sqref="M64:S64">
    <cfRule type="containsBlanks" dxfId="5084" priority="5045">
      <formula>LEN(TRIM(M64))=0</formula>
    </cfRule>
  </conditionalFormatting>
  <conditionalFormatting sqref="O35:Q35">
    <cfRule type="containsBlanks" dxfId="5083" priority="5044">
      <formula>LEN(TRIM(O35))=0</formula>
    </cfRule>
  </conditionalFormatting>
  <conditionalFormatting sqref="O42:Q42">
    <cfRule type="containsBlanks" dxfId="5082" priority="5043">
      <formula>LEN(TRIM(O42))=0</formula>
    </cfRule>
  </conditionalFormatting>
  <conditionalFormatting sqref="O39:Q39">
    <cfRule type="containsBlanks" dxfId="5081" priority="5042">
      <formula>LEN(TRIM(O39))=0</formula>
    </cfRule>
  </conditionalFormatting>
  <conditionalFormatting sqref="O40:Q40">
    <cfRule type="containsBlanks" dxfId="5080" priority="5041">
      <formula>LEN(TRIM(O40))=0</formula>
    </cfRule>
  </conditionalFormatting>
  <conditionalFormatting sqref="O44:Q44">
    <cfRule type="containsBlanks" dxfId="5079" priority="5040">
      <formula>LEN(TRIM(O44))=0</formula>
    </cfRule>
  </conditionalFormatting>
  <conditionalFormatting sqref="O46:Q46">
    <cfRule type="containsBlanks" dxfId="5078" priority="5039">
      <formula>LEN(TRIM(O46))=0</formula>
    </cfRule>
  </conditionalFormatting>
  <conditionalFormatting sqref="O48:Q48">
    <cfRule type="containsBlanks" dxfId="5077" priority="5038">
      <formula>LEN(TRIM(O48))=0</formula>
    </cfRule>
  </conditionalFormatting>
  <conditionalFormatting sqref="O61:Q61">
    <cfRule type="containsBlanks" dxfId="5076" priority="5037">
      <formula>LEN(TRIM(O61))=0</formula>
    </cfRule>
  </conditionalFormatting>
  <conditionalFormatting sqref="O62:Q62">
    <cfRule type="containsBlanks" dxfId="5075" priority="5036">
      <formula>LEN(TRIM(O62))=0</formula>
    </cfRule>
  </conditionalFormatting>
  <conditionalFormatting sqref="O64:Q64">
    <cfRule type="containsBlanks" dxfId="5074" priority="5035">
      <formula>LEN(TRIM(O64))=0</formula>
    </cfRule>
  </conditionalFormatting>
  <conditionalFormatting sqref="N60:T60">
    <cfRule type="containsBlanks" dxfId="5073" priority="5034">
      <formula>LEN(TRIM(N60))=0</formula>
    </cfRule>
  </conditionalFormatting>
  <conditionalFormatting sqref="M77:S77">
    <cfRule type="containsBlanks" dxfId="5072" priority="5033">
      <formula>LEN(TRIM(M77))=0</formula>
    </cfRule>
  </conditionalFormatting>
  <conditionalFormatting sqref="N80:T80">
    <cfRule type="containsBlanks" dxfId="5071" priority="5032">
      <formula>LEN(TRIM(N80))=0</formula>
    </cfRule>
  </conditionalFormatting>
  <conditionalFormatting sqref="O82:Q82">
    <cfRule type="containsBlanks" dxfId="5070" priority="5031">
      <formula>LEN(TRIM(O82))=0</formula>
    </cfRule>
  </conditionalFormatting>
  <conditionalFormatting sqref="M84:T84">
    <cfRule type="containsBlanks" dxfId="5069" priority="5030">
      <formula>LEN(TRIM(M84))=0</formula>
    </cfRule>
  </conditionalFormatting>
  <conditionalFormatting sqref="M90:T90">
    <cfRule type="containsBlanks" dxfId="5068" priority="5029">
      <formula>LEN(TRIM(M90))=0</formula>
    </cfRule>
  </conditionalFormatting>
  <conditionalFormatting sqref="O91:S91">
    <cfRule type="containsBlanks" dxfId="5067" priority="5028">
      <formula>LEN(TRIM(O91))=0</formula>
    </cfRule>
  </conditionalFormatting>
  <conditionalFormatting sqref="M91:N91">
    <cfRule type="containsBlanks" dxfId="5066" priority="5027">
      <formula>LEN(TRIM(M91))=0</formula>
    </cfRule>
  </conditionalFormatting>
  <conditionalFormatting sqref="M54:T54">
    <cfRule type="containsBlanks" dxfId="5065" priority="5026">
      <formula>LEN(TRIM(M54))=0</formula>
    </cfRule>
  </conditionalFormatting>
  <conditionalFormatting sqref="M55:S55">
    <cfRule type="containsBlanks" dxfId="5064" priority="5025">
      <formula>LEN(TRIM(M55))=0</formula>
    </cfRule>
  </conditionalFormatting>
  <conditionalFormatting sqref="O53:Q53">
    <cfRule type="containsBlanks" dxfId="5063" priority="5024">
      <formula>LEN(TRIM(O53))=0</formula>
    </cfRule>
  </conditionalFormatting>
  <conditionalFormatting sqref="O50:Q50">
    <cfRule type="containsBlanks" dxfId="5062" priority="5023">
      <formula>LEN(TRIM(O50))=0</formula>
    </cfRule>
  </conditionalFormatting>
  <conditionalFormatting sqref="O51:Q51">
    <cfRule type="containsBlanks" dxfId="5061" priority="5022">
      <formula>LEN(TRIM(O51))=0</formula>
    </cfRule>
  </conditionalFormatting>
  <conditionalFormatting sqref="O55:Q55">
    <cfRule type="containsBlanks" dxfId="5060" priority="5021">
      <formula>LEN(TRIM(O55))=0</formula>
    </cfRule>
  </conditionalFormatting>
  <conditionalFormatting sqref="O57:Q57">
    <cfRule type="containsBlanks" dxfId="5059" priority="5020">
      <formula>LEN(TRIM(O57))=0</formula>
    </cfRule>
  </conditionalFormatting>
  <conditionalFormatting sqref="O59:Q59">
    <cfRule type="containsBlanks" dxfId="5058" priority="5019">
      <formula>LEN(TRIM(O59))=0</formula>
    </cfRule>
  </conditionalFormatting>
  <conditionalFormatting sqref="O72:Q72">
    <cfRule type="containsBlanks" dxfId="5057" priority="5018">
      <formula>LEN(TRIM(O72))=0</formula>
    </cfRule>
  </conditionalFormatting>
  <conditionalFormatting sqref="O73:Q73">
    <cfRule type="containsBlanks" dxfId="5056" priority="5017">
      <formula>LEN(TRIM(O73))=0</formula>
    </cfRule>
  </conditionalFormatting>
  <conditionalFormatting sqref="O75:Q75">
    <cfRule type="containsBlanks" dxfId="5055" priority="5016">
      <formula>LEN(TRIM(O75))=0</formula>
    </cfRule>
  </conditionalFormatting>
  <conditionalFormatting sqref="N71:T71">
    <cfRule type="containsBlanks" dxfId="5054" priority="5015">
      <formula>LEN(TRIM(N71))=0</formula>
    </cfRule>
  </conditionalFormatting>
  <conditionalFormatting sqref="M88:S88">
    <cfRule type="containsBlanks" dxfId="5053" priority="5014">
      <formula>LEN(TRIM(M88))=0</formula>
    </cfRule>
  </conditionalFormatting>
  <conditionalFormatting sqref="N91:T91">
    <cfRule type="containsBlanks" dxfId="5052" priority="5013">
      <formula>LEN(TRIM(N91))=0</formula>
    </cfRule>
  </conditionalFormatting>
  <conditionalFormatting sqref="O93:Q93">
    <cfRule type="containsBlanks" dxfId="5051" priority="5012">
      <formula>LEN(TRIM(O93))=0</formula>
    </cfRule>
  </conditionalFormatting>
  <conditionalFormatting sqref="M95:T95">
    <cfRule type="containsBlanks" dxfId="5050" priority="5011">
      <formula>LEN(TRIM(M95))=0</formula>
    </cfRule>
  </conditionalFormatting>
  <conditionalFormatting sqref="M101:T101">
    <cfRule type="containsBlanks" dxfId="5049" priority="5010">
      <formula>LEN(TRIM(M101))=0</formula>
    </cfRule>
  </conditionalFormatting>
  <conditionalFormatting sqref="O102:S102">
    <cfRule type="containsBlanks" dxfId="5048" priority="5009">
      <formula>LEN(TRIM(O102))=0</formula>
    </cfRule>
  </conditionalFormatting>
  <conditionalFormatting sqref="M102:N102">
    <cfRule type="containsBlanks" dxfId="5047" priority="5008">
      <formula>LEN(TRIM(M102))=0</formula>
    </cfRule>
  </conditionalFormatting>
  <conditionalFormatting sqref="M65:T65">
    <cfRule type="containsBlanks" dxfId="5046" priority="5007">
      <formula>LEN(TRIM(M65))=0</formula>
    </cfRule>
  </conditionalFormatting>
  <conditionalFormatting sqref="M66:S66">
    <cfRule type="containsBlanks" dxfId="5045" priority="5006">
      <formula>LEN(TRIM(M66))=0</formula>
    </cfRule>
  </conditionalFormatting>
  <conditionalFormatting sqref="O50:Q50">
    <cfRule type="containsBlanks" dxfId="5044" priority="5005">
      <formula>LEN(TRIM(O50))=0</formula>
    </cfRule>
  </conditionalFormatting>
  <conditionalFormatting sqref="O63:Q63">
    <cfRule type="containsBlanks" dxfId="5043" priority="5004">
      <formula>LEN(TRIM(O63))=0</formula>
    </cfRule>
  </conditionalFormatting>
  <conditionalFormatting sqref="O64:Q64">
    <cfRule type="containsBlanks" dxfId="5042" priority="5003">
      <formula>LEN(TRIM(O64))=0</formula>
    </cfRule>
  </conditionalFormatting>
  <conditionalFormatting sqref="O66:Q66">
    <cfRule type="containsBlanks" dxfId="5041" priority="5002">
      <formula>LEN(TRIM(O66))=0</formula>
    </cfRule>
  </conditionalFormatting>
  <conditionalFormatting sqref="N62:T62">
    <cfRule type="containsBlanks" dxfId="5040" priority="5001">
      <formula>LEN(TRIM(N62))=0</formula>
    </cfRule>
  </conditionalFormatting>
  <conditionalFormatting sqref="M79:S79">
    <cfRule type="containsBlanks" dxfId="5039" priority="5000">
      <formula>LEN(TRIM(M79))=0</formula>
    </cfRule>
  </conditionalFormatting>
  <conditionalFormatting sqref="N82:T82">
    <cfRule type="containsBlanks" dxfId="5038" priority="4999">
      <formula>LEN(TRIM(N82))=0</formula>
    </cfRule>
  </conditionalFormatting>
  <conditionalFormatting sqref="O84:Q84">
    <cfRule type="containsBlanks" dxfId="5037" priority="4998">
      <formula>LEN(TRIM(O84))=0</formula>
    </cfRule>
  </conditionalFormatting>
  <conditionalFormatting sqref="M86:T86">
    <cfRule type="containsBlanks" dxfId="5036" priority="4997">
      <formula>LEN(TRIM(M86))=0</formula>
    </cfRule>
  </conditionalFormatting>
  <conditionalFormatting sqref="M92:T92">
    <cfRule type="containsBlanks" dxfId="5035" priority="4996">
      <formula>LEN(TRIM(M92))=0</formula>
    </cfRule>
  </conditionalFormatting>
  <conditionalFormatting sqref="O93:S93">
    <cfRule type="containsBlanks" dxfId="5034" priority="4995">
      <formula>LEN(TRIM(O93))=0</formula>
    </cfRule>
  </conditionalFormatting>
  <conditionalFormatting sqref="M93:N93">
    <cfRule type="containsBlanks" dxfId="5033" priority="4994">
      <formula>LEN(TRIM(M93))=0</formula>
    </cfRule>
  </conditionalFormatting>
  <conditionalFormatting sqref="M56:T56">
    <cfRule type="containsBlanks" dxfId="5032" priority="4993">
      <formula>LEN(TRIM(M56))=0</formula>
    </cfRule>
  </conditionalFormatting>
  <conditionalFormatting sqref="M57:S57">
    <cfRule type="containsBlanks" dxfId="5031" priority="4992">
      <formula>LEN(TRIM(M57))=0</formula>
    </cfRule>
  </conditionalFormatting>
  <conditionalFormatting sqref="O50:Q50">
    <cfRule type="containsBlanks" dxfId="5030" priority="4991">
      <formula>LEN(TRIM(O50))=0</formula>
    </cfRule>
  </conditionalFormatting>
  <conditionalFormatting sqref="O52:Q52">
    <cfRule type="containsBlanks" dxfId="5029" priority="4990">
      <formula>LEN(TRIM(O52))=0</formula>
    </cfRule>
  </conditionalFormatting>
  <conditionalFormatting sqref="O54:Q54">
    <cfRule type="containsBlanks" dxfId="5028" priority="4989">
      <formula>LEN(TRIM(O54))=0</formula>
    </cfRule>
  </conditionalFormatting>
  <conditionalFormatting sqref="O67:Q67">
    <cfRule type="containsBlanks" dxfId="5027" priority="4988">
      <formula>LEN(TRIM(O67))=0</formula>
    </cfRule>
  </conditionalFormatting>
  <conditionalFormatting sqref="O68:Q68">
    <cfRule type="containsBlanks" dxfId="5026" priority="4987">
      <formula>LEN(TRIM(O68))=0</formula>
    </cfRule>
  </conditionalFormatting>
  <conditionalFormatting sqref="O70:Q70">
    <cfRule type="containsBlanks" dxfId="5025" priority="4986">
      <formula>LEN(TRIM(O70))=0</formula>
    </cfRule>
  </conditionalFormatting>
  <conditionalFormatting sqref="N66:T66">
    <cfRule type="containsBlanks" dxfId="5024" priority="4985">
      <formula>LEN(TRIM(N66))=0</formula>
    </cfRule>
  </conditionalFormatting>
  <conditionalFormatting sqref="M83:S83">
    <cfRule type="containsBlanks" dxfId="5023" priority="4984">
      <formula>LEN(TRIM(M83))=0</formula>
    </cfRule>
  </conditionalFormatting>
  <conditionalFormatting sqref="N86:T86">
    <cfRule type="containsBlanks" dxfId="5022" priority="4983">
      <formula>LEN(TRIM(N86))=0</formula>
    </cfRule>
  </conditionalFormatting>
  <conditionalFormatting sqref="O88:Q88">
    <cfRule type="containsBlanks" dxfId="5021" priority="4982">
      <formula>LEN(TRIM(O88))=0</formula>
    </cfRule>
  </conditionalFormatting>
  <conditionalFormatting sqref="M90:T90">
    <cfRule type="containsBlanks" dxfId="5020" priority="4981">
      <formula>LEN(TRIM(M90))=0</formula>
    </cfRule>
  </conditionalFormatting>
  <conditionalFormatting sqref="M96:T96">
    <cfRule type="containsBlanks" dxfId="5019" priority="4980">
      <formula>LEN(TRIM(M96))=0</formula>
    </cfRule>
  </conditionalFormatting>
  <conditionalFormatting sqref="O97:S97">
    <cfRule type="containsBlanks" dxfId="5018" priority="4979">
      <formula>LEN(TRIM(O97))=0</formula>
    </cfRule>
  </conditionalFormatting>
  <conditionalFormatting sqref="M97:N97">
    <cfRule type="containsBlanks" dxfId="5017" priority="4978">
      <formula>LEN(TRIM(M97))=0</formula>
    </cfRule>
  </conditionalFormatting>
  <conditionalFormatting sqref="M60:T60">
    <cfRule type="containsBlanks" dxfId="5016" priority="4977">
      <formula>LEN(TRIM(M60))=0</formula>
    </cfRule>
  </conditionalFormatting>
  <conditionalFormatting sqref="M61:S61">
    <cfRule type="containsBlanks" dxfId="5015" priority="4976">
      <formula>LEN(TRIM(M61))=0</formula>
    </cfRule>
  </conditionalFormatting>
  <conditionalFormatting sqref="O58:Q58">
    <cfRule type="containsBlanks" dxfId="5014" priority="4975">
      <formula>LEN(TRIM(O58))=0</formula>
    </cfRule>
  </conditionalFormatting>
  <conditionalFormatting sqref="O59:Q59">
    <cfRule type="containsBlanks" dxfId="5013" priority="4974">
      <formula>LEN(TRIM(O59))=0</formula>
    </cfRule>
  </conditionalFormatting>
  <conditionalFormatting sqref="O61:Q61">
    <cfRule type="containsBlanks" dxfId="5012" priority="4973">
      <formula>LEN(TRIM(O61))=0</formula>
    </cfRule>
  </conditionalFormatting>
  <conditionalFormatting sqref="N57:T57">
    <cfRule type="containsBlanks" dxfId="5011" priority="4972">
      <formula>LEN(TRIM(N57))=0</formula>
    </cfRule>
  </conditionalFormatting>
  <conditionalFormatting sqref="M74:S74">
    <cfRule type="containsBlanks" dxfId="5010" priority="4971">
      <formula>LEN(TRIM(M74))=0</formula>
    </cfRule>
  </conditionalFormatting>
  <conditionalFormatting sqref="N77:T77">
    <cfRule type="containsBlanks" dxfId="5009" priority="4970">
      <formula>LEN(TRIM(N77))=0</formula>
    </cfRule>
  </conditionalFormatting>
  <conditionalFormatting sqref="O79:Q79">
    <cfRule type="containsBlanks" dxfId="5008" priority="4969">
      <formula>LEN(TRIM(O79))=0</formula>
    </cfRule>
  </conditionalFormatting>
  <conditionalFormatting sqref="M81:T81">
    <cfRule type="containsBlanks" dxfId="5007" priority="4968">
      <formula>LEN(TRIM(M81))=0</formula>
    </cfRule>
  </conditionalFormatting>
  <conditionalFormatting sqref="M87:T87">
    <cfRule type="containsBlanks" dxfId="5006" priority="4967">
      <formula>LEN(TRIM(M87))=0</formula>
    </cfRule>
  </conditionalFormatting>
  <conditionalFormatting sqref="O88:S88">
    <cfRule type="containsBlanks" dxfId="5005" priority="4966">
      <formula>LEN(TRIM(O88))=0</formula>
    </cfRule>
  </conditionalFormatting>
  <conditionalFormatting sqref="M88:N88">
    <cfRule type="containsBlanks" dxfId="5004" priority="4965">
      <formula>LEN(TRIM(M88))=0</formula>
    </cfRule>
  </conditionalFormatting>
  <conditionalFormatting sqref="M51:T51">
    <cfRule type="containsBlanks" dxfId="5003" priority="4964">
      <formula>LEN(TRIM(M51))=0</formula>
    </cfRule>
  </conditionalFormatting>
  <conditionalFormatting sqref="M52:S52">
    <cfRule type="containsBlanks" dxfId="5002" priority="4963">
      <formula>LEN(TRIM(M52))=0</formula>
    </cfRule>
  </conditionalFormatting>
  <conditionalFormatting sqref="O46:Q46">
    <cfRule type="containsBlanks" dxfId="5001" priority="4962">
      <formula>LEN(TRIM(O46))=0</formula>
    </cfRule>
  </conditionalFormatting>
  <conditionalFormatting sqref="O53:Q53">
    <cfRule type="containsBlanks" dxfId="5000" priority="4961">
      <formula>LEN(TRIM(O53))=0</formula>
    </cfRule>
  </conditionalFormatting>
  <conditionalFormatting sqref="O50:Q50">
    <cfRule type="containsBlanks" dxfId="4999" priority="4960">
      <formula>LEN(TRIM(O50))=0</formula>
    </cfRule>
  </conditionalFormatting>
  <conditionalFormatting sqref="O51:Q51">
    <cfRule type="containsBlanks" dxfId="4998" priority="4959">
      <formula>LEN(TRIM(O51))=0</formula>
    </cfRule>
  </conditionalFormatting>
  <conditionalFormatting sqref="O55:Q55">
    <cfRule type="containsBlanks" dxfId="4997" priority="4958">
      <formula>LEN(TRIM(O55))=0</formula>
    </cfRule>
  </conditionalFormatting>
  <conditionalFormatting sqref="O57:Q57">
    <cfRule type="containsBlanks" dxfId="4996" priority="4957">
      <formula>LEN(TRIM(O57))=0</formula>
    </cfRule>
  </conditionalFormatting>
  <conditionalFormatting sqref="O59:Q59">
    <cfRule type="containsBlanks" dxfId="4995" priority="4956">
      <formula>LEN(TRIM(O59))=0</formula>
    </cfRule>
  </conditionalFormatting>
  <conditionalFormatting sqref="O72:Q72">
    <cfRule type="containsBlanks" dxfId="4994" priority="4955">
      <formula>LEN(TRIM(O72))=0</formula>
    </cfRule>
  </conditionalFormatting>
  <conditionalFormatting sqref="O73:Q73">
    <cfRule type="containsBlanks" dxfId="4993" priority="4954">
      <formula>LEN(TRIM(O73))=0</formula>
    </cfRule>
  </conditionalFormatting>
  <conditionalFormatting sqref="O75:Q75">
    <cfRule type="containsBlanks" dxfId="4992" priority="4953">
      <formula>LEN(TRIM(O75))=0</formula>
    </cfRule>
  </conditionalFormatting>
  <conditionalFormatting sqref="N71:T71">
    <cfRule type="containsBlanks" dxfId="4991" priority="4952">
      <formula>LEN(TRIM(N71))=0</formula>
    </cfRule>
  </conditionalFormatting>
  <conditionalFormatting sqref="M88:S88">
    <cfRule type="containsBlanks" dxfId="4990" priority="4951">
      <formula>LEN(TRIM(M88))=0</formula>
    </cfRule>
  </conditionalFormatting>
  <conditionalFormatting sqref="N91:T91">
    <cfRule type="containsBlanks" dxfId="4989" priority="4950">
      <formula>LEN(TRIM(N91))=0</formula>
    </cfRule>
  </conditionalFormatting>
  <conditionalFormatting sqref="O93:Q93">
    <cfRule type="containsBlanks" dxfId="4988" priority="4949">
      <formula>LEN(TRIM(O93))=0</formula>
    </cfRule>
  </conditionalFormatting>
  <conditionalFormatting sqref="M95:T95">
    <cfRule type="containsBlanks" dxfId="4987" priority="4948">
      <formula>LEN(TRIM(M95))=0</formula>
    </cfRule>
  </conditionalFormatting>
  <conditionalFormatting sqref="M101:T101">
    <cfRule type="containsBlanks" dxfId="4986" priority="4947">
      <formula>LEN(TRIM(M101))=0</formula>
    </cfRule>
  </conditionalFormatting>
  <conditionalFormatting sqref="O102:S102">
    <cfRule type="containsBlanks" dxfId="4985" priority="4946">
      <formula>LEN(TRIM(O102))=0</formula>
    </cfRule>
  </conditionalFormatting>
  <conditionalFormatting sqref="M102:N102">
    <cfRule type="containsBlanks" dxfId="4984" priority="4945">
      <formula>LEN(TRIM(M102))=0</formula>
    </cfRule>
  </conditionalFormatting>
  <conditionalFormatting sqref="M65:T65">
    <cfRule type="containsBlanks" dxfId="4983" priority="4944">
      <formula>LEN(TRIM(M65))=0</formula>
    </cfRule>
  </conditionalFormatting>
  <conditionalFormatting sqref="M66:S66">
    <cfRule type="containsBlanks" dxfId="4982" priority="4943">
      <formula>LEN(TRIM(M66))=0</formula>
    </cfRule>
  </conditionalFormatting>
  <conditionalFormatting sqref="O37:Q37">
    <cfRule type="containsBlanks" dxfId="4981" priority="4942">
      <formula>LEN(TRIM(O37))=0</formula>
    </cfRule>
  </conditionalFormatting>
  <conditionalFormatting sqref="O44:Q44">
    <cfRule type="containsBlanks" dxfId="4980" priority="4941">
      <formula>LEN(TRIM(O44))=0</formula>
    </cfRule>
  </conditionalFormatting>
  <conditionalFormatting sqref="O41:Q41">
    <cfRule type="containsBlanks" dxfId="4979" priority="4940">
      <formula>LEN(TRIM(O41))=0</formula>
    </cfRule>
  </conditionalFormatting>
  <conditionalFormatting sqref="O42:Q42">
    <cfRule type="containsBlanks" dxfId="4978" priority="4939">
      <formula>LEN(TRIM(O42))=0</formula>
    </cfRule>
  </conditionalFormatting>
  <conditionalFormatting sqref="O46:Q46">
    <cfRule type="containsBlanks" dxfId="4977" priority="4938">
      <formula>LEN(TRIM(O46))=0</formula>
    </cfRule>
  </conditionalFormatting>
  <conditionalFormatting sqref="O48:Q48">
    <cfRule type="containsBlanks" dxfId="4976" priority="4937">
      <formula>LEN(TRIM(O48))=0</formula>
    </cfRule>
  </conditionalFormatting>
  <conditionalFormatting sqref="O50:Q50">
    <cfRule type="containsBlanks" dxfId="4975" priority="4936">
      <formula>LEN(TRIM(O50))=0</formula>
    </cfRule>
  </conditionalFormatting>
  <conditionalFormatting sqref="O63:Q63">
    <cfRule type="containsBlanks" dxfId="4974" priority="4935">
      <formula>LEN(TRIM(O63))=0</formula>
    </cfRule>
  </conditionalFormatting>
  <conditionalFormatting sqref="O64:Q64">
    <cfRule type="containsBlanks" dxfId="4973" priority="4934">
      <formula>LEN(TRIM(O64))=0</formula>
    </cfRule>
  </conditionalFormatting>
  <conditionalFormatting sqref="O66:Q66">
    <cfRule type="containsBlanks" dxfId="4972" priority="4933">
      <formula>LEN(TRIM(O66))=0</formula>
    </cfRule>
  </conditionalFormatting>
  <conditionalFormatting sqref="N62:T62">
    <cfRule type="containsBlanks" dxfId="4971" priority="4932">
      <formula>LEN(TRIM(N62))=0</formula>
    </cfRule>
  </conditionalFormatting>
  <conditionalFormatting sqref="M79:S79">
    <cfRule type="containsBlanks" dxfId="4970" priority="4931">
      <formula>LEN(TRIM(M79))=0</formula>
    </cfRule>
  </conditionalFormatting>
  <conditionalFormatting sqref="N82:T82">
    <cfRule type="containsBlanks" dxfId="4969" priority="4930">
      <formula>LEN(TRIM(N82))=0</formula>
    </cfRule>
  </conditionalFormatting>
  <conditionalFormatting sqref="O84:Q84">
    <cfRule type="containsBlanks" dxfId="4968" priority="4929">
      <formula>LEN(TRIM(O84))=0</formula>
    </cfRule>
  </conditionalFormatting>
  <conditionalFormatting sqref="M86:T86">
    <cfRule type="containsBlanks" dxfId="4967" priority="4928">
      <formula>LEN(TRIM(M86))=0</formula>
    </cfRule>
  </conditionalFormatting>
  <conditionalFormatting sqref="M92:T92">
    <cfRule type="containsBlanks" dxfId="4966" priority="4927">
      <formula>LEN(TRIM(M92))=0</formula>
    </cfRule>
  </conditionalFormatting>
  <conditionalFormatting sqref="O93:S93">
    <cfRule type="containsBlanks" dxfId="4965" priority="4926">
      <formula>LEN(TRIM(O93))=0</formula>
    </cfRule>
  </conditionalFormatting>
  <conditionalFormatting sqref="M93:N93">
    <cfRule type="containsBlanks" dxfId="4964" priority="4925">
      <formula>LEN(TRIM(M93))=0</formula>
    </cfRule>
  </conditionalFormatting>
  <conditionalFormatting sqref="M56:T56">
    <cfRule type="containsBlanks" dxfId="4963" priority="4924">
      <formula>LEN(TRIM(M56))=0</formula>
    </cfRule>
  </conditionalFormatting>
  <conditionalFormatting sqref="M57:S57">
    <cfRule type="containsBlanks" dxfId="4962" priority="4923">
      <formula>LEN(TRIM(M57))=0</formula>
    </cfRule>
  </conditionalFormatting>
  <conditionalFormatting sqref="O41:Q41">
    <cfRule type="containsBlanks" dxfId="4961" priority="4922">
      <formula>LEN(TRIM(O41))=0</formula>
    </cfRule>
  </conditionalFormatting>
  <conditionalFormatting sqref="O48:Q48">
    <cfRule type="containsBlanks" dxfId="4960" priority="4921">
      <formula>LEN(TRIM(O48))=0</formula>
    </cfRule>
  </conditionalFormatting>
  <conditionalFormatting sqref="O45:Q45">
    <cfRule type="containsBlanks" dxfId="4959" priority="4920">
      <formula>LEN(TRIM(O45))=0</formula>
    </cfRule>
  </conditionalFormatting>
  <conditionalFormatting sqref="O46:Q46">
    <cfRule type="containsBlanks" dxfId="4958" priority="4919">
      <formula>LEN(TRIM(O46))=0</formula>
    </cfRule>
  </conditionalFormatting>
  <conditionalFormatting sqref="O50:Q50">
    <cfRule type="containsBlanks" dxfId="4957" priority="4918">
      <formula>LEN(TRIM(O50))=0</formula>
    </cfRule>
  </conditionalFormatting>
  <conditionalFormatting sqref="O52:Q52">
    <cfRule type="containsBlanks" dxfId="4956" priority="4917">
      <formula>LEN(TRIM(O52))=0</formula>
    </cfRule>
  </conditionalFormatting>
  <conditionalFormatting sqref="O54:Q54">
    <cfRule type="containsBlanks" dxfId="4955" priority="4916">
      <formula>LEN(TRIM(O54))=0</formula>
    </cfRule>
  </conditionalFormatting>
  <conditionalFormatting sqref="O67:Q67">
    <cfRule type="containsBlanks" dxfId="4954" priority="4915">
      <formula>LEN(TRIM(O67))=0</formula>
    </cfRule>
  </conditionalFormatting>
  <conditionalFormatting sqref="O68:Q68">
    <cfRule type="containsBlanks" dxfId="4953" priority="4914">
      <formula>LEN(TRIM(O68))=0</formula>
    </cfRule>
  </conditionalFormatting>
  <conditionalFormatting sqref="O70:Q70">
    <cfRule type="containsBlanks" dxfId="4952" priority="4913">
      <formula>LEN(TRIM(O70))=0</formula>
    </cfRule>
  </conditionalFormatting>
  <conditionalFormatting sqref="N66:T66">
    <cfRule type="containsBlanks" dxfId="4951" priority="4912">
      <formula>LEN(TRIM(N66))=0</formula>
    </cfRule>
  </conditionalFormatting>
  <conditionalFormatting sqref="M83:S83">
    <cfRule type="containsBlanks" dxfId="4950" priority="4911">
      <formula>LEN(TRIM(M83))=0</formula>
    </cfRule>
  </conditionalFormatting>
  <conditionalFormatting sqref="N86:T86">
    <cfRule type="containsBlanks" dxfId="4949" priority="4910">
      <formula>LEN(TRIM(N86))=0</formula>
    </cfRule>
  </conditionalFormatting>
  <conditionalFormatting sqref="O88:Q88">
    <cfRule type="containsBlanks" dxfId="4948" priority="4909">
      <formula>LEN(TRIM(O88))=0</formula>
    </cfRule>
  </conditionalFormatting>
  <conditionalFormatting sqref="M90:T90">
    <cfRule type="containsBlanks" dxfId="4947" priority="4908">
      <formula>LEN(TRIM(M90))=0</formula>
    </cfRule>
  </conditionalFormatting>
  <conditionalFormatting sqref="M96:T96">
    <cfRule type="containsBlanks" dxfId="4946" priority="4907">
      <formula>LEN(TRIM(M96))=0</formula>
    </cfRule>
  </conditionalFormatting>
  <conditionalFormatting sqref="O97:S97">
    <cfRule type="containsBlanks" dxfId="4945" priority="4906">
      <formula>LEN(TRIM(O97))=0</formula>
    </cfRule>
  </conditionalFormatting>
  <conditionalFormatting sqref="M97:N97">
    <cfRule type="containsBlanks" dxfId="4944" priority="4905">
      <formula>LEN(TRIM(M97))=0</formula>
    </cfRule>
  </conditionalFormatting>
  <conditionalFormatting sqref="M60:T60">
    <cfRule type="containsBlanks" dxfId="4943" priority="4904">
      <formula>LEN(TRIM(M60))=0</formula>
    </cfRule>
  </conditionalFormatting>
  <conditionalFormatting sqref="M61:S61">
    <cfRule type="containsBlanks" dxfId="4942" priority="4903">
      <formula>LEN(TRIM(M61))=0</formula>
    </cfRule>
  </conditionalFormatting>
  <conditionalFormatting sqref="O32:Q32">
    <cfRule type="containsBlanks" dxfId="4941" priority="4902">
      <formula>LEN(TRIM(O32))=0</formula>
    </cfRule>
  </conditionalFormatting>
  <conditionalFormatting sqref="O39:Q39">
    <cfRule type="containsBlanks" dxfId="4940" priority="4901">
      <formula>LEN(TRIM(O39))=0</formula>
    </cfRule>
  </conditionalFormatting>
  <conditionalFormatting sqref="O36:Q36">
    <cfRule type="containsBlanks" dxfId="4939" priority="4900">
      <formula>LEN(TRIM(O36))=0</formula>
    </cfRule>
  </conditionalFormatting>
  <conditionalFormatting sqref="O37:Q37">
    <cfRule type="containsBlanks" dxfId="4938" priority="4899">
      <formula>LEN(TRIM(O37))=0</formula>
    </cfRule>
  </conditionalFormatting>
  <conditionalFormatting sqref="O41:Q41">
    <cfRule type="containsBlanks" dxfId="4937" priority="4898">
      <formula>LEN(TRIM(O41))=0</formula>
    </cfRule>
  </conditionalFormatting>
  <conditionalFormatting sqref="O43:Q43">
    <cfRule type="containsBlanks" dxfId="4936" priority="4897">
      <formula>LEN(TRIM(O43))=0</formula>
    </cfRule>
  </conditionalFormatting>
  <conditionalFormatting sqref="O45:Q45">
    <cfRule type="containsBlanks" dxfId="4935" priority="4896">
      <formula>LEN(TRIM(O45))=0</formula>
    </cfRule>
  </conditionalFormatting>
  <conditionalFormatting sqref="O58:Q58">
    <cfRule type="containsBlanks" dxfId="4934" priority="4895">
      <formula>LEN(TRIM(O58))=0</formula>
    </cfRule>
  </conditionalFormatting>
  <conditionalFormatting sqref="O59:Q59">
    <cfRule type="containsBlanks" dxfId="4933" priority="4894">
      <formula>LEN(TRIM(O59))=0</formula>
    </cfRule>
  </conditionalFormatting>
  <conditionalFormatting sqref="O61:Q61">
    <cfRule type="containsBlanks" dxfId="4932" priority="4893">
      <formula>LEN(TRIM(O61))=0</formula>
    </cfRule>
  </conditionalFormatting>
  <conditionalFormatting sqref="N57:T57">
    <cfRule type="containsBlanks" dxfId="4931" priority="4892">
      <formula>LEN(TRIM(N57))=0</formula>
    </cfRule>
  </conditionalFormatting>
  <conditionalFormatting sqref="M74:S74">
    <cfRule type="containsBlanks" dxfId="4930" priority="4891">
      <formula>LEN(TRIM(M74))=0</formula>
    </cfRule>
  </conditionalFormatting>
  <conditionalFormatting sqref="N77:T77">
    <cfRule type="containsBlanks" dxfId="4929" priority="4890">
      <formula>LEN(TRIM(N77))=0</formula>
    </cfRule>
  </conditionalFormatting>
  <conditionalFormatting sqref="O79:Q79">
    <cfRule type="containsBlanks" dxfId="4928" priority="4889">
      <formula>LEN(TRIM(O79))=0</formula>
    </cfRule>
  </conditionalFormatting>
  <conditionalFormatting sqref="M81:T81">
    <cfRule type="containsBlanks" dxfId="4927" priority="4888">
      <formula>LEN(TRIM(M81))=0</formula>
    </cfRule>
  </conditionalFormatting>
  <conditionalFormatting sqref="M87:T87">
    <cfRule type="containsBlanks" dxfId="4926" priority="4887">
      <formula>LEN(TRIM(M87))=0</formula>
    </cfRule>
  </conditionalFormatting>
  <conditionalFormatting sqref="O88:S88">
    <cfRule type="containsBlanks" dxfId="4925" priority="4886">
      <formula>LEN(TRIM(O88))=0</formula>
    </cfRule>
  </conditionalFormatting>
  <conditionalFormatting sqref="M88:N88">
    <cfRule type="containsBlanks" dxfId="4924" priority="4885">
      <formula>LEN(TRIM(M88))=0</formula>
    </cfRule>
  </conditionalFormatting>
  <conditionalFormatting sqref="M51:T51">
    <cfRule type="containsBlanks" dxfId="4923" priority="4884">
      <formula>LEN(TRIM(M51))=0</formula>
    </cfRule>
  </conditionalFormatting>
  <conditionalFormatting sqref="M52:S52">
    <cfRule type="containsBlanks" dxfId="4922" priority="4883">
      <formula>LEN(TRIM(M52))=0</formula>
    </cfRule>
  </conditionalFormatting>
  <conditionalFormatting sqref="O50:Q50">
    <cfRule type="containsBlanks" dxfId="4921" priority="4882">
      <formula>LEN(TRIM(O50))=0</formula>
    </cfRule>
  </conditionalFormatting>
  <conditionalFormatting sqref="O47:Q47">
    <cfRule type="containsBlanks" dxfId="4920" priority="4881">
      <formula>LEN(TRIM(O47))=0</formula>
    </cfRule>
  </conditionalFormatting>
  <conditionalFormatting sqref="O48:Q48">
    <cfRule type="containsBlanks" dxfId="4919" priority="4880">
      <formula>LEN(TRIM(O48))=0</formula>
    </cfRule>
  </conditionalFormatting>
  <conditionalFormatting sqref="O52:Q52">
    <cfRule type="containsBlanks" dxfId="4918" priority="4879">
      <formula>LEN(TRIM(O52))=0</formula>
    </cfRule>
  </conditionalFormatting>
  <conditionalFormatting sqref="O54:Q54">
    <cfRule type="containsBlanks" dxfId="4917" priority="4878">
      <formula>LEN(TRIM(O54))=0</formula>
    </cfRule>
  </conditionalFormatting>
  <conditionalFormatting sqref="O56:Q56">
    <cfRule type="containsBlanks" dxfId="4916" priority="4877">
      <formula>LEN(TRIM(O56))=0</formula>
    </cfRule>
  </conditionalFormatting>
  <conditionalFormatting sqref="O69:Q69">
    <cfRule type="containsBlanks" dxfId="4915" priority="4876">
      <formula>LEN(TRIM(O69))=0</formula>
    </cfRule>
  </conditionalFormatting>
  <conditionalFormatting sqref="O70:Q70">
    <cfRule type="containsBlanks" dxfId="4914" priority="4875">
      <formula>LEN(TRIM(O70))=0</formula>
    </cfRule>
  </conditionalFormatting>
  <conditionalFormatting sqref="O72:Q72">
    <cfRule type="containsBlanks" dxfId="4913" priority="4874">
      <formula>LEN(TRIM(O72))=0</formula>
    </cfRule>
  </conditionalFormatting>
  <conditionalFormatting sqref="N68:T68">
    <cfRule type="containsBlanks" dxfId="4912" priority="4873">
      <formula>LEN(TRIM(N68))=0</formula>
    </cfRule>
  </conditionalFormatting>
  <conditionalFormatting sqref="M85:S85">
    <cfRule type="containsBlanks" dxfId="4911" priority="4872">
      <formula>LEN(TRIM(M85))=0</formula>
    </cfRule>
  </conditionalFormatting>
  <conditionalFormatting sqref="N88:T88">
    <cfRule type="containsBlanks" dxfId="4910" priority="4871">
      <formula>LEN(TRIM(N88))=0</formula>
    </cfRule>
  </conditionalFormatting>
  <conditionalFormatting sqref="O90:Q90">
    <cfRule type="containsBlanks" dxfId="4909" priority="4870">
      <formula>LEN(TRIM(O90))=0</formula>
    </cfRule>
  </conditionalFormatting>
  <conditionalFormatting sqref="M92:T92">
    <cfRule type="containsBlanks" dxfId="4908" priority="4869">
      <formula>LEN(TRIM(M92))=0</formula>
    </cfRule>
  </conditionalFormatting>
  <conditionalFormatting sqref="M98:T98">
    <cfRule type="containsBlanks" dxfId="4907" priority="4868">
      <formula>LEN(TRIM(M98))=0</formula>
    </cfRule>
  </conditionalFormatting>
  <conditionalFormatting sqref="M62:T62">
    <cfRule type="containsBlanks" dxfId="4906" priority="4865">
      <formula>LEN(TRIM(M62))=0</formula>
    </cfRule>
  </conditionalFormatting>
  <conditionalFormatting sqref="M63:S63">
    <cfRule type="containsBlanks" dxfId="4905" priority="4864">
      <formula>LEN(TRIM(M63))=0</formula>
    </cfRule>
  </conditionalFormatting>
  <conditionalFormatting sqref="O47:Q47">
    <cfRule type="containsBlanks" dxfId="4904" priority="4863">
      <formula>LEN(TRIM(O47))=0</formula>
    </cfRule>
  </conditionalFormatting>
  <conditionalFormatting sqref="O60:Q60">
    <cfRule type="containsBlanks" dxfId="4903" priority="4862">
      <formula>LEN(TRIM(O60))=0</formula>
    </cfRule>
  </conditionalFormatting>
  <conditionalFormatting sqref="O61:Q61">
    <cfRule type="containsBlanks" dxfId="4902" priority="4861">
      <formula>LEN(TRIM(O61))=0</formula>
    </cfRule>
  </conditionalFormatting>
  <conditionalFormatting sqref="O63:Q63">
    <cfRule type="containsBlanks" dxfId="4901" priority="4860">
      <formula>LEN(TRIM(O63))=0</formula>
    </cfRule>
  </conditionalFormatting>
  <conditionalFormatting sqref="N59:T59">
    <cfRule type="containsBlanks" dxfId="4900" priority="4859">
      <formula>LEN(TRIM(N59))=0</formula>
    </cfRule>
  </conditionalFormatting>
  <conditionalFormatting sqref="M76:S76">
    <cfRule type="containsBlanks" dxfId="4899" priority="4858">
      <formula>LEN(TRIM(M76))=0</formula>
    </cfRule>
  </conditionalFormatting>
  <conditionalFormatting sqref="N79:T79">
    <cfRule type="containsBlanks" dxfId="4898" priority="4857">
      <formula>LEN(TRIM(N79))=0</formula>
    </cfRule>
  </conditionalFormatting>
  <conditionalFormatting sqref="O81:Q81">
    <cfRule type="containsBlanks" dxfId="4897" priority="4856">
      <formula>LEN(TRIM(O81))=0</formula>
    </cfRule>
  </conditionalFormatting>
  <conditionalFormatting sqref="M83:T83">
    <cfRule type="containsBlanks" dxfId="4896" priority="4855">
      <formula>LEN(TRIM(M83))=0</formula>
    </cfRule>
  </conditionalFormatting>
  <conditionalFormatting sqref="M89:T89">
    <cfRule type="containsBlanks" dxfId="4895" priority="4854">
      <formula>LEN(TRIM(M89))=0</formula>
    </cfRule>
  </conditionalFormatting>
  <conditionalFormatting sqref="O90:S90">
    <cfRule type="containsBlanks" dxfId="4894" priority="4853">
      <formula>LEN(TRIM(O90))=0</formula>
    </cfRule>
  </conditionalFormatting>
  <conditionalFormatting sqref="M90:N90">
    <cfRule type="containsBlanks" dxfId="4893" priority="4852">
      <formula>LEN(TRIM(M90))=0</formula>
    </cfRule>
  </conditionalFormatting>
  <conditionalFormatting sqref="M53:T53">
    <cfRule type="containsBlanks" dxfId="4892" priority="4851">
      <formula>LEN(TRIM(M53))=0</formula>
    </cfRule>
  </conditionalFormatting>
  <conditionalFormatting sqref="M54:S54">
    <cfRule type="containsBlanks" dxfId="4891" priority="4850">
      <formula>LEN(TRIM(M54))=0</formula>
    </cfRule>
  </conditionalFormatting>
  <conditionalFormatting sqref="O47:Q47">
    <cfRule type="containsBlanks" dxfId="4890" priority="4849">
      <formula>LEN(TRIM(O47))=0</formula>
    </cfRule>
  </conditionalFormatting>
  <conditionalFormatting sqref="O49:Q49">
    <cfRule type="containsBlanks" dxfId="4889" priority="4848">
      <formula>LEN(TRIM(O49))=0</formula>
    </cfRule>
  </conditionalFormatting>
  <conditionalFormatting sqref="O51:Q51">
    <cfRule type="containsBlanks" dxfId="4888" priority="4847">
      <formula>LEN(TRIM(O51))=0</formula>
    </cfRule>
  </conditionalFormatting>
  <conditionalFormatting sqref="O64:Q64">
    <cfRule type="containsBlanks" dxfId="4887" priority="4846">
      <formula>LEN(TRIM(O64))=0</formula>
    </cfRule>
  </conditionalFormatting>
  <conditionalFormatting sqref="O65:Q65">
    <cfRule type="containsBlanks" dxfId="4886" priority="4845">
      <formula>LEN(TRIM(O65))=0</formula>
    </cfRule>
  </conditionalFormatting>
  <conditionalFormatting sqref="O67:Q67">
    <cfRule type="containsBlanks" dxfId="4885" priority="4844">
      <formula>LEN(TRIM(O67))=0</formula>
    </cfRule>
  </conditionalFormatting>
  <conditionalFormatting sqref="N63:T63">
    <cfRule type="containsBlanks" dxfId="4884" priority="4843">
      <formula>LEN(TRIM(N63))=0</formula>
    </cfRule>
  </conditionalFormatting>
  <conditionalFormatting sqref="M80:S80">
    <cfRule type="containsBlanks" dxfId="4883" priority="4842">
      <formula>LEN(TRIM(M80))=0</formula>
    </cfRule>
  </conditionalFormatting>
  <conditionalFormatting sqref="N83:T83">
    <cfRule type="containsBlanks" dxfId="4882" priority="4841">
      <formula>LEN(TRIM(N83))=0</formula>
    </cfRule>
  </conditionalFormatting>
  <conditionalFormatting sqref="O85:Q85">
    <cfRule type="containsBlanks" dxfId="4881" priority="4840">
      <formula>LEN(TRIM(O85))=0</formula>
    </cfRule>
  </conditionalFormatting>
  <conditionalFormatting sqref="M87:T87">
    <cfRule type="containsBlanks" dxfId="4880" priority="4839">
      <formula>LEN(TRIM(M87))=0</formula>
    </cfRule>
  </conditionalFormatting>
  <conditionalFormatting sqref="M93:T93">
    <cfRule type="containsBlanks" dxfId="4879" priority="4838">
      <formula>LEN(TRIM(M93))=0</formula>
    </cfRule>
  </conditionalFormatting>
  <conditionalFormatting sqref="O94:S94">
    <cfRule type="containsBlanks" dxfId="4878" priority="4837">
      <formula>LEN(TRIM(O94))=0</formula>
    </cfRule>
  </conditionalFormatting>
  <conditionalFormatting sqref="M94:N94">
    <cfRule type="containsBlanks" dxfId="4877" priority="4836">
      <formula>LEN(TRIM(M94))=0</formula>
    </cfRule>
  </conditionalFormatting>
  <conditionalFormatting sqref="M57:T57">
    <cfRule type="containsBlanks" dxfId="4876" priority="4835">
      <formula>LEN(TRIM(M57))=0</formula>
    </cfRule>
  </conditionalFormatting>
  <conditionalFormatting sqref="M58:S58">
    <cfRule type="containsBlanks" dxfId="4875" priority="4834">
      <formula>LEN(TRIM(M58))=0</formula>
    </cfRule>
  </conditionalFormatting>
  <conditionalFormatting sqref="O55:Q55">
    <cfRule type="containsBlanks" dxfId="4874" priority="4833">
      <formula>LEN(TRIM(O55))=0</formula>
    </cfRule>
  </conditionalFormatting>
  <conditionalFormatting sqref="O56:Q56">
    <cfRule type="containsBlanks" dxfId="4873" priority="4832">
      <formula>LEN(TRIM(O56))=0</formula>
    </cfRule>
  </conditionalFormatting>
  <conditionalFormatting sqref="O58:Q58">
    <cfRule type="containsBlanks" dxfId="4872" priority="4831">
      <formula>LEN(TRIM(O58))=0</formula>
    </cfRule>
  </conditionalFormatting>
  <conditionalFormatting sqref="N54:T54">
    <cfRule type="containsBlanks" dxfId="4871" priority="4830">
      <formula>LEN(TRIM(N54))=0</formula>
    </cfRule>
  </conditionalFormatting>
  <conditionalFormatting sqref="M71:S71">
    <cfRule type="containsBlanks" dxfId="4870" priority="4829">
      <formula>LEN(TRIM(M71))=0</formula>
    </cfRule>
  </conditionalFormatting>
  <conditionalFormatting sqref="N74:T74">
    <cfRule type="containsBlanks" dxfId="4869" priority="4828">
      <formula>LEN(TRIM(N74))=0</formula>
    </cfRule>
  </conditionalFormatting>
  <conditionalFormatting sqref="O76:Q76">
    <cfRule type="containsBlanks" dxfId="4868" priority="4827">
      <formula>LEN(TRIM(O76))=0</formula>
    </cfRule>
  </conditionalFormatting>
  <conditionalFormatting sqref="M78:T78">
    <cfRule type="containsBlanks" dxfId="4867" priority="4826">
      <formula>LEN(TRIM(M78))=0</formula>
    </cfRule>
  </conditionalFormatting>
  <conditionalFormatting sqref="M84:T84">
    <cfRule type="containsBlanks" dxfId="4866" priority="4825">
      <formula>LEN(TRIM(M84))=0</formula>
    </cfRule>
  </conditionalFormatting>
  <conditionalFormatting sqref="O85:S85">
    <cfRule type="containsBlanks" dxfId="4865" priority="4824">
      <formula>LEN(TRIM(O85))=0</formula>
    </cfRule>
  </conditionalFormatting>
  <conditionalFormatting sqref="M85:N85">
    <cfRule type="containsBlanks" dxfId="4864" priority="4823">
      <formula>LEN(TRIM(M85))=0</formula>
    </cfRule>
  </conditionalFormatting>
  <conditionalFormatting sqref="M48:T48">
    <cfRule type="containsBlanks" dxfId="4863" priority="4822">
      <formula>LEN(TRIM(M48))=0</formula>
    </cfRule>
  </conditionalFormatting>
  <conditionalFormatting sqref="M49:S49">
    <cfRule type="containsBlanks" dxfId="4862" priority="4821">
      <formula>LEN(TRIM(M49))=0</formula>
    </cfRule>
  </conditionalFormatting>
  <conditionalFormatting sqref="O48:Q48">
    <cfRule type="containsBlanks" dxfId="4861" priority="4820">
      <formula>LEN(TRIM(O48))=0</formula>
    </cfRule>
  </conditionalFormatting>
  <conditionalFormatting sqref="O55:Q55">
    <cfRule type="containsBlanks" dxfId="4860" priority="4819">
      <formula>LEN(TRIM(O55))=0</formula>
    </cfRule>
  </conditionalFormatting>
  <conditionalFormatting sqref="O52:Q52">
    <cfRule type="containsBlanks" dxfId="4859" priority="4818">
      <formula>LEN(TRIM(O52))=0</formula>
    </cfRule>
  </conditionalFormatting>
  <conditionalFormatting sqref="O53:Q53">
    <cfRule type="containsBlanks" dxfId="4858" priority="4817">
      <formula>LEN(TRIM(O53))=0</formula>
    </cfRule>
  </conditionalFormatting>
  <conditionalFormatting sqref="O57:Q57">
    <cfRule type="containsBlanks" dxfId="4857" priority="4816">
      <formula>LEN(TRIM(O57))=0</formula>
    </cfRule>
  </conditionalFormatting>
  <conditionalFormatting sqref="O59:Q59">
    <cfRule type="containsBlanks" dxfId="4856" priority="4815">
      <formula>LEN(TRIM(O59))=0</formula>
    </cfRule>
  </conditionalFormatting>
  <conditionalFormatting sqref="O61:Q61">
    <cfRule type="containsBlanks" dxfId="4855" priority="4814">
      <formula>LEN(TRIM(O61))=0</formula>
    </cfRule>
  </conditionalFormatting>
  <conditionalFormatting sqref="O74:Q74">
    <cfRule type="containsBlanks" dxfId="4854" priority="4813">
      <formula>LEN(TRIM(O74))=0</formula>
    </cfRule>
  </conditionalFormatting>
  <conditionalFormatting sqref="O75:Q75">
    <cfRule type="containsBlanks" dxfId="4853" priority="4812">
      <formula>LEN(TRIM(O75))=0</formula>
    </cfRule>
  </conditionalFormatting>
  <conditionalFormatting sqref="O77:Q77">
    <cfRule type="containsBlanks" dxfId="4852" priority="4811">
      <formula>LEN(TRIM(O77))=0</formula>
    </cfRule>
  </conditionalFormatting>
  <conditionalFormatting sqref="N73:T73">
    <cfRule type="containsBlanks" dxfId="4851" priority="4810">
      <formula>LEN(TRIM(N73))=0</formula>
    </cfRule>
  </conditionalFormatting>
  <conditionalFormatting sqref="M90:S90">
    <cfRule type="containsBlanks" dxfId="4850" priority="4809">
      <formula>LEN(TRIM(M90))=0</formula>
    </cfRule>
  </conditionalFormatting>
  <conditionalFormatting sqref="N93:T93">
    <cfRule type="containsBlanks" dxfId="4849" priority="4808">
      <formula>LEN(TRIM(N93))=0</formula>
    </cfRule>
  </conditionalFormatting>
  <conditionalFormatting sqref="O95:Q95">
    <cfRule type="containsBlanks" dxfId="4848" priority="4807">
      <formula>LEN(TRIM(O95))=0</formula>
    </cfRule>
  </conditionalFormatting>
  <conditionalFormatting sqref="M97:T97">
    <cfRule type="containsBlanks" dxfId="4847" priority="4806">
      <formula>LEN(TRIM(M97))=0</formula>
    </cfRule>
  </conditionalFormatting>
  <conditionalFormatting sqref="M103:T103">
    <cfRule type="containsBlanks" dxfId="4846" priority="4805">
      <formula>LEN(TRIM(M103))=0</formula>
    </cfRule>
  </conditionalFormatting>
  <conditionalFormatting sqref="O104:S104">
    <cfRule type="containsBlanks" dxfId="4845" priority="4804">
      <formula>LEN(TRIM(O104))=0</formula>
    </cfRule>
  </conditionalFormatting>
  <conditionalFormatting sqref="M104:N104">
    <cfRule type="containsBlanks" dxfId="4844" priority="4803">
      <formula>LEN(TRIM(M104))=0</formula>
    </cfRule>
  </conditionalFormatting>
  <conditionalFormatting sqref="M67:T67">
    <cfRule type="containsBlanks" dxfId="4843" priority="4802">
      <formula>LEN(TRIM(M67))=0</formula>
    </cfRule>
  </conditionalFormatting>
  <conditionalFormatting sqref="M68:S68">
    <cfRule type="containsBlanks" dxfId="4842" priority="4801">
      <formula>LEN(TRIM(M68))=0</formula>
    </cfRule>
  </conditionalFormatting>
  <conditionalFormatting sqref="O39:Q39">
    <cfRule type="containsBlanks" dxfId="4841" priority="4800">
      <formula>LEN(TRIM(O39))=0</formula>
    </cfRule>
  </conditionalFormatting>
  <conditionalFormatting sqref="O46:Q46">
    <cfRule type="containsBlanks" dxfId="4840" priority="4799">
      <formula>LEN(TRIM(O46))=0</formula>
    </cfRule>
  </conditionalFormatting>
  <conditionalFormatting sqref="O43:Q43">
    <cfRule type="containsBlanks" dxfId="4839" priority="4798">
      <formula>LEN(TRIM(O43))=0</formula>
    </cfRule>
  </conditionalFormatting>
  <conditionalFormatting sqref="O44:Q44">
    <cfRule type="containsBlanks" dxfId="4838" priority="4797">
      <formula>LEN(TRIM(O44))=0</formula>
    </cfRule>
  </conditionalFormatting>
  <conditionalFormatting sqref="O48:Q48">
    <cfRule type="containsBlanks" dxfId="4837" priority="4796">
      <formula>LEN(TRIM(O48))=0</formula>
    </cfRule>
  </conditionalFormatting>
  <conditionalFormatting sqref="O50:Q50">
    <cfRule type="containsBlanks" dxfId="4836" priority="4795">
      <formula>LEN(TRIM(O50))=0</formula>
    </cfRule>
  </conditionalFormatting>
  <conditionalFormatting sqref="O52:Q52">
    <cfRule type="containsBlanks" dxfId="4835" priority="4794">
      <formula>LEN(TRIM(O52))=0</formula>
    </cfRule>
  </conditionalFormatting>
  <conditionalFormatting sqref="O65:Q65">
    <cfRule type="containsBlanks" dxfId="4834" priority="4793">
      <formula>LEN(TRIM(O65))=0</formula>
    </cfRule>
  </conditionalFormatting>
  <conditionalFormatting sqref="O66:Q66">
    <cfRule type="containsBlanks" dxfId="4833" priority="4792">
      <formula>LEN(TRIM(O66))=0</formula>
    </cfRule>
  </conditionalFormatting>
  <conditionalFormatting sqref="O68:Q68">
    <cfRule type="containsBlanks" dxfId="4832" priority="4791">
      <formula>LEN(TRIM(O68))=0</formula>
    </cfRule>
  </conditionalFormatting>
  <conditionalFormatting sqref="N64:T64">
    <cfRule type="containsBlanks" dxfId="4831" priority="4790">
      <formula>LEN(TRIM(N64))=0</formula>
    </cfRule>
  </conditionalFormatting>
  <conditionalFormatting sqref="M81:S81">
    <cfRule type="containsBlanks" dxfId="4830" priority="4789">
      <formula>LEN(TRIM(M81))=0</formula>
    </cfRule>
  </conditionalFormatting>
  <conditionalFormatting sqref="N84:T84">
    <cfRule type="containsBlanks" dxfId="4829" priority="4788">
      <formula>LEN(TRIM(N84))=0</formula>
    </cfRule>
  </conditionalFormatting>
  <conditionalFormatting sqref="O86:Q86">
    <cfRule type="containsBlanks" dxfId="4828" priority="4787">
      <formula>LEN(TRIM(O86))=0</formula>
    </cfRule>
  </conditionalFormatting>
  <conditionalFormatting sqref="M88:T88">
    <cfRule type="containsBlanks" dxfId="4827" priority="4786">
      <formula>LEN(TRIM(M88))=0</formula>
    </cfRule>
  </conditionalFormatting>
  <conditionalFormatting sqref="M94:T94">
    <cfRule type="containsBlanks" dxfId="4826" priority="4785">
      <formula>LEN(TRIM(M94))=0</formula>
    </cfRule>
  </conditionalFormatting>
  <conditionalFormatting sqref="O95:S95">
    <cfRule type="containsBlanks" dxfId="4825" priority="4784">
      <formula>LEN(TRIM(O95))=0</formula>
    </cfRule>
  </conditionalFormatting>
  <conditionalFormatting sqref="M95:N95">
    <cfRule type="containsBlanks" dxfId="4824" priority="4783">
      <formula>LEN(TRIM(M95))=0</formula>
    </cfRule>
  </conditionalFormatting>
  <conditionalFormatting sqref="M58:T58">
    <cfRule type="containsBlanks" dxfId="4823" priority="4782">
      <formula>LEN(TRIM(M58))=0</formula>
    </cfRule>
  </conditionalFormatting>
  <conditionalFormatting sqref="M59:S59">
    <cfRule type="containsBlanks" dxfId="4822" priority="4781">
      <formula>LEN(TRIM(M59))=0</formula>
    </cfRule>
  </conditionalFormatting>
  <conditionalFormatting sqref="O43:Q43">
    <cfRule type="containsBlanks" dxfId="4821" priority="4780">
      <formula>LEN(TRIM(O43))=0</formula>
    </cfRule>
  </conditionalFormatting>
  <conditionalFormatting sqref="O50:Q50">
    <cfRule type="containsBlanks" dxfId="4820" priority="4779">
      <formula>LEN(TRIM(O50))=0</formula>
    </cfRule>
  </conditionalFormatting>
  <conditionalFormatting sqref="O47:Q47">
    <cfRule type="containsBlanks" dxfId="4819" priority="4778">
      <formula>LEN(TRIM(O47))=0</formula>
    </cfRule>
  </conditionalFormatting>
  <conditionalFormatting sqref="O48:Q48">
    <cfRule type="containsBlanks" dxfId="4818" priority="4777">
      <formula>LEN(TRIM(O48))=0</formula>
    </cfRule>
  </conditionalFormatting>
  <conditionalFormatting sqref="O52:Q52">
    <cfRule type="containsBlanks" dxfId="4817" priority="4776">
      <formula>LEN(TRIM(O52))=0</formula>
    </cfRule>
  </conditionalFormatting>
  <conditionalFormatting sqref="O54:Q54">
    <cfRule type="containsBlanks" dxfId="4816" priority="4775">
      <formula>LEN(TRIM(O54))=0</formula>
    </cfRule>
  </conditionalFormatting>
  <conditionalFormatting sqref="O56:Q56">
    <cfRule type="containsBlanks" dxfId="4815" priority="4774">
      <formula>LEN(TRIM(O56))=0</formula>
    </cfRule>
  </conditionalFormatting>
  <conditionalFormatting sqref="O69:Q69">
    <cfRule type="containsBlanks" dxfId="4814" priority="4773">
      <formula>LEN(TRIM(O69))=0</formula>
    </cfRule>
  </conditionalFormatting>
  <conditionalFormatting sqref="O70:Q70">
    <cfRule type="containsBlanks" dxfId="4813" priority="4772">
      <formula>LEN(TRIM(O70))=0</formula>
    </cfRule>
  </conditionalFormatting>
  <conditionalFormatting sqref="O72:Q72">
    <cfRule type="containsBlanks" dxfId="4812" priority="4771">
      <formula>LEN(TRIM(O72))=0</formula>
    </cfRule>
  </conditionalFormatting>
  <conditionalFormatting sqref="N68:T68">
    <cfRule type="containsBlanks" dxfId="4811" priority="4770">
      <formula>LEN(TRIM(N68))=0</formula>
    </cfRule>
  </conditionalFormatting>
  <conditionalFormatting sqref="M85:S85">
    <cfRule type="containsBlanks" dxfId="4810" priority="4769">
      <formula>LEN(TRIM(M85))=0</formula>
    </cfRule>
  </conditionalFormatting>
  <conditionalFormatting sqref="N88:T88">
    <cfRule type="containsBlanks" dxfId="4809" priority="4768">
      <formula>LEN(TRIM(N88))=0</formula>
    </cfRule>
  </conditionalFormatting>
  <conditionalFormatting sqref="O90:Q90">
    <cfRule type="containsBlanks" dxfId="4808" priority="4767">
      <formula>LEN(TRIM(O90))=0</formula>
    </cfRule>
  </conditionalFormatting>
  <conditionalFormatting sqref="M92:T92">
    <cfRule type="containsBlanks" dxfId="4807" priority="4766">
      <formula>LEN(TRIM(M92))=0</formula>
    </cfRule>
  </conditionalFormatting>
  <conditionalFormatting sqref="M98:T98">
    <cfRule type="containsBlanks" dxfId="4806" priority="4765">
      <formula>LEN(TRIM(M98))=0</formula>
    </cfRule>
  </conditionalFormatting>
  <conditionalFormatting sqref="M62:T62">
    <cfRule type="containsBlanks" dxfId="4805" priority="4762">
      <formula>LEN(TRIM(M62))=0</formula>
    </cfRule>
  </conditionalFormatting>
  <conditionalFormatting sqref="M63:S63">
    <cfRule type="containsBlanks" dxfId="4804" priority="4761">
      <formula>LEN(TRIM(M63))=0</formula>
    </cfRule>
  </conditionalFormatting>
  <conditionalFormatting sqref="O34:Q34">
    <cfRule type="containsBlanks" dxfId="4803" priority="4760">
      <formula>LEN(TRIM(O34))=0</formula>
    </cfRule>
  </conditionalFormatting>
  <conditionalFormatting sqref="O41:Q41">
    <cfRule type="containsBlanks" dxfId="4802" priority="4759">
      <formula>LEN(TRIM(O41))=0</formula>
    </cfRule>
  </conditionalFormatting>
  <conditionalFormatting sqref="O38:Q38">
    <cfRule type="containsBlanks" dxfId="4801" priority="4758">
      <formula>LEN(TRIM(O38))=0</formula>
    </cfRule>
  </conditionalFormatting>
  <conditionalFormatting sqref="O39:Q39">
    <cfRule type="containsBlanks" dxfId="4800" priority="4757">
      <formula>LEN(TRIM(O39))=0</formula>
    </cfRule>
  </conditionalFormatting>
  <conditionalFormatting sqref="O43:Q43">
    <cfRule type="containsBlanks" dxfId="4799" priority="4756">
      <formula>LEN(TRIM(O43))=0</formula>
    </cfRule>
  </conditionalFormatting>
  <conditionalFormatting sqref="O45:Q45">
    <cfRule type="containsBlanks" dxfId="4798" priority="4755">
      <formula>LEN(TRIM(O45))=0</formula>
    </cfRule>
  </conditionalFormatting>
  <conditionalFormatting sqref="O47:Q47">
    <cfRule type="containsBlanks" dxfId="4797" priority="4754">
      <formula>LEN(TRIM(O47))=0</formula>
    </cfRule>
  </conditionalFormatting>
  <conditionalFormatting sqref="O60:Q60">
    <cfRule type="containsBlanks" dxfId="4796" priority="4753">
      <formula>LEN(TRIM(O60))=0</formula>
    </cfRule>
  </conditionalFormatting>
  <conditionalFormatting sqref="O61:Q61">
    <cfRule type="containsBlanks" dxfId="4795" priority="4752">
      <formula>LEN(TRIM(O61))=0</formula>
    </cfRule>
  </conditionalFormatting>
  <conditionalFormatting sqref="O63:Q63">
    <cfRule type="containsBlanks" dxfId="4794" priority="4751">
      <formula>LEN(TRIM(O63))=0</formula>
    </cfRule>
  </conditionalFormatting>
  <conditionalFormatting sqref="N59:T59">
    <cfRule type="containsBlanks" dxfId="4793" priority="4750">
      <formula>LEN(TRIM(N59))=0</formula>
    </cfRule>
  </conditionalFormatting>
  <conditionalFormatting sqref="M76:S76">
    <cfRule type="containsBlanks" dxfId="4792" priority="4749">
      <formula>LEN(TRIM(M76))=0</formula>
    </cfRule>
  </conditionalFormatting>
  <conditionalFormatting sqref="N79:T79">
    <cfRule type="containsBlanks" dxfId="4791" priority="4748">
      <formula>LEN(TRIM(N79))=0</formula>
    </cfRule>
  </conditionalFormatting>
  <conditionalFormatting sqref="O81:Q81">
    <cfRule type="containsBlanks" dxfId="4790" priority="4747">
      <formula>LEN(TRIM(O81))=0</formula>
    </cfRule>
  </conditionalFormatting>
  <conditionalFormatting sqref="M83:T83">
    <cfRule type="containsBlanks" dxfId="4789" priority="4746">
      <formula>LEN(TRIM(M83))=0</formula>
    </cfRule>
  </conditionalFormatting>
  <conditionalFormatting sqref="M89:T89">
    <cfRule type="containsBlanks" dxfId="4788" priority="4745">
      <formula>LEN(TRIM(M89))=0</formula>
    </cfRule>
  </conditionalFormatting>
  <conditionalFormatting sqref="O90:S90">
    <cfRule type="containsBlanks" dxfId="4787" priority="4744">
      <formula>LEN(TRIM(O90))=0</formula>
    </cfRule>
  </conditionalFormatting>
  <conditionalFormatting sqref="M90:N90">
    <cfRule type="containsBlanks" dxfId="4786" priority="4743">
      <formula>LEN(TRIM(M90))=0</formula>
    </cfRule>
  </conditionalFormatting>
  <conditionalFormatting sqref="M53:T53">
    <cfRule type="containsBlanks" dxfId="4785" priority="4742">
      <formula>LEN(TRIM(M53))=0</formula>
    </cfRule>
  </conditionalFormatting>
  <conditionalFormatting sqref="M54:S54">
    <cfRule type="containsBlanks" dxfId="4784" priority="4741">
      <formula>LEN(TRIM(M54))=0</formula>
    </cfRule>
  </conditionalFormatting>
  <conditionalFormatting sqref="O52:Q52">
    <cfRule type="containsBlanks" dxfId="4783" priority="4740">
      <formula>LEN(TRIM(O52))=0</formula>
    </cfRule>
  </conditionalFormatting>
  <conditionalFormatting sqref="O49:Q49">
    <cfRule type="containsBlanks" dxfId="4782" priority="4739">
      <formula>LEN(TRIM(O49))=0</formula>
    </cfRule>
  </conditionalFormatting>
  <conditionalFormatting sqref="O50:Q50">
    <cfRule type="containsBlanks" dxfId="4781" priority="4738">
      <formula>LEN(TRIM(O50))=0</formula>
    </cfRule>
  </conditionalFormatting>
  <conditionalFormatting sqref="O54:Q54">
    <cfRule type="containsBlanks" dxfId="4780" priority="4737">
      <formula>LEN(TRIM(O54))=0</formula>
    </cfRule>
  </conditionalFormatting>
  <conditionalFormatting sqref="O56:Q56">
    <cfRule type="containsBlanks" dxfId="4779" priority="4736">
      <formula>LEN(TRIM(O56))=0</formula>
    </cfRule>
  </conditionalFormatting>
  <conditionalFormatting sqref="O58:Q58">
    <cfRule type="containsBlanks" dxfId="4778" priority="4735">
      <formula>LEN(TRIM(O58))=0</formula>
    </cfRule>
  </conditionalFormatting>
  <conditionalFormatting sqref="O71:Q71">
    <cfRule type="containsBlanks" dxfId="4777" priority="4734">
      <formula>LEN(TRIM(O71))=0</formula>
    </cfRule>
  </conditionalFormatting>
  <conditionalFormatting sqref="O72:Q72">
    <cfRule type="containsBlanks" dxfId="4776" priority="4733">
      <formula>LEN(TRIM(O72))=0</formula>
    </cfRule>
  </conditionalFormatting>
  <conditionalFormatting sqref="O74:Q74">
    <cfRule type="containsBlanks" dxfId="4775" priority="4732">
      <formula>LEN(TRIM(O74))=0</formula>
    </cfRule>
  </conditionalFormatting>
  <conditionalFormatting sqref="N70:T70">
    <cfRule type="containsBlanks" dxfId="4774" priority="4731">
      <formula>LEN(TRIM(N70))=0</formula>
    </cfRule>
  </conditionalFormatting>
  <conditionalFormatting sqref="M87:S87">
    <cfRule type="containsBlanks" dxfId="4773" priority="4730">
      <formula>LEN(TRIM(M87))=0</formula>
    </cfRule>
  </conditionalFormatting>
  <conditionalFormatting sqref="N90:T90">
    <cfRule type="containsBlanks" dxfId="4772" priority="4729">
      <formula>LEN(TRIM(N90))=0</formula>
    </cfRule>
  </conditionalFormatting>
  <conditionalFormatting sqref="O92:Q92">
    <cfRule type="containsBlanks" dxfId="4771" priority="4728">
      <formula>LEN(TRIM(O92))=0</formula>
    </cfRule>
  </conditionalFormatting>
  <conditionalFormatting sqref="M94:T94">
    <cfRule type="containsBlanks" dxfId="4770" priority="4727">
      <formula>LEN(TRIM(M94))=0</formula>
    </cfRule>
  </conditionalFormatting>
  <conditionalFormatting sqref="M100:T100">
    <cfRule type="containsBlanks" dxfId="4769" priority="4726">
      <formula>LEN(TRIM(M100))=0</formula>
    </cfRule>
  </conditionalFormatting>
  <conditionalFormatting sqref="O101:S101">
    <cfRule type="containsBlanks" dxfId="4768" priority="4725">
      <formula>LEN(TRIM(O101))=0</formula>
    </cfRule>
  </conditionalFormatting>
  <conditionalFormatting sqref="M101:N101">
    <cfRule type="containsBlanks" dxfId="4767" priority="4724">
      <formula>LEN(TRIM(M101))=0</formula>
    </cfRule>
  </conditionalFormatting>
  <conditionalFormatting sqref="M64:T64">
    <cfRule type="containsBlanks" dxfId="4766" priority="4723">
      <formula>LEN(TRIM(M64))=0</formula>
    </cfRule>
  </conditionalFormatting>
  <conditionalFormatting sqref="M65:S65">
    <cfRule type="containsBlanks" dxfId="4765" priority="4722">
      <formula>LEN(TRIM(M65))=0</formula>
    </cfRule>
  </conditionalFormatting>
  <conditionalFormatting sqref="O49:Q49">
    <cfRule type="containsBlanks" dxfId="4764" priority="4721">
      <formula>LEN(TRIM(O49))=0</formula>
    </cfRule>
  </conditionalFormatting>
  <conditionalFormatting sqref="O62:Q62">
    <cfRule type="containsBlanks" dxfId="4763" priority="4720">
      <formula>LEN(TRIM(O62))=0</formula>
    </cfRule>
  </conditionalFormatting>
  <conditionalFormatting sqref="O63:Q63">
    <cfRule type="containsBlanks" dxfId="4762" priority="4719">
      <formula>LEN(TRIM(O63))=0</formula>
    </cfRule>
  </conditionalFormatting>
  <conditionalFormatting sqref="O65:Q65">
    <cfRule type="containsBlanks" dxfId="4761" priority="4718">
      <formula>LEN(TRIM(O65))=0</formula>
    </cfRule>
  </conditionalFormatting>
  <conditionalFormatting sqref="N61:T61">
    <cfRule type="containsBlanks" dxfId="4760" priority="4717">
      <formula>LEN(TRIM(N61))=0</formula>
    </cfRule>
  </conditionalFormatting>
  <conditionalFormatting sqref="M78:S78">
    <cfRule type="containsBlanks" dxfId="4759" priority="4716">
      <formula>LEN(TRIM(M78))=0</formula>
    </cfRule>
  </conditionalFormatting>
  <conditionalFormatting sqref="N81:T81">
    <cfRule type="containsBlanks" dxfId="4758" priority="4715">
      <formula>LEN(TRIM(N81))=0</formula>
    </cfRule>
  </conditionalFormatting>
  <conditionalFormatting sqref="O83:Q83">
    <cfRule type="containsBlanks" dxfId="4757" priority="4714">
      <formula>LEN(TRIM(O83))=0</formula>
    </cfRule>
  </conditionalFormatting>
  <conditionalFormatting sqref="M85:T85">
    <cfRule type="containsBlanks" dxfId="4756" priority="4713">
      <formula>LEN(TRIM(M85))=0</formula>
    </cfRule>
  </conditionalFormatting>
  <conditionalFormatting sqref="M91:T91">
    <cfRule type="containsBlanks" dxfId="4755" priority="4712">
      <formula>LEN(TRIM(M91))=0</formula>
    </cfRule>
  </conditionalFormatting>
  <conditionalFormatting sqref="O92:S92">
    <cfRule type="containsBlanks" dxfId="4754" priority="4711">
      <formula>LEN(TRIM(O92))=0</formula>
    </cfRule>
  </conditionalFormatting>
  <conditionalFormatting sqref="M92:N92">
    <cfRule type="containsBlanks" dxfId="4753" priority="4710">
      <formula>LEN(TRIM(M92))=0</formula>
    </cfRule>
  </conditionalFormatting>
  <conditionalFormatting sqref="M55:T55">
    <cfRule type="containsBlanks" dxfId="4752" priority="4709">
      <formula>LEN(TRIM(M55))=0</formula>
    </cfRule>
  </conditionalFormatting>
  <conditionalFormatting sqref="M56:S56">
    <cfRule type="containsBlanks" dxfId="4751" priority="4708">
      <formula>LEN(TRIM(M56))=0</formula>
    </cfRule>
  </conditionalFormatting>
  <conditionalFormatting sqref="O49:Q49">
    <cfRule type="containsBlanks" dxfId="4750" priority="4707">
      <formula>LEN(TRIM(O49))=0</formula>
    </cfRule>
  </conditionalFormatting>
  <conditionalFormatting sqref="O51:Q51">
    <cfRule type="containsBlanks" dxfId="4749" priority="4706">
      <formula>LEN(TRIM(O51))=0</formula>
    </cfRule>
  </conditionalFormatting>
  <conditionalFormatting sqref="O53:Q53">
    <cfRule type="containsBlanks" dxfId="4748" priority="4705">
      <formula>LEN(TRIM(O53))=0</formula>
    </cfRule>
  </conditionalFormatting>
  <conditionalFormatting sqref="O66:Q66">
    <cfRule type="containsBlanks" dxfId="4747" priority="4704">
      <formula>LEN(TRIM(O66))=0</formula>
    </cfRule>
  </conditionalFormatting>
  <conditionalFormatting sqref="O67:Q67">
    <cfRule type="containsBlanks" dxfId="4746" priority="4703">
      <formula>LEN(TRIM(O67))=0</formula>
    </cfRule>
  </conditionalFormatting>
  <conditionalFormatting sqref="O69:Q69">
    <cfRule type="containsBlanks" dxfId="4745" priority="4702">
      <formula>LEN(TRIM(O69))=0</formula>
    </cfRule>
  </conditionalFormatting>
  <conditionalFormatting sqref="N65:T65">
    <cfRule type="containsBlanks" dxfId="4744" priority="4701">
      <formula>LEN(TRIM(N65))=0</formula>
    </cfRule>
  </conditionalFormatting>
  <conditionalFormatting sqref="M82:S82">
    <cfRule type="containsBlanks" dxfId="4743" priority="4700">
      <formula>LEN(TRIM(M82))=0</formula>
    </cfRule>
  </conditionalFormatting>
  <conditionalFormatting sqref="N85:T85">
    <cfRule type="containsBlanks" dxfId="4742" priority="4699">
      <formula>LEN(TRIM(N85))=0</formula>
    </cfRule>
  </conditionalFormatting>
  <conditionalFormatting sqref="O87:Q87">
    <cfRule type="containsBlanks" dxfId="4741" priority="4698">
      <formula>LEN(TRIM(O87))=0</formula>
    </cfRule>
  </conditionalFormatting>
  <conditionalFormatting sqref="M89:T89">
    <cfRule type="containsBlanks" dxfId="4740" priority="4697">
      <formula>LEN(TRIM(M89))=0</formula>
    </cfRule>
  </conditionalFormatting>
  <conditionalFormatting sqref="M95:T95">
    <cfRule type="containsBlanks" dxfId="4739" priority="4696">
      <formula>LEN(TRIM(M95))=0</formula>
    </cfRule>
  </conditionalFormatting>
  <conditionalFormatting sqref="O96:S96">
    <cfRule type="containsBlanks" dxfId="4738" priority="4695">
      <formula>LEN(TRIM(O96))=0</formula>
    </cfRule>
  </conditionalFormatting>
  <conditionalFormatting sqref="M96:N96">
    <cfRule type="containsBlanks" dxfId="4737" priority="4694">
      <formula>LEN(TRIM(M96))=0</formula>
    </cfRule>
  </conditionalFormatting>
  <conditionalFormatting sqref="M59:T59">
    <cfRule type="containsBlanks" dxfId="4736" priority="4693">
      <formula>LEN(TRIM(M59))=0</formula>
    </cfRule>
  </conditionalFormatting>
  <conditionalFormatting sqref="M60:S60">
    <cfRule type="containsBlanks" dxfId="4735" priority="4692">
      <formula>LEN(TRIM(M60))=0</formula>
    </cfRule>
  </conditionalFormatting>
  <conditionalFormatting sqref="O57:Q57">
    <cfRule type="containsBlanks" dxfId="4734" priority="4691">
      <formula>LEN(TRIM(O57))=0</formula>
    </cfRule>
  </conditionalFormatting>
  <conditionalFormatting sqref="O58:Q58">
    <cfRule type="containsBlanks" dxfId="4733" priority="4690">
      <formula>LEN(TRIM(O58))=0</formula>
    </cfRule>
  </conditionalFormatting>
  <conditionalFormatting sqref="O60:Q60">
    <cfRule type="containsBlanks" dxfId="4732" priority="4689">
      <formula>LEN(TRIM(O60))=0</formula>
    </cfRule>
  </conditionalFormatting>
  <conditionalFormatting sqref="N56:T56">
    <cfRule type="containsBlanks" dxfId="4731" priority="4688">
      <formula>LEN(TRIM(N56))=0</formula>
    </cfRule>
  </conditionalFormatting>
  <conditionalFormatting sqref="M73:S73">
    <cfRule type="containsBlanks" dxfId="4730" priority="4687">
      <formula>LEN(TRIM(M73))=0</formula>
    </cfRule>
  </conditionalFormatting>
  <conditionalFormatting sqref="N76:T76">
    <cfRule type="containsBlanks" dxfId="4729" priority="4686">
      <formula>LEN(TRIM(N76))=0</formula>
    </cfRule>
  </conditionalFormatting>
  <conditionalFormatting sqref="O78:Q78">
    <cfRule type="containsBlanks" dxfId="4728" priority="4685">
      <formula>LEN(TRIM(O78))=0</formula>
    </cfRule>
  </conditionalFormatting>
  <conditionalFormatting sqref="M80:T80">
    <cfRule type="containsBlanks" dxfId="4727" priority="4684">
      <formula>LEN(TRIM(M80))=0</formula>
    </cfRule>
  </conditionalFormatting>
  <conditionalFormatting sqref="M86:T86">
    <cfRule type="containsBlanks" dxfId="4726" priority="4683">
      <formula>LEN(TRIM(M86))=0</formula>
    </cfRule>
  </conditionalFormatting>
  <conditionalFormatting sqref="O87:S87">
    <cfRule type="containsBlanks" dxfId="4725" priority="4682">
      <formula>LEN(TRIM(O87))=0</formula>
    </cfRule>
  </conditionalFormatting>
  <conditionalFormatting sqref="M87:N87">
    <cfRule type="containsBlanks" dxfId="4724" priority="4681">
      <formula>LEN(TRIM(M87))=0</formula>
    </cfRule>
  </conditionalFormatting>
  <conditionalFormatting sqref="M50:T50">
    <cfRule type="containsBlanks" dxfId="4723" priority="4680">
      <formula>LEN(TRIM(M50))=0</formula>
    </cfRule>
  </conditionalFormatting>
  <conditionalFormatting sqref="M51:S51">
    <cfRule type="containsBlanks" dxfId="4722" priority="4679">
      <formula>LEN(TRIM(M51))=0</formula>
    </cfRule>
  </conditionalFormatting>
  <conditionalFormatting sqref="O45:Q45">
    <cfRule type="containsBlanks" dxfId="4721" priority="4678">
      <formula>LEN(TRIM(O45))=0</formula>
    </cfRule>
  </conditionalFormatting>
  <conditionalFormatting sqref="O52:Q52">
    <cfRule type="containsBlanks" dxfId="4720" priority="4677">
      <formula>LEN(TRIM(O52))=0</formula>
    </cfRule>
  </conditionalFormatting>
  <conditionalFormatting sqref="O49:Q49">
    <cfRule type="containsBlanks" dxfId="4719" priority="4676">
      <formula>LEN(TRIM(O49))=0</formula>
    </cfRule>
  </conditionalFormatting>
  <conditionalFormatting sqref="O50:Q50">
    <cfRule type="containsBlanks" dxfId="4718" priority="4675">
      <formula>LEN(TRIM(O50))=0</formula>
    </cfRule>
  </conditionalFormatting>
  <conditionalFormatting sqref="O54:Q54">
    <cfRule type="containsBlanks" dxfId="4717" priority="4674">
      <formula>LEN(TRIM(O54))=0</formula>
    </cfRule>
  </conditionalFormatting>
  <conditionalFormatting sqref="O56:Q56">
    <cfRule type="containsBlanks" dxfId="4716" priority="4673">
      <formula>LEN(TRIM(O56))=0</formula>
    </cfRule>
  </conditionalFormatting>
  <conditionalFormatting sqref="O58:Q58">
    <cfRule type="containsBlanks" dxfId="4715" priority="4672">
      <formula>LEN(TRIM(O58))=0</formula>
    </cfRule>
  </conditionalFormatting>
  <conditionalFormatting sqref="O71:Q71">
    <cfRule type="containsBlanks" dxfId="4714" priority="4671">
      <formula>LEN(TRIM(O71))=0</formula>
    </cfRule>
  </conditionalFormatting>
  <conditionalFormatting sqref="O72:Q72">
    <cfRule type="containsBlanks" dxfId="4713" priority="4670">
      <formula>LEN(TRIM(O72))=0</formula>
    </cfRule>
  </conditionalFormatting>
  <conditionalFormatting sqref="O74:Q74">
    <cfRule type="containsBlanks" dxfId="4712" priority="4669">
      <formula>LEN(TRIM(O74))=0</formula>
    </cfRule>
  </conditionalFormatting>
  <conditionalFormatting sqref="N70:T70">
    <cfRule type="containsBlanks" dxfId="4711" priority="4668">
      <formula>LEN(TRIM(N70))=0</formula>
    </cfRule>
  </conditionalFormatting>
  <conditionalFormatting sqref="M87:S87">
    <cfRule type="containsBlanks" dxfId="4710" priority="4667">
      <formula>LEN(TRIM(M87))=0</formula>
    </cfRule>
  </conditionalFormatting>
  <conditionalFormatting sqref="N90:T90">
    <cfRule type="containsBlanks" dxfId="4709" priority="4666">
      <formula>LEN(TRIM(N90))=0</formula>
    </cfRule>
  </conditionalFormatting>
  <conditionalFormatting sqref="O92:Q92">
    <cfRule type="containsBlanks" dxfId="4708" priority="4665">
      <formula>LEN(TRIM(O92))=0</formula>
    </cfRule>
  </conditionalFormatting>
  <conditionalFormatting sqref="M94:T94">
    <cfRule type="containsBlanks" dxfId="4707" priority="4664">
      <formula>LEN(TRIM(M94))=0</formula>
    </cfRule>
  </conditionalFormatting>
  <conditionalFormatting sqref="M100:T100">
    <cfRule type="containsBlanks" dxfId="4706" priority="4663">
      <formula>LEN(TRIM(M100))=0</formula>
    </cfRule>
  </conditionalFormatting>
  <conditionalFormatting sqref="O101:S101">
    <cfRule type="containsBlanks" dxfId="4705" priority="4662">
      <formula>LEN(TRIM(O101))=0</formula>
    </cfRule>
  </conditionalFormatting>
  <conditionalFormatting sqref="M101:N101">
    <cfRule type="containsBlanks" dxfId="4704" priority="4661">
      <formula>LEN(TRIM(M101))=0</formula>
    </cfRule>
  </conditionalFormatting>
  <conditionalFormatting sqref="M64:T64">
    <cfRule type="containsBlanks" dxfId="4703" priority="4660">
      <formula>LEN(TRIM(M64))=0</formula>
    </cfRule>
  </conditionalFormatting>
  <conditionalFormatting sqref="M65:S65">
    <cfRule type="containsBlanks" dxfId="4702" priority="4659">
      <formula>LEN(TRIM(M65))=0</formula>
    </cfRule>
  </conditionalFormatting>
  <conditionalFormatting sqref="O36:Q36">
    <cfRule type="containsBlanks" dxfId="4701" priority="4658">
      <formula>LEN(TRIM(O36))=0</formula>
    </cfRule>
  </conditionalFormatting>
  <conditionalFormatting sqref="O43:Q43">
    <cfRule type="containsBlanks" dxfId="4700" priority="4657">
      <formula>LEN(TRIM(O43))=0</formula>
    </cfRule>
  </conditionalFormatting>
  <conditionalFormatting sqref="O40:Q40">
    <cfRule type="containsBlanks" dxfId="4699" priority="4656">
      <formula>LEN(TRIM(O40))=0</formula>
    </cfRule>
  </conditionalFormatting>
  <conditionalFormatting sqref="O41:Q41">
    <cfRule type="containsBlanks" dxfId="4698" priority="4655">
      <formula>LEN(TRIM(O41))=0</formula>
    </cfRule>
  </conditionalFormatting>
  <conditionalFormatting sqref="O45:Q45">
    <cfRule type="containsBlanks" dxfId="4697" priority="4654">
      <formula>LEN(TRIM(O45))=0</formula>
    </cfRule>
  </conditionalFormatting>
  <conditionalFormatting sqref="O47:Q47">
    <cfRule type="containsBlanks" dxfId="4696" priority="4653">
      <formula>LEN(TRIM(O47))=0</formula>
    </cfRule>
  </conditionalFormatting>
  <conditionalFormatting sqref="O49:Q49">
    <cfRule type="containsBlanks" dxfId="4695" priority="4652">
      <formula>LEN(TRIM(O49))=0</formula>
    </cfRule>
  </conditionalFormatting>
  <conditionalFormatting sqref="O62:Q62">
    <cfRule type="containsBlanks" dxfId="4694" priority="4651">
      <formula>LEN(TRIM(O62))=0</formula>
    </cfRule>
  </conditionalFormatting>
  <conditionalFormatting sqref="O63:Q63">
    <cfRule type="containsBlanks" dxfId="4693" priority="4650">
      <formula>LEN(TRIM(O63))=0</formula>
    </cfRule>
  </conditionalFormatting>
  <conditionalFormatting sqref="O65:Q65">
    <cfRule type="containsBlanks" dxfId="4692" priority="4649">
      <formula>LEN(TRIM(O65))=0</formula>
    </cfRule>
  </conditionalFormatting>
  <conditionalFormatting sqref="N61:T61">
    <cfRule type="containsBlanks" dxfId="4691" priority="4648">
      <formula>LEN(TRIM(N61))=0</formula>
    </cfRule>
  </conditionalFormatting>
  <conditionalFormatting sqref="M78:S78">
    <cfRule type="containsBlanks" dxfId="4690" priority="4647">
      <formula>LEN(TRIM(M78))=0</formula>
    </cfRule>
  </conditionalFormatting>
  <conditionalFormatting sqref="N81:T81">
    <cfRule type="containsBlanks" dxfId="4689" priority="4646">
      <formula>LEN(TRIM(N81))=0</formula>
    </cfRule>
  </conditionalFormatting>
  <conditionalFormatting sqref="O83:Q83">
    <cfRule type="containsBlanks" dxfId="4688" priority="4645">
      <formula>LEN(TRIM(O83))=0</formula>
    </cfRule>
  </conditionalFormatting>
  <conditionalFormatting sqref="M85:T85">
    <cfRule type="containsBlanks" dxfId="4687" priority="4644">
      <formula>LEN(TRIM(M85))=0</formula>
    </cfRule>
  </conditionalFormatting>
  <conditionalFormatting sqref="M91:T91">
    <cfRule type="containsBlanks" dxfId="4686" priority="4643">
      <formula>LEN(TRIM(M91))=0</formula>
    </cfRule>
  </conditionalFormatting>
  <conditionalFormatting sqref="O92:S92">
    <cfRule type="containsBlanks" dxfId="4685" priority="4642">
      <formula>LEN(TRIM(O92))=0</formula>
    </cfRule>
  </conditionalFormatting>
  <conditionalFormatting sqref="M92:N92">
    <cfRule type="containsBlanks" dxfId="4684" priority="4641">
      <formula>LEN(TRIM(M92))=0</formula>
    </cfRule>
  </conditionalFormatting>
  <conditionalFormatting sqref="M55:T55">
    <cfRule type="containsBlanks" dxfId="4683" priority="4640">
      <formula>LEN(TRIM(M55))=0</formula>
    </cfRule>
  </conditionalFormatting>
  <conditionalFormatting sqref="M56:S56">
    <cfRule type="containsBlanks" dxfId="4682" priority="4639">
      <formula>LEN(TRIM(M56))=0</formula>
    </cfRule>
  </conditionalFormatting>
  <conditionalFormatting sqref="O40:Q40">
    <cfRule type="containsBlanks" dxfId="4681" priority="4638">
      <formula>LEN(TRIM(O40))=0</formula>
    </cfRule>
  </conditionalFormatting>
  <conditionalFormatting sqref="O47:Q47">
    <cfRule type="containsBlanks" dxfId="4680" priority="4637">
      <formula>LEN(TRIM(O47))=0</formula>
    </cfRule>
  </conditionalFormatting>
  <conditionalFormatting sqref="O44:Q44">
    <cfRule type="containsBlanks" dxfId="4679" priority="4636">
      <formula>LEN(TRIM(O44))=0</formula>
    </cfRule>
  </conditionalFormatting>
  <conditionalFormatting sqref="O45:Q45">
    <cfRule type="containsBlanks" dxfId="4678" priority="4635">
      <formula>LEN(TRIM(O45))=0</formula>
    </cfRule>
  </conditionalFormatting>
  <conditionalFormatting sqref="O49:Q49">
    <cfRule type="containsBlanks" dxfId="4677" priority="4634">
      <formula>LEN(TRIM(O49))=0</formula>
    </cfRule>
  </conditionalFormatting>
  <conditionalFormatting sqref="O51:Q51">
    <cfRule type="containsBlanks" dxfId="4676" priority="4633">
      <formula>LEN(TRIM(O51))=0</formula>
    </cfRule>
  </conditionalFormatting>
  <conditionalFormatting sqref="O53:Q53">
    <cfRule type="containsBlanks" dxfId="4675" priority="4632">
      <formula>LEN(TRIM(O53))=0</formula>
    </cfRule>
  </conditionalFormatting>
  <conditionalFormatting sqref="O66:Q66">
    <cfRule type="containsBlanks" dxfId="4674" priority="4631">
      <formula>LEN(TRIM(O66))=0</formula>
    </cfRule>
  </conditionalFormatting>
  <conditionalFormatting sqref="O67:Q67">
    <cfRule type="containsBlanks" dxfId="4673" priority="4630">
      <formula>LEN(TRIM(O67))=0</formula>
    </cfRule>
  </conditionalFormatting>
  <conditionalFormatting sqref="O69:Q69">
    <cfRule type="containsBlanks" dxfId="4672" priority="4629">
      <formula>LEN(TRIM(O69))=0</formula>
    </cfRule>
  </conditionalFormatting>
  <conditionalFormatting sqref="N65:T65">
    <cfRule type="containsBlanks" dxfId="4671" priority="4628">
      <formula>LEN(TRIM(N65))=0</formula>
    </cfRule>
  </conditionalFormatting>
  <conditionalFormatting sqref="M82:S82">
    <cfRule type="containsBlanks" dxfId="4670" priority="4627">
      <formula>LEN(TRIM(M82))=0</formula>
    </cfRule>
  </conditionalFormatting>
  <conditionalFormatting sqref="N85:T85">
    <cfRule type="containsBlanks" dxfId="4669" priority="4626">
      <formula>LEN(TRIM(N85))=0</formula>
    </cfRule>
  </conditionalFormatting>
  <conditionalFormatting sqref="O87:Q87">
    <cfRule type="containsBlanks" dxfId="4668" priority="4625">
      <formula>LEN(TRIM(O87))=0</formula>
    </cfRule>
  </conditionalFormatting>
  <conditionalFormatting sqref="M89:T89">
    <cfRule type="containsBlanks" dxfId="4667" priority="4624">
      <formula>LEN(TRIM(M89))=0</formula>
    </cfRule>
  </conditionalFormatting>
  <conditionalFormatting sqref="M95:T95">
    <cfRule type="containsBlanks" dxfId="4666" priority="4623">
      <formula>LEN(TRIM(M95))=0</formula>
    </cfRule>
  </conditionalFormatting>
  <conditionalFormatting sqref="O96:S96">
    <cfRule type="containsBlanks" dxfId="4665" priority="4622">
      <formula>LEN(TRIM(O96))=0</formula>
    </cfRule>
  </conditionalFormatting>
  <conditionalFormatting sqref="M96:N96">
    <cfRule type="containsBlanks" dxfId="4664" priority="4621">
      <formula>LEN(TRIM(M96))=0</formula>
    </cfRule>
  </conditionalFormatting>
  <conditionalFormatting sqref="M59:T59">
    <cfRule type="containsBlanks" dxfId="4663" priority="4620">
      <formula>LEN(TRIM(M59))=0</formula>
    </cfRule>
  </conditionalFormatting>
  <conditionalFormatting sqref="M60:S60">
    <cfRule type="containsBlanks" dxfId="4662" priority="4619">
      <formula>LEN(TRIM(M60))=0</formula>
    </cfRule>
  </conditionalFormatting>
  <conditionalFormatting sqref="O31:Q31">
    <cfRule type="containsBlanks" dxfId="4661" priority="4618">
      <formula>LEN(TRIM(O31))=0</formula>
    </cfRule>
  </conditionalFormatting>
  <conditionalFormatting sqref="O38:Q38">
    <cfRule type="containsBlanks" dxfId="4660" priority="4617">
      <formula>LEN(TRIM(O38))=0</formula>
    </cfRule>
  </conditionalFormatting>
  <conditionalFormatting sqref="O35:Q35">
    <cfRule type="containsBlanks" dxfId="4659" priority="4616">
      <formula>LEN(TRIM(O35))=0</formula>
    </cfRule>
  </conditionalFormatting>
  <conditionalFormatting sqref="O36:Q36">
    <cfRule type="containsBlanks" dxfId="4658" priority="4615">
      <formula>LEN(TRIM(O36))=0</formula>
    </cfRule>
  </conditionalFormatting>
  <conditionalFormatting sqref="O40:Q40">
    <cfRule type="containsBlanks" dxfId="4657" priority="4614">
      <formula>LEN(TRIM(O40))=0</formula>
    </cfRule>
  </conditionalFormatting>
  <conditionalFormatting sqref="O42:Q42">
    <cfRule type="containsBlanks" dxfId="4656" priority="4613">
      <formula>LEN(TRIM(O42))=0</formula>
    </cfRule>
  </conditionalFormatting>
  <conditionalFormatting sqref="O44:Q44">
    <cfRule type="containsBlanks" dxfId="4655" priority="4612">
      <formula>LEN(TRIM(O44))=0</formula>
    </cfRule>
  </conditionalFormatting>
  <conditionalFormatting sqref="O57:Q57">
    <cfRule type="containsBlanks" dxfId="4654" priority="4611">
      <formula>LEN(TRIM(O57))=0</formula>
    </cfRule>
  </conditionalFormatting>
  <conditionalFormatting sqref="O58:Q58">
    <cfRule type="containsBlanks" dxfId="4653" priority="4610">
      <formula>LEN(TRIM(O58))=0</formula>
    </cfRule>
  </conditionalFormatting>
  <conditionalFormatting sqref="O60:Q60">
    <cfRule type="containsBlanks" dxfId="4652" priority="4609">
      <formula>LEN(TRIM(O60))=0</formula>
    </cfRule>
  </conditionalFormatting>
  <conditionalFormatting sqref="N56:T56">
    <cfRule type="containsBlanks" dxfId="4651" priority="4608">
      <formula>LEN(TRIM(N56))=0</formula>
    </cfRule>
  </conditionalFormatting>
  <conditionalFormatting sqref="M73:S73">
    <cfRule type="containsBlanks" dxfId="4650" priority="4607">
      <formula>LEN(TRIM(M73))=0</formula>
    </cfRule>
  </conditionalFormatting>
  <conditionalFormatting sqref="N76:T76">
    <cfRule type="containsBlanks" dxfId="4649" priority="4606">
      <formula>LEN(TRIM(N76))=0</formula>
    </cfRule>
  </conditionalFormatting>
  <conditionalFormatting sqref="O78:Q78">
    <cfRule type="containsBlanks" dxfId="4648" priority="4605">
      <formula>LEN(TRIM(O78))=0</formula>
    </cfRule>
  </conditionalFormatting>
  <conditionalFormatting sqref="M80:T80">
    <cfRule type="containsBlanks" dxfId="4647" priority="4604">
      <formula>LEN(TRIM(M80))=0</formula>
    </cfRule>
  </conditionalFormatting>
  <conditionalFormatting sqref="M86:T86">
    <cfRule type="containsBlanks" dxfId="4646" priority="4603">
      <formula>LEN(TRIM(M86))=0</formula>
    </cfRule>
  </conditionalFormatting>
  <conditionalFormatting sqref="O87:S87">
    <cfRule type="containsBlanks" dxfId="4645" priority="4602">
      <formula>LEN(TRIM(O87))=0</formula>
    </cfRule>
  </conditionalFormatting>
  <conditionalFormatting sqref="M87:N87">
    <cfRule type="containsBlanks" dxfId="4644" priority="4601">
      <formula>LEN(TRIM(M87))=0</formula>
    </cfRule>
  </conditionalFormatting>
  <conditionalFormatting sqref="M50:T50">
    <cfRule type="containsBlanks" dxfId="4643" priority="4600">
      <formula>LEN(TRIM(M50))=0</formula>
    </cfRule>
  </conditionalFormatting>
  <conditionalFormatting sqref="M51:S51">
    <cfRule type="containsBlanks" dxfId="4642" priority="4599">
      <formula>LEN(TRIM(M51))=0</formula>
    </cfRule>
  </conditionalFormatting>
  <conditionalFormatting sqref="O49:Q49">
    <cfRule type="containsBlanks" dxfId="4641" priority="4598">
      <formula>LEN(TRIM(O49))=0</formula>
    </cfRule>
  </conditionalFormatting>
  <conditionalFormatting sqref="O46:Q46">
    <cfRule type="containsBlanks" dxfId="4640" priority="4597">
      <formula>LEN(TRIM(O46))=0</formula>
    </cfRule>
  </conditionalFormatting>
  <conditionalFormatting sqref="O47:Q47">
    <cfRule type="containsBlanks" dxfId="4639" priority="4596">
      <formula>LEN(TRIM(O47))=0</formula>
    </cfRule>
  </conditionalFormatting>
  <conditionalFormatting sqref="O51:Q51">
    <cfRule type="containsBlanks" dxfId="4638" priority="4595">
      <formula>LEN(TRIM(O51))=0</formula>
    </cfRule>
  </conditionalFormatting>
  <conditionalFormatting sqref="O53:Q53">
    <cfRule type="containsBlanks" dxfId="4637" priority="4594">
      <formula>LEN(TRIM(O53))=0</formula>
    </cfRule>
  </conditionalFormatting>
  <conditionalFormatting sqref="O55:Q55">
    <cfRule type="containsBlanks" dxfId="4636" priority="4593">
      <formula>LEN(TRIM(O55))=0</formula>
    </cfRule>
  </conditionalFormatting>
  <conditionalFormatting sqref="O68:Q68">
    <cfRule type="containsBlanks" dxfId="4635" priority="4592">
      <formula>LEN(TRIM(O68))=0</formula>
    </cfRule>
  </conditionalFormatting>
  <conditionalFormatting sqref="O69:Q69">
    <cfRule type="containsBlanks" dxfId="4634" priority="4591">
      <formula>LEN(TRIM(O69))=0</formula>
    </cfRule>
  </conditionalFormatting>
  <conditionalFormatting sqref="O71:Q71">
    <cfRule type="containsBlanks" dxfId="4633" priority="4590">
      <formula>LEN(TRIM(O71))=0</formula>
    </cfRule>
  </conditionalFormatting>
  <conditionalFormatting sqref="N67:T67">
    <cfRule type="containsBlanks" dxfId="4632" priority="4589">
      <formula>LEN(TRIM(N67))=0</formula>
    </cfRule>
  </conditionalFormatting>
  <conditionalFormatting sqref="M84:S84">
    <cfRule type="containsBlanks" dxfId="4631" priority="4588">
      <formula>LEN(TRIM(M84))=0</formula>
    </cfRule>
  </conditionalFormatting>
  <conditionalFormatting sqref="N87:T87">
    <cfRule type="containsBlanks" dxfId="4630" priority="4587">
      <formula>LEN(TRIM(N87))=0</formula>
    </cfRule>
  </conditionalFormatting>
  <conditionalFormatting sqref="O89:Q89">
    <cfRule type="containsBlanks" dxfId="4629" priority="4586">
      <formula>LEN(TRIM(O89))=0</formula>
    </cfRule>
  </conditionalFormatting>
  <conditionalFormatting sqref="M91:T91">
    <cfRule type="containsBlanks" dxfId="4628" priority="4585">
      <formula>LEN(TRIM(M91))=0</formula>
    </cfRule>
  </conditionalFormatting>
  <conditionalFormatting sqref="M97:T97">
    <cfRule type="containsBlanks" dxfId="4627" priority="4584">
      <formula>LEN(TRIM(M97))=0</formula>
    </cfRule>
  </conditionalFormatting>
  <conditionalFormatting sqref="O98:S98">
    <cfRule type="containsBlanks" dxfId="4626" priority="4583">
      <formula>LEN(TRIM(O98))=0</formula>
    </cfRule>
  </conditionalFormatting>
  <conditionalFormatting sqref="M98:N98">
    <cfRule type="containsBlanks" dxfId="4625" priority="4582">
      <formula>LEN(TRIM(M98))=0</formula>
    </cfRule>
  </conditionalFormatting>
  <conditionalFormatting sqref="M61:T61">
    <cfRule type="containsBlanks" dxfId="4624" priority="4581">
      <formula>LEN(TRIM(M61))=0</formula>
    </cfRule>
  </conditionalFormatting>
  <conditionalFormatting sqref="M62:S62">
    <cfRule type="containsBlanks" dxfId="4623" priority="4580">
      <formula>LEN(TRIM(M62))=0</formula>
    </cfRule>
  </conditionalFormatting>
  <conditionalFormatting sqref="O46:Q46">
    <cfRule type="containsBlanks" dxfId="4622" priority="4579">
      <formula>LEN(TRIM(O46))=0</formula>
    </cfRule>
  </conditionalFormatting>
  <conditionalFormatting sqref="O59:Q59">
    <cfRule type="containsBlanks" dxfId="4621" priority="4578">
      <formula>LEN(TRIM(O59))=0</formula>
    </cfRule>
  </conditionalFormatting>
  <conditionalFormatting sqref="O60:Q60">
    <cfRule type="containsBlanks" dxfId="4620" priority="4577">
      <formula>LEN(TRIM(O60))=0</formula>
    </cfRule>
  </conditionalFormatting>
  <conditionalFormatting sqref="O62:Q62">
    <cfRule type="containsBlanks" dxfId="4619" priority="4576">
      <formula>LEN(TRIM(O62))=0</formula>
    </cfRule>
  </conditionalFormatting>
  <conditionalFormatting sqref="N58:T58">
    <cfRule type="containsBlanks" dxfId="4618" priority="4575">
      <formula>LEN(TRIM(N58))=0</formula>
    </cfRule>
  </conditionalFormatting>
  <conditionalFormatting sqref="M75:S75">
    <cfRule type="containsBlanks" dxfId="4617" priority="4574">
      <formula>LEN(TRIM(M75))=0</formula>
    </cfRule>
  </conditionalFormatting>
  <conditionalFormatting sqref="N78:T78">
    <cfRule type="containsBlanks" dxfId="4616" priority="4573">
      <formula>LEN(TRIM(N78))=0</formula>
    </cfRule>
  </conditionalFormatting>
  <conditionalFormatting sqref="O80:Q80">
    <cfRule type="containsBlanks" dxfId="4615" priority="4572">
      <formula>LEN(TRIM(O80))=0</formula>
    </cfRule>
  </conditionalFormatting>
  <conditionalFormatting sqref="M82:T82">
    <cfRule type="containsBlanks" dxfId="4614" priority="4571">
      <formula>LEN(TRIM(M82))=0</formula>
    </cfRule>
  </conditionalFormatting>
  <conditionalFormatting sqref="M88:T88">
    <cfRule type="containsBlanks" dxfId="4613" priority="4570">
      <formula>LEN(TRIM(M88))=0</formula>
    </cfRule>
  </conditionalFormatting>
  <conditionalFormatting sqref="O89:S89">
    <cfRule type="containsBlanks" dxfId="4612" priority="4569">
      <formula>LEN(TRIM(O89))=0</formula>
    </cfRule>
  </conditionalFormatting>
  <conditionalFormatting sqref="M89:N89">
    <cfRule type="containsBlanks" dxfId="4611" priority="4568">
      <formula>LEN(TRIM(M89))=0</formula>
    </cfRule>
  </conditionalFormatting>
  <conditionalFormatting sqref="M52:T52">
    <cfRule type="containsBlanks" dxfId="4610" priority="4567">
      <formula>LEN(TRIM(M52))=0</formula>
    </cfRule>
  </conditionalFormatting>
  <conditionalFormatting sqref="M53:S53">
    <cfRule type="containsBlanks" dxfId="4609" priority="4566">
      <formula>LEN(TRIM(M53))=0</formula>
    </cfRule>
  </conditionalFormatting>
  <conditionalFormatting sqref="O46:Q46">
    <cfRule type="containsBlanks" dxfId="4608" priority="4565">
      <formula>LEN(TRIM(O46))=0</formula>
    </cfRule>
  </conditionalFormatting>
  <conditionalFormatting sqref="O48:Q48">
    <cfRule type="containsBlanks" dxfId="4607" priority="4564">
      <formula>LEN(TRIM(O48))=0</formula>
    </cfRule>
  </conditionalFormatting>
  <conditionalFormatting sqref="O50:Q50">
    <cfRule type="containsBlanks" dxfId="4606" priority="4563">
      <formula>LEN(TRIM(O50))=0</formula>
    </cfRule>
  </conditionalFormatting>
  <conditionalFormatting sqref="O63:Q63">
    <cfRule type="containsBlanks" dxfId="4605" priority="4562">
      <formula>LEN(TRIM(O63))=0</formula>
    </cfRule>
  </conditionalFormatting>
  <conditionalFormatting sqref="O64:Q64">
    <cfRule type="containsBlanks" dxfId="4604" priority="4561">
      <formula>LEN(TRIM(O64))=0</formula>
    </cfRule>
  </conditionalFormatting>
  <conditionalFormatting sqref="O66:Q66">
    <cfRule type="containsBlanks" dxfId="4603" priority="4560">
      <formula>LEN(TRIM(O66))=0</formula>
    </cfRule>
  </conditionalFormatting>
  <conditionalFormatting sqref="N62:T62">
    <cfRule type="containsBlanks" dxfId="4602" priority="4559">
      <formula>LEN(TRIM(N62))=0</formula>
    </cfRule>
  </conditionalFormatting>
  <conditionalFormatting sqref="M79:S79">
    <cfRule type="containsBlanks" dxfId="4601" priority="4558">
      <formula>LEN(TRIM(M79))=0</formula>
    </cfRule>
  </conditionalFormatting>
  <conditionalFormatting sqref="N82:T82">
    <cfRule type="containsBlanks" dxfId="4600" priority="4557">
      <formula>LEN(TRIM(N82))=0</formula>
    </cfRule>
  </conditionalFormatting>
  <conditionalFormatting sqref="O84:Q84">
    <cfRule type="containsBlanks" dxfId="4599" priority="4556">
      <formula>LEN(TRIM(O84))=0</formula>
    </cfRule>
  </conditionalFormatting>
  <conditionalFormatting sqref="M86:T86">
    <cfRule type="containsBlanks" dxfId="4598" priority="4555">
      <formula>LEN(TRIM(M86))=0</formula>
    </cfRule>
  </conditionalFormatting>
  <conditionalFormatting sqref="M92:T92">
    <cfRule type="containsBlanks" dxfId="4597" priority="4554">
      <formula>LEN(TRIM(M92))=0</formula>
    </cfRule>
  </conditionalFormatting>
  <conditionalFormatting sqref="O93:S93">
    <cfRule type="containsBlanks" dxfId="4596" priority="4553">
      <formula>LEN(TRIM(O93))=0</formula>
    </cfRule>
  </conditionalFormatting>
  <conditionalFormatting sqref="M93:N93">
    <cfRule type="containsBlanks" dxfId="4595" priority="4552">
      <formula>LEN(TRIM(M93))=0</formula>
    </cfRule>
  </conditionalFormatting>
  <conditionalFormatting sqref="M56:T56">
    <cfRule type="containsBlanks" dxfId="4594" priority="4551">
      <formula>LEN(TRIM(M56))=0</formula>
    </cfRule>
  </conditionalFormatting>
  <conditionalFormatting sqref="M57:S57">
    <cfRule type="containsBlanks" dxfId="4593" priority="4550">
      <formula>LEN(TRIM(M57))=0</formula>
    </cfRule>
  </conditionalFormatting>
  <conditionalFormatting sqref="O54:Q54">
    <cfRule type="containsBlanks" dxfId="4592" priority="4549">
      <formula>LEN(TRIM(O54))=0</formula>
    </cfRule>
  </conditionalFormatting>
  <conditionalFormatting sqref="O55:Q55">
    <cfRule type="containsBlanks" dxfId="4591" priority="4548">
      <formula>LEN(TRIM(O55))=0</formula>
    </cfRule>
  </conditionalFormatting>
  <conditionalFormatting sqref="O57:Q57">
    <cfRule type="containsBlanks" dxfId="4590" priority="4547">
      <formula>LEN(TRIM(O57))=0</formula>
    </cfRule>
  </conditionalFormatting>
  <conditionalFormatting sqref="N53:T53">
    <cfRule type="containsBlanks" dxfId="4589" priority="4546">
      <formula>LEN(TRIM(N53))=0</formula>
    </cfRule>
  </conditionalFormatting>
  <conditionalFormatting sqref="M70:S70">
    <cfRule type="containsBlanks" dxfId="4588" priority="4545">
      <formula>LEN(TRIM(M70))=0</formula>
    </cfRule>
  </conditionalFormatting>
  <conditionalFormatting sqref="N73:T73">
    <cfRule type="containsBlanks" dxfId="4587" priority="4544">
      <formula>LEN(TRIM(N73))=0</formula>
    </cfRule>
  </conditionalFormatting>
  <conditionalFormatting sqref="O75:Q75">
    <cfRule type="containsBlanks" dxfId="4586" priority="4543">
      <formula>LEN(TRIM(O75))=0</formula>
    </cfRule>
  </conditionalFormatting>
  <conditionalFormatting sqref="M77:T77">
    <cfRule type="containsBlanks" dxfId="4585" priority="4542">
      <formula>LEN(TRIM(M77))=0</formula>
    </cfRule>
  </conditionalFormatting>
  <conditionalFormatting sqref="M83:T83">
    <cfRule type="containsBlanks" dxfId="4584" priority="4541">
      <formula>LEN(TRIM(M83))=0</formula>
    </cfRule>
  </conditionalFormatting>
  <conditionalFormatting sqref="O84:S84">
    <cfRule type="containsBlanks" dxfId="4583" priority="4540">
      <formula>LEN(TRIM(O84))=0</formula>
    </cfRule>
  </conditionalFormatting>
  <conditionalFormatting sqref="M84:N84">
    <cfRule type="containsBlanks" dxfId="4582" priority="4539">
      <formula>LEN(TRIM(M84))=0</formula>
    </cfRule>
  </conditionalFormatting>
  <conditionalFormatting sqref="M47:T47">
    <cfRule type="containsBlanks" dxfId="4581" priority="4538">
      <formula>LEN(TRIM(M47))=0</formula>
    </cfRule>
  </conditionalFormatting>
  <conditionalFormatting sqref="M48:S48">
    <cfRule type="containsBlanks" dxfId="4580" priority="4537">
      <formula>LEN(TRIM(M48))=0</formula>
    </cfRule>
  </conditionalFormatting>
  <conditionalFormatting sqref="O49:Q49">
    <cfRule type="containsBlanks" dxfId="4579" priority="4536">
      <formula>LEN(TRIM(O49))=0</formula>
    </cfRule>
  </conditionalFormatting>
  <conditionalFormatting sqref="O56:Q56">
    <cfRule type="containsBlanks" dxfId="4578" priority="4535">
      <formula>LEN(TRIM(O56))=0</formula>
    </cfRule>
  </conditionalFormatting>
  <conditionalFormatting sqref="O53:Q53">
    <cfRule type="containsBlanks" dxfId="4577" priority="4534">
      <formula>LEN(TRIM(O53))=0</formula>
    </cfRule>
  </conditionalFormatting>
  <conditionalFormatting sqref="O54:Q54">
    <cfRule type="containsBlanks" dxfId="4576" priority="4533">
      <formula>LEN(TRIM(O54))=0</formula>
    </cfRule>
  </conditionalFormatting>
  <conditionalFormatting sqref="O58:Q58">
    <cfRule type="containsBlanks" dxfId="4575" priority="4532">
      <formula>LEN(TRIM(O58))=0</formula>
    </cfRule>
  </conditionalFormatting>
  <conditionalFormatting sqref="O60:Q60">
    <cfRule type="containsBlanks" dxfId="4574" priority="4531">
      <formula>LEN(TRIM(O60))=0</formula>
    </cfRule>
  </conditionalFormatting>
  <conditionalFormatting sqref="O62:Q62">
    <cfRule type="containsBlanks" dxfId="4573" priority="4530">
      <formula>LEN(TRIM(O62))=0</formula>
    </cfRule>
  </conditionalFormatting>
  <conditionalFormatting sqref="O75:Q75">
    <cfRule type="containsBlanks" dxfId="4572" priority="4529">
      <formula>LEN(TRIM(O75))=0</formula>
    </cfRule>
  </conditionalFormatting>
  <conditionalFormatting sqref="O76:Q76">
    <cfRule type="containsBlanks" dxfId="4571" priority="4528">
      <formula>LEN(TRIM(O76))=0</formula>
    </cfRule>
  </conditionalFormatting>
  <conditionalFormatting sqref="O78:Q78">
    <cfRule type="containsBlanks" dxfId="4570" priority="4527">
      <formula>LEN(TRIM(O78))=0</formula>
    </cfRule>
  </conditionalFormatting>
  <conditionalFormatting sqref="N74:T74">
    <cfRule type="containsBlanks" dxfId="4569" priority="4526">
      <formula>LEN(TRIM(N74))=0</formula>
    </cfRule>
  </conditionalFormatting>
  <conditionalFormatting sqref="M91:S91">
    <cfRule type="containsBlanks" dxfId="4568" priority="4525">
      <formula>LEN(TRIM(M91))=0</formula>
    </cfRule>
  </conditionalFormatting>
  <conditionalFormatting sqref="N94:T94">
    <cfRule type="containsBlanks" dxfId="4567" priority="4524">
      <formula>LEN(TRIM(N94))=0</formula>
    </cfRule>
  </conditionalFormatting>
  <conditionalFormatting sqref="O96:Q96">
    <cfRule type="containsBlanks" dxfId="4566" priority="4523">
      <formula>LEN(TRIM(O96))=0</formula>
    </cfRule>
  </conditionalFormatting>
  <conditionalFormatting sqref="M98:T98">
    <cfRule type="containsBlanks" dxfId="4565" priority="4522">
      <formula>LEN(TRIM(M98))=0</formula>
    </cfRule>
  </conditionalFormatting>
  <conditionalFormatting sqref="M104:T104">
    <cfRule type="containsBlanks" dxfId="4564" priority="4521">
      <formula>LEN(TRIM(M104))=0</formula>
    </cfRule>
  </conditionalFormatting>
  <conditionalFormatting sqref="O105:S105">
    <cfRule type="containsBlanks" dxfId="4563" priority="4520">
      <formula>LEN(TRIM(O105))=0</formula>
    </cfRule>
  </conditionalFormatting>
  <conditionalFormatting sqref="M105:N105">
    <cfRule type="containsBlanks" dxfId="4562" priority="4519">
      <formula>LEN(TRIM(M105))=0</formula>
    </cfRule>
  </conditionalFormatting>
  <conditionalFormatting sqref="M68:T68">
    <cfRule type="containsBlanks" dxfId="4561" priority="4518">
      <formula>LEN(TRIM(M68))=0</formula>
    </cfRule>
  </conditionalFormatting>
  <conditionalFormatting sqref="M69:S69">
    <cfRule type="containsBlanks" dxfId="4560" priority="4517">
      <formula>LEN(TRIM(M69))=0</formula>
    </cfRule>
  </conditionalFormatting>
  <conditionalFormatting sqref="O40:Q40">
    <cfRule type="containsBlanks" dxfId="4559" priority="4516">
      <formula>LEN(TRIM(O40))=0</formula>
    </cfRule>
  </conditionalFormatting>
  <conditionalFormatting sqref="O47:Q47">
    <cfRule type="containsBlanks" dxfId="4558" priority="4515">
      <formula>LEN(TRIM(O47))=0</formula>
    </cfRule>
  </conditionalFormatting>
  <conditionalFormatting sqref="O44:Q44">
    <cfRule type="containsBlanks" dxfId="4557" priority="4514">
      <formula>LEN(TRIM(O44))=0</formula>
    </cfRule>
  </conditionalFormatting>
  <conditionalFormatting sqref="O45:Q45">
    <cfRule type="containsBlanks" dxfId="4556" priority="4513">
      <formula>LEN(TRIM(O45))=0</formula>
    </cfRule>
  </conditionalFormatting>
  <conditionalFormatting sqref="O49:Q49">
    <cfRule type="containsBlanks" dxfId="4555" priority="4512">
      <formula>LEN(TRIM(O49))=0</formula>
    </cfRule>
  </conditionalFormatting>
  <conditionalFormatting sqref="O51:Q51">
    <cfRule type="containsBlanks" dxfId="4554" priority="4511">
      <formula>LEN(TRIM(O51))=0</formula>
    </cfRule>
  </conditionalFormatting>
  <conditionalFormatting sqref="O53:Q53">
    <cfRule type="containsBlanks" dxfId="4553" priority="4510">
      <formula>LEN(TRIM(O53))=0</formula>
    </cfRule>
  </conditionalFormatting>
  <conditionalFormatting sqref="O66:Q66">
    <cfRule type="containsBlanks" dxfId="4552" priority="4509">
      <formula>LEN(TRIM(O66))=0</formula>
    </cfRule>
  </conditionalFormatting>
  <conditionalFormatting sqref="O67:Q67">
    <cfRule type="containsBlanks" dxfId="4551" priority="4508">
      <formula>LEN(TRIM(O67))=0</formula>
    </cfRule>
  </conditionalFormatting>
  <conditionalFormatting sqref="O69:Q69">
    <cfRule type="containsBlanks" dxfId="4550" priority="4507">
      <formula>LEN(TRIM(O69))=0</formula>
    </cfRule>
  </conditionalFormatting>
  <conditionalFormatting sqref="N65:T65">
    <cfRule type="containsBlanks" dxfId="4549" priority="4506">
      <formula>LEN(TRIM(N65))=0</formula>
    </cfRule>
  </conditionalFormatting>
  <conditionalFormatting sqref="M82:S82">
    <cfRule type="containsBlanks" dxfId="4548" priority="4505">
      <formula>LEN(TRIM(M82))=0</formula>
    </cfRule>
  </conditionalFormatting>
  <conditionalFormatting sqref="N85:T85">
    <cfRule type="containsBlanks" dxfId="4547" priority="4504">
      <formula>LEN(TRIM(N85))=0</formula>
    </cfRule>
  </conditionalFormatting>
  <conditionalFormatting sqref="O87:Q87">
    <cfRule type="containsBlanks" dxfId="4546" priority="4503">
      <formula>LEN(TRIM(O87))=0</formula>
    </cfRule>
  </conditionalFormatting>
  <conditionalFormatting sqref="M89:T89">
    <cfRule type="containsBlanks" dxfId="4545" priority="4502">
      <formula>LEN(TRIM(M89))=0</formula>
    </cfRule>
  </conditionalFormatting>
  <conditionalFormatting sqref="M95:T95">
    <cfRule type="containsBlanks" dxfId="4544" priority="4501">
      <formula>LEN(TRIM(M95))=0</formula>
    </cfRule>
  </conditionalFormatting>
  <conditionalFormatting sqref="O96:S96">
    <cfRule type="containsBlanks" dxfId="4543" priority="4500">
      <formula>LEN(TRIM(O96))=0</formula>
    </cfRule>
  </conditionalFormatting>
  <conditionalFormatting sqref="M96:N96">
    <cfRule type="containsBlanks" dxfId="4542" priority="4499">
      <formula>LEN(TRIM(M96))=0</formula>
    </cfRule>
  </conditionalFormatting>
  <conditionalFormatting sqref="M59:T59">
    <cfRule type="containsBlanks" dxfId="4541" priority="4498">
      <formula>LEN(TRIM(M59))=0</formula>
    </cfRule>
  </conditionalFormatting>
  <conditionalFormatting sqref="M60:S60">
    <cfRule type="containsBlanks" dxfId="4540" priority="4497">
      <formula>LEN(TRIM(M60))=0</formula>
    </cfRule>
  </conditionalFormatting>
  <conditionalFormatting sqref="O44:Q44">
    <cfRule type="containsBlanks" dxfId="4539" priority="4496">
      <formula>LEN(TRIM(O44))=0</formula>
    </cfRule>
  </conditionalFormatting>
  <conditionalFormatting sqref="O51:Q51">
    <cfRule type="containsBlanks" dxfId="4538" priority="4495">
      <formula>LEN(TRIM(O51))=0</formula>
    </cfRule>
  </conditionalFormatting>
  <conditionalFormatting sqref="O48:Q48">
    <cfRule type="containsBlanks" dxfId="4537" priority="4494">
      <formula>LEN(TRIM(O48))=0</formula>
    </cfRule>
  </conditionalFormatting>
  <conditionalFormatting sqref="O49:Q49">
    <cfRule type="containsBlanks" dxfId="4536" priority="4493">
      <formula>LEN(TRIM(O49))=0</formula>
    </cfRule>
  </conditionalFormatting>
  <conditionalFormatting sqref="O53:Q53">
    <cfRule type="containsBlanks" dxfId="4535" priority="4492">
      <formula>LEN(TRIM(O53))=0</formula>
    </cfRule>
  </conditionalFormatting>
  <conditionalFormatting sqref="O55:Q55">
    <cfRule type="containsBlanks" dxfId="4534" priority="4491">
      <formula>LEN(TRIM(O55))=0</formula>
    </cfRule>
  </conditionalFormatting>
  <conditionalFormatting sqref="O57:Q57">
    <cfRule type="containsBlanks" dxfId="4533" priority="4490">
      <formula>LEN(TRIM(O57))=0</formula>
    </cfRule>
  </conditionalFormatting>
  <conditionalFormatting sqref="O70:Q70">
    <cfRule type="containsBlanks" dxfId="4532" priority="4489">
      <formula>LEN(TRIM(O70))=0</formula>
    </cfRule>
  </conditionalFormatting>
  <conditionalFormatting sqref="O71:Q71">
    <cfRule type="containsBlanks" dxfId="4531" priority="4488">
      <formula>LEN(TRIM(O71))=0</formula>
    </cfRule>
  </conditionalFormatting>
  <conditionalFormatting sqref="O73:Q73">
    <cfRule type="containsBlanks" dxfId="4530" priority="4487">
      <formula>LEN(TRIM(O73))=0</formula>
    </cfRule>
  </conditionalFormatting>
  <conditionalFormatting sqref="N69:T69">
    <cfRule type="containsBlanks" dxfId="4529" priority="4486">
      <formula>LEN(TRIM(N69))=0</formula>
    </cfRule>
  </conditionalFormatting>
  <conditionalFormatting sqref="M86:S86">
    <cfRule type="containsBlanks" dxfId="4528" priority="4485">
      <formula>LEN(TRIM(M86))=0</formula>
    </cfRule>
  </conditionalFormatting>
  <conditionalFormatting sqref="N89:T89">
    <cfRule type="containsBlanks" dxfId="4527" priority="4484">
      <formula>LEN(TRIM(N89))=0</formula>
    </cfRule>
  </conditionalFormatting>
  <conditionalFormatting sqref="O91:Q91">
    <cfRule type="containsBlanks" dxfId="4526" priority="4483">
      <formula>LEN(TRIM(O91))=0</formula>
    </cfRule>
  </conditionalFormatting>
  <conditionalFormatting sqref="M93:T93">
    <cfRule type="containsBlanks" dxfId="4525" priority="4482">
      <formula>LEN(TRIM(M93))=0</formula>
    </cfRule>
  </conditionalFormatting>
  <conditionalFormatting sqref="O100:S100">
    <cfRule type="containsBlanks" dxfId="4524" priority="4480">
      <formula>LEN(TRIM(O100))=0</formula>
    </cfRule>
  </conditionalFormatting>
  <conditionalFormatting sqref="M100:N100">
    <cfRule type="containsBlanks" dxfId="4523" priority="4479">
      <formula>LEN(TRIM(M100))=0</formula>
    </cfRule>
  </conditionalFormatting>
  <conditionalFormatting sqref="M63:T63">
    <cfRule type="containsBlanks" dxfId="4522" priority="4478">
      <formula>LEN(TRIM(M63))=0</formula>
    </cfRule>
  </conditionalFormatting>
  <conditionalFormatting sqref="M64:S64">
    <cfRule type="containsBlanks" dxfId="4521" priority="4477">
      <formula>LEN(TRIM(M64))=0</formula>
    </cfRule>
  </conditionalFormatting>
  <conditionalFormatting sqref="O35:Q35">
    <cfRule type="containsBlanks" dxfId="4520" priority="4476">
      <formula>LEN(TRIM(O35))=0</formula>
    </cfRule>
  </conditionalFormatting>
  <conditionalFormatting sqref="O42:Q42">
    <cfRule type="containsBlanks" dxfId="4519" priority="4475">
      <formula>LEN(TRIM(O42))=0</formula>
    </cfRule>
  </conditionalFormatting>
  <conditionalFormatting sqref="O39:Q39">
    <cfRule type="containsBlanks" dxfId="4518" priority="4474">
      <formula>LEN(TRIM(O39))=0</formula>
    </cfRule>
  </conditionalFormatting>
  <conditionalFormatting sqref="O40:Q40">
    <cfRule type="containsBlanks" dxfId="4517" priority="4473">
      <formula>LEN(TRIM(O40))=0</formula>
    </cfRule>
  </conditionalFormatting>
  <conditionalFormatting sqref="O44:Q44">
    <cfRule type="containsBlanks" dxfId="4516" priority="4472">
      <formula>LEN(TRIM(O44))=0</formula>
    </cfRule>
  </conditionalFormatting>
  <conditionalFormatting sqref="O46:Q46">
    <cfRule type="containsBlanks" dxfId="4515" priority="4471">
      <formula>LEN(TRIM(O46))=0</formula>
    </cfRule>
  </conditionalFormatting>
  <conditionalFormatting sqref="O48:Q48">
    <cfRule type="containsBlanks" dxfId="4514" priority="4470">
      <formula>LEN(TRIM(O48))=0</formula>
    </cfRule>
  </conditionalFormatting>
  <conditionalFormatting sqref="O61:Q61">
    <cfRule type="containsBlanks" dxfId="4513" priority="4469">
      <formula>LEN(TRIM(O61))=0</formula>
    </cfRule>
  </conditionalFormatting>
  <conditionalFormatting sqref="O62:Q62">
    <cfRule type="containsBlanks" dxfId="4512" priority="4468">
      <formula>LEN(TRIM(O62))=0</formula>
    </cfRule>
  </conditionalFormatting>
  <conditionalFormatting sqref="O64:Q64">
    <cfRule type="containsBlanks" dxfId="4511" priority="4467">
      <formula>LEN(TRIM(O64))=0</formula>
    </cfRule>
  </conditionalFormatting>
  <conditionalFormatting sqref="N60:T60">
    <cfRule type="containsBlanks" dxfId="4510" priority="4466">
      <formula>LEN(TRIM(N60))=0</formula>
    </cfRule>
  </conditionalFormatting>
  <conditionalFormatting sqref="M77:S77">
    <cfRule type="containsBlanks" dxfId="4509" priority="4465">
      <formula>LEN(TRIM(M77))=0</formula>
    </cfRule>
  </conditionalFormatting>
  <conditionalFormatting sqref="N80:T80">
    <cfRule type="containsBlanks" dxfId="4508" priority="4464">
      <formula>LEN(TRIM(N80))=0</formula>
    </cfRule>
  </conditionalFormatting>
  <conditionalFormatting sqref="O82:Q82">
    <cfRule type="containsBlanks" dxfId="4507" priority="4463">
      <formula>LEN(TRIM(O82))=0</formula>
    </cfRule>
  </conditionalFormatting>
  <conditionalFormatting sqref="M84:T84">
    <cfRule type="containsBlanks" dxfId="4506" priority="4462">
      <formula>LEN(TRIM(M84))=0</formula>
    </cfRule>
  </conditionalFormatting>
  <conditionalFormatting sqref="M90:T90">
    <cfRule type="containsBlanks" dxfId="4505" priority="4461">
      <formula>LEN(TRIM(M90))=0</formula>
    </cfRule>
  </conditionalFormatting>
  <conditionalFormatting sqref="O91:S91">
    <cfRule type="containsBlanks" dxfId="4504" priority="4460">
      <formula>LEN(TRIM(O91))=0</formula>
    </cfRule>
  </conditionalFormatting>
  <conditionalFormatting sqref="M91:N91">
    <cfRule type="containsBlanks" dxfId="4503" priority="4459">
      <formula>LEN(TRIM(M91))=0</formula>
    </cfRule>
  </conditionalFormatting>
  <conditionalFormatting sqref="M54:T54">
    <cfRule type="containsBlanks" dxfId="4502" priority="4458">
      <formula>LEN(TRIM(M54))=0</formula>
    </cfRule>
  </conditionalFormatting>
  <conditionalFormatting sqref="M55:S55">
    <cfRule type="containsBlanks" dxfId="4501" priority="4457">
      <formula>LEN(TRIM(M55))=0</formula>
    </cfRule>
  </conditionalFormatting>
  <conditionalFormatting sqref="O53:Q53">
    <cfRule type="containsBlanks" dxfId="4500" priority="4456">
      <formula>LEN(TRIM(O53))=0</formula>
    </cfRule>
  </conditionalFormatting>
  <conditionalFormatting sqref="O50:Q50">
    <cfRule type="containsBlanks" dxfId="4499" priority="4455">
      <formula>LEN(TRIM(O50))=0</formula>
    </cfRule>
  </conditionalFormatting>
  <conditionalFormatting sqref="O51:Q51">
    <cfRule type="containsBlanks" dxfId="4498" priority="4454">
      <formula>LEN(TRIM(O51))=0</formula>
    </cfRule>
  </conditionalFormatting>
  <conditionalFormatting sqref="O55:Q55">
    <cfRule type="containsBlanks" dxfId="4497" priority="4453">
      <formula>LEN(TRIM(O55))=0</formula>
    </cfRule>
  </conditionalFormatting>
  <conditionalFormatting sqref="O57:Q57">
    <cfRule type="containsBlanks" dxfId="4496" priority="4452">
      <formula>LEN(TRIM(O57))=0</formula>
    </cfRule>
  </conditionalFormatting>
  <conditionalFormatting sqref="O59:Q59">
    <cfRule type="containsBlanks" dxfId="4495" priority="4451">
      <formula>LEN(TRIM(O59))=0</formula>
    </cfRule>
  </conditionalFormatting>
  <conditionalFormatting sqref="O72:Q72">
    <cfRule type="containsBlanks" dxfId="4494" priority="4450">
      <formula>LEN(TRIM(O72))=0</formula>
    </cfRule>
  </conditionalFormatting>
  <conditionalFormatting sqref="O73:Q73">
    <cfRule type="containsBlanks" dxfId="4493" priority="4449">
      <formula>LEN(TRIM(O73))=0</formula>
    </cfRule>
  </conditionalFormatting>
  <conditionalFormatting sqref="O75:Q75">
    <cfRule type="containsBlanks" dxfId="4492" priority="4448">
      <formula>LEN(TRIM(O75))=0</formula>
    </cfRule>
  </conditionalFormatting>
  <conditionalFormatting sqref="N71:T71">
    <cfRule type="containsBlanks" dxfId="4491" priority="4447">
      <formula>LEN(TRIM(N71))=0</formula>
    </cfRule>
  </conditionalFormatting>
  <conditionalFormatting sqref="M88:S88">
    <cfRule type="containsBlanks" dxfId="4490" priority="4446">
      <formula>LEN(TRIM(M88))=0</formula>
    </cfRule>
  </conditionalFormatting>
  <conditionalFormatting sqref="N91:T91">
    <cfRule type="containsBlanks" dxfId="4489" priority="4445">
      <formula>LEN(TRIM(N91))=0</formula>
    </cfRule>
  </conditionalFormatting>
  <conditionalFormatting sqref="O93:Q93">
    <cfRule type="containsBlanks" dxfId="4488" priority="4444">
      <formula>LEN(TRIM(O93))=0</formula>
    </cfRule>
  </conditionalFormatting>
  <conditionalFormatting sqref="M95:T95">
    <cfRule type="containsBlanks" dxfId="4487" priority="4443">
      <formula>LEN(TRIM(M95))=0</formula>
    </cfRule>
  </conditionalFormatting>
  <conditionalFormatting sqref="M101:T101">
    <cfRule type="containsBlanks" dxfId="4486" priority="4442">
      <formula>LEN(TRIM(M101))=0</formula>
    </cfRule>
  </conditionalFormatting>
  <conditionalFormatting sqref="O102:S102">
    <cfRule type="containsBlanks" dxfId="4485" priority="4441">
      <formula>LEN(TRIM(O102))=0</formula>
    </cfRule>
  </conditionalFormatting>
  <conditionalFormatting sqref="M102:N102">
    <cfRule type="containsBlanks" dxfId="4484" priority="4440">
      <formula>LEN(TRIM(M102))=0</formula>
    </cfRule>
  </conditionalFormatting>
  <conditionalFormatting sqref="M65:T65">
    <cfRule type="containsBlanks" dxfId="4483" priority="4439">
      <formula>LEN(TRIM(M65))=0</formula>
    </cfRule>
  </conditionalFormatting>
  <conditionalFormatting sqref="M66:S66">
    <cfRule type="containsBlanks" dxfId="4482" priority="4438">
      <formula>LEN(TRIM(M66))=0</formula>
    </cfRule>
  </conditionalFormatting>
  <conditionalFormatting sqref="O50:Q50">
    <cfRule type="containsBlanks" dxfId="4481" priority="4437">
      <formula>LEN(TRIM(O50))=0</formula>
    </cfRule>
  </conditionalFormatting>
  <conditionalFormatting sqref="O63:Q63">
    <cfRule type="containsBlanks" dxfId="4480" priority="4436">
      <formula>LEN(TRIM(O63))=0</formula>
    </cfRule>
  </conditionalFormatting>
  <conditionalFormatting sqref="O64:Q64">
    <cfRule type="containsBlanks" dxfId="4479" priority="4435">
      <formula>LEN(TRIM(O64))=0</formula>
    </cfRule>
  </conditionalFormatting>
  <conditionalFormatting sqref="O66:Q66">
    <cfRule type="containsBlanks" dxfId="4478" priority="4434">
      <formula>LEN(TRIM(O66))=0</formula>
    </cfRule>
  </conditionalFormatting>
  <conditionalFormatting sqref="N62:T62">
    <cfRule type="containsBlanks" dxfId="4477" priority="4433">
      <formula>LEN(TRIM(N62))=0</formula>
    </cfRule>
  </conditionalFormatting>
  <conditionalFormatting sqref="M79:S79">
    <cfRule type="containsBlanks" dxfId="4476" priority="4432">
      <formula>LEN(TRIM(M79))=0</formula>
    </cfRule>
  </conditionalFormatting>
  <conditionalFormatting sqref="N82:T82">
    <cfRule type="containsBlanks" dxfId="4475" priority="4431">
      <formula>LEN(TRIM(N82))=0</formula>
    </cfRule>
  </conditionalFormatting>
  <conditionalFormatting sqref="O84:Q84">
    <cfRule type="containsBlanks" dxfId="4474" priority="4430">
      <formula>LEN(TRIM(O84))=0</formula>
    </cfRule>
  </conditionalFormatting>
  <conditionalFormatting sqref="M86:T86">
    <cfRule type="containsBlanks" dxfId="4473" priority="4429">
      <formula>LEN(TRIM(M86))=0</formula>
    </cfRule>
  </conditionalFormatting>
  <conditionalFormatting sqref="M92:T92">
    <cfRule type="containsBlanks" dxfId="4472" priority="4428">
      <formula>LEN(TRIM(M92))=0</formula>
    </cfRule>
  </conditionalFormatting>
  <conditionalFormatting sqref="O93:S93">
    <cfRule type="containsBlanks" dxfId="4471" priority="4427">
      <formula>LEN(TRIM(O93))=0</formula>
    </cfRule>
  </conditionalFormatting>
  <conditionalFormatting sqref="M93:N93">
    <cfRule type="containsBlanks" dxfId="4470" priority="4426">
      <formula>LEN(TRIM(M93))=0</formula>
    </cfRule>
  </conditionalFormatting>
  <conditionalFormatting sqref="M56:T56">
    <cfRule type="containsBlanks" dxfId="4469" priority="4425">
      <formula>LEN(TRIM(M56))=0</formula>
    </cfRule>
  </conditionalFormatting>
  <conditionalFormatting sqref="M57:S57">
    <cfRule type="containsBlanks" dxfId="4468" priority="4424">
      <formula>LEN(TRIM(M57))=0</formula>
    </cfRule>
  </conditionalFormatting>
  <conditionalFormatting sqref="O50:Q50">
    <cfRule type="containsBlanks" dxfId="4467" priority="4423">
      <formula>LEN(TRIM(O50))=0</formula>
    </cfRule>
  </conditionalFormatting>
  <conditionalFormatting sqref="O52:Q52">
    <cfRule type="containsBlanks" dxfId="4466" priority="4422">
      <formula>LEN(TRIM(O52))=0</formula>
    </cfRule>
  </conditionalFormatting>
  <conditionalFormatting sqref="O54:Q54">
    <cfRule type="containsBlanks" dxfId="4465" priority="4421">
      <formula>LEN(TRIM(O54))=0</formula>
    </cfRule>
  </conditionalFormatting>
  <conditionalFormatting sqref="O67:Q67">
    <cfRule type="containsBlanks" dxfId="4464" priority="4420">
      <formula>LEN(TRIM(O67))=0</formula>
    </cfRule>
  </conditionalFormatting>
  <conditionalFormatting sqref="O68:Q68">
    <cfRule type="containsBlanks" dxfId="4463" priority="4419">
      <formula>LEN(TRIM(O68))=0</formula>
    </cfRule>
  </conditionalFormatting>
  <conditionalFormatting sqref="O70:Q70">
    <cfRule type="containsBlanks" dxfId="4462" priority="4418">
      <formula>LEN(TRIM(O70))=0</formula>
    </cfRule>
  </conditionalFormatting>
  <conditionalFormatting sqref="N66:T66">
    <cfRule type="containsBlanks" dxfId="4461" priority="4417">
      <formula>LEN(TRIM(N66))=0</formula>
    </cfRule>
  </conditionalFormatting>
  <conditionalFormatting sqref="M83:S83">
    <cfRule type="containsBlanks" dxfId="4460" priority="4416">
      <formula>LEN(TRIM(M83))=0</formula>
    </cfRule>
  </conditionalFormatting>
  <conditionalFormatting sqref="N86:T86">
    <cfRule type="containsBlanks" dxfId="4459" priority="4415">
      <formula>LEN(TRIM(N86))=0</formula>
    </cfRule>
  </conditionalFormatting>
  <conditionalFormatting sqref="O88:Q88">
    <cfRule type="containsBlanks" dxfId="4458" priority="4414">
      <formula>LEN(TRIM(O88))=0</formula>
    </cfRule>
  </conditionalFormatting>
  <conditionalFormatting sqref="M90:T90">
    <cfRule type="containsBlanks" dxfId="4457" priority="4413">
      <formula>LEN(TRIM(M90))=0</formula>
    </cfRule>
  </conditionalFormatting>
  <conditionalFormatting sqref="M96:T96">
    <cfRule type="containsBlanks" dxfId="4456" priority="4412">
      <formula>LEN(TRIM(M96))=0</formula>
    </cfRule>
  </conditionalFormatting>
  <conditionalFormatting sqref="O97:S97">
    <cfRule type="containsBlanks" dxfId="4455" priority="4411">
      <formula>LEN(TRIM(O97))=0</formula>
    </cfRule>
  </conditionalFormatting>
  <conditionalFormatting sqref="M97:N97">
    <cfRule type="containsBlanks" dxfId="4454" priority="4410">
      <formula>LEN(TRIM(M97))=0</formula>
    </cfRule>
  </conditionalFormatting>
  <conditionalFormatting sqref="M60:T60">
    <cfRule type="containsBlanks" dxfId="4453" priority="4409">
      <formula>LEN(TRIM(M60))=0</formula>
    </cfRule>
  </conditionalFormatting>
  <conditionalFormatting sqref="M61:S61">
    <cfRule type="containsBlanks" dxfId="4452" priority="4408">
      <formula>LEN(TRIM(M61))=0</formula>
    </cfRule>
  </conditionalFormatting>
  <conditionalFormatting sqref="O58:Q58">
    <cfRule type="containsBlanks" dxfId="4451" priority="4407">
      <formula>LEN(TRIM(O58))=0</formula>
    </cfRule>
  </conditionalFormatting>
  <conditionalFormatting sqref="O59:Q59">
    <cfRule type="containsBlanks" dxfId="4450" priority="4406">
      <formula>LEN(TRIM(O59))=0</formula>
    </cfRule>
  </conditionalFormatting>
  <conditionalFormatting sqref="O61:Q61">
    <cfRule type="containsBlanks" dxfId="4449" priority="4405">
      <formula>LEN(TRIM(O61))=0</formula>
    </cfRule>
  </conditionalFormatting>
  <conditionalFormatting sqref="N57:T57">
    <cfRule type="containsBlanks" dxfId="4448" priority="4404">
      <formula>LEN(TRIM(N57))=0</formula>
    </cfRule>
  </conditionalFormatting>
  <conditionalFormatting sqref="M74:S74">
    <cfRule type="containsBlanks" dxfId="4447" priority="4403">
      <formula>LEN(TRIM(M74))=0</formula>
    </cfRule>
  </conditionalFormatting>
  <conditionalFormatting sqref="N77:T77">
    <cfRule type="containsBlanks" dxfId="4446" priority="4402">
      <formula>LEN(TRIM(N77))=0</formula>
    </cfRule>
  </conditionalFormatting>
  <conditionalFormatting sqref="O79:Q79">
    <cfRule type="containsBlanks" dxfId="4445" priority="4401">
      <formula>LEN(TRIM(O79))=0</formula>
    </cfRule>
  </conditionalFormatting>
  <conditionalFormatting sqref="M81:T81">
    <cfRule type="containsBlanks" dxfId="4444" priority="4400">
      <formula>LEN(TRIM(M81))=0</formula>
    </cfRule>
  </conditionalFormatting>
  <conditionalFormatting sqref="M87:T87">
    <cfRule type="containsBlanks" dxfId="4443" priority="4399">
      <formula>LEN(TRIM(M87))=0</formula>
    </cfRule>
  </conditionalFormatting>
  <conditionalFormatting sqref="O88:S88">
    <cfRule type="containsBlanks" dxfId="4442" priority="4398">
      <formula>LEN(TRIM(O88))=0</formula>
    </cfRule>
  </conditionalFormatting>
  <conditionalFormatting sqref="M88:N88">
    <cfRule type="containsBlanks" dxfId="4441" priority="4397">
      <formula>LEN(TRIM(M88))=0</formula>
    </cfRule>
  </conditionalFormatting>
  <conditionalFormatting sqref="M51:T51">
    <cfRule type="containsBlanks" dxfId="4440" priority="4396">
      <formula>LEN(TRIM(M51))=0</formula>
    </cfRule>
  </conditionalFormatting>
  <conditionalFormatting sqref="M52:S52">
    <cfRule type="containsBlanks" dxfId="4439" priority="4395">
      <formula>LEN(TRIM(M52))=0</formula>
    </cfRule>
  </conditionalFormatting>
  <conditionalFormatting sqref="O46:Q46">
    <cfRule type="containsBlanks" dxfId="4438" priority="4394">
      <formula>LEN(TRIM(O46))=0</formula>
    </cfRule>
  </conditionalFormatting>
  <conditionalFormatting sqref="O53:Q53">
    <cfRule type="containsBlanks" dxfId="4437" priority="4393">
      <formula>LEN(TRIM(O53))=0</formula>
    </cfRule>
  </conditionalFormatting>
  <conditionalFormatting sqref="O50:Q50">
    <cfRule type="containsBlanks" dxfId="4436" priority="4392">
      <formula>LEN(TRIM(O50))=0</formula>
    </cfRule>
  </conditionalFormatting>
  <conditionalFormatting sqref="O51:Q51">
    <cfRule type="containsBlanks" dxfId="4435" priority="4391">
      <formula>LEN(TRIM(O51))=0</formula>
    </cfRule>
  </conditionalFormatting>
  <conditionalFormatting sqref="O55:Q55">
    <cfRule type="containsBlanks" dxfId="4434" priority="4390">
      <formula>LEN(TRIM(O55))=0</formula>
    </cfRule>
  </conditionalFormatting>
  <conditionalFormatting sqref="O57:Q57">
    <cfRule type="containsBlanks" dxfId="4433" priority="4389">
      <formula>LEN(TRIM(O57))=0</formula>
    </cfRule>
  </conditionalFormatting>
  <conditionalFormatting sqref="O59:Q59">
    <cfRule type="containsBlanks" dxfId="4432" priority="4388">
      <formula>LEN(TRIM(O59))=0</formula>
    </cfRule>
  </conditionalFormatting>
  <conditionalFormatting sqref="O72:Q72">
    <cfRule type="containsBlanks" dxfId="4431" priority="4387">
      <formula>LEN(TRIM(O72))=0</formula>
    </cfRule>
  </conditionalFormatting>
  <conditionalFormatting sqref="O73:Q73">
    <cfRule type="containsBlanks" dxfId="4430" priority="4386">
      <formula>LEN(TRIM(O73))=0</formula>
    </cfRule>
  </conditionalFormatting>
  <conditionalFormatting sqref="O75:Q75">
    <cfRule type="containsBlanks" dxfId="4429" priority="4385">
      <formula>LEN(TRIM(O75))=0</formula>
    </cfRule>
  </conditionalFormatting>
  <conditionalFormatting sqref="N71:T71">
    <cfRule type="containsBlanks" dxfId="4428" priority="4384">
      <formula>LEN(TRIM(N71))=0</formula>
    </cfRule>
  </conditionalFormatting>
  <conditionalFormatting sqref="M88:S88">
    <cfRule type="containsBlanks" dxfId="4427" priority="4383">
      <formula>LEN(TRIM(M88))=0</formula>
    </cfRule>
  </conditionalFormatting>
  <conditionalFormatting sqref="N91:T91">
    <cfRule type="containsBlanks" dxfId="4426" priority="4382">
      <formula>LEN(TRIM(N91))=0</formula>
    </cfRule>
  </conditionalFormatting>
  <conditionalFormatting sqref="O93:Q93">
    <cfRule type="containsBlanks" dxfId="4425" priority="4381">
      <formula>LEN(TRIM(O93))=0</formula>
    </cfRule>
  </conditionalFormatting>
  <conditionalFormatting sqref="M95:T95">
    <cfRule type="containsBlanks" dxfId="4424" priority="4380">
      <formula>LEN(TRIM(M95))=0</formula>
    </cfRule>
  </conditionalFormatting>
  <conditionalFormatting sqref="M101:T101">
    <cfRule type="containsBlanks" dxfId="4423" priority="4379">
      <formula>LEN(TRIM(M101))=0</formula>
    </cfRule>
  </conditionalFormatting>
  <conditionalFormatting sqref="O102:S102">
    <cfRule type="containsBlanks" dxfId="4422" priority="4378">
      <formula>LEN(TRIM(O102))=0</formula>
    </cfRule>
  </conditionalFormatting>
  <conditionalFormatting sqref="M102:N102">
    <cfRule type="containsBlanks" dxfId="4421" priority="4377">
      <formula>LEN(TRIM(M102))=0</formula>
    </cfRule>
  </conditionalFormatting>
  <conditionalFormatting sqref="M65:T65">
    <cfRule type="containsBlanks" dxfId="4420" priority="4376">
      <formula>LEN(TRIM(M65))=0</formula>
    </cfRule>
  </conditionalFormatting>
  <conditionalFormatting sqref="M66:S66">
    <cfRule type="containsBlanks" dxfId="4419" priority="4375">
      <formula>LEN(TRIM(M66))=0</formula>
    </cfRule>
  </conditionalFormatting>
  <conditionalFormatting sqref="O37:Q37">
    <cfRule type="containsBlanks" dxfId="4418" priority="4374">
      <formula>LEN(TRIM(O37))=0</formula>
    </cfRule>
  </conditionalFormatting>
  <conditionalFormatting sqref="O44:Q44">
    <cfRule type="containsBlanks" dxfId="4417" priority="4373">
      <formula>LEN(TRIM(O44))=0</formula>
    </cfRule>
  </conditionalFormatting>
  <conditionalFormatting sqref="O41:Q41">
    <cfRule type="containsBlanks" dxfId="4416" priority="4372">
      <formula>LEN(TRIM(O41))=0</formula>
    </cfRule>
  </conditionalFormatting>
  <conditionalFormatting sqref="O42:Q42">
    <cfRule type="containsBlanks" dxfId="4415" priority="4371">
      <formula>LEN(TRIM(O42))=0</formula>
    </cfRule>
  </conditionalFormatting>
  <conditionalFormatting sqref="O46:Q46">
    <cfRule type="containsBlanks" dxfId="4414" priority="4370">
      <formula>LEN(TRIM(O46))=0</formula>
    </cfRule>
  </conditionalFormatting>
  <conditionalFormatting sqref="O48:Q48">
    <cfRule type="containsBlanks" dxfId="4413" priority="4369">
      <formula>LEN(TRIM(O48))=0</formula>
    </cfRule>
  </conditionalFormatting>
  <conditionalFormatting sqref="O50:Q50">
    <cfRule type="containsBlanks" dxfId="4412" priority="4368">
      <formula>LEN(TRIM(O50))=0</formula>
    </cfRule>
  </conditionalFormatting>
  <conditionalFormatting sqref="O63:Q63">
    <cfRule type="containsBlanks" dxfId="4411" priority="4367">
      <formula>LEN(TRIM(O63))=0</formula>
    </cfRule>
  </conditionalFormatting>
  <conditionalFormatting sqref="O64:Q64">
    <cfRule type="containsBlanks" dxfId="4410" priority="4366">
      <formula>LEN(TRIM(O64))=0</formula>
    </cfRule>
  </conditionalFormatting>
  <conditionalFormatting sqref="O66:Q66">
    <cfRule type="containsBlanks" dxfId="4409" priority="4365">
      <formula>LEN(TRIM(O66))=0</formula>
    </cfRule>
  </conditionalFormatting>
  <conditionalFormatting sqref="N62:T62">
    <cfRule type="containsBlanks" dxfId="4408" priority="4364">
      <formula>LEN(TRIM(N62))=0</formula>
    </cfRule>
  </conditionalFormatting>
  <conditionalFormatting sqref="M79:S79">
    <cfRule type="containsBlanks" dxfId="4407" priority="4363">
      <formula>LEN(TRIM(M79))=0</formula>
    </cfRule>
  </conditionalFormatting>
  <conditionalFormatting sqref="N82:T82">
    <cfRule type="containsBlanks" dxfId="4406" priority="4362">
      <formula>LEN(TRIM(N82))=0</formula>
    </cfRule>
  </conditionalFormatting>
  <conditionalFormatting sqref="O84:Q84">
    <cfRule type="containsBlanks" dxfId="4405" priority="4361">
      <formula>LEN(TRIM(O84))=0</formula>
    </cfRule>
  </conditionalFormatting>
  <conditionalFormatting sqref="M86:T86">
    <cfRule type="containsBlanks" dxfId="4404" priority="4360">
      <formula>LEN(TRIM(M86))=0</formula>
    </cfRule>
  </conditionalFormatting>
  <conditionalFormatting sqref="M92:T92">
    <cfRule type="containsBlanks" dxfId="4403" priority="4359">
      <formula>LEN(TRIM(M92))=0</formula>
    </cfRule>
  </conditionalFormatting>
  <conditionalFormatting sqref="O93:S93">
    <cfRule type="containsBlanks" dxfId="4402" priority="4358">
      <formula>LEN(TRIM(O93))=0</formula>
    </cfRule>
  </conditionalFormatting>
  <conditionalFormatting sqref="M93:N93">
    <cfRule type="containsBlanks" dxfId="4401" priority="4357">
      <formula>LEN(TRIM(M93))=0</formula>
    </cfRule>
  </conditionalFormatting>
  <conditionalFormatting sqref="M56:T56">
    <cfRule type="containsBlanks" dxfId="4400" priority="4356">
      <formula>LEN(TRIM(M56))=0</formula>
    </cfRule>
  </conditionalFormatting>
  <conditionalFormatting sqref="M57:S57">
    <cfRule type="containsBlanks" dxfId="4399" priority="4355">
      <formula>LEN(TRIM(M57))=0</formula>
    </cfRule>
  </conditionalFormatting>
  <conditionalFormatting sqref="O41:Q41">
    <cfRule type="containsBlanks" dxfId="4398" priority="4354">
      <formula>LEN(TRIM(O41))=0</formula>
    </cfRule>
  </conditionalFormatting>
  <conditionalFormatting sqref="O48:Q48">
    <cfRule type="containsBlanks" dxfId="4397" priority="4353">
      <formula>LEN(TRIM(O48))=0</formula>
    </cfRule>
  </conditionalFormatting>
  <conditionalFormatting sqref="O45:Q45">
    <cfRule type="containsBlanks" dxfId="4396" priority="4352">
      <formula>LEN(TRIM(O45))=0</formula>
    </cfRule>
  </conditionalFormatting>
  <conditionalFormatting sqref="O46:Q46">
    <cfRule type="containsBlanks" dxfId="4395" priority="4351">
      <formula>LEN(TRIM(O46))=0</formula>
    </cfRule>
  </conditionalFormatting>
  <conditionalFormatting sqref="O50:Q50">
    <cfRule type="containsBlanks" dxfId="4394" priority="4350">
      <formula>LEN(TRIM(O50))=0</formula>
    </cfRule>
  </conditionalFormatting>
  <conditionalFormatting sqref="O52:Q52">
    <cfRule type="containsBlanks" dxfId="4393" priority="4349">
      <formula>LEN(TRIM(O52))=0</formula>
    </cfRule>
  </conditionalFormatting>
  <conditionalFormatting sqref="O54:Q54">
    <cfRule type="containsBlanks" dxfId="4392" priority="4348">
      <formula>LEN(TRIM(O54))=0</formula>
    </cfRule>
  </conditionalFormatting>
  <conditionalFormatting sqref="O67:Q67">
    <cfRule type="containsBlanks" dxfId="4391" priority="4347">
      <formula>LEN(TRIM(O67))=0</formula>
    </cfRule>
  </conditionalFormatting>
  <conditionalFormatting sqref="O68:Q68">
    <cfRule type="containsBlanks" dxfId="4390" priority="4346">
      <formula>LEN(TRIM(O68))=0</formula>
    </cfRule>
  </conditionalFormatting>
  <conditionalFormatting sqref="O70:Q70">
    <cfRule type="containsBlanks" dxfId="4389" priority="4345">
      <formula>LEN(TRIM(O70))=0</formula>
    </cfRule>
  </conditionalFormatting>
  <conditionalFormatting sqref="N66:T66">
    <cfRule type="containsBlanks" dxfId="4388" priority="4344">
      <formula>LEN(TRIM(N66))=0</formula>
    </cfRule>
  </conditionalFormatting>
  <conditionalFormatting sqref="M83:S83">
    <cfRule type="containsBlanks" dxfId="4387" priority="4343">
      <formula>LEN(TRIM(M83))=0</formula>
    </cfRule>
  </conditionalFormatting>
  <conditionalFormatting sqref="N86:T86">
    <cfRule type="containsBlanks" dxfId="4386" priority="4342">
      <formula>LEN(TRIM(N86))=0</formula>
    </cfRule>
  </conditionalFormatting>
  <conditionalFormatting sqref="O88:Q88">
    <cfRule type="containsBlanks" dxfId="4385" priority="4341">
      <formula>LEN(TRIM(O88))=0</formula>
    </cfRule>
  </conditionalFormatting>
  <conditionalFormatting sqref="M90:T90">
    <cfRule type="containsBlanks" dxfId="4384" priority="4340">
      <formula>LEN(TRIM(M90))=0</formula>
    </cfRule>
  </conditionalFormatting>
  <conditionalFormatting sqref="M96:T96">
    <cfRule type="containsBlanks" dxfId="4383" priority="4339">
      <formula>LEN(TRIM(M96))=0</formula>
    </cfRule>
  </conditionalFormatting>
  <conditionalFormatting sqref="O97:S97">
    <cfRule type="containsBlanks" dxfId="4382" priority="4338">
      <formula>LEN(TRIM(O97))=0</formula>
    </cfRule>
  </conditionalFormatting>
  <conditionalFormatting sqref="M97:N97">
    <cfRule type="containsBlanks" dxfId="4381" priority="4337">
      <formula>LEN(TRIM(M97))=0</formula>
    </cfRule>
  </conditionalFormatting>
  <conditionalFormatting sqref="M60:T60">
    <cfRule type="containsBlanks" dxfId="4380" priority="4336">
      <formula>LEN(TRIM(M60))=0</formula>
    </cfRule>
  </conditionalFormatting>
  <conditionalFormatting sqref="M61:S61">
    <cfRule type="containsBlanks" dxfId="4379" priority="4335">
      <formula>LEN(TRIM(M61))=0</formula>
    </cfRule>
  </conditionalFormatting>
  <conditionalFormatting sqref="O32:Q32">
    <cfRule type="containsBlanks" dxfId="4378" priority="4334">
      <formula>LEN(TRIM(O32))=0</formula>
    </cfRule>
  </conditionalFormatting>
  <conditionalFormatting sqref="O39:Q39">
    <cfRule type="containsBlanks" dxfId="4377" priority="4333">
      <formula>LEN(TRIM(O39))=0</formula>
    </cfRule>
  </conditionalFormatting>
  <conditionalFormatting sqref="O36:Q36">
    <cfRule type="containsBlanks" dxfId="4376" priority="4332">
      <formula>LEN(TRIM(O36))=0</formula>
    </cfRule>
  </conditionalFormatting>
  <conditionalFormatting sqref="O37:Q37">
    <cfRule type="containsBlanks" dxfId="4375" priority="4331">
      <formula>LEN(TRIM(O37))=0</formula>
    </cfRule>
  </conditionalFormatting>
  <conditionalFormatting sqref="O41:Q41">
    <cfRule type="containsBlanks" dxfId="4374" priority="4330">
      <formula>LEN(TRIM(O41))=0</formula>
    </cfRule>
  </conditionalFormatting>
  <conditionalFormatting sqref="O43:Q43">
    <cfRule type="containsBlanks" dxfId="4373" priority="4329">
      <formula>LEN(TRIM(O43))=0</formula>
    </cfRule>
  </conditionalFormatting>
  <conditionalFormatting sqref="O45:Q45">
    <cfRule type="containsBlanks" dxfId="4372" priority="4328">
      <formula>LEN(TRIM(O45))=0</formula>
    </cfRule>
  </conditionalFormatting>
  <conditionalFormatting sqref="O58:Q58">
    <cfRule type="containsBlanks" dxfId="4371" priority="4327">
      <formula>LEN(TRIM(O58))=0</formula>
    </cfRule>
  </conditionalFormatting>
  <conditionalFormatting sqref="O59:Q59">
    <cfRule type="containsBlanks" dxfId="4370" priority="4326">
      <formula>LEN(TRIM(O59))=0</formula>
    </cfRule>
  </conditionalFormatting>
  <conditionalFormatting sqref="O61:Q61">
    <cfRule type="containsBlanks" dxfId="4369" priority="4325">
      <formula>LEN(TRIM(O61))=0</formula>
    </cfRule>
  </conditionalFormatting>
  <conditionalFormatting sqref="N57:T57">
    <cfRule type="containsBlanks" dxfId="4368" priority="4324">
      <formula>LEN(TRIM(N57))=0</formula>
    </cfRule>
  </conditionalFormatting>
  <conditionalFormatting sqref="M74:S74">
    <cfRule type="containsBlanks" dxfId="4367" priority="4323">
      <formula>LEN(TRIM(M74))=0</formula>
    </cfRule>
  </conditionalFormatting>
  <conditionalFormatting sqref="N77:T77">
    <cfRule type="containsBlanks" dxfId="4366" priority="4322">
      <formula>LEN(TRIM(N77))=0</formula>
    </cfRule>
  </conditionalFormatting>
  <conditionalFormatting sqref="O79:Q79">
    <cfRule type="containsBlanks" dxfId="4365" priority="4321">
      <formula>LEN(TRIM(O79))=0</formula>
    </cfRule>
  </conditionalFormatting>
  <conditionalFormatting sqref="M81:T81">
    <cfRule type="containsBlanks" dxfId="4364" priority="4320">
      <formula>LEN(TRIM(M81))=0</formula>
    </cfRule>
  </conditionalFormatting>
  <conditionalFormatting sqref="M87:T87">
    <cfRule type="containsBlanks" dxfId="4363" priority="4319">
      <formula>LEN(TRIM(M87))=0</formula>
    </cfRule>
  </conditionalFormatting>
  <conditionalFormatting sqref="O88:S88">
    <cfRule type="containsBlanks" dxfId="4362" priority="4318">
      <formula>LEN(TRIM(O88))=0</formula>
    </cfRule>
  </conditionalFormatting>
  <conditionalFormatting sqref="M88:N88">
    <cfRule type="containsBlanks" dxfId="4361" priority="4317">
      <formula>LEN(TRIM(M88))=0</formula>
    </cfRule>
  </conditionalFormatting>
  <conditionalFormatting sqref="M51:T51">
    <cfRule type="containsBlanks" dxfId="4360" priority="4316">
      <formula>LEN(TRIM(M51))=0</formula>
    </cfRule>
  </conditionalFormatting>
  <conditionalFormatting sqref="M52:S52">
    <cfRule type="containsBlanks" dxfId="4359" priority="4315">
      <formula>LEN(TRIM(M52))=0</formula>
    </cfRule>
  </conditionalFormatting>
  <conditionalFormatting sqref="O50:Q50">
    <cfRule type="containsBlanks" dxfId="4358" priority="4314">
      <formula>LEN(TRIM(O50))=0</formula>
    </cfRule>
  </conditionalFormatting>
  <conditionalFormatting sqref="O47:Q47">
    <cfRule type="containsBlanks" dxfId="4357" priority="4313">
      <formula>LEN(TRIM(O47))=0</formula>
    </cfRule>
  </conditionalFormatting>
  <conditionalFormatting sqref="O48:Q48">
    <cfRule type="containsBlanks" dxfId="4356" priority="4312">
      <formula>LEN(TRIM(O48))=0</formula>
    </cfRule>
  </conditionalFormatting>
  <conditionalFormatting sqref="O52:Q52">
    <cfRule type="containsBlanks" dxfId="4355" priority="4311">
      <formula>LEN(TRIM(O52))=0</formula>
    </cfRule>
  </conditionalFormatting>
  <conditionalFormatting sqref="O54:Q54">
    <cfRule type="containsBlanks" dxfId="4354" priority="4310">
      <formula>LEN(TRIM(O54))=0</formula>
    </cfRule>
  </conditionalFormatting>
  <conditionalFormatting sqref="O56:Q56">
    <cfRule type="containsBlanks" dxfId="4353" priority="4309">
      <formula>LEN(TRIM(O56))=0</formula>
    </cfRule>
  </conditionalFormatting>
  <conditionalFormatting sqref="O69:Q69">
    <cfRule type="containsBlanks" dxfId="4352" priority="4308">
      <formula>LEN(TRIM(O69))=0</formula>
    </cfRule>
  </conditionalFormatting>
  <conditionalFormatting sqref="O70:Q70">
    <cfRule type="containsBlanks" dxfId="4351" priority="4307">
      <formula>LEN(TRIM(O70))=0</formula>
    </cfRule>
  </conditionalFormatting>
  <conditionalFormatting sqref="O72:Q72">
    <cfRule type="containsBlanks" dxfId="4350" priority="4306">
      <formula>LEN(TRIM(O72))=0</formula>
    </cfRule>
  </conditionalFormatting>
  <conditionalFormatting sqref="N68:T68">
    <cfRule type="containsBlanks" dxfId="4349" priority="4305">
      <formula>LEN(TRIM(N68))=0</formula>
    </cfRule>
  </conditionalFormatting>
  <conditionalFormatting sqref="M85:S85">
    <cfRule type="containsBlanks" dxfId="4348" priority="4304">
      <formula>LEN(TRIM(M85))=0</formula>
    </cfRule>
  </conditionalFormatting>
  <conditionalFormatting sqref="N88:T88">
    <cfRule type="containsBlanks" dxfId="4347" priority="4303">
      <formula>LEN(TRIM(N88))=0</formula>
    </cfRule>
  </conditionalFormatting>
  <conditionalFormatting sqref="O90:Q90">
    <cfRule type="containsBlanks" dxfId="4346" priority="4302">
      <formula>LEN(TRIM(O90))=0</formula>
    </cfRule>
  </conditionalFormatting>
  <conditionalFormatting sqref="M92:T92">
    <cfRule type="containsBlanks" dxfId="4345" priority="4301">
      <formula>LEN(TRIM(M92))=0</formula>
    </cfRule>
  </conditionalFormatting>
  <conditionalFormatting sqref="M98:T98">
    <cfRule type="containsBlanks" dxfId="4344" priority="4300">
      <formula>LEN(TRIM(M98))=0</formula>
    </cfRule>
  </conditionalFormatting>
  <conditionalFormatting sqref="M62:T62">
    <cfRule type="containsBlanks" dxfId="4343" priority="4297">
      <formula>LEN(TRIM(M62))=0</formula>
    </cfRule>
  </conditionalFormatting>
  <conditionalFormatting sqref="M63:S63">
    <cfRule type="containsBlanks" dxfId="4342" priority="4296">
      <formula>LEN(TRIM(M63))=0</formula>
    </cfRule>
  </conditionalFormatting>
  <conditionalFormatting sqref="O47:Q47">
    <cfRule type="containsBlanks" dxfId="4341" priority="4295">
      <formula>LEN(TRIM(O47))=0</formula>
    </cfRule>
  </conditionalFormatting>
  <conditionalFormatting sqref="O60:Q60">
    <cfRule type="containsBlanks" dxfId="4340" priority="4294">
      <formula>LEN(TRIM(O60))=0</formula>
    </cfRule>
  </conditionalFormatting>
  <conditionalFormatting sqref="O61:Q61">
    <cfRule type="containsBlanks" dxfId="4339" priority="4293">
      <formula>LEN(TRIM(O61))=0</formula>
    </cfRule>
  </conditionalFormatting>
  <conditionalFormatting sqref="O63:Q63">
    <cfRule type="containsBlanks" dxfId="4338" priority="4292">
      <formula>LEN(TRIM(O63))=0</formula>
    </cfRule>
  </conditionalFormatting>
  <conditionalFormatting sqref="N59:T59">
    <cfRule type="containsBlanks" dxfId="4337" priority="4291">
      <formula>LEN(TRIM(N59))=0</formula>
    </cfRule>
  </conditionalFormatting>
  <conditionalFormatting sqref="M76:S76">
    <cfRule type="containsBlanks" dxfId="4336" priority="4290">
      <formula>LEN(TRIM(M76))=0</formula>
    </cfRule>
  </conditionalFormatting>
  <conditionalFormatting sqref="N79:T79">
    <cfRule type="containsBlanks" dxfId="4335" priority="4289">
      <formula>LEN(TRIM(N79))=0</formula>
    </cfRule>
  </conditionalFormatting>
  <conditionalFormatting sqref="O81:Q81">
    <cfRule type="containsBlanks" dxfId="4334" priority="4288">
      <formula>LEN(TRIM(O81))=0</formula>
    </cfRule>
  </conditionalFormatting>
  <conditionalFormatting sqref="M83:T83">
    <cfRule type="containsBlanks" dxfId="4333" priority="4287">
      <formula>LEN(TRIM(M83))=0</formula>
    </cfRule>
  </conditionalFormatting>
  <conditionalFormatting sqref="M89:T89">
    <cfRule type="containsBlanks" dxfId="4332" priority="4286">
      <formula>LEN(TRIM(M89))=0</formula>
    </cfRule>
  </conditionalFormatting>
  <conditionalFormatting sqref="O90:S90">
    <cfRule type="containsBlanks" dxfId="4331" priority="4285">
      <formula>LEN(TRIM(O90))=0</formula>
    </cfRule>
  </conditionalFormatting>
  <conditionalFormatting sqref="M90:N90">
    <cfRule type="containsBlanks" dxfId="4330" priority="4284">
      <formula>LEN(TRIM(M90))=0</formula>
    </cfRule>
  </conditionalFormatting>
  <conditionalFormatting sqref="M53:T53">
    <cfRule type="containsBlanks" dxfId="4329" priority="4283">
      <formula>LEN(TRIM(M53))=0</formula>
    </cfRule>
  </conditionalFormatting>
  <conditionalFormatting sqref="M54:S54">
    <cfRule type="containsBlanks" dxfId="4328" priority="4282">
      <formula>LEN(TRIM(M54))=0</formula>
    </cfRule>
  </conditionalFormatting>
  <conditionalFormatting sqref="O47:Q47">
    <cfRule type="containsBlanks" dxfId="4327" priority="4281">
      <formula>LEN(TRIM(O47))=0</formula>
    </cfRule>
  </conditionalFormatting>
  <conditionalFormatting sqref="O49:Q49">
    <cfRule type="containsBlanks" dxfId="4326" priority="4280">
      <formula>LEN(TRIM(O49))=0</formula>
    </cfRule>
  </conditionalFormatting>
  <conditionalFormatting sqref="O51:Q51">
    <cfRule type="containsBlanks" dxfId="4325" priority="4279">
      <formula>LEN(TRIM(O51))=0</formula>
    </cfRule>
  </conditionalFormatting>
  <conditionalFormatting sqref="O64:Q64">
    <cfRule type="containsBlanks" dxfId="4324" priority="4278">
      <formula>LEN(TRIM(O64))=0</formula>
    </cfRule>
  </conditionalFormatting>
  <conditionalFormatting sqref="O65:Q65">
    <cfRule type="containsBlanks" dxfId="4323" priority="4277">
      <formula>LEN(TRIM(O65))=0</formula>
    </cfRule>
  </conditionalFormatting>
  <conditionalFormatting sqref="O67:Q67">
    <cfRule type="containsBlanks" dxfId="4322" priority="4276">
      <formula>LEN(TRIM(O67))=0</formula>
    </cfRule>
  </conditionalFormatting>
  <conditionalFormatting sqref="N63:T63">
    <cfRule type="containsBlanks" dxfId="4321" priority="4275">
      <formula>LEN(TRIM(N63))=0</formula>
    </cfRule>
  </conditionalFormatting>
  <conditionalFormatting sqref="M80:S80">
    <cfRule type="containsBlanks" dxfId="4320" priority="4274">
      <formula>LEN(TRIM(M80))=0</formula>
    </cfRule>
  </conditionalFormatting>
  <conditionalFormatting sqref="N83:T83">
    <cfRule type="containsBlanks" dxfId="4319" priority="4273">
      <formula>LEN(TRIM(N83))=0</formula>
    </cfRule>
  </conditionalFormatting>
  <conditionalFormatting sqref="O85:Q85">
    <cfRule type="containsBlanks" dxfId="4318" priority="4272">
      <formula>LEN(TRIM(O85))=0</formula>
    </cfRule>
  </conditionalFormatting>
  <conditionalFormatting sqref="M87:T87">
    <cfRule type="containsBlanks" dxfId="4317" priority="4271">
      <formula>LEN(TRIM(M87))=0</formula>
    </cfRule>
  </conditionalFormatting>
  <conditionalFormatting sqref="M93:T93">
    <cfRule type="containsBlanks" dxfId="4316" priority="4270">
      <formula>LEN(TRIM(M93))=0</formula>
    </cfRule>
  </conditionalFormatting>
  <conditionalFormatting sqref="O94:S94">
    <cfRule type="containsBlanks" dxfId="4315" priority="4269">
      <formula>LEN(TRIM(O94))=0</formula>
    </cfRule>
  </conditionalFormatting>
  <conditionalFormatting sqref="M94:N94">
    <cfRule type="containsBlanks" dxfId="4314" priority="4268">
      <formula>LEN(TRIM(M94))=0</formula>
    </cfRule>
  </conditionalFormatting>
  <conditionalFormatting sqref="M57:T57">
    <cfRule type="containsBlanks" dxfId="4313" priority="4267">
      <formula>LEN(TRIM(M57))=0</formula>
    </cfRule>
  </conditionalFormatting>
  <conditionalFormatting sqref="M58:S58">
    <cfRule type="containsBlanks" dxfId="4312" priority="4266">
      <formula>LEN(TRIM(M58))=0</formula>
    </cfRule>
  </conditionalFormatting>
  <conditionalFormatting sqref="O55:Q55">
    <cfRule type="containsBlanks" dxfId="4311" priority="4265">
      <formula>LEN(TRIM(O55))=0</formula>
    </cfRule>
  </conditionalFormatting>
  <conditionalFormatting sqref="O56:Q56">
    <cfRule type="containsBlanks" dxfId="4310" priority="4264">
      <formula>LEN(TRIM(O56))=0</formula>
    </cfRule>
  </conditionalFormatting>
  <conditionalFormatting sqref="O58:Q58">
    <cfRule type="containsBlanks" dxfId="4309" priority="4263">
      <formula>LEN(TRIM(O58))=0</formula>
    </cfRule>
  </conditionalFormatting>
  <conditionalFormatting sqref="N54:T54">
    <cfRule type="containsBlanks" dxfId="4308" priority="4262">
      <formula>LEN(TRIM(N54))=0</formula>
    </cfRule>
  </conditionalFormatting>
  <conditionalFormatting sqref="M71:S71">
    <cfRule type="containsBlanks" dxfId="4307" priority="4261">
      <formula>LEN(TRIM(M71))=0</formula>
    </cfRule>
  </conditionalFormatting>
  <conditionalFormatting sqref="N74:T74">
    <cfRule type="containsBlanks" dxfId="4306" priority="4260">
      <formula>LEN(TRIM(N74))=0</formula>
    </cfRule>
  </conditionalFormatting>
  <conditionalFormatting sqref="O76:Q76">
    <cfRule type="containsBlanks" dxfId="4305" priority="4259">
      <formula>LEN(TRIM(O76))=0</formula>
    </cfRule>
  </conditionalFormatting>
  <conditionalFormatting sqref="M78:T78">
    <cfRule type="containsBlanks" dxfId="4304" priority="4258">
      <formula>LEN(TRIM(M78))=0</formula>
    </cfRule>
  </conditionalFormatting>
  <conditionalFormatting sqref="M84:T84">
    <cfRule type="containsBlanks" dxfId="4303" priority="4257">
      <formula>LEN(TRIM(M84))=0</formula>
    </cfRule>
  </conditionalFormatting>
  <conditionalFormatting sqref="O85:S85">
    <cfRule type="containsBlanks" dxfId="4302" priority="4256">
      <formula>LEN(TRIM(O85))=0</formula>
    </cfRule>
  </conditionalFormatting>
  <conditionalFormatting sqref="M85:N85">
    <cfRule type="containsBlanks" dxfId="4301" priority="4255">
      <formula>LEN(TRIM(M85))=0</formula>
    </cfRule>
  </conditionalFormatting>
  <conditionalFormatting sqref="M48:T48">
    <cfRule type="containsBlanks" dxfId="4300" priority="4254">
      <formula>LEN(TRIM(M48))=0</formula>
    </cfRule>
  </conditionalFormatting>
  <conditionalFormatting sqref="M49:S49">
    <cfRule type="containsBlanks" dxfId="4299" priority="4253">
      <formula>LEN(TRIM(M49))=0</formula>
    </cfRule>
  </conditionalFormatting>
  <conditionalFormatting sqref="O48:Q48">
    <cfRule type="containsBlanks" dxfId="4298" priority="4252">
      <formula>LEN(TRIM(O48))=0</formula>
    </cfRule>
  </conditionalFormatting>
  <conditionalFormatting sqref="O55:Q55">
    <cfRule type="containsBlanks" dxfId="4297" priority="4251">
      <formula>LEN(TRIM(O55))=0</formula>
    </cfRule>
  </conditionalFormatting>
  <conditionalFormatting sqref="O52:Q52">
    <cfRule type="containsBlanks" dxfId="4296" priority="4250">
      <formula>LEN(TRIM(O52))=0</formula>
    </cfRule>
  </conditionalFormatting>
  <conditionalFormatting sqref="O53:Q53">
    <cfRule type="containsBlanks" dxfId="4295" priority="4249">
      <formula>LEN(TRIM(O53))=0</formula>
    </cfRule>
  </conditionalFormatting>
  <conditionalFormatting sqref="O57:Q57">
    <cfRule type="containsBlanks" dxfId="4294" priority="4248">
      <formula>LEN(TRIM(O57))=0</formula>
    </cfRule>
  </conditionalFormatting>
  <conditionalFormatting sqref="O59:Q59">
    <cfRule type="containsBlanks" dxfId="4293" priority="4247">
      <formula>LEN(TRIM(O59))=0</formula>
    </cfRule>
  </conditionalFormatting>
  <conditionalFormatting sqref="O61:Q61">
    <cfRule type="containsBlanks" dxfId="4292" priority="4246">
      <formula>LEN(TRIM(O61))=0</formula>
    </cfRule>
  </conditionalFormatting>
  <conditionalFormatting sqref="O74:Q74">
    <cfRule type="containsBlanks" dxfId="4291" priority="4245">
      <formula>LEN(TRIM(O74))=0</formula>
    </cfRule>
  </conditionalFormatting>
  <conditionalFormatting sqref="O75:Q75">
    <cfRule type="containsBlanks" dxfId="4290" priority="4244">
      <formula>LEN(TRIM(O75))=0</formula>
    </cfRule>
  </conditionalFormatting>
  <conditionalFormatting sqref="O77:Q77">
    <cfRule type="containsBlanks" dxfId="4289" priority="4243">
      <formula>LEN(TRIM(O77))=0</formula>
    </cfRule>
  </conditionalFormatting>
  <conditionalFormatting sqref="N73:T73">
    <cfRule type="containsBlanks" dxfId="4288" priority="4242">
      <formula>LEN(TRIM(N73))=0</formula>
    </cfRule>
  </conditionalFormatting>
  <conditionalFormatting sqref="M90:S90">
    <cfRule type="containsBlanks" dxfId="4287" priority="4241">
      <formula>LEN(TRIM(M90))=0</formula>
    </cfRule>
  </conditionalFormatting>
  <conditionalFormatting sqref="N93:T93">
    <cfRule type="containsBlanks" dxfId="4286" priority="4240">
      <formula>LEN(TRIM(N93))=0</formula>
    </cfRule>
  </conditionalFormatting>
  <conditionalFormatting sqref="O95:Q95">
    <cfRule type="containsBlanks" dxfId="4285" priority="4239">
      <formula>LEN(TRIM(O95))=0</formula>
    </cfRule>
  </conditionalFormatting>
  <conditionalFormatting sqref="M97:T97">
    <cfRule type="containsBlanks" dxfId="4284" priority="4238">
      <formula>LEN(TRIM(M97))=0</formula>
    </cfRule>
  </conditionalFormatting>
  <conditionalFormatting sqref="M103:T103">
    <cfRule type="containsBlanks" dxfId="4283" priority="4237">
      <formula>LEN(TRIM(M103))=0</formula>
    </cfRule>
  </conditionalFormatting>
  <conditionalFormatting sqref="O104:S104">
    <cfRule type="containsBlanks" dxfId="4282" priority="4236">
      <formula>LEN(TRIM(O104))=0</formula>
    </cfRule>
  </conditionalFormatting>
  <conditionalFormatting sqref="M104:N104">
    <cfRule type="containsBlanks" dxfId="4281" priority="4235">
      <formula>LEN(TRIM(M104))=0</formula>
    </cfRule>
  </conditionalFormatting>
  <conditionalFormatting sqref="M67:T67">
    <cfRule type="containsBlanks" dxfId="4280" priority="4234">
      <formula>LEN(TRIM(M67))=0</formula>
    </cfRule>
  </conditionalFormatting>
  <conditionalFormatting sqref="M68:S68">
    <cfRule type="containsBlanks" dxfId="4279" priority="4233">
      <formula>LEN(TRIM(M68))=0</formula>
    </cfRule>
  </conditionalFormatting>
  <conditionalFormatting sqref="O39:Q39">
    <cfRule type="containsBlanks" dxfId="4278" priority="4232">
      <formula>LEN(TRIM(O39))=0</formula>
    </cfRule>
  </conditionalFormatting>
  <conditionalFormatting sqref="O46:Q46">
    <cfRule type="containsBlanks" dxfId="4277" priority="4231">
      <formula>LEN(TRIM(O46))=0</formula>
    </cfRule>
  </conditionalFormatting>
  <conditionalFormatting sqref="O43:Q43">
    <cfRule type="containsBlanks" dxfId="4276" priority="4230">
      <formula>LEN(TRIM(O43))=0</formula>
    </cfRule>
  </conditionalFormatting>
  <conditionalFormatting sqref="O44:Q44">
    <cfRule type="containsBlanks" dxfId="4275" priority="4229">
      <formula>LEN(TRIM(O44))=0</formula>
    </cfRule>
  </conditionalFormatting>
  <conditionalFormatting sqref="O48:Q48">
    <cfRule type="containsBlanks" dxfId="4274" priority="4228">
      <formula>LEN(TRIM(O48))=0</formula>
    </cfRule>
  </conditionalFormatting>
  <conditionalFormatting sqref="O50:Q50">
    <cfRule type="containsBlanks" dxfId="4273" priority="4227">
      <formula>LEN(TRIM(O50))=0</formula>
    </cfRule>
  </conditionalFormatting>
  <conditionalFormatting sqref="O52:Q52">
    <cfRule type="containsBlanks" dxfId="4272" priority="4226">
      <formula>LEN(TRIM(O52))=0</formula>
    </cfRule>
  </conditionalFormatting>
  <conditionalFormatting sqref="O65:Q65">
    <cfRule type="containsBlanks" dxfId="4271" priority="4225">
      <formula>LEN(TRIM(O65))=0</formula>
    </cfRule>
  </conditionalFormatting>
  <conditionalFormatting sqref="O66:Q66">
    <cfRule type="containsBlanks" dxfId="4270" priority="4224">
      <formula>LEN(TRIM(O66))=0</formula>
    </cfRule>
  </conditionalFormatting>
  <conditionalFormatting sqref="O68:Q68">
    <cfRule type="containsBlanks" dxfId="4269" priority="4223">
      <formula>LEN(TRIM(O68))=0</formula>
    </cfRule>
  </conditionalFormatting>
  <conditionalFormatting sqref="N64:T64">
    <cfRule type="containsBlanks" dxfId="4268" priority="4222">
      <formula>LEN(TRIM(N64))=0</formula>
    </cfRule>
  </conditionalFormatting>
  <conditionalFormatting sqref="M81:S81">
    <cfRule type="containsBlanks" dxfId="4267" priority="4221">
      <formula>LEN(TRIM(M81))=0</formula>
    </cfRule>
  </conditionalFormatting>
  <conditionalFormatting sqref="N84:T84">
    <cfRule type="containsBlanks" dxfId="4266" priority="4220">
      <formula>LEN(TRIM(N84))=0</formula>
    </cfRule>
  </conditionalFormatting>
  <conditionalFormatting sqref="O86:Q86">
    <cfRule type="containsBlanks" dxfId="4265" priority="4219">
      <formula>LEN(TRIM(O86))=0</formula>
    </cfRule>
  </conditionalFormatting>
  <conditionalFormatting sqref="M88:T88">
    <cfRule type="containsBlanks" dxfId="4264" priority="4218">
      <formula>LEN(TRIM(M88))=0</formula>
    </cfRule>
  </conditionalFormatting>
  <conditionalFormatting sqref="M94:T94">
    <cfRule type="containsBlanks" dxfId="4263" priority="4217">
      <formula>LEN(TRIM(M94))=0</formula>
    </cfRule>
  </conditionalFormatting>
  <conditionalFormatting sqref="O95:S95">
    <cfRule type="containsBlanks" dxfId="4262" priority="4216">
      <formula>LEN(TRIM(O95))=0</formula>
    </cfRule>
  </conditionalFormatting>
  <conditionalFormatting sqref="M95:N95">
    <cfRule type="containsBlanks" dxfId="4261" priority="4215">
      <formula>LEN(TRIM(M95))=0</formula>
    </cfRule>
  </conditionalFormatting>
  <conditionalFormatting sqref="M58:T58">
    <cfRule type="containsBlanks" dxfId="4260" priority="4214">
      <formula>LEN(TRIM(M58))=0</formula>
    </cfRule>
  </conditionalFormatting>
  <conditionalFormatting sqref="M59:S59">
    <cfRule type="containsBlanks" dxfId="4259" priority="4213">
      <formula>LEN(TRIM(M59))=0</formula>
    </cfRule>
  </conditionalFormatting>
  <conditionalFormatting sqref="O43:Q43">
    <cfRule type="containsBlanks" dxfId="4258" priority="4212">
      <formula>LEN(TRIM(O43))=0</formula>
    </cfRule>
  </conditionalFormatting>
  <conditionalFormatting sqref="O50:Q50">
    <cfRule type="containsBlanks" dxfId="4257" priority="4211">
      <formula>LEN(TRIM(O50))=0</formula>
    </cfRule>
  </conditionalFormatting>
  <conditionalFormatting sqref="O47:Q47">
    <cfRule type="containsBlanks" dxfId="4256" priority="4210">
      <formula>LEN(TRIM(O47))=0</formula>
    </cfRule>
  </conditionalFormatting>
  <conditionalFormatting sqref="O48:Q48">
    <cfRule type="containsBlanks" dxfId="4255" priority="4209">
      <formula>LEN(TRIM(O48))=0</formula>
    </cfRule>
  </conditionalFormatting>
  <conditionalFormatting sqref="O52:Q52">
    <cfRule type="containsBlanks" dxfId="4254" priority="4208">
      <formula>LEN(TRIM(O52))=0</formula>
    </cfRule>
  </conditionalFormatting>
  <conditionalFormatting sqref="O54:Q54">
    <cfRule type="containsBlanks" dxfId="4253" priority="4207">
      <formula>LEN(TRIM(O54))=0</formula>
    </cfRule>
  </conditionalFormatting>
  <conditionalFormatting sqref="O56:Q56">
    <cfRule type="containsBlanks" dxfId="4252" priority="4206">
      <formula>LEN(TRIM(O56))=0</formula>
    </cfRule>
  </conditionalFormatting>
  <conditionalFormatting sqref="O69:Q69">
    <cfRule type="containsBlanks" dxfId="4251" priority="4205">
      <formula>LEN(TRIM(O69))=0</formula>
    </cfRule>
  </conditionalFormatting>
  <conditionalFormatting sqref="O70:Q70">
    <cfRule type="containsBlanks" dxfId="4250" priority="4204">
      <formula>LEN(TRIM(O70))=0</formula>
    </cfRule>
  </conditionalFormatting>
  <conditionalFormatting sqref="O72:Q72">
    <cfRule type="containsBlanks" dxfId="4249" priority="4203">
      <formula>LEN(TRIM(O72))=0</formula>
    </cfRule>
  </conditionalFormatting>
  <conditionalFormatting sqref="N68:T68">
    <cfRule type="containsBlanks" dxfId="4248" priority="4202">
      <formula>LEN(TRIM(N68))=0</formula>
    </cfRule>
  </conditionalFormatting>
  <conditionalFormatting sqref="M85:S85">
    <cfRule type="containsBlanks" dxfId="4247" priority="4201">
      <formula>LEN(TRIM(M85))=0</formula>
    </cfRule>
  </conditionalFormatting>
  <conditionalFormatting sqref="N88:T88">
    <cfRule type="containsBlanks" dxfId="4246" priority="4200">
      <formula>LEN(TRIM(N88))=0</formula>
    </cfRule>
  </conditionalFormatting>
  <conditionalFormatting sqref="O90:Q90">
    <cfRule type="containsBlanks" dxfId="4245" priority="4199">
      <formula>LEN(TRIM(O90))=0</formula>
    </cfRule>
  </conditionalFormatting>
  <conditionalFormatting sqref="M92:T92">
    <cfRule type="containsBlanks" dxfId="4244" priority="4198">
      <formula>LEN(TRIM(M92))=0</formula>
    </cfRule>
  </conditionalFormatting>
  <conditionalFormatting sqref="M98:T98">
    <cfRule type="containsBlanks" dxfId="4243" priority="4197">
      <formula>LEN(TRIM(M98))=0</formula>
    </cfRule>
  </conditionalFormatting>
  <conditionalFormatting sqref="M62:T62">
    <cfRule type="containsBlanks" dxfId="4242" priority="4194">
      <formula>LEN(TRIM(M62))=0</formula>
    </cfRule>
  </conditionalFormatting>
  <conditionalFormatting sqref="M63:S63">
    <cfRule type="containsBlanks" dxfId="4241" priority="4193">
      <formula>LEN(TRIM(M63))=0</formula>
    </cfRule>
  </conditionalFormatting>
  <conditionalFormatting sqref="O34:Q34">
    <cfRule type="containsBlanks" dxfId="4240" priority="4192">
      <formula>LEN(TRIM(O34))=0</formula>
    </cfRule>
  </conditionalFormatting>
  <conditionalFormatting sqref="O41:Q41">
    <cfRule type="containsBlanks" dxfId="4239" priority="4191">
      <formula>LEN(TRIM(O41))=0</formula>
    </cfRule>
  </conditionalFormatting>
  <conditionalFormatting sqref="O38:Q38">
    <cfRule type="containsBlanks" dxfId="4238" priority="4190">
      <formula>LEN(TRIM(O38))=0</formula>
    </cfRule>
  </conditionalFormatting>
  <conditionalFormatting sqref="O39:Q39">
    <cfRule type="containsBlanks" dxfId="4237" priority="4189">
      <formula>LEN(TRIM(O39))=0</formula>
    </cfRule>
  </conditionalFormatting>
  <conditionalFormatting sqref="O43:Q43">
    <cfRule type="containsBlanks" dxfId="4236" priority="4188">
      <formula>LEN(TRIM(O43))=0</formula>
    </cfRule>
  </conditionalFormatting>
  <conditionalFormatting sqref="O45:Q45">
    <cfRule type="containsBlanks" dxfId="4235" priority="4187">
      <formula>LEN(TRIM(O45))=0</formula>
    </cfRule>
  </conditionalFormatting>
  <conditionalFormatting sqref="O47:Q47">
    <cfRule type="containsBlanks" dxfId="4234" priority="4186">
      <formula>LEN(TRIM(O47))=0</formula>
    </cfRule>
  </conditionalFormatting>
  <conditionalFormatting sqref="O60:Q60">
    <cfRule type="containsBlanks" dxfId="4233" priority="4185">
      <formula>LEN(TRIM(O60))=0</formula>
    </cfRule>
  </conditionalFormatting>
  <conditionalFormatting sqref="O61:Q61">
    <cfRule type="containsBlanks" dxfId="4232" priority="4184">
      <formula>LEN(TRIM(O61))=0</formula>
    </cfRule>
  </conditionalFormatting>
  <conditionalFormatting sqref="O63:Q63">
    <cfRule type="containsBlanks" dxfId="4231" priority="4183">
      <formula>LEN(TRIM(O63))=0</formula>
    </cfRule>
  </conditionalFormatting>
  <conditionalFormatting sqref="N59:T59">
    <cfRule type="containsBlanks" dxfId="4230" priority="4182">
      <formula>LEN(TRIM(N59))=0</formula>
    </cfRule>
  </conditionalFormatting>
  <conditionalFormatting sqref="M76:S76">
    <cfRule type="containsBlanks" dxfId="4229" priority="4181">
      <formula>LEN(TRIM(M76))=0</formula>
    </cfRule>
  </conditionalFormatting>
  <conditionalFormatting sqref="N79:T79">
    <cfRule type="containsBlanks" dxfId="4228" priority="4180">
      <formula>LEN(TRIM(N79))=0</formula>
    </cfRule>
  </conditionalFormatting>
  <conditionalFormatting sqref="O81:Q81">
    <cfRule type="containsBlanks" dxfId="4227" priority="4179">
      <formula>LEN(TRIM(O81))=0</formula>
    </cfRule>
  </conditionalFormatting>
  <conditionalFormatting sqref="M83:T83">
    <cfRule type="containsBlanks" dxfId="4226" priority="4178">
      <formula>LEN(TRIM(M83))=0</formula>
    </cfRule>
  </conditionalFormatting>
  <conditionalFormatting sqref="M89:T89">
    <cfRule type="containsBlanks" dxfId="4225" priority="4177">
      <formula>LEN(TRIM(M89))=0</formula>
    </cfRule>
  </conditionalFormatting>
  <conditionalFormatting sqref="O90:S90">
    <cfRule type="containsBlanks" dxfId="4224" priority="4176">
      <formula>LEN(TRIM(O90))=0</formula>
    </cfRule>
  </conditionalFormatting>
  <conditionalFormatting sqref="M90:N90">
    <cfRule type="containsBlanks" dxfId="4223" priority="4175">
      <formula>LEN(TRIM(M90))=0</formula>
    </cfRule>
  </conditionalFormatting>
  <conditionalFormatting sqref="M53:T53">
    <cfRule type="containsBlanks" dxfId="4222" priority="4174">
      <formula>LEN(TRIM(M53))=0</formula>
    </cfRule>
  </conditionalFormatting>
  <conditionalFormatting sqref="M54:S54">
    <cfRule type="containsBlanks" dxfId="4221" priority="4173">
      <formula>LEN(TRIM(M54))=0</formula>
    </cfRule>
  </conditionalFormatting>
  <conditionalFormatting sqref="O52:Q52">
    <cfRule type="containsBlanks" dxfId="4220" priority="4172">
      <formula>LEN(TRIM(O52))=0</formula>
    </cfRule>
  </conditionalFormatting>
  <conditionalFormatting sqref="O49:Q49">
    <cfRule type="containsBlanks" dxfId="4219" priority="4171">
      <formula>LEN(TRIM(O49))=0</formula>
    </cfRule>
  </conditionalFormatting>
  <conditionalFormatting sqref="O50:Q50">
    <cfRule type="containsBlanks" dxfId="4218" priority="4170">
      <formula>LEN(TRIM(O50))=0</formula>
    </cfRule>
  </conditionalFormatting>
  <conditionalFormatting sqref="O54:Q54">
    <cfRule type="containsBlanks" dxfId="4217" priority="4169">
      <formula>LEN(TRIM(O54))=0</formula>
    </cfRule>
  </conditionalFormatting>
  <conditionalFormatting sqref="O56:Q56">
    <cfRule type="containsBlanks" dxfId="4216" priority="4168">
      <formula>LEN(TRIM(O56))=0</formula>
    </cfRule>
  </conditionalFormatting>
  <conditionalFormatting sqref="O58:Q58">
    <cfRule type="containsBlanks" dxfId="4215" priority="4167">
      <formula>LEN(TRIM(O58))=0</formula>
    </cfRule>
  </conditionalFormatting>
  <conditionalFormatting sqref="O71:Q71">
    <cfRule type="containsBlanks" dxfId="4214" priority="4166">
      <formula>LEN(TRIM(O71))=0</formula>
    </cfRule>
  </conditionalFormatting>
  <conditionalFormatting sqref="O72:Q72">
    <cfRule type="containsBlanks" dxfId="4213" priority="4165">
      <formula>LEN(TRIM(O72))=0</formula>
    </cfRule>
  </conditionalFormatting>
  <conditionalFormatting sqref="O74:Q74">
    <cfRule type="containsBlanks" dxfId="4212" priority="4164">
      <formula>LEN(TRIM(O74))=0</formula>
    </cfRule>
  </conditionalFormatting>
  <conditionalFormatting sqref="N70:T70">
    <cfRule type="containsBlanks" dxfId="4211" priority="4163">
      <formula>LEN(TRIM(N70))=0</formula>
    </cfRule>
  </conditionalFormatting>
  <conditionalFormatting sqref="M87:S87">
    <cfRule type="containsBlanks" dxfId="4210" priority="4162">
      <formula>LEN(TRIM(M87))=0</formula>
    </cfRule>
  </conditionalFormatting>
  <conditionalFormatting sqref="N90:T90">
    <cfRule type="containsBlanks" dxfId="4209" priority="4161">
      <formula>LEN(TRIM(N90))=0</formula>
    </cfRule>
  </conditionalFormatting>
  <conditionalFormatting sqref="O92:Q92">
    <cfRule type="containsBlanks" dxfId="4208" priority="4160">
      <formula>LEN(TRIM(O92))=0</formula>
    </cfRule>
  </conditionalFormatting>
  <conditionalFormatting sqref="M94:T94">
    <cfRule type="containsBlanks" dxfId="4207" priority="4159">
      <formula>LEN(TRIM(M94))=0</formula>
    </cfRule>
  </conditionalFormatting>
  <conditionalFormatting sqref="M100:T100">
    <cfRule type="containsBlanks" dxfId="4206" priority="4158">
      <formula>LEN(TRIM(M100))=0</formula>
    </cfRule>
  </conditionalFormatting>
  <conditionalFormatting sqref="O101:S101">
    <cfRule type="containsBlanks" dxfId="4205" priority="4157">
      <formula>LEN(TRIM(O101))=0</formula>
    </cfRule>
  </conditionalFormatting>
  <conditionalFormatting sqref="M101:N101">
    <cfRule type="containsBlanks" dxfId="4204" priority="4156">
      <formula>LEN(TRIM(M101))=0</formula>
    </cfRule>
  </conditionalFormatting>
  <conditionalFormatting sqref="M64:T64">
    <cfRule type="containsBlanks" dxfId="4203" priority="4155">
      <formula>LEN(TRIM(M64))=0</formula>
    </cfRule>
  </conditionalFormatting>
  <conditionalFormatting sqref="M65:S65">
    <cfRule type="containsBlanks" dxfId="4202" priority="4154">
      <formula>LEN(TRIM(M65))=0</formula>
    </cfRule>
  </conditionalFormatting>
  <conditionalFormatting sqref="O49:Q49">
    <cfRule type="containsBlanks" dxfId="4201" priority="4153">
      <formula>LEN(TRIM(O49))=0</formula>
    </cfRule>
  </conditionalFormatting>
  <conditionalFormatting sqref="O62:Q62">
    <cfRule type="containsBlanks" dxfId="4200" priority="4152">
      <formula>LEN(TRIM(O62))=0</formula>
    </cfRule>
  </conditionalFormatting>
  <conditionalFormatting sqref="O63:Q63">
    <cfRule type="containsBlanks" dxfId="4199" priority="4151">
      <formula>LEN(TRIM(O63))=0</formula>
    </cfRule>
  </conditionalFormatting>
  <conditionalFormatting sqref="O65:Q65">
    <cfRule type="containsBlanks" dxfId="4198" priority="4150">
      <formula>LEN(TRIM(O65))=0</formula>
    </cfRule>
  </conditionalFormatting>
  <conditionalFormatting sqref="N61:T61">
    <cfRule type="containsBlanks" dxfId="4197" priority="4149">
      <formula>LEN(TRIM(N61))=0</formula>
    </cfRule>
  </conditionalFormatting>
  <conditionalFormatting sqref="M78:S78">
    <cfRule type="containsBlanks" dxfId="4196" priority="4148">
      <formula>LEN(TRIM(M78))=0</formula>
    </cfRule>
  </conditionalFormatting>
  <conditionalFormatting sqref="N81:T81">
    <cfRule type="containsBlanks" dxfId="4195" priority="4147">
      <formula>LEN(TRIM(N81))=0</formula>
    </cfRule>
  </conditionalFormatting>
  <conditionalFormatting sqref="O83:Q83">
    <cfRule type="containsBlanks" dxfId="4194" priority="4146">
      <formula>LEN(TRIM(O83))=0</formula>
    </cfRule>
  </conditionalFormatting>
  <conditionalFormatting sqref="M85:T85">
    <cfRule type="containsBlanks" dxfId="4193" priority="4145">
      <formula>LEN(TRIM(M85))=0</formula>
    </cfRule>
  </conditionalFormatting>
  <conditionalFormatting sqref="M91:T91">
    <cfRule type="containsBlanks" dxfId="4192" priority="4144">
      <formula>LEN(TRIM(M91))=0</formula>
    </cfRule>
  </conditionalFormatting>
  <conditionalFormatting sqref="O92:S92">
    <cfRule type="containsBlanks" dxfId="4191" priority="4143">
      <formula>LEN(TRIM(O92))=0</formula>
    </cfRule>
  </conditionalFormatting>
  <conditionalFormatting sqref="M92:N92">
    <cfRule type="containsBlanks" dxfId="4190" priority="4142">
      <formula>LEN(TRIM(M92))=0</formula>
    </cfRule>
  </conditionalFormatting>
  <conditionalFormatting sqref="M55:T55">
    <cfRule type="containsBlanks" dxfId="4189" priority="4141">
      <formula>LEN(TRIM(M55))=0</formula>
    </cfRule>
  </conditionalFormatting>
  <conditionalFormatting sqref="M56:S56">
    <cfRule type="containsBlanks" dxfId="4188" priority="4140">
      <formula>LEN(TRIM(M56))=0</formula>
    </cfRule>
  </conditionalFormatting>
  <conditionalFormatting sqref="O49:Q49">
    <cfRule type="containsBlanks" dxfId="4187" priority="4139">
      <formula>LEN(TRIM(O49))=0</formula>
    </cfRule>
  </conditionalFormatting>
  <conditionalFormatting sqref="O51:Q51">
    <cfRule type="containsBlanks" dxfId="4186" priority="4138">
      <formula>LEN(TRIM(O51))=0</formula>
    </cfRule>
  </conditionalFormatting>
  <conditionalFormatting sqref="O53:Q53">
    <cfRule type="containsBlanks" dxfId="4185" priority="4137">
      <formula>LEN(TRIM(O53))=0</formula>
    </cfRule>
  </conditionalFormatting>
  <conditionalFormatting sqref="O66:Q66">
    <cfRule type="containsBlanks" dxfId="4184" priority="4136">
      <formula>LEN(TRIM(O66))=0</formula>
    </cfRule>
  </conditionalFormatting>
  <conditionalFormatting sqref="O67:Q67">
    <cfRule type="containsBlanks" dxfId="4183" priority="4135">
      <formula>LEN(TRIM(O67))=0</formula>
    </cfRule>
  </conditionalFormatting>
  <conditionalFormatting sqref="O69:Q69">
    <cfRule type="containsBlanks" dxfId="4182" priority="4134">
      <formula>LEN(TRIM(O69))=0</formula>
    </cfRule>
  </conditionalFormatting>
  <conditionalFormatting sqref="N65:T65">
    <cfRule type="containsBlanks" dxfId="4181" priority="4133">
      <formula>LEN(TRIM(N65))=0</formula>
    </cfRule>
  </conditionalFormatting>
  <conditionalFormatting sqref="M82:S82">
    <cfRule type="containsBlanks" dxfId="4180" priority="4132">
      <formula>LEN(TRIM(M82))=0</formula>
    </cfRule>
  </conditionalFormatting>
  <conditionalFormatting sqref="N85:T85">
    <cfRule type="containsBlanks" dxfId="4179" priority="4131">
      <formula>LEN(TRIM(N85))=0</formula>
    </cfRule>
  </conditionalFormatting>
  <conditionalFormatting sqref="O87:Q87">
    <cfRule type="containsBlanks" dxfId="4178" priority="4130">
      <formula>LEN(TRIM(O87))=0</formula>
    </cfRule>
  </conditionalFormatting>
  <conditionalFormatting sqref="M89:T89">
    <cfRule type="containsBlanks" dxfId="4177" priority="4129">
      <formula>LEN(TRIM(M89))=0</formula>
    </cfRule>
  </conditionalFormatting>
  <conditionalFormatting sqref="M95:T95">
    <cfRule type="containsBlanks" dxfId="4176" priority="4128">
      <formula>LEN(TRIM(M95))=0</formula>
    </cfRule>
  </conditionalFormatting>
  <conditionalFormatting sqref="O96:S96">
    <cfRule type="containsBlanks" dxfId="4175" priority="4127">
      <formula>LEN(TRIM(O96))=0</formula>
    </cfRule>
  </conditionalFormatting>
  <conditionalFormatting sqref="M96:N96">
    <cfRule type="containsBlanks" dxfId="4174" priority="4126">
      <formula>LEN(TRIM(M96))=0</formula>
    </cfRule>
  </conditionalFormatting>
  <conditionalFormatting sqref="M59:T59">
    <cfRule type="containsBlanks" dxfId="4173" priority="4125">
      <formula>LEN(TRIM(M59))=0</formula>
    </cfRule>
  </conditionalFormatting>
  <conditionalFormatting sqref="M60:S60">
    <cfRule type="containsBlanks" dxfId="4172" priority="4124">
      <formula>LEN(TRIM(M60))=0</formula>
    </cfRule>
  </conditionalFormatting>
  <conditionalFormatting sqref="O57:Q57">
    <cfRule type="containsBlanks" dxfId="4171" priority="4123">
      <formula>LEN(TRIM(O57))=0</formula>
    </cfRule>
  </conditionalFormatting>
  <conditionalFormatting sqref="O58:Q58">
    <cfRule type="containsBlanks" dxfId="4170" priority="4122">
      <formula>LEN(TRIM(O58))=0</formula>
    </cfRule>
  </conditionalFormatting>
  <conditionalFormatting sqref="O60:Q60">
    <cfRule type="containsBlanks" dxfId="4169" priority="4121">
      <formula>LEN(TRIM(O60))=0</formula>
    </cfRule>
  </conditionalFormatting>
  <conditionalFormatting sqref="N56:T56">
    <cfRule type="containsBlanks" dxfId="4168" priority="4120">
      <formula>LEN(TRIM(N56))=0</formula>
    </cfRule>
  </conditionalFormatting>
  <conditionalFormatting sqref="M73:S73">
    <cfRule type="containsBlanks" dxfId="4167" priority="4119">
      <formula>LEN(TRIM(M73))=0</formula>
    </cfRule>
  </conditionalFormatting>
  <conditionalFormatting sqref="N76:T76">
    <cfRule type="containsBlanks" dxfId="4166" priority="4118">
      <formula>LEN(TRIM(N76))=0</formula>
    </cfRule>
  </conditionalFormatting>
  <conditionalFormatting sqref="O78:Q78">
    <cfRule type="containsBlanks" dxfId="4165" priority="4117">
      <formula>LEN(TRIM(O78))=0</formula>
    </cfRule>
  </conditionalFormatting>
  <conditionalFormatting sqref="M80:T80">
    <cfRule type="containsBlanks" dxfId="4164" priority="4116">
      <formula>LEN(TRIM(M80))=0</formula>
    </cfRule>
  </conditionalFormatting>
  <conditionalFormatting sqref="M86:T86">
    <cfRule type="containsBlanks" dxfId="4163" priority="4115">
      <formula>LEN(TRIM(M86))=0</formula>
    </cfRule>
  </conditionalFormatting>
  <conditionalFormatting sqref="O87:S87">
    <cfRule type="containsBlanks" dxfId="4162" priority="4114">
      <formula>LEN(TRIM(O87))=0</formula>
    </cfRule>
  </conditionalFormatting>
  <conditionalFormatting sqref="M87:N87">
    <cfRule type="containsBlanks" dxfId="4161" priority="4113">
      <formula>LEN(TRIM(M87))=0</formula>
    </cfRule>
  </conditionalFormatting>
  <conditionalFormatting sqref="M50:T50">
    <cfRule type="containsBlanks" dxfId="4160" priority="4112">
      <formula>LEN(TRIM(M50))=0</formula>
    </cfRule>
  </conditionalFormatting>
  <conditionalFormatting sqref="M51:S51">
    <cfRule type="containsBlanks" dxfId="4159" priority="4111">
      <formula>LEN(TRIM(M51))=0</formula>
    </cfRule>
  </conditionalFormatting>
  <conditionalFormatting sqref="O45:Q45">
    <cfRule type="containsBlanks" dxfId="4158" priority="4110">
      <formula>LEN(TRIM(O45))=0</formula>
    </cfRule>
  </conditionalFormatting>
  <conditionalFormatting sqref="O52:Q52">
    <cfRule type="containsBlanks" dxfId="4157" priority="4109">
      <formula>LEN(TRIM(O52))=0</formula>
    </cfRule>
  </conditionalFormatting>
  <conditionalFormatting sqref="O49:Q49">
    <cfRule type="containsBlanks" dxfId="4156" priority="4108">
      <formula>LEN(TRIM(O49))=0</formula>
    </cfRule>
  </conditionalFormatting>
  <conditionalFormatting sqref="O50:Q50">
    <cfRule type="containsBlanks" dxfId="4155" priority="4107">
      <formula>LEN(TRIM(O50))=0</formula>
    </cfRule>
  </conditionalFormatting>
  <conditionalFormatting sqref="O54:Q54">
    <cfRule type="containsBlanks" dxfId="4154" priority="4106">
      <formula>LEN(TRIM(O54))=0</formula>
    </cfRule>
  </conditionalFormatting>
  <conditionalFormatting sqref="O56:Q56">
    <cfRule type="containsBlanks" dxfId="4153" priority="4105">
      <formula>LEN(TRIM(O56))=0</formula>
    </cfRule>
  </conditionalFormatting>
  <conditionalFormatting sqref="O58:Q58">
    <cfRule type="containsBlanks" dxfId="4152" priority="4104">
      <formula>LEN(TRIM(O58))=0</formula>
    </cfRule>
  </conditionalFormatting>
  <conditionalFormatting sqref="O71:Q71">
    <cfRule type="containsBlanks" dxfId="4151" priority="4103">
      <formula>LEN(TRIM(O71))=0</formula>
    </cfRule>
  </conditionalFormatting>
  <conditionalFormatting sqref="O72:Q72">
    <cfRule type="containsBlanks" dxfId="4150" priority="4102">
      <formula>LEN(TRIM(O72))=0</formula>
    </cfRule>
  </conditionalFormatting>
  <conditionalFormatting sqref="O74:Q74">
    <cfRule type="containsBlanks" dxfId="4149" priority="4101">
      <formula>LEN(TRIM(O74))=0</formula>
    </cfRule>
  </conditionalFormatting>
  <conditionalFormatting sqref="N70:T70">
    <cfRule type="containsBlanks" dxfId="4148" priority="4100">
      <formula>LEN(TRIM(N70))=0</formula>
    </cfRule>
  </conditionalFormatting>
  <conditionalFormatting sqref="M87:S87">
    <cfRule type="containsBlanks" dxfId="4147" priority="4099">
      <formula>LEN(TRIM(M87))=0</formula>
    </cfRule>
  </conditionalFormatting>
  <conditionalFormatting sqref="N90:T90">
    <cfRule type="containsBlanks" dxfId="4146" priority="4098">
      <formula>LEN(TRIM(N90))=0</formula>
    </cfRule>
  </conditionalFormatting>
  <conditionalFormatting sqref="O92:Q92">
    <cfRule type="containsBlanks" dxfId="4145" priority="4097">
      <formula>LEN(TRIM(O92))=0</formula>
    </cfRule>
  </conditionalFormatting>
  <conditionalFormatting sqref="M94:T94">
    <cfRule type="containsBlanks" dxfId="4144" priority="4096">
      <formula>LEN(TRIM(M94))=0</formula>
    </cfRule>
  </conditionalFormatting>
  <conditionalFormatting sqref="M100:T100">
    <cfRule type="containsBlanks" dxfId="4143" priority="4095">
      <formula>LEN(TRIM(M100))=0</formula>
    </cfRule>
  </conditionalFormatting>
  <conditionalFormatting sqref="O101:S101">
    <cfRule type="containsBlanks" dxfId="4142" priority="4094">
      <formula>LEN(TRIM(O101))=0</formula>
    </cfRule>
  </conditionalFormatting>
  <conditionalFormatting sqref="M101:N101">
    <cfRule type="containsBlanks" dxfId="4141" priority="4093">
      <formula>LEN(TRIM(M101))=0</formula>
    </cfRule>
  </conditionalFormatting>
  <conditionalFormatting sqref="M64:T64">
    <cfRule type="containsBlanks" dxfId="4140" priority="4092">
      <formula>LEN(TRIM(M64))=0</formula>
    </cfRule>
  </conditionalFormatting>
  <conditionalFormatting sqref="M65:S65">
    <cfRule type="containsBlanks" dxfId="4139" priority="4091">
      <formula>LEN(TRIM(M65))=0</formula>
    </cfRule>
  </conditionalFormatting>
  <conditionalFormatting sqref="O36:Q36">
    <cfRule type="containsBlanks" dxfId="4138" priority="4090">
      <formula>LEN(TRIM(O36))=0</formula>
    </cfRule>
  </conditionalFormatting>
  <conditionalFormatting sqref="O43:Q43">
    <cfRule type="containsBlanks" dxfId="4137" priority="4089">
      <formula>LEN(TRIM(O43))=0</formula>
    </cfRule>
  </conditionalFormatting>
  <conditionalFormatting sqref="O40:Q40">
    <cfRule type="containsBlanks" dxfId="4136" priority="4088">
      <formula>LEN(TRIM(O40))=0</formula>
    </cfRule>
  </conditionalFormatting>
  <conditionalFormatting sqref="O41:Q41">
    <cfRule type="containsBlanks" dxfId="4135" priority="4087">
      <formula>LEN(TRIM(O41))=0</formula>
    </cfRule>
  </conditionalFormatting>
  <conditionalFormatting sqref="O45:Q45">
    <cfRule type="containsBlanks" dxfId="4134" priority="4086">
      <formula>LEN(TRIM(O45))=0</formula>
    </cfRule>
  </conditionalFormatting>
  <conditionalFormatting sqref="O47:Q47">
    <cfRule type="containsBlanks" dxfId="4133" priority="4085">
      <formula>LEN(TRIM(O47))=0</formula>
    </cfRule>
  </conditionalFormatting>
  <conditionalFormatting sqref="O49:Q49">
    <cfRule type="containsBlanks" dxfId="4132" priority="4084">
      <formula>LEN(TRIM(O49))=0</formula>
    </cfRule>
  </conditionalFormatting>
  <conditionalFormatting sqref="O62:Q62">
    <cfRule type="containsBlanks" dxfId="4131" priority="4083">
      <formula>LEN(TRIM(O62))=0</formula>
    </cfRule>
  </conditionalFormatting>
  <conditionalFormatting sqref="O63:Q63">
    <cfRule type="containsBlanks" dxfId="4130" priority="4082">
      <formula>LEN(TRIM(O63))=0</formula>
    </cfRule>
  </conditionalFormatting>
  <conditionalFormatting sqref="O65:Q65">
    <cfRule type="containsBlanks" dxfId="4129" priority="4081">
      <formula>LEN(TRIM(O65))=0</formula>
    </cfRule>
  </conditionalFormatting>
  <conditionalFormatting sqref="N61:T61">
    <cfRule type="containsBlanks" dxfId="4128" priority="4080">
      <formula>LEN(TRIM(N61))=0</formula>
    </cfRule>
  </conditionalFormatting>
  <conditionalFormatting sqref="M78:S78">
    <cfRule type="containsBlanks" dxfId="4127" priority="4079">
      <formula>LEN(TRIM(M78))=0</formula>
    </cfRule>
  </conditionalFormatting>
  <conditionalFormatting sqref="N81:T81">
    <cfRule type="containsBlanks" dxfId="4126" priority="4078">
      <formula>LEN(TRIM(N81))=0</formula>
    </cfRule>
  </conditionalFormatting>
  <conditionalFormatting sqref="O83:Q83">
    <cfRule type="containsBlanks" dxfId="4125" priority="4077">
      <formula>LEN(TRIM(O83))=0</formula>
    </cfRule>
  </conditionalFormatting>
  <conditionalFormatting sqref="M85:T85">
    <cfRule type="containsBlanks" dxfId="4124" priority="4076">
      <formula>LEN(TRIM(M85))=0</formula>
    </cfRule>
  </conditionalFormatting>
  <conditionalFormatting sqref="M91:T91">
    <cfRule type="containsBlanks" dxfId="4123" priority="4075">
      <formula>LEN(TRIM(M91))=0</formula>
    </cfRule>
  </conditionalFormatting>
  <conditionalFormatting sqref="O92:S92">
    <cfRule type="containsBlanks" dxfId="4122" priority="4074">
      <formula>LEN(TRIM(O92))=0</formula>
    </cfRule>
  </conditionalFormatting>
  <conditionalFormatting sqref="M92:N92">
    <cfRule type="containsBlanks" dxfId="4121" priority="4073">
      <formula>LEN(TRIM(M92))=0</formula>
    </cfRule>
  </conditionalFormatting>
  <conditionalFormatting sqref="M55:T55">
    <cfRule type="containsBlanks" dxfId="4120" priority="4072">
      <formula>LEN(TRIM(M55))=0</formula>
    </cfRule>
  </conditionalFormatting>
  <conditionalFormatting sqref="M56:S56">
    <cfRule type="containsBlanks" dxfId="4119" priority="4071">
      <formula>LEN(TRIM(M56))=0</formula>
    </cfRule>
  </conditionalFormatting>
  <conditionalFormatting sqref="O40:Q40">
    <cfRule type="containsBlanks" dxfId="4118" priority="4070">
      <formula>LEN(TRIM(O40))=0</formula>
    </cfRule>
  </conditionalFormatting>
  <conditionalFormatting sqref="O47:Q47">
    <cfRule type="containsBlanks" dxfId="4117" priority="4069">
      <formula>LEN(TRIM(O47))=0</formula>
    </cfRule>
  </conditionalFormatting>
  <conditionalFormatting sqref="O44:Q44">
    <cfRule type="containsBlanks" dxfId="4116" priority="4068">
      <formula>LEN(TRIM(O44))=0</formula>
    </cfRule>
  </conditionalFormatting>
  <conditionalFormatting sqref="O45:Q45">
    <cfRule type="containsBlanks" dxfId="4115" priority="4067">
      <formula>LEN(TRIM(O45))=0</formula>
    </cfRule>
  </conditionalFormatting>
  <conditionalFormatting sqref="O49:Q49">
    <cfRule type="containsBlanks" dxfId="4114" priority="4066">
      <formula>LEN(TRIM(O49))=0</formula>
    </cfRule>
  </conditionalFormatting>
  <conditionalFormatting sqref="O51:Q51">
    <cfRule type="containsBlanks" dxfId="4113" priority="4065">
      <formula>LEN(TRIM(O51))=0</formula>
    </cfRule>
  </conditionalFormatting>
  <conditionalFormatting sqref="O53:Q53">
    <cfRule type="containsBlanks" dxfId="4112" priority="4064">
      <formula>LEN(TRIM(O53))=0</formula>
    </cfRule>
  </conditionalFormatting>
  <conditionalFormatting sqref="O66:Q66">
    <cfRule type="containsBlanks" dxfId="4111" priority="4063">
      <formula>LEN(TRIM(O66))=0</formula>
    </cfRule>
  </conditionalFormatting>
  <conditionalFormatting sqref="O67:Q67">
    <cfRule type="containsBlanks" dxfId="4110" priority="4062">
      <formula>LEN(TRIM(O67))=0</formula>
    </cfRule>
  </conditionalFormatting>
  <conditionalFormatting sqref="O69:Q69">
    <cfRule type="containsBlanks" dxfId="4109" priority="4061">
      <formula>LEN(TRIM(O69))=0</formula>
    </cfRule>
  </conditionalFormatting>
  <conditionalFormatting sqref="N65:T65">
    <cfRule type="containsBlanks" dxfId="4108" priority="4060">
      <formula>LEN(TRIM(N65))=0</formula>
    </cfRule>
  </conditionalFormatting>
  <conditionalFormatting sqref="M82:S82">
    <cfRule type="containsBlanks" dxfId="4107" priority="4059">
      <formula>LEN(TRIM(M82))=0</formula>
    </cfRule>
  </conditionalFormatting>
  <conditionalFormatting sqref="N85:T85">
    <cfRule type="containsBlanks" dxfId="4106" priority="4058">
      <formula>LEN(TRIM(N85))=0</formula>
    </cfRule>
  </conditionalFormatting>
  <conditionalFormatting sqref="O87:Q87">
    <cfRule type="containsBlanks" dxfId="4105" priority="4057">
      <formula>LEN(TRIM(O87))=0</formula>
    </cfRule>
  </conditionalFormatting>
  <conditionalFormatting sqref="M89:T89">
    <cfRule type="containsBlanks" dxfId="4104" priority="4056">
      <formula>LEN(TRIM(M89))=0</formula>
    </cfRule>
  </conditionalFormatting>
  <conditionalFormatting sqref="M95:T95">
    <cfRule type="containsBlanks" dxfId="4103" priority="4055">
      <formula>LEN(TRIM(M95))=0</formula>
    </cfRule>
  </conditionalFormatting>
  <conditionalFormatting sqref="O96:S96">
    <cfRule type="containsBlanks" dxfId="4102" priority="4054">
      <formula>LEN(TRIM(O96))=0</formula>
    </cfRule>
  </conditionalFormatting>
  <conditionalFormatting sqref="M96:N96">
    <cfRule type="containsBlanks" dxfId="4101" priority="4053">
      <formula>LEN(TRIM(M96))=0</formula>
    </cfRule>
  </conditionalFormatting>
  <conditionalFormatting sqref="M59:T59">
    <cfRule type="containsBlanks" dxfId="4100" priority="4052">
      <formula>LEN(TRIM(M59))=0</formula>
    </cfRule>
  </conditionalFormatting>
  <conditionalFormatting sqref="M60:S60">
    <cfRule type="containsBlanks" dxfId="4099" priority="4051">
      <formula>LEN(TRIM(M60))=0</formula>
    </cfRule>
  </conditionalFormatting>
  <conditionalFormatting sqref="O31:Q31">
    <cfRule type="containsBlanks" dxfId="4098" priority="4050">
      <formula>LEN(TRIM(O31))=0</formula>
    </cfRule>
  </conditionalFormatting>
  <conditionalFormatting sqref="O38:Q38">
    <cfRule type="containsBlanks" dxfId="4097" priority="4049">
      <formula>LEN(TRIM(O38))=0</formula>
    </cfRule>
  </conditionalFormatting>
  <conditionalFormatting sqref="O35:Q35">
    <cfRule type="containsBlanks" dxfId="4096" priority="4048">
      <formula>LEN(TRIM(O35))=0</formula>
    </cfRule>
  </conditionalFormatting>
  <conditionalFormatting sqref="O36:Q36">
    <cfRule type="containsBlanks" dxfId="4095" priority="4047">
      <formula>LEN(TRIM(O36))=0</formula>
    </cfRule>
  </conditionalFormatting>
  <conditionalFormatting sqref="O40:Q40">
    <cfRule type="containsBlanks" dxfId="4094" priority="4046">
      <formula>LEN(TRIM(O40))=0</formula>
    </cfRule>
  </conditionalFormatting>
  <conditionalFormatting sqref="O42:Q42">
    <cfRule type="containsBlanks" dxfId="4093" priority="4045">
      <formula>LEN(TRIM(O42))=0</formula>
    </cfRule>
  </conditionalFormatting>
  <conditionalFormatting sqref="O44:Q44">
    <cfRule type="containsBlanks" dxfId="4092" priority="4044">
      <formula>LEN(TRIM(O44))=0</formula>
    </cfRule>
  </conditionalFormatting>
  <conditionalFormatting sqref="O57:Q57">
    <cfRule type="containsBlanks" dxfId="4091" priority="4043">
      <formula>LEN(TRIM(O57))=0</formula>
    </cfRule>
  </conditionalFormatting>
  <conditionalFormatting sqref="O58:Q58">
    <cfRule type="containsBlanks" dxfId="4090" priority="4042">
      <formula>LEN(TRIM(O58))=0</formula>
    </cfRule>
  </conditionalFormatting>
  <conditionalFormatting sqref="O60:Q60">
    <cfRule type="containsBlanks" dxfId="4089" priority="4041">
      <formula>LEN(TRIM(O60))=0</formula>
    </cfRule>
  </conditionalFormatting>
  <conditionalFormatting sqref="N56:T56">
    <cfRule type="containsBlanks" dxfId="4088" priority="4040">
      <formula>LEN(TRIM(N56))=0</formula>
    </cfRule>
  </conditionalFormatting>
  <conditionalFormatting sqref="M73:S73">
    <cfRule type="containsBlanks" dxfId="4087" priority="4039">
      <formula>LEN(TRIM(M73))=0</formula>
    </cfRule>
  </conditionalFormatting>
  <conditionalFormatting sqref="N76:T76">
    <cfRule type="containsBlanks" dxfId="4086" priority="4038">
      <formula>LEN(TRIM(N76))=0</formula>
    </cfRule>
  </conditionalFormatting>
  <conditionalFormatting sqref="O78:Q78">
    <cfRule type="containsBlanks" dxfId="4085" priority="4037">
      <formula>LEN(TRIM(O78))=0</formula>
    </cfRule>
  </conditionalFormatting>
  <conditionalFormatting sqref="M80:T80">
    <cfRule type="containsBlanks" dxfId="4084" priority="4036">
      <formula>LEN(TRIM(M80))=0</formula>
    </cfRule>
  </conditionalFormatting>
  <conditionalFormatting sqref="M86:T86">
    <cfRule type="containsBlanks" dxfId="4083" priority="4035">
      <formula>LEN(TRIM(M86))=0</formula>
    </cfRule>
  </conditionalFormatting>
  <conditionalFormatting sqref="O87:S87">
    <cfRule type="containsBlanks" dxfId="4082" priority="4034">
      <formula>LEN(TRIM(O87))=0</formula>
    </cfRule>
  </conditionalFormatting>
  <conditionalFormatting sqref="M87:N87">
    <cfRule type="containsBlanks" dxfId="4081" priority="4033">
      <formula>LEN(TRIM(M87))=0</formula>
    </cfRule>
  </conditionalFormatting>
  <conditionalFormatting sqref="M50:T50">
    <cfRule type="containsBlanks" dxfId="4080" priority="4032">
      <formula>LEN(TRIM(M50))=0</formula>
    </cfRule>
  </conditionalFormatting>
  <conditionalFormatting sqref="M51:S51">
    <cfRule type="containsBlanks" dxfId="4079" priority="4031">
      <formula>LEN(TRIM(M51))=0</formula>
    </cfRule>
  </conditionalFormatting>
  <conditionalFormatting sqref="O49:Q49">
    <cfRule type="containsBlanks" dxfId="4078" priority="4030">
      <formula>LEN(TRIM(O49))=0</formula>
    </cfRule>
  </conditionalFormatting>
  <conditionalFormatting sqref="O46:Q46">
    <cfRule type="containsBlanks" dxfId="4077" priority="4029">
      <formula>LEN(TRIM(O46))=0</formula>
    </cfRule>
  </conditionalFormatting>
  <conditionalFormatting sqref="O47:Q47">
    <cfRule type="containsBlanks" dxfId="4076" priority="4028">
      <formula>LEN(TRIM(O47))=0</formula>
    </cfRule>
  </conditionalFormatting>
  <conditionalFormatting sqref="O51:Q51">
    <cfRule type="containsBlanks" dxfId="4075" priority="4027">
      <formula>LEN(TRIM(O51))=0</formula>
    </cfRule>
  </conditionalFormatting>
  <conditionalFormatting sqref="O53:Q53">
    <cfRule type="containsBlanks" dxfId="4074" priority="4026">
      <formula>LEN(TRIM(O53))=0</formula>
    </cfRule>
  </conditionalFormatting>
  <conditionalFormatting sqref="O55:Q55">
    <cfRule type="containsBlanks" dxfId="4073" priority="4025">
      <formula>LEN(TRIM(O55))=0</formula>
    </cfRule>
  </conditionalFormatting>
  <conditionalFormatting sqref="O68:Q68">
    <cfRule type="containsBlanks" dxfId="4072" priority="4024">
      <formula>LEN(TRIM(O68))=0</formula>
    </cfRule>
  </conditionalFormatting>
  <conditionalFormatting sqref="O69:Q69">
    <cfRule type="containsBlanks" dxfId="4071" priority="4023">
      <formula>LEN(TRIM(O69))=0</formula>
    </cfRule>
  </conditionalFormatting>
  <conditionalFormatting sqref="O71:Q71">
    <cfRule type="containsBlanks" dxfId="4070" priority="4022">
      <formula>LEN(TRIM(O71))=0</formula>
    </cfRule>
  </conditionalFormatting>
  <conditionalFormatting sqref="N67:T67">
    <cfRule type="containsBlanks" dxfId="4069" priority="4021">
      <formula>LEN(TRIM(N67))=0</formula>
    </cfRule>
  </conditionalFormatting>
  <conditionalFormatting sqref="M84:S84">
    <cfRule type="containsBlanks" dxfId="4068" priority="4020">
      <formula>LEN(TRIM(M84))=0</formula>
    </cfRule>
  </conditionalFormatting>
  <conditionalFormatting sqref="N87:T87">
    <cfRule type="containsBlanks" dxfId="4067" priority="4019">
      <formula>LEN(TRIM(N87))=0</formula>
    </cfRule>
  </conditionalFormatting>
  <conditionalFormatting sqref="O89:Q89">
    <cfRule type="containsBlanks" dxfId="4066" priority="4018">
      <formula>LEN(TRIM(O89))=0</formula>
    </cfRule>
  </conditionalFormatting>
  <conditionalFormatting sqref="M91:T91">
    <cfRule type="containsBlanks" dxfId="4065" priority="4017">
      <formula>LEN(TRIM(M91))=0</formula>
    </cfRule>
  </conditionalFormatting>
  <conditionalFormatting sqref="M97:T97">
    <cfRule type="containsBlanks" dxfId="4064" priority="4016">
      <formula>LEN(TRIM(M97))=0</formula>
    </cfRule>
  </conditionalFormatting>
  <conditionalFormatting sqref="O98:S98">
    <cfRule type="containsBlanks" dxfId="4063" priority="4015">
      <formula>LEN(TRIM(O98))=0</formula>
    </cfRule>
  </conditionalFormatting>
  <conditionalFormatting sqref="M98:N98">
    <cfRule type="containsBlanks" dxfId="4062" priority="4014">
      <formula>LEN(TRIM(M98))=0</formula>
    </cfRule>
  </conditionalFormatting>
  <conditionalFormatting sqref="M61:T61">
    <cfRule type="containsBlanks" dxfId="4061" priority="4013">
      <formula>LEN(TRIM(M61))=0</formula>
    </cfRule>
  </conditionalFormatting>
  <conditionalFormatting sqref="M62:S62">
    <cfRule type="containsBlanks" dxfId="4060" priority="4012">
      <formula>LEN(TRIM(M62))=0</formula>
    </cfRule>
  </conditionalFormatting>
  <conditionalFormatting sqref="O46:Q46">
    <cfRule type="containsBlanks" dxfId="4059" priority="4011">
      <formula>LEN(TRIM(O46))=0</formula>
    </cfRule>
  </conditionalFormatting>
  <conditionalFormatting sqref="O59:Q59">
    <cfRule type="containsBlanks" dxfId="4058" priority="4010">
      <formula>LEN(TRIM(O59))=0</formula>
    </cfRule>
  </conditionalFormatting>
  <conditionalFormatting sqref="O60:Q60">
    <cfRule type="containsBlanks" dxfId="4057" priority="4009">
      <formula>LEN(TRIM(O60))=0</formula>
    </cfRule>
  </conditionalFormatting>
  <conditionalFormatting sqref="O62:Q62">
    <cfRule type="containsBlanks" dxfId="4056" priority="4008">
      <formula>LEN(TRIM(O62))=0</formula>
    </cfRule>
  </conditionalFormatting>
  <conditionalFormatting sqref="N58:T58">
    <cfRule type="containsBlanks" dxfId="4055" priority="4007">
      <formula>LEN(TRIM(N58))=0</formula>
    </cfRule>
  </conditionalFormatting>
  <conditionalFormatting sqref="M75:S75">
    <cfRule type="containsBlanks" dxfId="4054" priority="4006">
      <formula>LEN(TRIM(M75))=0</formula>
    </cfRule>
  </conditionalFormatting>
  <conditionalFormatting sqref="N78:T78">
    <cfRule type="containsBlanks" dxfId="4053" priority="4005">
      <formula>LEN(TRIM(N78))=0</formula>
    </cfRule>
  </conditionalFormatting>
  <conditionalFormatting sqref="O80:Q80">
    <cfRule type="containsBlanks" dxfId="4052" priority="4004">
      <formula>LEN(TRIM(O80))=0</formula>
    </cfRule>
  </conditionalFormatting>
  <conditionalFormatting sqref="M82:T82">
    <cfRule type="containsBlanks" dxfId="4051" priority="4003">
      <formula>LEN(TRIM(M82))=0</formula>
    </cfRule>
  </conditionalFormatting>
  <conditionalFormatting sqref="M88:T88">
    <cfRule type="containsBlanks" dxfId="4050" priority="4002">
      <formula>LEN(TRIM(M88))=0</formula>
    </cfRule>
  </conditionalFormatting>
  <conditionalFormatting sqref="O89:S89">
    <cfRule type="containsBlanks" dxfId="4049" priority="4001">
      <formula>LEN(TRIM(O89))=0</formula>
    </cfRule>
  </conditionalFormatting>
  <conditionalFormatting sqref="M89:N89">
    <cfRule type="containsBlanks" dxfId="4048" priority="4000">
      <formula>LEN(TRIM(M89))=0</formula>
    </cfRule>
  </conditionalFormatting>
  <conditionalFormatting sqref="M52:T52">
    <cfRule type="containsBlanks" dxfId="4047" priority="3999">
      <formula>LEN(TRIM(M52))=0</formula>
    </cfRule>
  </conditionalFormatting>
  <conditionalFormatting sqref="M53:S53">
    <cfRule type="containsBlanks" dxfId="4046" priority="3998">
      <formula>LEN(TRIM(M53))=0</formula>
    </cfRule>
  </conditionalFormatting>
  <conditionalFormatting sqref="O46:Q46">
    <cfRule type="containsBlanks" dxfId="4045" priority="3997">
      <formula>LEN(TRIM(O46))=0</formula>
    </cfRule>
  </conditionalFormatting>
  <conditionalFormatting sqref="O48:Q48">
    <cfRule type="containsBlanks" dxfId="4044" priority="3996">
      <formula>LEN(TRIM(O48))=0</formula>
    </cfRule>
  </conditionalFormatting>
  <conditionalFormatting sqref="O50:Q50">
    <cfRule type="containsBlanks" dxfId="4043" priority="3995">
      <formula>LEN(TRIM(O50))=0</formula>
    </cfRule>
  </conditionalFormatting>
  <conditionalFormatting sqref="O63:Q63">
    <cfRule type="containsBlanks" dxfId="4042" priority="3994">
      <formula>LEN(TRIM(O63))=0</formula>
    </cfRule>
  </conditionalFormatting>
  <conditionalFormatting sqref="O64:Q64">
    <cfRule type="containsBlanks" dxfId="4041" priority="3993">
      <formula>LEN(TRIM(O64))=0</formula>
    </cfRule>
  </conditionalFormatting>
  <conditionalFormatting sqref="O66:Q66">
    <cfRule type="containsBlanks" dxfId="4040" priority="3992">
      <formula>LEN(TRIM(O66))=0</formula>
    </cfRule>
  </conditionalFormatting>
  <conditionalFormatting sqref="N62:T62">
    <cfRule type="containsBlanks" dxfId="4039" priority="3991">
      <formula>LEN(TRIM(N62))=0</formula>
    </cfRule>
  </conditionalFormatting>
  <conditionalFormatting sqref="M79:S79">
    <cfRule type="containsBlanks" dxfId="4038" priority="3990">
      <formula>LEN(TRIM(M79))=0</formula>
    </cfRule>
  </conditionalFormatting>
  <conditionalFormatting sqref="N82:T82">
    <cfRule type="containsBlanks" dxfId="4037" priority="3989">
      <formula>LEN(TRIM(N82))=0</formula>
    </cfRule>
  </conditionalFormatting>
  <conditionalFormatting sqref="O84:Q84">
    <cfRule type="containsBlanks" dxfId="4036" priority="3988">
      <formula>LEN(TRIM(O84))=0</formula>
    </cfRule>
  </conditionalFormatting>
  <conditionalFormatting sqref="M86:T86">
    <cfRule type="containsBlanks" dxfId="4035" priority="3987">
      <formula>LEN(TRIM(M86))=0</formula>
    </cfRule>
  </conditionalFormatting>
  <conditionalFormatting sqref="M92:T92">
    <cfRule type="containsBlanks" dxfId="4034" priority="3986">
      <formula>LEN(TRIM(M92))=0</formula>
    </cfRule>
  </conditionalFormatting>
  <conditionalFormatting sqref="O93:S93">
    <cfRule type="containsBlanks" dxfId="4033" priority="3985">
      <formula>LEN(TRIM(O93))=0</formula>
    </cfRule>
  </conditionalFormatting>
  <conditionalFormatting sqref="M93:N93">
    <cfRule type="containsBlanks" dxfId="4032" priority="3984">
      <formula>LEN(TRIM(M93))=0</formula>
    </cfRule>
  </conditionalFormatting>
  <conditionalFormatting sqref="M56:T56">
    <cfRule type="containsBlanks" dxfId="4031" priority="3983">
      <formula>LEN(TRIM(M56))=0</formula>
    </cfRule>
  </conditionalFormatting>
  <conditionalFormatting sqref="M57:S57">
    <cfRule type="containsBlanks" dxfId="4030" priority="3982">
      <formula>LEN(TRIM(M57))=0</formula>
    </cfRule>
  </conditionalFormatting>
  <conditionalFormatting sqref="O54:Q54">
    <cfRule type="containsBlanks" dxfId="4029" priority="3981">
      <formula>LEN(TRIM(O54))=0</formula>
    </cfRule>
  </conditionalFormatting>
  <conditionalFormatting sqref="O55:Q55">
    <cfRule type="containsBlanks" dxfId="4028" priority="3980">
      <formula>LEN(TRIM(O55))=0</formula>
    </cfRule>
  </conditionalFormatting>
  <conditionalFormatting sqref="O57:Q57">
    <cfRule type="containsBlanks" dxfId="4027" priority="3979">
      <formula>LEN(TRIM(O57))=0</formula>
    </cfRule>
  </conditionalFormatting>
  <conditionalFormatting sqref="N53:T53">
    <cfRule type="containsBlanks" dxfId="4026" priority="3978">
      <formula>LEN(TRIM(N53))=0</formula>
    </cfRule>
  </conditionalFormatting>
  <conditionalFormatting sqref="M70:S70">
    <cfRule type="containsBlanks" dxfId="4025" priority="3977">
      <formula>LEN(TRIM(M70))=0</formula>
    </cfRule>
  </conditionalFormatting>
  <conditionalFormatting sqref="N73:T73">
    <cfRule type="containsBlanks" dxfId="4024" priority="3976">
      <formula>LEN(TRIM(N73))=0</formula>
    </cfRule>
  </conditionalFormatting>
  <conditionalFormatting sqref="O75:Q75">
    <cfRule type="containsBlanks" dxfId="4023" priority="3975">
      <formula>LEN(TRIM(O75))=0</formula>
    </cfRule>
  </conditionalFormatting>
  <conditionalFormatting sqref="M77:T77">
    <cfRule type="containsBlanks" dxfId="4022" priority="3974">
      <formula>LEN(TRIM(M77))=0</formula>
    </cfRule>
  </conditionalFormatting>
  <conditionalFormatting sqref="M83:T83">
    <cfRule type="containsBlanks" dxfId="4021" priority="3973">
      <formula>LEN(TRIM(M83))=0</formula>
    </cfRule>
  </conditionalFormatting>
  <conditionalFormatting sqref="O84:S84">
    <cfRule type="containsBlanks" dxfId="4020" priority="3972">
      <formula>LEN(TRIM(O84))=0</formula>
    </cfRule>
  </conditionalFormatting>
  <conditionalFormatting sqref="M84:N84">
    <cfRule type="containsBlanks" dxfId="4019" priority="3971">
      <formula>LEN(TRIM(M84))=0</formula>
    </cfRule>
  </conditionalFormatting>
  <conditionalFormatting sqref="M47:T47">
    <cfRule type="containsBlanks" dxfId="4018" priority="3970">
      <formula>LEN(TRIM(M47))=0</formula>
    </cfRule>
  </conditionalFormatting>
  <conditionalFormatting sqref="M48:S48">
    <cfRule type="containsBlanks" dxfId="4017" priority="3969">
      <formula>LEN(TRIM(M48))=0</formula>
    </cfRule>
  </conditionalFormatting>
  <conditionalFormatting sqref="O48:Q48">
    <cfRule type="containsBlanks" dxfId="4016" priority="3968">
      <formula>LEN(TRIM(O48))=0</formula>
    </cfRule>
  </conditionalFormatting>
  <conditionalFormatting sqref="O55:Q55">
    <cfRule type="containsBlanks" dxfId="4015" priority="3967">
      <formula>LEN(TRIM(O55))=0</formula>
    </cfRule>
  </conditionalFormatting>
  <conditionalFormatting sqref="O52:Q52">
    <cfRule type="containsBlanks" dxfId="4014" priority="3966">
      <formula>LEN(TRIM(O52))=0</formula>
    </cfRule>
  </conditionalFormatting>
  <conditionalFormatting sqref="O53:Q53">
    <cfRule type="containsBlanks" dxfId="4013" priority="3965">
      <formula>LEN(TRIM(O53))=0</formula>
    </cfRule>
  </conditionalFormatting>
  <conditionalFormatting sqref="O57:Q57">
    <cfRule type="containsBlanks" dxfId="4012" priority="3964">
      <formula>LEN(TRIM(O57))=0</formula>
    </cfRule>
  </conditionalFormatting>
  <conditionalFormatting sqref="O59:Q59">
    <cfRule type="containsBlanks" dxfId="4011" priority="3963">
      <formula>LEN(TRIM(O59))=0</formula>
    </cfRule>
  </conditionalFormatting>
  <conditionalFormatting sqref="O61:Q61">
    <cfRule type="containsBlanks" dxfId="4010" priority="3962">
      <formula>LEN(TRIM(O61))=0</formula>
    </cfRule>
  </conditionalFormatting>
  <conditionalFormatting sqref="O74:Q74">
    <cfRule type="containsBlanks" dxfId="4009" priority="3961">
      <formula>LEN(TRIM(O74))=0</formula>
    </cfRule>
  </conditionalFormatting>
  <conditionalFormatting sqref="O75:Q75">
    <cfRule type="containsBlanks" dxfId="4008" priority="3960">
      <formula>LEN(TRIM(O75))=0</formula>
    </cfRule>
  </conditionalFormatting>
  <conditionalFormatting sqref="O77:Q77">
    <cfRule type="containsBlanks" dxfId="4007" priority="3959">
      <formula>LEN(TRIM(O77))=0</formula>
    </cfRule>
  </conditionalFormatting>
  <conditionalFormatting sqref="N73:T73">
    <cfRule type="containsBlanks" dxfId="4006" priority="3958">
      <formula>LEN(TRIM(N73))=0</formula>
    </cfRule>
  </conditionalFormatting>
  <conditionalFormatting sqref="M90:S90">
    <cfRule type="containsBlanks" dxfId="4005" priority="3957">
      <formula>LEN(TRIM(M90))=0</formula>
    </cfRule>
  </conditionalFormatting>
  <conditionalFormatting sqref="N93:T93">
    <cfRule type="containsBlanks" dxfId="4004" priority="3956">
      <formula>LEN(TRIM(N93))=0</formula>
    </cfRule>
  </conditionalFormatting>
  <conditionalFormatting sqref="O95:Q95">
    <cfRule type="containsBlanks" dxfId="4003" priority="3955">
      <formula>LEN(TRIM(O95))=0</formula>
    </cfRule>
  </conditionalFormatting>
  <conditionalFormatting sqref="M97:T97">
    <cfRule type="containsBlanks" dxfId="4002" priority="3954">
      <formula>LEN(TRIM(M97))=0</formula>
    </cfRule>
  </conditionalFormatting>
  <conditionalFormatting sqref="M103:T103">
    <cfRule type="containsBlanks" dxfId="4001" priority="3953">
      <formula>LEN(TRIM(M103))=0</formula>
    </cfRule>
  </conditionalFormatting>
  <conditionalFormatting sqref="O104:S104">
    <cfRule type="containsBlanks" dxfId="4000" priority="3952">
      <formula>LEN(TRIM(O104))=0</formula>
    </cfRule>
  </conditionalFormatting>
  <conditionalFormatting sqref="M104:N104">
    <cfRule type="containsBlanks" dxfId="3999" priority="3951">
      <formula>LEN(TRIM(M104))=0</formula>
    </cfRule>
  </conditionalFormatting>
  <conditionalFormatting sqref="M67:T67">
    <cfRule type="containsBlanks" dxfId="3998" priority="3950">
      <formula>LEN(TRIM(M67))=0</formula>
    </cfRule>
  </conditionalFormatting>
  <conditionalFormatting sqref="M68:S68">
    <cfRule type="containsBlanks" dxfId="3997" priority="3949">
      <formula>LEN(TRIM(M68))=0</formula>
    </cfRule>
  </conditionalFormatting>
  <conditionalFormatting sqref="O39:Q39">
    <cfRule type="containsBlanks" dxfId="3996" priority="3948">
      <formula>LEN(TRIM(O39))=0</formula>
    </cfRule>
  </conditionalFormatting>
  <conditionalFormatting sqref="O46:Q46">
    <cfRule type="containsBlanks" dxfId="3995" priority="3947">
      <formula>LEN(TRIM(O46))=0</formula>
    </cfRule>
  </conditionalFormatting>
  <conditionalFormatting sqref="O43:Q43">
    <cfRule type="containsBlanks" dxfId="3994" priority="3946">
      <formula>LEN(TRIM(O43))=0</formula>
    </cfRule>
  </conditionalFormatting>
  <conditionalFormatting sqref="O44:Q44">
    <cfRule type="containsBlanks" dxfId="3993" priority="3945">
      <formula>LEN(TRIM(O44))=0</formula>
    </cfRule>
  </conditionalFormatting>
  <conditionalFormatting sqref="O48:Q48">
    <cfRule type="containsBlanks" dxfId="3992" priority="3944">
      <formula>LEN(TRIM(O48))=0</formula>
    </cfRule>
  </conditionalFormatting>
  <conditionalFormatting sqref="O50:Q50">
    <cfRule type="containsBlanks" dxfId="3991" priority="3943">
      <formula>LEN(TRIM(O50))=0</formula>
    </cfRule>
  </conditionalFormatting>
  <conditionalFormatting sqref="O52:Q52">
    <cfRule type="containsBlanks" dxfId="3990" priority="3942">
      <formula>LEN(TRIM(O52))=0</formula>
    </cfRule>
  </conditionalFormatting>
  <conditionalFormatting sqref="O65:Q65">
    <cfRule type="containsBlanks" dxfId="3989" priority="3941">
      <formula>LEN(TRIM(O65))=0</formula>
    </cfRule>
  </conditionalFormatting>
  <conditionalFormatting sqref="O66:Q66">
    <cfRule type="containsBlanks" dxfId="3988" priority="3940">
      <formula>LEN(TRIM(O66))=0</formula>
    </cfRule>
  </conditionalFormatting>
  <conditionalFormatting sqref="O68:Q68">
    <cfRule type="containsBlanks" dxfId="3987" priority="3939">
      <formula>LEN(TRIM(O68))=0</formula>
    </cfRule>
  </conditionalFormatting>
  <conditionalFormatting sqref="N64:T64">
    <cfRule type="containsBlanks" dxfId="3986" priority="3938">
      <formula>LEN(TRIM(N64))=0</formula>
    </cfRule>
  </conditionalFormatting>
  <conditionalFormatting sqref="M81:S81">
    <cfRule type="containsBlanks" dxfId="3985" priority="3937">
      <formula>LEN(TRIM(M81))=0</formula>
    </cfRule>
  </conditionalFormatting>
  <conditionalFormatting sqref="N84:T84">
    <cfRule type="containsBlanks" dxfId="3984" priority="3936">
      <formula>LEN(TRIM(N84))=0</formula>
    </cfRule>
  </conditionalFormatting>
  <conditionalFormatting sqref="O86:Q86">
    <cfRule type="containsBlanks" dxfId="3983" priority="3935">
      <formula>LEN(TRIM(O86))=0</formula>
    </cfRule>
  </conditionalFormatting>
  <conditionalFormatting sqref="M88:T88">
    <cfRule type="containsBlanks" dxfId="3982" priority="3934">
      <formula>LEN(TRIM(M88))=0</formula>
    </cfRule>
  </conditionalFormatting>
  <conditionalFormatting sqref="M94:T94">
    <cfRule type="containsBlanks" dxfId="3981" priority="3933">
      <formula>LEN(TRIM(M94))=0</formula>
    </cfRule>
  </conditionalFormatting>
  <conditionalFormatting sqref="O95:S95">
    <cfRule type="containsBlanks" dxfId="3980" priority="3932">
      <formula>LEN(TRIM(O95))=0</formula>
    </cfRule>
  </conditionalFormatting>
  <conditionalFormatting sqref="M95:N95">
    <cfRule type="containsBlanks" dxfId="3979" priority="3931">
      <formula>LEN(TRIM(M95))=0</formula>
    </cfRule>
  </conditionalFormatting>
  <conditionalFormatting sqref="M58:T58">
    <cfRule type="containsBlanks" dxfId="3978" priority="3930">
      <formula>LEN(TRIM(M58))=0</formula>
    </cfRule>
  </conditionalFormatting>
  <conditionalFormatting sqref="M59:S59">
    <cfRule type="containsBlanks" dxfId="3977" priority="3929">
      <formula>LEN(TRIM(M59))=0</formula>
    </cfRule>
  </conditionalFormatting>
  <conditionalFormatting sqref="O43:Q43">
    <cfRule type="containsBlanks" dxfId="3976" priority="3928">
      <formula>LEN(TRIM(O43))=0</formula>
    </cfRule>
  </conditionalFormatting>
  <conditionalFormatting sqref="O50:Q50">
    <cfRule type="containsBlanks" dxfId="3975" priority="3927">
      <formula>LEN(TRIM(O50))=0</formula>
    </cfRule>
  </conditionalFormatting>
  <conditionalFormatting sqref="O47:Q47">
    <cfRule type="containsBlanks" dxfId="3974" priority="3926">
      <formula>LEN(TRIM(O47))=0</formula>
    </cfRule>
  </conditionalFormatting>
  <conditionalFormatting sqref="O48:Q48">
    <cfRule type="containsBlanks" dxfId="3973" priority="3925">
      <formula>LEN(TRIM(O48))=0</formula>
    </cfRule>
  </conditionalFormatting>
  <conditionalFormatting sqref="O52:Q52">
    <cfRule type="containsBlanks" dxfId="3972" priority="3924">
      <formula>LEN(TRIM(O52))=0</formula>
    </cfRule>
  </conditionalFormatting>
  <conditionalFormatting sqref="O54:Q54">
    <cfRule type="containsBlanks" dxfId="3971" priority="3923">
      <formula>LEN(TRIM(O54))=0</formula>
    </cfRule>
  </conditionalFormatting>
  <conditionalFormatting sqref="O56:Q56">
    <cfRule type="containsBlanks" dxfId="3970" priority="3922">
      <formula>LEN(TRIM(O56))=0</formula>
    </cfRule>
  </conditionalFormatting>
  <conditionalFormatting sqref="O69:Q69">
    <cfRule type="containsBlanks" dxfId="3969" priority="3921">
      <formula>LEN(TRIM(O69))=0</formula>
    </cfRule>
  </conditionalFormatting>
  <conditionalFormatting sqref="O70:Q70">
    <cfRule type="containsBlanks" dxfId="3968" priority="3920">
      <formula>LEN(TRIM(O70))=0</formula>
    </cfRule>
  </conditionalFormatting>
  <conditionalFormatting sqref="O72:Q72">
    <cfRule type="containsBlanks" dxfId="3967" priority="3919">
      <formula>LEN(TRIM(O72))=0</formula>
    </cfRule>
  </conditionalFormatting>
  <conditionalFormatting sqref="N68:T68">
    <cfRule type="containsBlanks" dxfId="3966" priority="3918">
      <formula>LEN(TRIM(N68))=0</formula>
    </cfRule>
  </conditionalFormatting>
  <conditionalFormatting sqref="M85:S85">
    <cfRule type="containsBlanks" dxfId="3965" priority="3917">
      <formula>LEN(TRIM(M85))=0</formula>
    </cfRule>
  </conditionalFormatting>
  <conditionalFormatting sqref="N88:T88">
    <cfRule type="containsBlanks" dxfId="3964" priority="3916">
      <formula>LEN(TRIM(N88))=0</formula>
    </cfRule>
  </conditionalFormatting>
  <conditionalFormatting sqref="O90:Q90">
    <cfRule type="containsBlanks" dxfId="3963" priority="3915">
      <formula>LEN(TRIM(O90))=0</formula>
    </cfRule>
  </conditionalFormatting>
  <conditionalFormatting sqref="M92:T92">
    <cfRule type="containsBlanks" dxfId="3962" priority="3914">
      <formula>LEN(TRIM(M92))=0</formula>
    </cfRule>
  </conditionalFormatting>
  <conditionalFormatting sqref="M98:T98">
    <cfRule type="containsBlanks" dxfId="3961" priority="3913">
      <formula>LEN(TRIM(M98))=0</formula>
    </cfRule>
  </conditionalFormatting>
  <conditionalFormatting sqref="M62:T62">
    <cfRule type="containsBlanks" dxfId="3960" priority="3910">
      <formula>LEN(TRIM(M62))=0</formula>
    </cfRule>
  </conditionalFormatting>
  <conditionalFormatting sqref="M63:S63">
    <cfRule type="containsBlanks" dxfId="3959" priority="3909">
      <formula>LEN(TRIM(M63))=0</formula>
    </cfRule>
  </conditionalFormatting>
  <conditionalFormatting sqref="O34:Q34">
    <cfRule type="containsBlanks" dxfId="3958" priority="3908">
      <formula>LEN(TRIM(O34))=0</formula>
    </cfRule>
  </conditionalFormatting>
  <conditionalFormatting sqref="O41:Q41">
    <cfRule type="containsBlanks" dxfId="3957" priority="3907">
      <formula>LEN(TRIM(O41))=0</formula>
    </cfRule>
  </conditionalFormatting>
  <conditionalFormatting sqref="O38:Q38">
    <cfRule type="containsBlanks" dxfId="3956" priority="3906">
      <formula>LEN(TRIM(O38))=0</formula>
    </cfRule>
  </conditionalFormatting>
  <conditionalFormatting sqref="O39:Q39">
    <cfRule type="containsBlanks" dxfId="3955" priority="3905">
      <formula>LEN(TRIM(O39))=0</formula>
    </cfRule>
  </conditionalFormatting>
  <conditionalFormatting sqref="O43:Q43">
    <cfRule type="containsBlanks" dxfId="3954" priority="3904">
      <formula>LEN(TRIM(O43))=0</formula>
    </cfRule>
  </conditionalFormatting>
  <conditionalFormatting sqref="O45:Q45">
    <cfRule type="containsBlanks" dxfId="3953" priority="3903">
      <formula>LEN(TRIM(O45))=0</formula>
    </cfRule>
  </conditionalFormatting>
  <conditionalFormatting sqref="O47:Q47">
    <cfRule type="containsBlanks" dxfId="3952" priority="3902">
      <formula>LEN(TRIM(O47))=0</formula>
    </cfRule>
  </conditionalFormatting>
  <conditionalFormatting sqref="O60:Q60">
    <cfRule type="containsBlanks" dxfId="3951" priority="3901">
      <formula>LEN(TRIM(O60))=0</formula>
    </cfRule>
  </conditionalFormatting>
  <conditionalFormatting sqref="O61:Q61">
    <cfRule type="containsBlanks" dxfId="3950" priority="3900">
      <formula>LEN(TRIM(O61))=0</formula>
    </cfRule>
  </conditionalFormatting>
  <conditionalFormatting sqref="O63:Q63">
    <cfRule type="containsBlanks" dxfId="3949" priority="3899">
      <formula>LEN(TRIM(O63))=0</formula>
    </cfRule>
  </conditionalFormatting>
  <conditionalFormatting sqref="N59:T59">
    <cfRule type="containsBlanks" dxfId="3948" priority="3898">
      <formula>LEN(TRIM(N59))=0</formula>
    </cfRule>
  </conditionalFormatting>
  <conditionalFormatting sqref="M76:S76">
    <cfRule type="containsBlanks" dxfId="3947" priority="3897">
      <formula>LEN(TRIM(M76))=0</formula>
    </cfRule>
  </conditionalFormatting>
  <conditionalFormatting sqref="N79:T79">
    <cfRule type="containsBlanks" dxfId="3946" priority="3896">
      <formula>LEN(TRIM(N79))=0</formula>
    </cfRule>
  </conditionalFormatting>
  <conditionalFormatting sqref="O81:Q81">
    <cfRule type="containsBlanks" dxfId="3945" priority="3895">
      <formula>LEN(TRIM(O81))=0</formula>
    </cfRule>
  </conditionalFormatting>
  <conditionalFormatting sqref="M83:T83">
    <cfRule type="containsBlanks" dxfId="3944" priority="3894">
      <formula>LEN(TRIM(M83))=0</formula>
    </cfRule>
  </conditionalFormatting>
  <conditionalFormatting sqref="M89:T89">
    <cfRule type="containsBlanks" dxfId="3943" priority="3893">
      <formula>LEN(TRIM(M89))=0</formula>
    </cfRule>
  </conditionalFormatting>
  <conditionalFormatting sqref="O90:S90">
    <cfRule type="containsBlanks" dxfId="3942" priority="3892">
      <formula>LEN(TRIM(O90))=0</formula>
    </cfRule>
  </conditionalFormatting>
  <conditionalFormatting sqref="M90:N90">
    <cfRule type="containsBlanks" dxfId="3941" priority="3891">
      <formula>LEN(TRIM(M90))=0</formula>
    </cfRule>
  </conditionalFormatting>
  <conditionalFormatting sqref="M53:T53">
    <cfRule type="containsBlanks" dxfId="3940" priority="3890">
      <formula>LEN(TRIM(M53))=0</formula>
    </cfRule>
  </conditionalFormatting>
  <conditionalFormatting sqref="M54:S54">
    <cfRule type="containsBlanks" dxfId="3939" priority="3889">
      <formula>LEN(TRIM(M54))=0</formula>
    </cfRule>
  </conditionalFormatting>
  <conditionalFormatting sqref="O52:Q52">
    <cfRule type="containsBlanks" dxfId="3938" priority="3888">
      <formula>LEN(TRIM(O52))=0</formula>
    </cfRule>
  </conditionalFormatting>
  <conditionalFormatting sqref="O49:Q49">
    <cfRule type="containsBlanks" dxfId="3937" priority="3887">
      <formula>LEN(TRIM(O49))=0</formula>
    </cfRule>
  </conditionalFormatting>
  <conditionalFormatting sqref="O50:Q50">
    <cfRule type="containsBlanks" dxfId="3936" priority="3886">
      <formula>LEN(TRIM(O50))=0</formula>
    </cfRule>
  </conditionalFormatting>
  <conditionalFormatting sqref="O54:Q54">
    <cfRule type="containsBlanks" dxfId="3935" priority="3885">
      <formula>LEN(TRIM(O54))=0</formula>
    </cfRule>
  </conditionalFormatting>
  <conditionalFormatting sqref="O56:Q56">
    <cfRule type="containsBlanks" dxfId="3934" priority="3884">
      <formula>LEN(TRIM(O56))=0</formula>
    </cfRule>
  </conditionalFormatting>
  <conditionalFormatting sqref="O58:Q58">
    <cfRule type="containsBlanks" dxfId="3933" priority="3883">
      <formula>LEN(TRIM(O58))=0</formula>
    </cfRule>
  </conditionalFormatting>
  <conditionalFormatting sqref="O71:Q71">
    <cfRule type="containsBlanks" dxfId="3932" priority="3882">
      <formula>LEN(TRIM(O71))=0</formula>
    </cfRule>
  </conditionalFormatting>
  <conditionalFormatting sqref="O72:Q72">
    <cfRule type="containsBlanks" dxfId="3931" priority="3881">
      <formula>LEN(TRIM(O72))=0</formula>
    </cfRule>
  </conditionalFormatting>
  <conditionalFormatting sqref="O74:Q74">
    <cfRule type="containsBlanks" dxfId="3930" priority="3880">
      <formula>LEN(TRIM(O74))=0</formula>
    </cfRule>
  </conditionalFormatting>
  <conditionalFormatting sqref="N70:T70">
    <cfRule type="containsBlanks" dxfId="3929" priority="3879">
      <formula>LEN(TRIM(N70))=0</formula>
    </cfRule>
  </conditionalFormatting>
  <conditionalFormatting sqref="M87:S87">
    <cfRule type="containsBlanks" dxfId="3928" priority="3878">
      <formula>LEN(TRIM(M87))=0</formula>
    </cfRule>
  </conditionalFormatting>
  <conditionalFormatting sqref="N90:T90">
    <cfRule type="containsBlanks" dxfId="3927" priority="3877">
      <formula>LEN(TRIM(N90))=0</formula>
    </cfRule>
  </conditionalFormatting>
  <conditionalFormatting sqref="O92:Q92">
    <cfRule type="containsBlanks" dxfId="3926" priority="3876">
      <formula>LEN(TRIM(O92))=0</formula>
    </cfRule>
  </conditionalFormatting>
  <conditionalFormatting sqref="M94:T94">
    <cfRule type="containsBlanks" dxfId="3925" priority="3875">
      <formula>LEN(TRIM(M94))=0</formula>
    </cfRule>
  </conditionalFormatting>
  <conditionalFormatting sqref="M100:T100">
    <cfRule type="containsBlanks" dxfId="3924" priority="3874">
      <formula>LEN(TRIM(M100))=0</formula>
    </cfRule>
  </conditionalFormatting>
  <conditionalFormatting sqref="O101:S101">
    <cfRule type="containsBlanks" dxfId="3923" priority="3873">
      <formula>LEN(TRIM(O101))=0</formula>
    </cfRule>
  </conditionalFormatting>
  <conditionalFormatting sqref="M101:N101">
    <cfRule type="containsBlanks" dxfId="3922" priority="3872">
      <formula>LEN(TRIM(M101))=0</formula>
    </cfRule>
  </conditionalFormatting>
  <conditionalFormatting sqref="M64:T64">
    <cfRule type="containsBlanks" dxfId="3921" priority="3871">
      <formula>LEN(TRIM(M64))=0</formula>
    </cfRule>
  </conditionalFormatting>
  <conditionalFormatting sqref="M65:S65">
    <cfRule type="containsBlanks" dxfId="3920" priority="3870">
      <formula>LEN(TRIM(M65))=0</formula>
    </cfRule>
  </conditionalFormatting>
  <conditionalFormatting sqref="O49:Q49">
    <cfRule type="containsBlanks" dxfId="3919" priority="3869">
      <formula>LEN(TRIM(O49))=0</formula>
    </cfRule>
  </conditionalFormatting>
  <conditionalFormatting sqref="O62:Q62">
    <cfRule type="containsBlanks" dxfId="3918" priority="3868">
      <formula>LEN(TRIM(O62))=0</formula>
    </cfRule>
  </conditionalFormatting>
  <conditionalFormatting sqref="O63:Q63">
    <cfRule type="containsBlanks" dxfId="3917" priority="3867">
      <formula>LEN(TRIM(O63))=0</formula>
    </cfRule>
  </conditionalFormatting>
  <conditionalFormatting sqref="O65:Q65">
    <cfRule type="containsBlanks" dxfId="3916" priority="3866">
      <formula>LEN(TRIM(O65))=0</formula>
    </cfRule>
  </conditionalFormatting>
  <conditionalFormatting sqref="N61:T61">
    <cfRule type="containsBlanks" dxfId="3915" priority="3865">
      <formula>LEN(TRIM(N61))=0</formula>
    </cfRule>
  </conditionalFormatting>
  <conditionalFormatting sqref="M78:S78">
    <cfRule type="containsBlanks" dxfId="3914" priority="3864">
      <formula>LEN(TRIM(M78))=0</formula>
    </cfRule>
  </conditionalFormatting>
  <conditionalFormatting sqref="N81:T81">
    <cfRule type="containsBlanks" dxfId="3913" priority="3863">
      <formula>LEN(TRIM(N81))=0</formula>
    </cfRule>
  </conditionalFormatting>
  <conditionalFormatting sqref="O83:Q83">
    <cfRule type="containsBlanks" dxfId="3912" priority="3862">
      <formula>LEN(TRIM(O83))=0</formula>
    </cfRule>
  </conditionalFormatting>
  <conditionalFormatting sqref="M85:T85">
    <cfRule type="containsBlanks" dxfId="3911" priority="3861">
      <formula>LEN(TRIM(M85))=0</formula>
    </cfRule>
  </conditionalFormatting>
  <conditionalFormatting sqref="M91:T91">
    <cfRule type="containsBlanks" dxfId="3910" priority="3860">
      <formula>LEN(TRIM(M91))=0</formula>
    </cfRule>
  </conditionalFormatting>
  <conditionalFormatting sqref="O92:S92">
    <cfRule type="containsBlanks" dxfId="3909" priority="3859">
      <formula>LEN(TRIM(O92))=0</formula>
    </cfRule>
  </conditionalFormatting>
  <conditionalFormatting sqref="M92:N92">
    <cfRule type="containsBlanks" dxfId="3908" priority="3858">
      <formula>LEN(TRIM(M92))=0</formula>
    </cfRule>
  </conditionalFormatting>
  <conditionalFormatting sqref="M55:T55">
    <cfRule type="containsBlanks" dxfId="3907" priority="3857">
      <formula>LEN(TRIM(M55))=0</formula>
    </cfRule>
  </conditionalFormatting>
  <conditionalFormatting sqref="M56:S56">
    <cfRule type="containsBlanks" dxfId="3906" priority="3856">
      <formula>LEN(TRIM(M56))=0</formula>
    </cfRule>
  </conditionalFormatting>
  <conditionalFormatting sqref="O49:Q49">
    <cfRule type="containsBlanks" dxfId="3905" priority="3855">
      <formula>LEN(TRIM(O49))=0</formula>
    </cfRule>
  </conditionalFormatting>
  <conditionalFormatting sqref="O51:Q51">
    <cfRule type="containsBlanks" dxfId="3904" priority="3854">
      <formula>LEN(TRIM(O51))=0</formula>
    </cfRule>
  </conditionalFormatting>
  <conditionalFormatting sqref="O53:Q53">
    <cfRule type="containsBlanks" dxfId="3903" priority="3853">
      <formula>LEN(TRIM(O53))=0</formula>
    </cfRule>
  </conditionalFormatting>
  <conditionalFormatting sqref="O66:Q66">
    <cfRule type="containsBlanks" dxfId="3902" priority="3852">
      <formula>LEN(TRIM(O66))=0</formula>
    </cfRule>
  </conditionalFormatting>
  <conditionalFormatting sqref="O67:Q67">
    <cfRule type="containsBlanks" dxfId="3901" priority="3851">
      <formula>LEN(TRIM(O67))=0</formula>
    </cfRule>
  </conditionalFormatting>
  <conditionalFormatting sqref="O69:Q69">
    <cfRule type="containsBlanks" dxfId="3900" priority="3850">
      <formula>LEN(TRIM(O69))=0</formula>
    </cfRule>
  </conditionalFormatting>
  <conditionalFormatting sqref="N65:T65">
    <cfRule type="containsBlanks" dxfId="3899" priority="3849">
      <formula>LEN(TRIM(N65))=0</formula>
    </cfRule>
  </conditionalFormatting>
  <conditionalFormatting sqref="M82:S82">
    <cfRule type="containsBlanks" dxfId="3898" priority="3848">
      <formula>LEN(TRIM(M82))=0</formula>
    </cfRule>
  </conditionalFormatting>
  <conditionalFormatting sqref="N85:T85">
    <cfRule type="containsBlanks" dxfId="3897" priority="3847">
      <formula>LEN(TRIM(N85))=0</formula>
    </cfRule>
  </conditionalFormatting>
  <conditionalFormatting sqref="O87:Q87">
    <cfRule type="containsBlanks" dxfId="3896" priority="3846">
      <formula>LEN(TRIM(O87))=0</formula>
    </cfRule>
  </conditionalFormatting>
  <conditionalFormatting sqref="M89:T89">
    <cfRule type="containsBlanks" dxfId="3895" priority="3845">
      <formula>LEN(TRIM(M89))=0</formula>
    </cfRule>
  </conditionalFormatting>
  <conditionalFormatting sqref="M95:T95">
    <cfRule type="containsBlanks" dxfId="3894" priority="3844">
      <formula>LEN(TRIM(M95))=0</formula>
    </cfRule>
  </conditionalFormatting>
  <conditionalFormatting sqref="O96:S96">
    <cfRule type="containsBlanks" dxfId="3893" priority="3843">
      <formula>LEN(TRIM(O96))=0</formula>
    </cfRule>
  </conditionalFormatting>
  <conditionalFormatting sqref="M96:N96">
    <cfRule type="containsBlanks" dxfId="3892" priority="3842">
      <formula>LEN(TRIM(M96))=0</formula>
    </cfRule>
  </conditionalFormatting>
  <conditionalFormatting sqref="M59:T59">
    <cfRule type="containsBlanks" dxfId="3891" priority="3841">
      <formula>LEN(TRIM(M59))=0</formula>
    </cfRule>
  </conditionalFormatting>
  <conditionalFormatting sqref="M60:S60">
    <cfRule type="containsBlanks" dxfId="3890" priority="3840">
      <formula>LEN(TRIM(M60))=0</formula>
    </cfRule>
  </conditionalFormatting>
  <conditionalFormatting sqref="O57:Q57">
    <cfRule type="containsBlanks" dxfId="3889" priority="3839">
      <formula>LEN(TRIM(O57))=0</formula>
    </cfRule>
  </conditionalFormatting>
  <conditionalFormatting sqref="O58:Q58">
    <cfRule type="containsBlanks" dxfId="3888" priority="3838">
      <formula>LEN(TRIM(O58))=0</formula>
    </cfRule>
  </conditionalFormatting>
  <conditionalFormatting sqref="O60:Q60">
    <cfRule type="containsBlanks" dxfId="3887" priority="3837">
      <formula>LEN(TRIM(O60))=0</formula>
    </cfRule>
  </conditionalFormatting>
  <conditionalFormatting sqref="N56:T56">
    <cfRule type="containsBlanks" dxfId="3886" priority="3836">
      <formula>LEN(TRIM(N56))=0</formula>
    </cfRule>
  </conditionalFormatting>
  <conditionalFormatting sqref="M73:S73">
    <cfRule type="containsBlanks" dxfId="3885" priority="3835">
      <formula>LEN(TRIM(M73))=0</formula>
    </cfRule>
  </conditionalFormatting>
  <conditionalFormatting sqref="N76:T76">
    <cfRule type="containsBlanks" dxfId="3884" priority="3834">
      <formula>LEN(TRIM(N76))=0</formula>
    </cfRule>
  </conditionalFormatting>
  <conditionalFormatting sqref="O78:Q78">
    <cfRule type="containsBlanks" dxfId="3883" priority="3833">
      <formula>LEN(TRIM(O78))=0</formula>
    </cfRule>
  </conditionalFormatting>
  <conditionalFormatting sqref="M80:T80">
    <cfRule type="containsBlanks" dxfId="3882" priority="3832">
      <formula>LEN(TRIM(M80))=0</formula>
    </cfRule>
  </conditionalFormatting>
  <conditionalFormatting sqref="M86:T86">
    <cfRule type="containsBlanks" dxfId="3881" priority="3831">
      <formula>LEN(TRIM(M86))=0</formula>
    </cfRule>
  </conditionalFormatting>
  <conditionalFormatting sqref="O87:S87">
    <cfRule type="containsBlanks" dxfId="3880" priority="3830">
      <formula>LEN(TRIM(O87))=0</formula>
    </cfRule>
  </conditionalFormatting>
  <conditionalFormatting sqref="M87:N87">
    <cfRule type="containsBlanks" dxfId="3879" priority="3829">
      <formula>LEN(TRIM(M87))=0</formula>
    </cfRule>
  </conditionalFormatting>
  <conditionalFormatting sqref="M50:T50">
    <cfRule type="containsBlanks" dxfId="3878" priority="3828">
      <formula>LEN(TRIM(M50))=0</formula>
    </cfRule>
  </conditionalFormatting>
  <conditionalFormatting sqref="M51:S51">
    <cfRule type="containsBlanks" dxfId="3877" priority="3827">
      <formula>LEN(TRIM(M51))=0</formula>
    </cfRule>
  </conditionalFormatting>
  <conditionalFormatting sqref="O45:Q45">
    <cfRule type="containsBlanks" dxfId="3876" priority="3826">
      <formula>LEN(TRIM(O45))=0</formula>
    </cfRule>
  </conditionalFormatting>
  <conditionalFormatting sqref="O52:Q52">
    <cfRule type="containsBlanks" dxfId="3875" priority="3825">
      <formula>LEN(TRIM(O52))=0</formula>
    </cfRule>
  </conditionalFormatting>
  <conditionalFormatting sqref="O49:Q49">
    <cfRule type="containsBlanks" dxfId="3874" priority="3824">
      <formula>LEN(TRIM(O49))=0</formula>
    </cfRule>
  </conditionalFormatting>
  <conditionalFormatting sqref="O50:Q50">
    <cfRule type="containsBlanks" dxfId="3873" priority="3823">
      <formula>LEN(TRIM(O50))=0</formula>
    </cfRule>
  </conditionalFormatting>
  <conditionalFormatting sqref="O54:Q54">
    <cfRule type="containsBlanks" dxfId="3872" priority="3822">
      <formula>LEN(TRIM(O54))=0</formula>
    </cfRule>
  </conditionalFormatting>
  <conditionalFormatting sqref="O56:Q56">
    <cfRule type="containsBlanks" dxfId="3871" priority="3821">
      <formula>LEN(TRIM(O56))=0</formula>
    </cfRule>
  </conditionalFormatting>
  <conditionalFormatting sqref="O58:Q58">
    <cfRule type="containsBlanks" dxfId="3870" priority="3820">
      <formula>LEN(TRIM(O58))=0</formula>
    </cfRule>
  </conditionalFormatting>
  <conditionalFormatting sqref="O71:Q71">
    <cfRule type="containsBlanks" dxfId="3869" priority="3819">
      <formula>LEN(TRIM(O71))=0</formula>
    </cfRule>
  </conditionalFormatting>
  <conditionalFormatting sqref="O72:Q72">
    <cfRule type="containsBlanks" dxfId="3868" priority="3818">
      <formula>LEN(TRIM(O72))=0</formula>
    </cfRule>
  </conditionalFormatting>
  <conditionalFormatting sqref="O74:Q74">
    <cfRule type="containsBlanks" dxfId="3867" priority="3817">
      <formula>LEN(TRIM(O74))=0</formula>
    </cfRule>
  </conditionalFormatting>
  <conditionalFormatting sqref="N70:T70">
    <cfRule type="containsBlanks" dxfId="3866" priority="3816">
      <formula>LEN(TRIM(N70))=0</formula>
    </cfRule>
  </conditionalFormatting>
  <conditionalFormatting sqref="M87:S87">
    <cfRule type="containsBlanks" dxfId="3865" priority="3815">
      <formula>LEN(TRIM(M87))=0</formula>
    </cfRule>
  </conditionalFormatting>
  <conditionalFormatting sqref="N90:T90">
    <cfRule type="containsBlanks" dxfId="3864" priority="3814">
      <formula>LEN(TRIM(N90))=0</formula>
    </cfRule>
  </conditionalFormatting>
  <conditionalFormatting sqref="O92:Q92">
    <cfRule type="containsBlanks" dxfId="3863" priority="3813">
      <formula>LEN(TRIM(O92))=0</formula>
    </cfRule>
  </conditionalFormatting>
  <conditionalFormatting sqref="M94:T94">
    <cfRule type="containsBlanks" dxfId="3862" priority="3812">
      <formula>LEN(TRIM(M94))=0</formula>
    </cfRule>
  </conditionalFormatting>
  <conditionalFormatting sqref="M100:T100">
    <cfRule type="containsBlanks" dxfId="3861" priority="3811">
      <formula>LEN(TRIM(M100))=0</formula>
    </cfRule>
  </conditionalFormatting>
  <conditionalFormatting sqref="O101:S101">
    <cfRule type="containsBlanks" dxfId="3860" priority="3810">
      <formula>LEN(TRIM(O101))=0</formula>
    </cfRule>
  </conditionalFormatting>
  <conditionalFormatting sqref="M101:N101">
    <cfRule type="containsBlanks" dxfId="3859" priority="3809">
      <formula>LEN(TRIM(M101))=0</formula>
    </cfRule>
  </conditionalFormatting>
  <conditionalFormatting sqref="M64:T64">
    <cfRule type="containsBlanks" dxfId="3858" priority="3808">
      <formula>LEN(TRIM(M64))=0</formula>
    </cfRule>
  </conditionalFormatting>
  <conditionalFormatting sqref="M65:S65">
    <cfRule type="containsBlanks" dxfId="3857" priority="3807">
      <formula>LEN(TRIM(M65))=0</formula>
    </cfRule>
  </conditionalFormatting>
  <conditionalFormatting sqref="O36:Q36">
    <cfRule type="containsBlanks" dxfId="3856" priority="3806">
      <formula>LEN(TRIM(O36))=0</formula>
    </cfRule>
  </conditionalFormatting>
  <conditionalFormatting sqref="O43:Q43">
    <cfRule type="containsBlanks" dxfId="3855" priority="3805">
      <formula>LEN(TRIM(O43))=0</formula>
    </cfRule>
  </conditionalFormatting>
  <conditionalFormatting sqref="O40:Q40">
    <cfRule type="containsBlanks" dxfId="3854" priority="3804">
      <formula>LEN(TRIM(O40))=0</formula>
    </cfRule>
  </conditionalFormatting>
  <conditionalFormatting sqref="O41:Q41">
    <cfRule type="containsBlanks" dxfId="3853" priority="3803">
      <formula>LEN(TRIM(O41))=0</formula>
    </cfRule>
  </conditionalFormatting>
  <conditionalFormatting sqref="O45:Q45">
    <cfRule type="containsBlanks" dxfId="3852" priority="3802">
      <formula>LEN(TRIM(O45))=0</formula>
    </cfRule>
  </conditionalFormatting>
  <conditionalFormatting sqref="O47:Q47">
    <cfRule type="containsBlanks" dxfId="3851" priority="3801">
      <formula>LEN(TRIM(O47))=0</formula>
    </cfRule>
  </conditionalFormatting>
  <conditionalFormatting sqref="O49:Q49">
    <cfRule type="containsBlanks" dxfId="3850" priority="3800">
      <formula>LEN(TRIM(O49))=0</formula>
    </cfRule>
  </conditionalFormatting>
  <conditionalFormatting sqref="O62:Q62">
    <cfRule type="containsBlanks" dxfId="3849" priority="3799">
      <formula>LEN(TRIM(O62))=0</formula>
    </cfRule>
  </conditionalFormatting>
  <conditionalFormatting sqref="O63:Q63">
    <cfRule type="containsBlanks" dxfId="3848" priority="3798">
      <formula>LEN(TRIM(O63))=0</formula>
    </cfRule>
  </conditionalFormatting>
  <conditionalFormatting sqref="O65:Q65">
    <cfRule type="containsBlanks" dxfId="3847" priority="3797">
      <formula>LEN(TRIM(O65))=0</formula>
    </cfRule>
  </conditionalFormatting>
  <conditionalFormatting sqref="N61:T61">
    <cfRule type="containsBlanks" dxfId="3846" priority="3796">
      <formula>LEN(TRIM(N61))=0</formula>
    </cfRule>
  </conditionalFormatting>
  <conditionalFormatting sqref="M78:S78">
    <cfRule type="containsBlanks" dxfId="3845" priority="3795">
      <formula>LEN(TRIM(M78))=0</formula>
    </cfRule>
  </conditionalFormatting>
  <conditionalFormatting sqref="N81:T81">
    <cfRule type="containsBlanks" dxfId="3844" priority="3794">
      <formula>LEN(TRIM(N81))=0</formula>
    </cfRule>
  </conditionalFormatting>
  <conditionalFormatting sqref="O83:Q83">
    <cfRule type="containsBlanks" dxfId="3843" priority="3793">
      <formula>LEN(TRIM(O83))=0</formula>
    </cfRule>
  </conditionalFormatting>
  <conditionalFormatting sqref="M85:T85">
    <cfRule type="containsBlanks" dxfId="3842" priority="3792">
      <formula>LEN(TRIM(M85))=0</formula>
    </cfRule>
  </conditionalFormatting>
  <conditionalFormatting sqref="M91:T91">
    <cfRule type="containsBlanks" dxfId="3841" priority="3791">
      <formula>LEN(TRIM(M91))=0</formula>
    </cfRule>
  </conditionalFormatting>
  <conditionalFormatting sqref="O92:S92">
    <cfRule type="containsBlanks" dxfId="3840" priority="3790">
      <formula>LEN(TRIM(O92))=0</formula>
    </cfRule>
  </conditionalFormatting>
  <conditionalFormatting sqref="M92:N92">
    <cfRule type="containsBlanks" dxfId="3839" priority="3789">
      <formula>LEN(TRIM(M92))=0</formula>
    </cfRule>
  </conditionalFormatting>
  <conditionalFormatting sqref="M55:T55">
    <cfRule type="containsBlanks" dxfId="3838" priority="3788">
      <formula>LEN(TRIM(M55))=0</formula>
    </cfRule>
  </conditionalFormatting>
  <conditionalFormatting sqref="M56:S56">
    <cfRule type="containsBlanks" dxfId="3837" priority="3787">
      <formula>LEN(TRIM(M56))=0</formula>
    </cfRule>
  </conditionalFormatting>
  <conditionalFormatting sqref="O40:Q40">
    <cfRule type="containsBlanks" dxfId="3836" priority="3786">
      <formula>LEN(TRIM(O40))=0</formula>
    </cfRule>
  </conditionalFormatting>
  <conditionalFormatting sqref="O47:Q47">
    <cfRule type="containsBlanks" dxfId="3835" priority="3785">
      <formula>LEN(TRIM(O47))=0</formula>
    </cfRule>
  </conditionalFormatting>
  <conditionalFormatting sqref="O44:Q44">
    <cfRule type="containsBlanks" dxfId="3834" priority="3784">
      <formula>LEN(TRIM(O44))=0</formula>
    </cfRule>
  </conditionalFormatting>
  <conditionalFormatting sqref="O45:Q45">
    <cfRule type="containsBlanks" dxfId="3833" priority="3783">
      <formula>LEN(TRIM(O45))=0</formula>
    </cfRule>
  </conditionalFormatting>
  <conditionalFormatting sqref="O49:Q49">
    <cfRule type="containsBlanks" dxfId="3832" priority="3782">
      <formula>LEN(TRIM(O49))=0</formula>
    </cfRule>
  </conditionalFormatting>
  <conditionalFormatting sqref="O51:Q51">
    <cfRule type="containsBlanks" dxfId="3831" priority="3781">
      <formula>LEN(TRIM(O51))=0</formula>
    </cfRule>
  </conditionalFormatting>
  <conditionalFormatting sqref="O53:Q53">
    <cfRule type="containsBlanks" dxfId="3830" priority="3780">
      <formula>LEN(TRIM(O53))=0</formula>
    </cfRule>
  </conditionalFormatting>
  <conditionalFormatting sqref="O66:Q66">
    <cfRule type="containsBlanks" dxfId="3829" priority="3779">
      <formula>LEN(TRIM(O66))=0</formula>
    </cfRule>
  </conditionalFormatting>
  <conditionalFormatting sqref="O67:Q67">
    <cfRule type="containsBlanks" dxfId="3828" priority="3778">
      <formula>LEN(TRIM(O67))=0</formula>
    </cfRule>
  </conditionalFormatting>
  <conditionalFormatting sqref="O69:Q69">
    <cfRule type="containsBlanks" dxfId="3827" priority="3777">
      <formula>LEN(TRIM(O69))=0</formula>
    </cfRule>
  </conditionalFormatting>
  <conditionalFormatting sqref="N65:T65">
    <cfRule type="containsBlanks" dxfId="3826" priority="3776">
      <formula>LEN(TRIM(N65))=0</formula>
    </cfRule>
  </conditionalFormatting>
  <conditionalFormatting sqref="M82:S82">
    <cfRule type="containsBlanks" dxfId="3825" priority="3775">
      <formula>LEN(TRIM(M82))=0</formula>
    </cfRule>
  </conditionalFormatting>
  <conditionalFormatting sqref="N85:T85">
    <cfRule type="containsBlanks" dxfId="3824" priority="3774">
      <formula>LEN(TRIM(N85))=0</formula>
    </cfRule>
  </conditionalFormatting>
  <conditionalFormatting sqref="O87:Q87">
    <cfRule type="containsBlanks" dxfId="3823" priority="3773">
      <formula>LEN(TRIM(O87))=0</formula>
    </cfRule>
  </conditionalFormatting>
  <conditionalFormatting sqref="M89:T89">
    <cfRule type="containsBlanks" dxfId="3822" priority="3772">
      <formula>LEN(TRIM(M89))=0</formula>
    </cfRule>
  </conditionalFormatting>
  <conditionalFormatting sqref="M95:T95">
    <cfRule type="containsBlanks" dxfId="3821" priority="3771">
      <formula>LEN(TRIM(M95))=0</formula>
    </cfRule>
  </conditionalFormatting>
  <conditionalFormatting sqref="O96:S96">
    <cfRule type="containsBlanks" dxfId="3820" priority="3770">
      <formula>LEN(TRIM(O96))=0</formula>
    </cfRule>
  </conditionalFormatting>
  <conditionalFormatting sqref="M96:N96">
    <cfRule type="containsBlanks" dxfId="3819" priority="3769">
      <formula>LEN(TRIM(M96))=0</formula>
    </cfRule>
  </conditionalFormatting>
  <conditionalFormatting sqref="M59:T59">
    <cfRule type="containsBlanks" dxfId="3818" priority="3768">
      <formula>LEN(TRIM(M59))=0</formula>
    </cfRule>
  </conditionalFormatting>
  <conditionalFormatting sqref="M60:S60">
    <cfRule type="containsBlanks" dxfId="3817" priority="3767">
      <formula>LEN(TRIM(M60))=0</formula>
    </cfRule>
  </conditionalFormatting>
  <conditionalFormatting sqref="O31:Q31">
    <cfRule type="containsBlanks" dxfId="3816" priority="3766">
      <formula>LEN(TRIM(O31))=0</formula>
    </cfRule>
  </conditionalFormatting>
  <conditionalFormatting sqref="O38:Q38">
    <cfRule type="containsBlanks" dxfId="3815" priority="3765">
      <formula>LEN(TRIM(O38))=0</formula>
    </cfRule>
  </conditionalFormatting>
  <conditionalFormatting sqref="O35:Q35">
    <cfRule type="containsBlanks" dxfId="3814" priority="3764">
      <formula>LEN(TRIM(O35))=0</formula>
    </cfRule>
  </conditionalFormatting>
  <conditionalFormatting sqref="O36:Q36">
    <cfRule type="containsBlanks" dxfId="3813" priority="3763">
      <formula>LEN(TRIM(O36))=0</formula>
    </cfRule>
  </conditionalFormatting>
  <conditionalFormatting sqref="O40:Q40">
    <cfRule type="containsBlanks" dxfId="3812" priority="3762">
      <formula>LEN(TRIM(O40))=0</formula>
    </cfRule>
  </conditionalFormatting>
  <conditionalFormatting sqref="O42:Q42">
    <cfRule type="containsBlanks" dxfId="3811" priority="3761">
      <formula>LEN(TRIM(O42))=0</formula>
    </cfRule>
  </conditionalFormatting>
  <conditionalFormatting sqref="O44:Q44">
    <cfRule type="containsBlanks" dxfId="3810" priority="3760">
      <formula>LEN(TRIM(O44))=0</formula>
    </cfRule>
  </conditionalFormatting>
  <conditionalFormatting sqref="O57:Q57">
    <cfRule type="containsBlanks" dxfId="3809" priority="3759">
      <formula>LEN(TRIM(O57))=0</formula>
    </cfRule>
  </conditionalFormatting>
  <conditionalFormatting sqref="O58:Q58">
    <cfRule type="containsBlanks" dxfId="3808" priority="3758">
      <formula>LEN(TRIM(O58))=0</formula>
    </cfRule>
  </conditionalFormatting>
  <conditionalFormatting sqref="O60:Q60">
    <cfRule type="containsBlanks" dxfId="3807" priority="3757">
      <formula>LEN(TRIM(O60))=0</formula>
    </cfRule>
  </conditionalFormatting>
  <conditionalFormatting sqref="N56:T56">
    <cfRule type="containsBlanks" dxfId="3806" priority="3756">
      <formula>LEN(TRIM(N56))=0</formula>
    </cfRule>
  </conditionalFormatting>
  <conditionalFormatting sqref="M73:S73">
    <cfRule type="containsBlanks" dxfId="3805" priority="3755">
      <formula>LEN(TRIM(M73))=0</formula>
    </cfRule>
  </conditionalFormatting>
  <conditionalFormatting sqref="N76:T76">
    <cfRule type="containsBlanks" dxfId="3804" priority="3754">
      <formula>LEN(TRIM(N76))=0</formula>
    </cfRule>
  </conditionalFormatting>
  <conditionalFormatting sqref="O78:Q78">
    <cfRule type="containsBlanks" dxfId="3803" priority="3753">
      <formula>LEN(TRIM(O78))=0</formula>
    </cfRule>
  </conditionalFormatting>
  <conditionalFormatting sqref="M80:T80">
    <cfRule type="containsBlanks" dxfId="3802" priority="3752">
      <formula>LEN(TRIM(M80))=0</formula>
    </cfRule>
  </conditionalFormatting>
  <conditionalFormatting sqref="M86:T86">
    <cfRule type="containsBlanks" dxfId="3801" priority="3751">
      <formula>LEN(TRIM(M86))=0</formula>
    </cfRule>
  </conditionalFormatting>
  <conditionalFormatting sqref="O87:S87">
    <cfRule type="containsBlanks" dxfId="3800" priority="3750">
      <formula>LEN(TRIM(O87))=0</formula>
    </cfRule>
  </conditionalFormatting>
  <conditionalFormatting sqref="M87:N87">
    <cfRule type="containsBlanks" dxfId="3799" priority="3749">
      <formula>LEN(TRIM(M87))=0</formula>
    </cfRule>
  </conditionalFormatting>
  <conditionalFormatting sqref="M50:T50">
    <cfRule type="containsBlanks" dxfId="3798" priority="3748">
      <formula>LEN(TRIM(M50))=0</formula>
    </cfRule>
  </conditionalFormatting>
  <conditionalFormatting sqref="M51:S51">
    <cfRule type="containsBlanks" dxfId="3797" priority="3747">
      <formula>LEN(TRIM(M51))=0</formula>
    </cfRule>
  </conditionalFormatting>
  <conditionalFormatting sqref="O49:Q49">
    <cfRule type="containsBlanks" dxfId="3796" priority="3746">
      <formula>LEN(TRIM(O49))=0</formula>
    </cfRule>
  </conditionalFormatting>
  <conditionalFormatting sqref="O46:Q46">
    <cfRule type="containsBlanks" dxfId="3795" priority="3745">
      <formula>LEN(TRIM(O46))=0</formula>
    </cfRule>
  </conditionalFormatting>
  <conditionalFormatting sqref="O47:Q47">
    <cfRule type="containsBlanks" dxfId="3794" priority="3744">
      <formula>LEN(TRIM(O47))=0</formula>
    </cfRule>
  </conditionalFormatting>
  <conditionalFormatting sqref="O51:Q51">
    <cfRule type="containsBlanks" dxfId="3793" priority="3743">
      <formula>LEN(TRIM(O51))=0</formula>
    </cfRule>
  </conditionalFormatting>
  <conditionalFormatting sqref="O53:Q53">
    <cfRule type="containsBlanks" dxfId="3792" priority="3742">
      <formula>LEN(TRIM(O53))=0</formula>
    </cfRule>
  </conditionalFormatting>
  <conditionalFormatting sqref="O55:Q55">
    <cfRule type="containsBlanks" dxfId="3791" priority="3741">
      <formula>LEN(TRIM(O55))=0</formula>
    </cfRule>
  </conditionalFormatting>
  <conditionalFormatting sqref="O68:Q68">
    <cfRule type="containsBlanks" dxfId="3790" priority="3740">
      <formula>LEN(TRIM(O68))=0</formula>
    </cfRule>
  </conditionalFormatting>
  <conditionalFormatting sqref="O69:Q69">
    <cfRule type="containsBlanks" dxfId="3789" priority="3739">
      <formula>LEN(TRIM(O69))=0</formula>
    </cfRule>
  </conditionalFormatting>
  <conditionalFormatting sqref="O71:Q71">
    <cfRule type="containsBlanks" dxfId="3788" priority="3738">
      <formula>LEN(TRIM(O71))=0</formula>
    </cfRule>
  </conditionalFormatting>
  <conditionalFormatting sqref="N67:T67">
    <cfRule type="containsBlanks" dxfId="3787" priority="3737">
      <formula>LEN(TRIM(N67))=0</formula>
    </cfRule>
  </conditionalFormatting>
  <conditionalFormatting sqref="M84:S84">
    <cfRule type="containsBlanks" dxfId="3786" priority="3736">
      <formula>LEN(TRIM(M84))=0</formula>
    </cfRule>
  </conditionalFormatting>
  <conditionalFormatting sqref="N87:T87">
    <cfRule type="containsBlanks" dxfId="3785" priority="3735">
      <formula>LEN(TRIM(N87))=0</formula>
    </cfRule>
  </conditionalFormatting>
  <conditionalFormatting sqref="O89:Q89">
    <cfRule type="containsBlanks" dxfId="3784" priority="3734">
      <formula>LEN(TRIM(O89))=0</formula>
    </cfRule>
  </conditionalFormatting>
  <conditionalFormatting sqref="M91:T91">
    <cfRule type="containsBlanks" dxfId="3783" priority="3733">
      <formula>LEN(TRIM(M91))=0</formula>
    </cfRule>
  </conditionalFormatting>
  <conditionalFormatting sqref="M97:T97">
    <cfRule type="containsBlanks" dxfId="3782" priority="3732">
      <formula>LEN(TRIM(M97))=0</formula>
    </cfRule>
  </conditionalFormatting>
  <conditionalFormatting sqref="O98:S98">
    <cfRule type="containsBlanks" dxfId="3781" priority="3731">
      <formula>LEN(TRIM(O98))=0</formula>
    </cfRule>
  </conditionalFormatting>
  <conditionalFormatting sqref="M98:N98">
    <cfRule type="containsBlanks" dxfId="3780" priority="3730">
      <formula>LEN(TRIM(M98))=0</formula>
    </cfRule>
  </conditionalFormatting>
  <conditionalFormatting sqref="M61:T61">
    <cfRule type="containsBlanks" dxfId="3779" priority="3729">
      <formula>LEN(TRIM(M61))=0</formula>
    </cfRule>
  </conditionalFormatting>
  <conditionalFormatting sqref="M62:S62">
    <cfRule type="containsBlanks" dxfId="3778" priority="3728">
      <formula>LEN(TRIM(M62))=0</formula>
    </cfRule>
  </conditionalFormatting>
  <conditionalFormatting sqref="O46:Q46">
    <cfRule type="containsBlanks" dxfId="3777" priority="3727">
      <formula>LEN(TRIM(O46))=0</formula>
    </cfRule>
  </conditionalFormatting>
  <conditionalFormatting sqref="O59:Q59">
    <cfRule type="containsBlanks" dxfId="3776" priority="3726">
      <formula>LEN(TRIM(O59))=0</formula>
    </cfRule>
  </conditionalFormatting>
  <conditionalFormatting sqref="O60:Q60">
    <cfRule type="containsBlanks" dxfId="3775" priority="3725">
      <formula>LEN(TRIM(O60))=0</formula>
    </cfRule>
  </conditionalFormatting>
  <conditionalFormatting sqref="O62:Q62">
    <cfRule type="containsBlanks" dxfId="3774" priority="3724">
      <formula>LEN(TRIM(O62))=0</formula>
    </cfRule>
  </conditionalFormatting>
  <conditionalFormatting sqref="N58:T58">
    <cfRule type="containsBlanks" dxfId="3773" priority="3723">
      <formula>LEN(TRIM(N58))=0</formula>
    </cfRule>
  </conditionalFormatting>
  <conditionalFormatting sqref="M75:S75">
    <cfRule type="containsBlanks" dxfId="3772" priority="3722">
      <formula>LEN(TRIM(M75))=0</formula>
    </cfRule>
  </conditionalFormatting>
  <conditionalFormatting sqref="N78:T78">
    <cfRule type="containsBlanks" dxfId="3771" priority="3721">
      <formula>LEN(TRIM(N78))=0</formula>
    </cfRule>
  </conditionalFormatting>
  <conditionalFormatting sqref="O80:Q80">
    <cfRule type="containsBlanks" dxfId="3770" priority="3720">
      <formula>LEN(TRIM(O80))=0</formula>
    </cfRule>
  </conditionalFormatting>
  <conditionalFormatting sqref="M82:T82">
    <cfRule type="containsBlanks" dxfId="3769" priority="3719">
      <formula>LEN(TRIM(M82))=0</formula>
    </cfRule>
  </conditionalFormatting>
  <conditionalFormatting sqref="M88:T88">
    <cfRule type="containsBlanks" dxfId="3768" priority="3718">
      <formula>LEN(TRIM(M88))=0</formula>
    </cfRule>
  </conditionalFormatting>
  <conditionalFormatting sqref="O89:S89">
    <cfRule type="containsBlanks" dxfId="3767" priority="3717">
      <formula>LEN(TRIM(O89))=0</formula>
    </cfRule>
  </conditionalFormatting>
  <conditionalFormatting sqref="M89:N89">
    <cfRule type="containsBlanks" dxfId="3766" priority="3716">
      <formula>LEN(TRIM(M89))=0</formula>
    </cfRule>
  </conditionalFormatting>
  <conditionalFormatting sqref="M52:T52">
    <cfRule type="containsBlanks" dxfId="3765" priority="3715">
      <formula>LEN(TRIM(M52))=0</formula>
    </cfRule>
  </conditionalFormatting>
  <conditionalFormatting sqref="M53:S53">
    <cfRule type="containsBlanks" dxfId="3764" priority="3714">
      <formula>LEN(TRIM(M53))=0</formula>
    </cfRule>
  </conditionalFormatting>
  <conditionalFormatting sqref="O46:Q46">
    <cfRule type="containsBlanks" dxfId="3763" priority="3713">
      <formula>LEN(TRIM(O46))=0</formula>
    </cfRule>
  </conditionalFormatting>
  <conditionalFormatting sqref="O48:Q48">
    <cfRule type="containsBlanks" dxfId="3762" priority="3712">
      <formula>LEN(TRIM(O48))=0</formula>
    </cfRule>
  </conditionalFormatting>
  <conditionalFormatting sqref="O50:Q50">
    <cfRule type="containsBlanks" dxfId="3761" priority="3711">
      <formula>LEN(TRIM(O50))=0</formula>
    </cfRule>
  </conditionalFormatting>
  <conditionalFormatting sqref="O63:Q63">
    <cfRule type="containsBlanks" dxfId="3760" priority="3710">
      <formula>LEN(TRIM(O63))=0</formula>
    </cfRule>
  </conditionalFormatting>
  <conditionalFormatting sqref="O64:Q64">
    <cfRule type="containsBlanks" dxfId="3759" priority="3709">
      <formula>LEN(TRIM(O64))=0</formula>
    </cfRule>
  </conditionalFormatting>
  <conditionalFormatting sqref="O66:Q66">
    <cfRule type="containsBlanks" dxfId="3758" priority="3708">
      <formula>LEN(TRIM(O66))=0</formula>
    </cfRule>
  </conditionalFormatting>
  <conditionalFormatting sqref="N62:T62">
    <cfRule type="containsBlanks" dxfId="3757" priority="3707">
      <formula>LEN(TRIM(N62))=0</formula>
    </cfRule>
  </conditionalFormatting>
  <conditionalFormatting sqref="M79:S79">
    <cfRule type="containsBlanks" dxfId="3756" priority="3706">
      <formula>LEN(TRIM(M79))=0</formula>
    </cfRule>
  </conditionalFormatting>
  <conditionalFormatting sqref="N82:T82">
    <cfRule type="containsBlanks" dxfId="3755" priority="3705">
      <formula>LEN(TRIM(N82))=0</formula>
    </cfRule>
  </conditionalFormatting>
  <conditionalFormatting sqref="O84:Q84">
    <cfRule type="containsBlanks" dxfId="3754" priority="3704">
      <formula>LEN(TRIM(O84))=0</formula>
    </cfRule>
  </conditionalFormatting>
  <conditionalFormatting sqref="M86:T86">
    <cfRule type="containsBlanks" dxfId="3753" priority="3703">
      <formula>LEN(TRIM(M86))=0</formula>
    </cfRule>
  </conditionalFormatting>
  <conditionalFormatting sqref="M92:T92">
    <cfRule type="containsBlanks" dxfId="3752" priority="3702">
      <formula>LEN(TRIM(M92))=0</formula>
    </cfRule>
  </conditionalFormatting>
  <conditionalFormatting sqref="O93:S93">
    <cfRule type="containsBlanks" dxfId="3751" priority="3701">
      <formula>LEN(TRIM(O93))=0</formula>
    </cfRule>
  </conditionalFormatting>
  <conditionalFormatting sqref="M93:N93">
    <cfRule type="containsBlanks" dxfId="3750" priority="3700">
      <formula>LEN(TRIM(M93))=0</formula>
    </cfRule>
  </conditionalFormatting>
  <conditionalFormatting sqref="M56:T56">
    <cfRule type="containsBlanks" dxfId="3749" priority="3699">
      <formula>LEN(TRIM(M56))=0</formula>
    </cfRule>
  </conditionalFormatting>
  <conditionalFormatting sqref="M57:S57">
    <cfRule type="containsBlanks" dxfId="3748" priority="3698">
      <formula>LEN(TRIM(M57))=0</formula>
    </cfRule>
  </conditionalFormatting>
  <conditionalFormatting sqref="O54:Q54">
    <cfRule type="containsBlanks" dxfId="3747" priority="3697">
      <formula>LEN(TRIM(O54))=0</formula>
    </cfRule>
  </conditionalFormatting>
  <conditionalFormatting sqref="O55:Q55">
    <cfRule type="containsBlanks" dxfId="3746" priority="3696">
      <formula>LEN(TRIM(O55))=0</formula>
    </cfRule>
  </conditionalFormatting>
  <conditionalFormatting sqref="O57:Q57">
    <cfRule type="containsBlanks" dxfId="3745" priority="3695">
      <formula>LEN(TRIM(O57))=0</formula>
    </cfRule>
  </conditionalFormatting>
  <conditionalFormatting sqref="N53:T53">
    <cfRule type="containsBlanks" dxfId="3744" priority="3694">
      <formula>LEN(TRIM(N53))=0</formula>
    </cfRule>
  </conditionalFormatting>
  <conditionalFormatting sqref="M70:S70">
    <cfRule type="containsBlanks" dxfId="3743" priority="3693">
      <formula>LEN(TRIM(M70))=0</formula>
    </cfRule>
  </conditionalFormatting>
  <conditionalFormatting sqref="N73:T73">
    <cfRule type="containsBlanks" dxfId="3742" priority="3692">
      <formula>LEN(TRIM(N73))=0</formula>
    </cfRule>
  </conditionalFormatting>
  <conditionalFormatting sqref="O75:Q75">
    <cfRule type="containsBlanks" dxfId="3741" priority="3691">
      <formula>LEN(TRIM(O75))=0</formula>
    </cfRule>
  </conditionalFormatting>
  <conditionalFormatting sqref="M77:T77">
    <cfRule type="containsBlanks" dxfId="3740" priority="3690">
      <formula>LEN(TRIM(M77))=0</formula>
    </cfRule>
  </conditionalFormatting>
  <conditionalFormatting sqref="M83:T83">
    <cfRule type="containsBlanks" dxfId="3739" priority="3689">
      <formula>LEN(TRIM(M83))=0</formula>
    </cfRule>
  </conditionalFormatting>
  <conditionalFormatting sqref="O84:S84">
    <cfRule type="containsBlanks" dxfId="3738" priority="3688">
      <formula>LEN(TRIM(O84))=0</formula>
    </cfRule>
  </conditionalFormatting>
  <conditionalFormatting sqref="M84:N84">
    <cfRule type="containsBlanks" dxfId="3737" priority="3687">
      <formula>LEN(TRIM(M84))=0</formula>
    </cfRule>
  </conditionalFormatting>
  <conditionalFormatting sqref="M47:T47">
    <cfRule type="containsBlanks" dxfId="3736" priority="3686">
      <formula>LEN(TRIM(M47))=0</formula>
    </cfRule>
  </conditionalFormatting>
  <conditionalFormatting sqref="M48:S48">
    <cfRule type="containsBlanks" dxfId="3735" priority="3685">
      <formula>LEN(TRIM(M48))=0</formula>
    </cfRule>
  </conditionalFormatting>
  <conditionalFormatting sqref="O47:Q47">
    <cfRule type="containsBlanks" dxfId="3734" priority="3684">
      <formula>LEN(TRIM(O47))=0</formula>
    </cfRule>
  </conditionalFormatting>
  <conditionalFormatting sqref="O54:Q54">
    <cfRule type="containsBlanks" dxfId="3733" priority="3683">
      <formula>LEN(TRIM(O54))=0</formula>
    </cfRule>
  </conditionalFormatting>
  <conditionalFormatting sqref="O51:Q51">
    <cfRule type="containsBlanks" dxfId="3732" priority="3682">
      <formula>LEN(TRIM(O51))=0</formula>
    </cfRule>
  </conditionalFormatting>
  <conditionalFormatting sqref="O52:Q52">
    <cfRule type="containsBlanks" dxfId="3731" priority="3681">
      <formula>LEN(TRIM(O52))=0</formula>
    </cfRule>
  </conditionalFormatting>
  <conditionalFormatting sqref="O56:Q56">
    <cfRule type="containsBlanks" dxfId="3730" priority="3680">
      <formula>LEN(TRIM(O56))=0</formula>
    </cfRule>
  </conditionalFormatting>
  <conditionalFormatting sqref="O58:Q58">
    <cfRule type="containsBlanks" dxfId="3729" priority="3679">
      <formula>LEN(TRIM(O58))=0</formula>
    </cfRule>
  </conditionalFormatting>
  <conditionalFormatting sqref="O60:Q60">
    <cfRule type="containsBlanks" dxfId="3728" priority="3678">
      <formula>LEN(TRIM(O60))=0</formula>
    </cfRule>
  </conditionalFormatting>
  <conditionalFormatting sqref="O73:Q73">
    <cfRule type="containsBlanks" dxfId="3727" priority="3677">
      <formula>LEN(TRIM(O73))=0</formula>
    </cfRule>
  </conditionalFormatting>
  <conditionalFormatting sqref="O74:Q74">
    <cfRule type="containsBlanks" dxfId="3726" priority="3676">
      <formula>LEN(TRIM(O74))=0</formula>
    </cfRule>
  </conditionalFormatting>
  <conditionalFormatting sqref="O76:Q76">
    <cfRule type="containsBlanks" dxfId="3725" priority="3675">
      <formula>LEN(TRIM(O76))=0</formula>
    </cfRule>
  </conditionalFormatting>
  <conditionalFormatting sqref="N72:T72">
    <cfRule type="containsBlanks" dxfId="3724" priority="3674">
      <formula>LEN(TRIM(N72))=0</formula>
    </cfRule>
  </conditionalFormatting>
  <conditionalFormatting sqref="M89:S89">
    <cfRule type="containsBlanks" dxfId="3723" priority="3673">
      <formula>LEN(TRIM(M89))=0</formula>
    </cfRule>
  </conditionalFormatting>
  <conditionalFormatting sqref="N92:T92">
    <cfRule type="containsBlanks" dxfId="3722" priority="3672">
      <formula>LEN(TRIM(N92))=0</formula>
    </cfRule>
  </conditionalFormatting>
  <conditionalFormatting sqref="O94:Q94">
    <cfRule type="containsBlanks" dxfId="3721" priority="3671">
      <formula>LEN(TRIM(O94))=0</formula>
    </cfRule>
  </conditionalFormatting>
  <conditionalFormatting sqref="M96:T96">
    <cfRule type="containsBlanks" dxfId="3720" priority="3670">
      <formula>LEN(TRIM(M96))=0</formula>
    </cfRule>
  </conditionalFormatting>
  <conditionalFormatting sqref="M102:T102">
    <cfRule type="containsBlanks" dxfId="3719" priority="3669">
      <formula>LEN(TRIM(M102))=0</formula>
    </cfRule>
  </conditionalFormatting>
  <conditionalFormatting sqref="O103:S103">
    <cfRule type="containsBlanks" dxfId="3718" priority="3668">
      <formula>LEN(TRIM(O103))=0</formula>
    </cfRule>
  </conditionalFormatting>
  <conditionalFormatting sqref="M103:N103">
    <cfRule type="containsBlanks" dxfId="3717" priority="3667">
      <formula>LEN(TRIM(M103))=0</formula>
    </cfRule>
  </conditionalFormatting>
  <conditionalFormatting sqref="M66:T66">
    <cfRule type="containsBlanks" dxfId="3716" priority="3666">
      <formula>LEN(TRIM(M66))=0</formula>
    </cfRule>
  </conditionalFormatting>
  <conditionalFormatting sqref="M67:S67">
    <cfRule type="containsBlanks" dxfId="3715" priority="3665">
      <formula>LEN(TRIM(M67))=0</formula>
    </cfRule>
  </conditionalFormatting>
  <conditionalFormatting sqref="O38:Q38">
    <cfRule type="containsBlanks" dxfId="3714" priority="3664">
      <formula>LEN(TRIM(O38))=0</formula>
    </cfRule>
  </conditionalFormatting>
  <conditionalFormatting sqref="O45:Q45">
    <cfRule type="containsBlanks" dxfId="3713" priority="3663">
      <formula>LEN(TRIM(O45))=0</formula>
    </cfRule>
  </conditionalFormatting>
  <conditionalFormatting sqref="O42:Q42">
    <cfRule type="containsBlanks" dxfId="3712" priority="3662">
      <formula>LEN(TRIM(O42))=0</formula>
    </cfRule>
  </conditionalFormatting>
  <conditionalFormatting sqref="O43:Q43">
    <cfRule type="containsBlanks" dxfId="3711" priority="3661">
      <formula>LEN(TRIM(O43))=0</formula>
    </cfRule>
  </conditionalFormatting>
  <conditionalFormatting sqref="O47:Q47">
    <cfRule type="containsBlanks" dxfId="3710" priority="3660">
      <formula>LEN(TRIM(O47))=0</formula>
    </cfRule>
  </conditionalFormatting>
  <conditionalFormatting sqref="O49:Q49">
    <cfRule type="containsBlanks" dxfId="3709" priority="3659">
      <formula>LEN(TRIM(O49))=0</formula>
    </cfRule>
  </conditionalFormatting>
  <conditionalFormatting sqref="O51:Q51">
    <cfRule type="containsBlanks" dxfId="3708" priority="3658">
      <formula>LEN(TRIM(O51))=0</formula>
    </cfRule>
  </conditionalFormatting>
  <conditionalFormatting sqref="O64:Q64">
    <cfRule type="containsBlanks" dxfId="3707" priority="3657">
      <formula>LEN(TRIM(O64))=0</formula>
    </cfRule>
  </conditionalFormatting>
  <conditionalFormatting sqref="O65:Q65">
    <cfRule type="containsBlanks" dxfId="3706" priority="3656">
      <formula>LEN(TRIM(O65))=0</formula>
    </cfRule>
  </conditionalFormatting>
  <conditionalFormatting sqref="O67:Q67">
    <cfRule type="containsBlanks" dxfId="3705" priority="3655">
      <formula>LEN(TRIM(O67))=0</formula>
    </cfRule>
  </conditionalFormatting>
  <conditionalFormatting sqref="N63:T63">
    <cfRule type="containsBlanks" dxfId="3704" priority="3654">
      <formula>LEN(TRIM(N63))=0</formula>
    </cfRule>
  </conditionalFormatting>
  <conditionalFormatting sqref="M80:S80">
    <cfRule type="containsBlanks" dxfId="3703" priority="3653">
      <formula>LEN(TRIM(M80))=0</formula>
    </cfRule>
  </conditionalFormatting>
  <conditionalFormatting sqref="N83:T83">
    <cfRule type="containsBlanks" dxfId="3702" priority="3652">
      <formula>LEN(TRIM(N83))=0</formula>
    </cfRule>
  </conditionalFormatting>
  <conditionalFormatting sqref="O85:Q85">
    <cfRule type="containsBlanks" dxfId="3701" priority="3651">
      <formula>LEN(TRIM(O85))=0</formula>
    </cfRule>
  </conditionalFormatting>
  <conditionalFormatting sqref="M87:T87">
    <cfRule type="containsBlanks" dxfId="3700" priority="3650">
      <formula>LEN(TRIM(M87))=0</formula>
    </cfRule>
  </conditionalFormatting>
  <conditionalFormatting sqref="M93:T93">
    <cfRule type="containsBlanks" dxfId="3699" priority="3649">
      <formula>LEN(TRIM(M93))=0</formula>
    </cfRule>
  </conditionalFormatting>
  <conditionalFormatting sqref="O94:S94">
    <cfRule type="containsBlanks" dxfId="3698" priority="3648">
      <formula>LEN(TRIM(O94))=0</formula>
    </cfRule>
  </conditionalFormatting>
  <conditionalFormatting sqref="M94:N94">
    <cfRule type="containsBlanks" dxfId="3697" priority="3647">
      <formula>LEN(TRIM(M94))=0</formula>
    </cfRule>
  </conditionalFormatting>
  <conditionalFormatting sqref="M57:T57">
    <cfRule type="containsBlanks" dxfId="3696" priority="3646">
      <formula>LEN(TRIM(M57))=0</formula>
    </cfRule>
  </conditionalFormatting>
  <conditionalFormatting sqref="M58:S58">
    <cfRule type="containsBlanks" dxfId="3695" priority="3645">
      <formula>LEN(TRIM(M58))=0</formula>
    </cfRule>
  </conditionalFormatting>
  <conditionalFormatting sqref="O42:Q42">
    <cfRule type="containsBlanks" dxfId="3694" priority="3644">
      <formula>LEN(TRIM(O42))=0</formula>
    </cfRule>
  </conditionalFormatting>
  <conditionalFormatting sqref="O49:Q49">
    <cfRule type="containsBlanks" dxfId="3693" priority="3643">
      <formula>LEN(TRIM(O49))=0</formula>
    </cfRule>
  </conditionalFormatting>
  <conditionalFormatting sqref="O46:Q46">
    <cfRule type="containsBlanks" dxfId="3692" priority="3642">
      <formula>LEN(TRIM(O46))=0</formula>
    </cfRule>
  </conditionalFormatting>
  <conditionalFormatting sqref="O47:Q47">
    <cfRule type="containsBlanks" dxfId="3691" priority="3641">
      <formula>LEN(TRIM(O47))=0</formula>
    </cfRule>
  </conditionalFormatting>
  <conditionalFormatting sqref="O51:Q51">
    <cfRule type="containsBlanks" dxfId="3690" priority="3640">
      <formula>LEN(TRIM(O51))=0</formula>
    </cfRule>
  </conditionalFormatting>
  <conditionalFormatting sqref="O53:Q53">
    <cfRule type="containsBlanks" dxfId="3689" priority="3639">
      <formula>LEN(TRIM(O53))=0</formula>
    </cfRule>
  </conditionalFormatting>
  <conditionalFormatting sqref="O55:Q55">
    <cfRule type="containsBlanks" dxfId="3688" priority="3638">
      <formula>LEN(TRIM(O55))=0</formula>
    </cfRule>
  </conditionalFormatting>
  <conditionalFormatting sqref="O68:Q68">
    <cfRule type="containsBlanks" dxfId="3687" priority="3637">
      <formula>LEN(TRIM(O68))=0</formula>
    </cfRule>
  </conditionalFormatting>
  <conditionalFormatting sqref="O69:Q69">
    <cfRule type="containsBlanks" dxfId="3686" priority="3636">
      <formula>LEN(TRIM(O69))=0</formula>
    </cfRule>
  </conditionalFormatting>
  <conditionalFormatting sqref="O71:Q71">
    <cfRule type="containsBlanks" dxfId="3685" priority="3635">
      <formula>LEN(TRIM(O71))=0</formula>
    </cfRule>
  </conditionalFormatting>
  <conditionalFormatting sqref="N67:T67">
    <cfRule type="containsBlanks" dxfId="3684" priority="3634">
      <formula>LEN(TRIM(N67))=0</formula>
    </cfRule>
  </conditionalFormatting>
  <conditionalFormatting sqref="M84:S84">
    <cfRule type="containsBlanks" dxfId="3683" priority="3633">
      <formula>LEN(TRIM(M84))=0</formula>
    </cfRule>
  </conditionalFormatting>
  <conditionalFormatting sqref="N87:T87">
    <cfRule type="containsBlanks" dxfId="3682" priority="3632">
      <formula>LEN(TRIM(N87))=0</formula>
    </cfRule>
  </conditionalFormatting>
  <conditionalFormatting sqref="O89:Q89">
    <cfRule type="containsBlanks" dxfId="3681" priority="3631">
      <formula>LEN(TRIM(O89))=0</formula>
    </cfRule>
  </conditionalFormatting>
  <conditionalFormatting sqref="M91:T91">
    <cfRule type="containsBlanks" dxfId="3680" priority="3630">
      <formula>LEN(TRIM(M91))=0</formula>
    </cfRule>
  </conditionalFormatting>
  <conditionalFormatting sqref="M97:T97">
    <cfRule type="containsBlanks" dxfId="3679" priority="3629">
      <formula>LEN(TRIM(M97))=0</formula>
    </cfRule>
  </conditionalFormatting>
  <conditionalFormatting sqref="O98:S98">
    <cfRule type="containsBlanks" dxfId="3678" priority="3628">
      <formula>LEN(TRIM(O98))=0</formula>
    </cfRule>
  </conditionalFormatting>
  <conditionalFormatting sqref="M98:N98">
    <cfRule type="containsBlanks" dxfId="3677" priority="3627">
      <formula>LEN(TRIM(M98))=0</formula>
    </cfRule>
  </conditionalFormatting>
  <conditionalFormatting sqref="M61:T61">
    <cfRule type="containsBlanks" dxfId="3676" priority="3626">
      <formula>LEN(TRIM(M61))=0</formula>
    </cfRule>
  </conditionalFormatting>
  <conditionalFormatting sqref="M62:S62">
    <cfRule type="containsBlanks" dxfId="3675" priority="3625">
      <formula>LEN(TRIM(M62))=0</formula>
    </cfRule>
  </conditionalFormatting>
  <conditionalFormatting sqref="O33:Q33">
    <cfRule type="containsBlanks" dxfId="3674" priority="3624">
      <formula>LEN(TRIM(O33))=0</formula>
    </cfRule>
  </conditionalFormatting>
  <conditionalFormatting sqref="O40:Q40">
    <cfRule type="containsBlanks" dxfId="3673" priority="3623">
      <formula>LEN(TRIM(O40))=0</formula>
    </cfRule>
  </conditionalFormatting>
  <conditionalFormatting sqref="O37:Q37">
    <cfRule type="containsBlanks" dxfId="3672" priority="3622">
      <formula>LEN(TRIM(O37))=0</formula>
    </cfRule>
  </conditionalFormatting>
  <conditionalFormatting sqref="O38:Q38">
    <cfRule type="containsBlanks" dxfId="3671" priority="3621">
      <formula>LEN(TRIM(O38))=0</formula>
    </cfRule>
  </conditionalFormatting>
  <conditionalFormatting sqref="O42:Q42">
    <cfRule type="containsBlanks" dxfId="3670" priority="3620">
      <formula>LEN(TRIM(O42))=0</formula>
    </cfRule>
  </conditionalFormatting>
  <conditionalFormatting sqref="O44:Q44">
    <cfRule type="containsBlanks" dxfId="3669" priority="3619">
      <formula>LEN(TRIM(O44))=0</formula>
    </cfRule>
  </conditionalFormatting>
  <conditionalFormatting sqref="O46:Q46">
    <cfRule type="containsBlanks" dxfId="3668" priority="3618">
      <formula>LEN(TRIM(O46))=0</formula>
    </cfRule>
  </conditionalFormatting>
  <conditionalFormatting sqref="O59:Q59">
    <cfRule type="containsBlanks" dxfId="3667" priority="3617">
      <formula>LEN(TRIM(O59))=0</formula>
    </cfRule>
  </conditionalFormatting>
  <conditionalFormatting sqref="O60:Q60">
    <cfRule type="containsBlanks" dxfId="3666" priority="3616">
      <formula>LEN(TRIM(O60))=0</formula>
    </cfRule>
  </conditionalFormatting>
  <conditionalFormatting sqref="O62:Q62">
    <cfRule type="containsBlanks" dxfId="3665" priority="3615">
      <formula>LEN(TRIM(O62))=0</formula>
    </cfRule>
  </conditionalFormatting>
  <conditionalFormatting sqref="N58:T58">
    <cfRule type="containsBlanks" dxfId="3664" priority="3614">
      <formula>LEN(TRIM(N58))=0</formula>
    </cfRule>
  </conditionalFormatting>
  <conditionalFormatting sqref="M75:S75">
    <cfRule type="containsBlanks" dxfId="3663" priority="3613">
      <formula>LEN(TRIM(M75))=0</formula>
    </cfRule>
  </conditionalFormatting>
  <conditionalFormatting sqref="N78:T78">
    <cfRule type="containsBlanks" dxfId="3662" priority="3612">
      <formula>LEN(TRIM(N78))=0</formula>
    </cfRule>
  </conditionalFormatting>
  <conditionalFormatting sqref="O80:Q80">
    <cfRule type="containsBlanks" dxfId="3661" priority="3611">
      <formula>LEN(TRIM(O80))=0</formula>
    </cfRule>
  </conditionalFormatting>
  <conditionalFormatting sqref="M82:T82">
    <cfRule type="containsBlanks" dxfId="3660" priority="3610">
      <formula>LEN(TRIM(M82))=0</formula>
    </cfRule>
  </conditionalFormatting>
  <conditionalFormatting sqref="M88:T88">
    <cfRule type="containsBlanks" dxfId="3659" priority="3609">
      <formula>LEN(TRIM(M88))=0</formula>
    </cfRule>
  </conditionalFormatting>
  <conditionalFormatting sqref="O89:S89">
    <cfRule type="containsBlanks" dxfId="3658" priority="3608">
      <formula>LEN(TRIM(O89))=0</formula>
    </cfRule>
  </conditionalFormatting>
  <conditionalFormatting sqref="M89:N89">
    <cfRule type="containsBlanks" dxfId="3657" priority="3607">
      <formula>LEN(TRIM(M89))=0</formula>
    </cfRule>
  </conditionalFormatting>
  <conditionalFormatting sqref="M52:T52">
    <cfRule type="containsBlanks" dxfId="3656" priority="3606">
      <formula>LEN(TRIM(M52))=0</formula>
    </cfRule>
  </conditionalFormatting>
  <conditionalFormatting sqref="M53:S53">
    <cfRule type="containsBlanks" dxfId="3655" priority="3605">
      <formula>LEN(TRIM(M53))=0</formula>
    </cfRule>
  </conditionalFormatting>
  <conditionalFormatting sqref="O51:Q51">
    <cfRule type="containsBlanks" dxfId="3654" priority="3604">
      <formula>LEN(TRIM(O51))=0</formula>
    </cfRule>
  </conditionalFormatting>
  <conditionalFormatting sqref="O48:Q48">
    <cfRule type="containsBlanks" dxfId="3653" priority="3603">
      <formula>LEN(TRIM(O48))=0</formula>
    </cfRule>
  </conditionalFormatting>
  <conditionalFormatting sqref="O49:Q49">
    <cfRule type="containsBlanks" dxfId="3652" priority="3602">
      <formula>LEN(TRIM(O49))=0</formula>
    </cfRule>
  </conditionalFormatting>
  <conditionalFormatting sqref="O53:Q53">
    <cfRule type="containsBlanks" dxfId="3651" priority="3601">
      <formula>LEN(TRIM(O53))=0</formula>
    </cfRule>
  </conditionalFormatting>
  <conditionalFormatting sqref="O55:Q55">
    <cfRule type="containsBlanks" dxfId="3650" priority="3600">
      <formula>LEN(TRIM(O55))=0</formula>
    </cfRule>
  </conditionalFormatting>
  <conditionalFormatting sqref="O57:Q57">
    <cfRule type="containsBlanks" dxfId="3649" priority="3599">
      <formula>LEN(TRIM(O57))=0</formula>
    </cfRule>
  </conditionalFormatting>
  <conditionalFormatting sqref="O70:Q70">
    <cfRule type="containsBlanks" dxfId="3648" priority="3598">
      <formula>LEN(TRIM(O70))=0</formula>
    </cfRule>
  </conditionalFormatting>
  <conditionalFormatting sqref="O71:Q71">
    <cfRule type="containsBlanks" dxfId="3647" priority="3597">
      <formula>LEN(TRIM(O71))=0</formula>
    </cfRule>
  </conditionalFormatting>
  <conditionalFormatting sqref="O73:Q73">
    <cfRule type="containsBlanks" dxfId="3646" priority="3596">
      <formula>LEN(TRIM(O73))=0</formula>
    </cfRule>
  </conditionalFormatting>
  <conditionalFormatting sqref="N69:T69">
    <cfRule type="containsBlanks" dxfId="3645" priority="3595">
      <formula>LEN(TRIM(N69))=0</formula>
    </cfRule>
  </conditionalFormatting>
  <conditionalFormatting sqref="M86:S86">
    <cfRule type="containsBlanks" dxfId="3644" priority="3594">
      <formula>LEN(TRIM(M86))=0</formula>
    </cfRule>
  </conditionalFormatting>
  <conditionalFormatting sqref="N89:T89">
    <cfRule type="containsBlanks" dxfId="3643" priority="3593">
      <formula>LEN(TRIM(N89))=0</formula>
    </cfRule>
  </conditionalFormatting>
  <conditionalFormatting sqref="O91:Q91">
    <cfRule type="containsBlanks" dxfId="3642" priority="3592">
      <formula>LEN(TRIM(O91))=0</formula>
    </cfRule>
  </conditionalFormatting>
  <conditionalFormatting sqref="M93:T93">
    <cfRule type="containsBlanks" dxfId="3641" priority="3591">
      <formula>LEN(TRIM(M93))=0</formula>
    </cfRule>
  </conditionalFormatting>
  <conditionalFormatting sqref="O100:S100">
    <cfRule type="containsBlanks" dxfId="3640" priority="3589">
      <formula>LEN(TRIM(O100))=0</formula>
    </cfRule>
  </conditionalFormatting>
  <conditionalFormatting sqref="M100:N100">
    <cfRule type="containsBlanks" dxfId="3639" priority="3588">
      <formula>LEN(TRIM(M100))=0</formula>
    </cfRule>
  </conditionalFormatting>
  <conditionalFormatting sqref="M63:T63">
    <cfRule type="containsBlanks" dxfId="3638" priority="3587">
      <formula>LEN(TRIM(M63))=0</formula>
    </cfRule>
  </conditionalFormatting>
  <conditionalFormatting sqref="M64:S64">
    <cfRule type="containsBlanks" dxfId="3637" priority="3586">
      <formula>LEN(TRIM(M64))=0</formula>
    </cfRule>
  </conditionalFormatting>
  <conditionalFormatting sqref="O48:Q48">
    <cfRule type="containsBlanks" dxfId="3636" priority="3585">
      <formula>LEN(TRIM(O48))=0</formula>
    </cfRule>
  </conditionalFormatting>
  <conditionalFormatting sqref="O61:Q61">
    <cfRule type="containsBlanks" dxfId="3635" priority="3584">
      <formula>LEN(TRIM(O61))=0</formula>
    </cfRule>
  </conditionalFormatting>
  <conditionalFormatting sqref="O62:Q62">
    <cfRule type="containsBlanks" dxfId="3634" priority="3583">
      <formula>LEN(TRIM(O62))=0</formula>
    </cfRule>
  </conditionalFormatting>
  <conditionalFormatting sqref="O64:Q64">
    <cfRule type="containsBlanks" dxfId="3633" priority="3582">
      <formula>LEN(TRIM(O64))=0</formula>
    </cfRule>
  </conditionalFormatting>
  <conditionalFormatting sqref="N60:T60">
    <cfRule type="containsBlanks" dxfId="3632" priority="3581">
      <formula>LEN(TRIM(N60))=0</formula>
    </cfRule>
  </conditionalFormatting>
  <conditionalFormatting sqref="M77:S77">
    <cfRule type="containsBlanks" dxfId="3631" priority="3580">
      <formula>LEN(TRIM(M77))=0</formula>
    </cfRule>
  </conditionalFormatting>
  <conditionalFormatting sqref="N80:T80">
    <cfRule type="containsBlanks" dxfId="3630" priority="3579">
      <formula>LEN(TRIM(N80))=0</formula>
    </cfRule>
  </conditionalFormatting>
  <conditionalFormatting sqref="O82:Q82">
    <cfRule type="containsBlanks" dxfId="3629" priority="3578">
      <formula>LEN(TRIM(O82))=0</formula>
    </cfRule>
  </conditionalFormatting>
  <conditionalFormatting sqref="M84:T84">
    <cfRule type="containsBlanks" dxfId="3628" priority="3577">
      <formula>LEN(TRIM(M84))=0</formula>
    </cfRule>
  </conditionalFormatting>
  <conditionalFormatting sqref="M90:T90">
    <cfRule type="containsBlanks" dxfId="3627" priority="3576">
      <formula>LEN(TRIM(M90))=0</formula>
    </cfRule>
  </conditionalFormatting>
  <conditionalFormatting sqref="O91:S91">
    <cfRule type="containsBlanks" dxfId="3626" priority="3575">
      <formula>LEN(TRIM(O91))=0</formula>
    </cfRule>
  </conditionalFormatting>
  <conditionalFormatting sqref="M91:N91">
    <cfRule type="containsBlanks" dxfId="3625" priority="3574">
      <formula>LEN(TRIM(M91))=0</formula>
    </cfRule>
  </conditionalFormatting>
  <conditionalFormatting sqref="M54:T54">
    <cfRule type="containsBlanks" dxfId="3624" priority="3573">
      <formula>LEN(TRIM(M54))=0</formula>
    </cfRule>
  </conditionalFormatting>
  <conditionalFormatting sqref="M55:S55">
    <cfRule type="containsBlanks" dxfId="3623" priority="3572">
      <formula>LEN(TRIM(M55))=0</formula>
    </cfRule>
  </conditionalFormatting>
  <conditionalFormatting sqref="O48:Q48">
    <cfRule type="containsBlanks" dxfId="3622" priority="3571">
      <formula>LEN(TRIM(O48))=0</formula>
    </cfRule>
  </conditionalFormatting>
  <conditionalFormatting sqref="O50:Q50">
    <cfRule type="containsBlanks" dxfId="3621" priority="3570">
      <formula>LEN(TRIM(O50))=0</formula>
    </cfRule>
  </conditionalFormatting>
  <conditionalFormatting sqref="O52:Q52">
    <cfRule type="containsBlanks" dxfId="3620" priority="3569">
      <formula>LEN(TRIM(O52))=0</formula>
    </cfRule>
  </conditionalFormatting>
  <conditionalFormatting sqref="O65:Q65">
    <cfRule type="containsBlanks" dxfId="3619" priority="3568">
      <formula>LEN(TRIM(O65))=0</formula>
    </cfRule>
  </conditionalFormatting>
  <conditionalFormatting sqref="O66:Q66">
    <cfRule type="containsBlanks" dxfId="3618" priority="3567">
      <formula>LEN(TRIM(O66))=0</formula>
    </cfRule>
  </conditionalFormatting>
  <conditionalFormatting sqref="O68:Q68">
    <cfRule type="containsBlanks" dxfId="3617" priority="3566">
      <formula>LEN(TRIM(O68))=0</formula>
    </cfRule>
  </conditionalFormatting>
  <conditionalFormatting sqref="N64:T64">
    <cfRule type="containsBlanks" dxfId="3616" priority="3565">
      <formula>LEN(TRIM(N64))=0</formula>
    </cfRule>
  </conditionalFormatting>
  <conditionalFormatting sqref="M81:S81">
    <cfRule type="containsBlanks" dxfId="3615" priority="3564">
      <formula>LEN(TRIM(M81))=0</formula>
    </cfRule>
  </conditionalFormatting>
  <conditionalFormatting sqref="N84:T84">
    <cfRule type="containsBlanks" dxfId="3614" priority="3563">
      <formula>LEN(TRIM(N84))=0</formula>
    </cfRule>
  </conditionalFormatting>
  <conditionalFormatting sqref="O86:Q86">
    <cfRule type="containsBlanks" dxfId="3613" priority="3562">
      <formula>LEN(TRIM(O86))=0</formula>
    </cfRule>
  </conditionalFormatting>
  <conditionalFormatting sqref="M88:T88">
    <cfRule type="containsBlanks" dxfId="3612" priority="3561">
      <formula>LEN(TRIM(M88))=0</formula>
    </cfRule>
  </conditionalFormatting>
  <conditionalFormatting sqref="M94:T94">
    <cfRule type="containsBlanks" dxfId="3611" priority="3560">
      <formula>LEN(TRIM(M94))=0</formula>
    </cfRule>
  </conditionalFormatting>
  <conditionalFormatting sqref="O95:S95">
    <cfRule type="containsBlanks" dxfId="3610" priority="3559">
      <formula>LEN(TRIM(O95))=0</formula>
    </cfRule>
  </conditionalFormatting>
  <conditionalFormatting sqref="M95:N95">
    <cfRule type="containsBlanks" dxfId="3609" priority="3558">
      <formula>LEN(TRIM(M95))=0</formula>
    </cfRule>
  </conditionalFormatting>
  <conditionalFormatting sqref="M58:T58">
    <cfRule type="containsBlanks" dxfId="3608" priority="3557">
      <formula>LEN(TRIM(M58))=0</formula>
    </cfRule>
  </conditionalFormatting>
  <conditionalFormatting sqref="M59:S59">
    <cfRule type="containsBlanks" dxfId="3607" priority="3556">
      <formula>LEN(TRIM(M59))=0</formula>
    </cfRule>
  </conditionalFormatting>
  <conditionalFormatting sqref="O56:Q56">
    <cfRule type="containsBlanks" dxfId="3606" priority="3555">
      <formula>LEN(TRIM(O56))=0</formula>
    </cfRule>
  </conditionalFormatting>
  <conditionalFormatting sqref="O57:Q57">
    <cfRule type="containsBlanks" dxfId="3605" priority="3554">
      <formula>LEN(TRIM(O57))=0</formula>
    </cfRule>
  </conditionalFormatting>
  <conditionalFormatting sqref="O59:Q59">
    <cfRule type="containsBlanks" dxfId="3604" priority="3553">
      <formula>LEN(TRIM(O59))=0</formula>
    </cfRule>
  </conditionalFormatting>
  <conditionalFormatting sqref="N55:T55">
    <cfRule type="containsBlanks" dxfId="3603" priority="3552">
      <formula>LEN(TRIM(N55))=0</formula>
    </cfRule>
  </conditionalFormatting>
  <conditionalFormatting sqref="M72:S72">
    <cfRule type="containsBlanks" dxfId="3602" priority="3551">
      <formula>LEN(TRIM(M72))=0</formula>
    </cfRule>
  </conditionalFormatting>
  <conditionalFormatting sqref="N75:T75">
    <cfRule type="containsBlanks" dxfId="3601" priority="3550">
      <formula>LEN(TRIM(N75))=0</formula>
    </cfRule>
  </conditionalFormatting>
  <conditionalFormatting sqref="O77:Q77">
    <cfRule type="containsBlanks" dxfId="3600" priority="3549">
      <formula>LEN(TRIM(O77))=0</formula>
    </cfRule>
  </conditionalFormatting>
  <conditionalFormatting sqref="M79:T79">
    <cfRule type="containsBlanks" dxfId="3599" priority="3548">
      <formula>LEN(TRIM(M79))=0</formula>
    </cfRule>
  </conditionalFormatting>
  <conditionalFormatting sqref="M85:T85">
    <cfRule type="containsBlanks" dxfId="3598" priority="3547">
      <formula>LEN(TRIM(M85))=0</formula>
    </cfRule>
  </conditionalFormatting>
  <conditionalFormatting sqref="O86:S86">
    <cfRule type="containsBlanks" dxfId="3597" priority="3546">
      <formula>LEN(TRIM(O86))=0</formula>
    </cfRule>
  </conditionalFormatting>
  <conditionalFormatting sqref="M86:N86">
    <cfRule type="containsBlanks" dxfId="3596" priority="3545">
      <formula>LEN(TRIM(M86))=0</formula>
    </cfRule>
  </conditionalFormatting>
  <conditionalFormatting sqref="M49:T49">
    <cfRule type="containsBlanks" dxfId="3595" priority="3544">
      <formula>LEN(TRIM(M49))=0</formula>
    </cfRule>
  </conditionalFormatting>
  <conditionalFormatting sqref="M50:S50">
    <cfRule type="containsBlanks" dxfId="3594" priority="3543">
      <formula>LEN(TRIM(M50))=0</formula>
    </cfRule>
  </conditionalFormatting>
  <conditionalFormatting sqref="O44:Q44">
    <cfRule type="containsBlanks" dxfId="3593" priority="3542">
      <formula>LEN(TRIM(O44))=0</formula>
    </cfRule>
  </conditionalFormatting>
  <conditionalFormatting sqref="O51:Q51">
    <cfRule type="containsBlanks" dxfId="3592" priority="3541">
      <formula>LEN(TRIM(O51))=0</formula>
    </cfRule>
  </conditionalFormatting>
  <conditionalFormatting sqref="O48:Q48">
    <cfRule type="containsBlanks" dxfId="3591" priority="3540">
      <formula>LEN(TRIM(O48))=0</formula>
    </cfRule>
  </conditionalFormatting>
  <conditionalFormatting sqref="O49:Q49">
    <cfRule type="containsBlanks" dxfId="3590" priority="3539">
      <formula>LEN(TRIM(O49))=0</formula>
    </cfRule>
  </conditionalFormatting>
  <conditionalFormatting sqref="O53:Q53">
    <cfRule type="containsBlanks" dxfId="3589" priority="3538">
      <formula>LEN(TRIM(O53))=0</formula>
    </cfRule>
  </conditionalFormatting>
  <conditionalFormatting sqref="O55:Q55">
    <cfRule type="containsBlanks" dxfId="3588" priority="3537">
      <formula>LEN(TRIM(O55))=0</formula>
    </cfRule>
  </conditionalFormatting>
  <conditionalFormatting sqref="O57:Q57">
    <cfRule type="containsBlanks" dxfId="3587" priority="3536">
      <formula>LEN(TRIM(O57))=0</formula>
    </cfRule>
  </conditionalFormatting>
  <conditionalFormatting sqref="O70:Q70">
    <cfRule type="containsBlanks" dxfId="3586" priority="3535">
      <formula>LEN(TRIM(O70))=0</formula>
    </cfRule>
  </conditionalFormatting>
  <conditionalFormatting sqref="O71:Q71">
    <cfRule type="containsBlanks" dxfId="3585" priority="3534">
      <formula>LEN(TRIM(O71))=0</formula>
    </cfRule>
  </conditionalFormatting>
  <conditionalFormatting sqref="O73:Q73">
    <cfRule type="containsBlanks" dxfId="3584" priority="3533">
      <formula>LEN(TRIM(O73))=0</formula>
    </cfRule>
  </conditionalFormatting>
  <conditionalFormatting sqref="N69:T69">
    <cfRule type="containsBlanks" dxfId="3583" priority="3532">
      <formula>LEN(TRIM(N69))=0</formula>
    </cfRule>
  </conditionalFormatting>
  <conditionalFormatting sqref="M86:S86">
    <cfRule type="containsBlanks" dxfId="3582" priority="3531">
      <formula>LEN(TRIM(M86))=0</formula>
    </cfRule>
  </conditionalFormatting>
  <conditionalFormatting sqref="N89:T89">
    <cfRule type="containsBlanks" dxfId="3581" priority="3530">
      <formula>LEN(TRIM(N89))=0</formula>
    </cfRule>
  </conditionalFormatting>
  <conditionalFormatting sqref="O91:Q91">
    <cfRule type="containsBlanks" dxfId="3580" priority="3529">
      <formula>LEN(TRIM(O91))=0</formula>
    </cfRule>
  </conditionalFormatting>
  <conditionalFormatting sqref="M93:T93">
    <cfRule type="containsBlanks" dxfId="3579" priority="3528">
      <formula>LEN(TRIM(M93))=0</formula>
    </cfRule>
  </conditionalFormatting>
  <conditionalFormatting sqref="O100:S100">
    <cfRule type="containsBlanks" dxfId="3578" priority="3526">
      <formula>LEN(TRIM(O100))=0</formula>
    </cfRule>
  </conditionalFormatting>
  <conditionalFormatting sqref="M100:N100">
    <cfRule type="containsBlanks" dxfId="3577" priority="3525">
      <formula>LEN(TRIM(M100))=0</formula>
    </cfRule>
  </conditionalFormatting>
  <conditionalFormatting sqref="M63:T63">
    <cfRule type="containsBlanks" dxfId="3576" priority="3524">
      <formula>LEN(TRIM(M63))=0</formula>
    </cfRule>
  </conditionalFormatting>
  <conditionalFormatting sqref="M64:S64">
    <cfRule type="containsBlanks" dxfId="3575" priority="3523">
      <formula>LEN(TRIM(M64))=0</formula>
    </cfRule>
  </conditionalFormatting>
  <conditionalFormatting sqref="O35:Q35">
    <cfRule type="containsBlanks" dxfId="3574" priority="3522">
      <formula>LEN(TRIM(O35))=0</formula>
    </cfRule>
  </conditionalFormatting>
  <conditionalFormatting sqref="O42:Q42">
    <cfRule type="containsBlanks" dxfId="3573" priority="3521">
      <formula>LEN(TRIM(O42))=0</formula>
    </cfRule>
  </conditionalFormatting>
  <conditionalFormatting sqref="O39:Q39">
    <cfRule type="containsBlanks" dxfId="3572" priority="3520">
      <formula>LEN(TRIM(O39))=0</formula>
    </cfRule>
  </conditionalFormatting>
  <conditionalFormatting sqref="O40:Q40">
    <cfRule type="containsBlanks" dxfId="3571" priority="3519">
      <formula>LEN(TRIM(O40))=0</formula>
    </cfRule>
  </conditionalFormatting>
  <conditionalFormatting sqref="O44:Q44">
    <cfRule type="containsBlanks" dxfId="3570" priority="3518">
      <formula>LEN(TRIM(O44))=0</formula>
    </cfRule>
  </conditionalFormatting>
  <conditionalFormatting sqref="O46:Q46">
    <cfRule type="containsBlanks" dxfId="3569" priority="3517">
      <formula>LEN(TRIM(O46))=0</formula>
    </cfRule>
  </conditionalFormatting>
  <conditionalFormatting sqref="O48:Q48">
    <cfRule type="containsBlanks" dxfId="3568" priority="3516">
      <formula>LEN(TRIM(O48))=0</formula>
    </cfRule>
  </conditionalFormatting>
  <conditionalFormatting sqref="O61:Q61">
    <cfRule type="containsBlanks" dxfId="3567" priority="3515">
      <formula>LEN(TRIM(O61))=0</formula>
    </cfRule>
  </conditionalFormatting>
  <conditionalFormatting sqref="O62:Q62">
    <cfRule type="containsBlanks" dxfId="3566" priority="3514">
      <formula>LEN(TRIM(O62))=0</formula>
    </cfRule>
  </conditionalFormatting>
  <conditionalFormatting sqref="O64:Q64">
    <cfRule type="containsBlanks" dxfId="3565" priority="3513">
      <formula>LEN(TRIM(O64))=0</formula>
    </cfRule>
  </conditionalFormatting>
  <conditionalFormatting sqref="N60:T60">
    <cfRule type="containsBlanks" dxfId="3564" priority="3512">
      <formula>LEN(TRIM(N60))=0</formula>
    </cfRule>
  </conditionalFormatting>
  <conditionalFormatting sqref="M77:S77">
    <cfRule type="containsBlanks" dxfId="3563" priority="3511">
      <formula>LEN(TRIM(M77))=0</formula>
    </cfRule>
  </conditionalFormatting>
  <conditionalFormatting sqref="N80:T80">
    <cfRule type="containsBlanks" dxfId="3562" priority="3510">
      <formula>LEN(TRIM(N80))=0</formula>
    </cfRule>
  </conditionalFormatting>
  <conditionalFormatting sqref="O82:Q82">
    <cfRule type="containsBlanks" dxfId="3561" priority="3509">
      <formula>LEN(TRIM(O82))=0</formula>
    </cfRule>
  </conditionalFormatting>
  <conditionalFormatting sqref="M84:T84">
    <cfRule type="containsBlanks" dxfId="3560" priority="3508">
      <formula>LEN(TRIM(M84))=0</formula>
    </cfRule>
  </conditionalFormatting>
  <conditionalFormatting sqref="M90:T90">
    <cfRule type="containsBlanks" dxfId="3559" priority="3507">
      <formula>LEN(TRIM(M90))=0</formula>
    </cfRule>
  </conditionalFormatting>
  <conditionalFormatting sqref="O91:S91">
    <cfRule type="containsBlanks" dxfId="3558" priority="3506">
      <formula>LEN(TRIM(O91))=0</formula>
    </cfRule>
  </conditionalFormatting>
  <conditionalFormatting sqref="M91:N91">
    <cfRule type="containsBlanks" dxfId="3557" priority="3505">
      <formula>LEN(TRIM(M91))=0</formula>
    </cfRule>
  </conditionalFormatting>
  <conditionalFormatting sqref="M54:T54">
    <cfRule type="containsBlanks" dxfId="3556" priority="3504">
      <formula>LEN(TRIM(M54))=0</formula>
    </cfRule>
  </conditionalFormatting>
  <conditionalFormatting sqref="M55:S55">
    <cfRule type="containsBlanks" dxfId="3555" priority="3503">
      <formula>LEN(TRIM(M55))=0</formula>
    </cfRule>
  </conditionalFormatting>
  <conditionalFormatting sqref="O39:Q39">
    <cfRule type="containsBlanks" dxfId="3554" priority="3502">
      <formula>LEN(TRIM(O39))=0</formula>
    </cfRule>
  </conditionalFormatting>
  <conditionalFormatting sqref="O46:Q46">
    <cfRule type="containsBlanks" dxfId="3553" priority="3501">
      <formula>LEN(TRIM(O46))=0</formula>
    </cfRule>
  </conditionalFormatting>
  <conditionalFormatting sqref="O43:Q43">
    <cfRule type="containsBlanks" dxfId="3552" priority="3500">
      <formula>LEN(TRIM(O43))=0</formula>
    </cfRule>
  </conditionalFormatting>
  <conditionalFormatting sqref="O44:Q44">
    <cfRule type="containsBlanks" dxfId="3551" priority="3499">
      <formula>LEN(TRIM(O44))=0</formula>
    </cfRule>
  </conditionalFormatting>
  <conditionalFormatting sqref="O48:Q48">
    <cfRule type="containsBlanks" dxfId="3550" priority="3498">
      <formula>LEN(TRIM(O48))=0</formula>
    </cfRule>
  </conditionalFormatting>
  <conditionalFormatting sqref="O50:Q50">
    <cfRule type="containsBlanks" dxfId="3549" priority="3497">
      <formula>LEN(TRIM(O50))=0</formula>
    </cfRule>
  </conditionalFormatting>
  <conditionalFormatting sqref="O52:Q52">
    <cfRule type="containsBlanks" dxfId="3548" priority="3496">
      <formula>LEN(TRIM(O52))=0</formula>
    </cfRule>
  </conditionalFormatting>
  <conditionalFormatting sqref="O65:Q65">
    <cfRule type="containsBlanks" dxfId="3547" priority="3495">
      <formula>LEN(TRIM(O65))=0</formula>
    </cfRule>
  </conditionalFormatting>
  <conditionalFormatting sqref="O66:Q66">
    <cfRule type="containsBlanks" dxfId="3546" priority="3494">
      <formula>LEN(TRIM(O66))=0</formula>
    </cfRule>
  </conditionalFormatting>
  <conditionalFormatting sqref="O68:Q68">
    <cfRule type="containsBlanks" dxfId="3545" priority="3493">
      <formula>LEN(TRIM(O68))=0</formula>
    </cfRule>
  </conditionalFormatting>
  <conditionalFormatting sqref="N64:T64">
    <cfRule type="containsBlanks" dxfId="3544" priority="3492">
      <formula>LEN(TRIM(N64))=0</formula>
    </cfRule>
  </conditionalFormatting>
  <conditionalFormatting sqref="M81:S81">
    <cfRule type="containsBlanks" dxfId="3543" priority="3491">
      <formula>LEN(TRIM(M81))=0</formula>
    </cfRule>
  </conditionalFormatting>
  <conditionalFormatting sqref="N84:T84">
    <cfRule type="containsBlanks" dxfId="3542" priority="3490">
      <formula>LEN(TRIM(N84))=0</formula>
    </cfRule>
  </conditionalFormatting>
  <conditionalFormatting sqref="O86:Q86">
    <cfRule type="containsBlanks" dxfId="3541" priority="3489">
      <formula>LEN(TRIM(O86))=0</formula>
    </cfRule>
  </conditionalFormatting>
  <conditionalFormatting sqref="M88:T88">
    <cfRule type="containsBlanks" dxfId="3540" priority="3488">
      <formula>LEN(TRIM(M88))=0</formula>
    </cfRule>
  </conditionalFormatting>
  <conditionalFormatting sqref="M94:T94">
    <cfRule type="containsBlanks" dxfId="3539" priority="3487">
      <formula>LEN(TRIM(M94))=0</formula>
    </cfRule>
  </conditionalFormatting>
  <conditionalFormatting sqref="O95:S95">
    <cfRule type="containsBlanks" dxfId="3538" priority="3486">
      <formula>LEN(TRIM(O95))=0</formula>
    </cfRule>
  </conditionalFormatting>
  <conditionalFormatting sqref="M95:N95">
    <cfRule type="containsBlanks" dxfId="3537" priority="3485">
      <formula>LEN(TRIM(M95))=0</formula>
    </cfRule>
  </conditionalFormatting>
  <conditionalFormatting sqref="M58:T58">
    <cfRule type="containsBlanks" dxfId="3536" priority="3484">
      <formula>LEN(TRIM(M58))=0</formula>
    </cfRule>
  </conditionalFormatting>
  <conditionalFormatting sqref="M59:S59">
    <cfRule type="containsBlanks" dxfId="3535" priority="3483">
      <formula>LEN(TRIM(M59))=0</formula>
    </cfRule>
  </conditionalFormatting>
  <conditionalFormatting sqref="O30:Q30">
    <cfRule type="containsBlanks" dxfId="3534" priority="3482">
      <formula>LEN(TRIM(O30))=0</formula>
    </cfRule>
  </conditionalFormatting>
  <conditionalFormatting sqref="O37:Q37">
    <cfRule type="containsBlanks" dxfId="3533" priority="3481">
      <formula>LEN(TRIM(O37))=0</formula>
    </cfRule>
  </conditionalFormatting>
  <conditionalFormatting sqref="O34:Q34">
    <cfRule type="containsBlanks" dxfId="3532" priority="3480">
      <formula>LEN(TRIM(O34))=0</formula>
    </cfRule>
  </conditionalFormatting>
  <conditionalFormatting sqref="O35:Q35">
    <cfRule type="containsBlanks" dxfId="3531" priority="3479">
      <formula>LEN(TRIM(O35))=0</formula>
    </cfRule>
  </conditionalFormatting>
  <conditionalFormatting sqref="O39:Q39">
    <cfRule type="containsBlanks" dxfId="3530" priority="3478">
      <formula>LEN(TRIM(O39))=0</formula>
    </cfRule>
  </conditionalFormatting>
  <conditionalFormatting sqref="O41:Q41">
    <cfRule type="containsBlanks" dxfId="3529" priority="3477">
      <formula>LEN(TRIM(O41))=0</formula>
    </cfRule>
  </conditionalFormatting>
  <conditionalFormatting sqref="O43:Q43">
    <cfRule type="containsBlanks" dxfId="3528" priority="3476">
      <formula>LEN(TRIM(O43))=0</formula>
    </cfRule>
  </conditionalFormatting>
  <conditionalFormatting sqref="O56:Q56">
    <cfRule type="containsBlanks" dxfId="3527" priority="3475">
      <formula>LEN(TRIM(O56))=0</formula>
    </cfRule>
  </conditionalFormatting>
  <conditionalFormatting sqref="O57:Q57">
    <cfRule type="containsBlanks" dxfId="3526" priority="3474">
      <formula>LEN(TRIM(O57))=0</formula>
    </cfRule>
  </conditionalFormatting>
  <conditionalFormatting sqref="O59:Q59">
    <cfRule type="containsBlanks" dxfId="3525" priority="3473">
      <formula>LEN(TRIM(O59))=0</formula>
    </cfRule>
  </conditionalFormatting>
  <conditionalFormatting sqref="N55:T55">
    <cfRule type="containsBlanks" dxfId="3524" priority="3472">
      <formula>LEN(TRIM(N55))=0</formula>
    </cfRule>
  </conditionalFormatting>
  <conditionalFormatting sqref="M72:S72">
    <cfRule type="containsBlanks" dxfId="3523" priority="3471">
      <formula>LEN(TRIM(M72))=0</formula>
    </cfRule>
  </conditionalFormatting>
  <conditionalFormatting sqref="N75:T75">
    <cfRule type="containsBlanks" dxfId="3522" priority="3470">
      <formula>LEN(TRIM(N75))=0</formula>
    </cfRule>
  </conditionalFormatting>
  <conditionalFormatting sqref="O77:Q77">
    <cfRule type="containsBlanks" dxfId="3521" priority="3469">
      <formula>LEN(TRIM(O77))=0</formula>
    </cfRule>
  </conditionalFormatting>
  <conditionalFormatting sqref="M79:T79">
    <cfRule type="containsBlanks" dxfId="3520" priority="3468">
      <formula>LEN(TRIM(M79))=0</formula>
    </cfRule>
  </conditionalFormatting>
  <conditionalFormatting sqref="M85:T85">
    <cfRule type="containsBlanks" dxfId="3519" priority="3467">
      <formula>LEN(TRIM(M85))=0</formula>
    </cfRule>
  </conditionalFormatting>
  <conditionalFormatting sqref="O86:S86">
    <cfRule type="containsBlanks" dxfId="3518" priority="3466">
      <formula>LEN(TRIM(O86))=0</formula>
    </cfRule>
  </conditionalFormatting>
  <conditionalFormatting sqref="M86:N86">
    <cfRule type="containsBlanks" dxfId="3517" priority="3465">
      <formula>LEN(TRIM(M86))=0</formula>
    </cfRule>
  </conditionalFormatting>
  <conditionalFormatting sqref="M49:T49">
    <cfRule type="containsBlanks" dxfId="3516" priority="3464">
      <formula>LEN(TRIM(M49))=0</formula>
    </cfRule>
  </conditionalFormatting>
  <conditionalFormatting sqref="M50:S50">
    <cfRule type="containsBlanks" dxfId="3515" priority="3463">
      <formula>LEN(TRIM(M50))=0</formula>
    </cfRule>
  </conditionalFormatting>
  <conditionalFormatting sqref="O48:Q48">
    <cfRule type="containsBlanks" dxfId="3514" priority="3462">
      <formula>LEN(TRIM(O48))=0</formula>
    </cfRule>
  </conditionalFormatting>
  <conditionalFormatting sqref="O45:Q45">
    <cfRule type="containsBlanks" dxfId="3513" priority="3461">
      <formula>LEN(TRIM(O45))=0</formula>
    </cfRule>
  </conditionalFormatting>
  <conditionalFormatting sqref="O46:Q46">
    <cfRule type="containsBlanks" dxfId="3512" priority="3460">
      <formula>LEN(TRIM(O46))=0</formula>
    </cfRule>
  </conditionalFormatting>
  <conditionalFormatting sqref="O50:Q50">
    <cfRule type="containsBlanks" dxfId="3511" priority="3459">
      <formula>LEN(TRIM(O50))=0</formula>
    </cfRule>
  </conditionalFormatting>
  <conditionalFormatting sqref="O52:Q52">
    <cfRule type="containsBlanks" dxfId="3510" priority="3458">
      <formula>LEN(TRIM(O52))=0</formula>
    </cfRule>
  </conditionalFormatting>
  <conditionalFormatting sqref="O54:Q54">
    <cfRule type="containsBlanks" dxfId="3509" priority="3457">
      <formula>LEN(TRIM(O54))=0</formula>
    </cfRule>
  </conditionalFormatting>
  <conditionalFormatting sqref="O67:Q67">
    <cfRule type="containsBlanks" dxfId="3508" priority="3456">
      <formula>LEN(TRIM(O67))=0</formula>
    </cfRule>
  </conditionalFormatting>
  <conditionalFormatting sqref="O68:Q68">
    <cfRule type="containsBlanks" dxfId="3507" priority="3455">
      <formula>LEN(TRIM(O68))=0</formula>
    </cfRule>
  </conditionalFormatting>
  <conditionalFormatting sqref="O70:Q70">
    <cfRule type="containsBlanks" dxfId="3506" priority="3454">
      <formula>LEN(TRIM(O70))=0</formula>
    </cfRule>
  </conditionalFormatting>
  <conditionalFormatting sqref="N66:T66">
    <cfRule type="containsBlanks" dxfId="3505" priority="3453">
      <formula>LEN(TRIM(N66))=0</formula>
    </cfRule>
  </conditionalFormatting>
  <conditionalFormatting sqref="M83:S83">
    <cfRule type="containsBlanks" dxfId="3504" priority="3452">
      <formula>LEN(TRIM(M83))=0</formula>
    </cfRule>
  </conditionalFormatting>
  <conditionalFormatting sqref="N86:T86">
    <cfRule type="containsBlanks" dxfId="3503" priority="3451">
      <formula>LEN(TRIM(N86))=0</formula>
    </cfRule>
  </conditionalFormatting>
  <conditionalFormatting sqref="O88:Q88">
    <cfRule type="containsBlanks" dxfId="3502" priority="3450">
      <formula>LEN(TRIM(O88))=0</formula>
    </cfRule>
  </conditionalFormatting>
  <conditionalFormatting sqref="M90:T90">
    <cfRule type="containsBlanks" dxfId="3501" priority="3449">
      <formula>LEN(TRIM(M90))=0</formula>
    </cfRule>
  </conditionalFormatting>
  <conditionalFormatting sqref="M96:T96">
    <cfRule type="containsBlanks" dxfId="3500" priority="3448">
      <formula>LEN(TRIM(M96))=0</formula>
    </cfRule>
  </conditionalFormatting>
  <conditionalFormatting sqref="O97:S97">
    <cfRule type="containsBlanks" dxfId="3499" priority="3447">
      <formula>LEN(TRIM(O97))=0</formula>
    </cfRule>
  </conditionalFormatting>
  <conditionalFormatting sqref="M97:N97">
    <cfRule type="containsBlanks" dxfId="3498" priority="3446">
      <formula>LEN(TRIM(M97))=0</formula>
    </cfRule>
  </conditionalFormatting>
  <conditionalFormatting sqref="M60:T60">
    <cfRule type="containsBlanks" dxfId="3497" priority="3445">
      <formula>LEN(TRIM(M60))=0</formula>
    </cfRule>
  </conditionalFormatting>
  <conditionalFormatting sqref="M61:S61">
    <cfRule type="containsBlanks" dxfId="3496" priority="3444">
      <formula>LEN(TRIM(M61))=0</formula>
    </cfRule>
  </conditionalFormatting>
  <conditionalFormatting sqref="O45:Q45">
    <cfRule type="containsBlanks" dxfId="3495" priority="3443">
      <formula>LEN(TRIM(O45))=0</formula>
    </cfRule>
  </conditionalFormatting>
  <conditionalFormatting sqref="O58:Q58">
    <cfRule type="containsBlanks" dxfId="3494" priority="3442">
      <formula>LEN(TRIM(O58))=0</formula>
    </cfRule>
  </conditionalFormatting>
  <conditionalFormatting sqref="O59:Q59">
    <cfRule type="containsBlanks" dxfId="3493" priority="3441">
      <formula>LEN(TRIM(O59))=0</formula>
    </cfRule>
  </conditionalFormatting>
  <conditionalFormatting sqref="O61:Q61">
    <cfRule type="containsBlanks" dxfId="3492" priority="3440">
      <formula>LEN(TRIM(O61))=0</formula>
    </cfRule>
  </conditionalFormatting>
  <conditionalFormatting sqref="N57:T57">
    <cfRule type="containsBlanks" dxfId="3491" priority="3439">
      <formula>LEN(TRIM(N57))=0</formula>
    </cfRule>
  </conditionalFormatting>
  <conditionalFormatting sqref="M74:S74">
    <cfRule type="containsBlanks" dxfId="3490" priority="3438">
      <formula>LEN(TRIM(M74))=0</formula>
    </cfRule>
  </conditionalFormatting>
  <conditionalFormatting sqref="N77:T77">
    <cfRule type="containsBlanks" dxfId="3489" priority="3437">
      <formula>LEN(TRIM(N77))=0</formula>
    </cfRule>
  </conditionalFormatting>
  <conditionalFormatting sqref="O79:Q79">
    <cfRule type="containsBlanks" dxfId="3488" priority="3436">
      <formula>LEN(TRIM(O79))=0</formula>
    </cfRule>
  </conditionalFormatting>
  <conditionalFormatting sqref="M81:T81">
    <cfRule type="containsBlanks" dxfId="3487" priority="3435">
      <formula>LEN(TRIM(M81))=0</formula>
    </cfRule>
  </conditionalFormatting>
  <conditionalFormatting sqref="M87:T87">
    <cfRule type="containsBlanks" dxfId="3486" priority="3434">
      <formula>LEN(TRIM(M87))=0</formula>
    </cfRule>
  </conditionalFormatting>
  <conditionalFormatting sqref="O88:S88">
    <cfRule type="containsBlanks" dxfId="3485" priority="3433">
      <formula>LEN(TRIM(O88))=0</formula>
    </cfRule>
  </conditionalFormatting>
  <conditionalFormatting sqref="M88:N88">
    <cfRule type="containsBlanks" dxfId="3484" priority="3432">
      <formula>LEN(TRIM(M88))=0</formula>
    </cfRule>
  </conditionalFormatting>
  <conditionalFormatting sqref="M51:T51">
    <cfRule type="containsBlanks" dxfId="3483" priority="3431">
      <formula>LEN(TRIM(M51))=0</formula>
    </cfRule>
  </conditionalFormatting>
  <conditionalFormatting sqref="M52:S52">
    <cfRule type="containsBlanks" dxfId="3482" priority="3430">
      <formula>LEN(TRIM(M52))=0</formula>
    </cfRule>
  </conditionalFormatting>
  <conditionalFormatting sqref="O45:Q45">
    <cfRule type="containsBlanks" dxfId="3481" priority="3429">
      <formula>LEN(TRIM(O45))=0</formula>
    </cfRule>
  </conditionalFormatting>
  <conditionalFormatting sqref="O47:Q47">
    <cfRule type="containsBlanks" dxfId="3480" priority="3428">
      <formula>LEN(TRIM(O47))=0</formula>
    </cfRule>
  </conditionalFormatting>
  <conditionalFormatting sqref="O49:Q49">
    <cfRule type="containsBlanks" dxfId="3479" priority="3427">
      <formula>LEN(TRIM(O49))=0</formula>
    </cfRule>
  </conditionalFormatting>
  <conditionalFormatting sqref="O62:Q62">
    <cfRule type="containsBlanks" dxfId="3478" priority="3426">
      <formula>LEN(TRIM(O62))=0</formula>
    </cfRule>
  </conditionalFormatting>
  <conditionalFormatting sqref="O63:Q63">
    <cfRule type="containsBlanks" dxfId="3477" priority="3425">
      <formula>LEN(TRIM(O63))=0</formula>
    </cfRule>
  </conditionalFormatting>
  <conditionalFormatting sqref="O65:Q65">
    <cfRule type="containsBlanks" dxfId="3476" priority="3424">
      <formula>LEN(TRIM(O65))=0</formula>
    </cfRule>
  </conditionalFormatting>
  <conditionalFormatting sqref="N61:T61">
    <cfRule type="containsBlanks" dxfId="3475" priority="3423">
      <formula>LEN(TRIM(N61))=0</formula>
    </cfRule>
  </conditionalFormatting>
  <conditionalFormatting sqref="M78:S78">
    <cfRule type="containsBlanks" dxfId="3474" priority="3422">
      <formula>LEN(TRIM(M78))=0</formula>
    </cfRule>
  </conditionalFormatting>
  <conditionalFormatting sqref="N81:T81">
    <cfRule type="containsBlanks" dxfId="3473" priority="3421">
      <formula>LEN(TRIM(N81))=0</formula>
    </cfRule>
  </conditionalFormatting>
  <conditionalFormatting sqref="O83:Q83">
    <cfRule type="containsBlanks" dxfId="3472" priority="3420">
      <formula>LEN(TRIM(O83))=0</formula>
    </cfRule>
  </conditionalFormatting>
  <conditionalFormatting sqref="M85:T85">
    <cfRule type="containsBlanks" dxfId="3471" priority="3419">
      <formula>LEN(TRIM(M85))=0</formula>
    </cfRule>
  </conditionalFormatting>
  <conditionalFormatting sqref="M91:T91">
    <cfRule type="containsBlanks" dxfId="3470" priority="3418">
      <formula>LEN(TRIM(M91))=0</formula>
    </cfRule>
  </conditionalFormatting>
  <conditionalFormatting sqref="O92:S92">
    <cfRule type="containsBlanks" dxfId="3469" priority="3417">
      <formula>LEN(TRIM(O92))=0</formula>
    </cfRule>
  </conditionalFormatting>
  <conditionalFormatting sqref="M92:N92">
    <cfRule type="containsBlanks" dxfId="3468" priority="3416">
      <formula>LEN(TRIM(M92))=0</formula>
    </cfRule>
  </conditionalFormatting>
  <conditionalFormatting sqref="M55:T55">
    <cfRule type="containsBlanks" dxfId="3467" priority="3415">
      <formula>LEN(TRIM(M55))=0</formula>
    </cfRule>
  </conditionalFormatting>
  <conditionalFormatting sqref="M56:S56">
    <cfRule type="containsBlanks" dxfId="3466" priority="3414">
      <formula>LEN(TRIM(M56))=0</formula>
    </cfRule>
  </conditionalFormatting>
  <conditionalFormatting sqref="O53:Q53">
    <cfRule type="containsBlanks" dxfId="3465" priority="3413">
      <formula>LEN(TRIM(O53))=0</formula>
    </cfRule>
  </conditionalFormatting>
  <conditionalFormatting sqref="O54:Q54">
    <cfRule type="containsBlanks" dxfId="3464" priority="3412">
      <formula>LEN(TRIM(O54))=0</formula>
    </cfRule>
  </conditionalFormatting>
  <conditionalFormatting sqref="O56:Q56">
    <cfRule type="containsBlanks" dxfId="3463" priority="3411">
      <formula>LEN(TRIM(O56))=0</formula>
    </cfRule>
  </conditionalFormatting>
  <conditionalFormatting sqref="N52:T52">
    <cfRule type="containsBlanks" dxfId="3462" priority="3410">
      <formula>LEN(TRIM(N52))=0</formula>
    </cfRule>
  </conditionalFormatting>
  <conditionalFormatting sqref="M69:S69">
    <cfRule type="containsBlanks" dxfId="3461" priority="3409">
      <formula>LEN(TRIM(M69))=0</formula>
    </cfRule>
  </conditionalFormatting>
  <conditionalFormatting sqref="N72:T72">
    <cfRule type="containsBlanks" dxfId="3460" priority="3408">
      <formula>LEN(TRIM(N72))=0</formula>
    </cfRule>
  </conditionalFormatting>
  <conditionalFormatting sqref="O74:Q74">
    <cfRule type="containsBlanks" dxfId="3459" priority="3407">
      <formula>LEN(TRIM(O74))=0</formula>
    </cfRule>
  </conditionalFormatting>
  <conditionalFormatting sqref="M76:T76">
    <cfRule type="containsBlanks" dxfId="3458" priority="3406">
      <formula>LEN(TRIM(M76))=0</formula>
    </cfRule>
  </conditionalFormatting>
  <conditionalFormatting sqref="M82:T82">
    <cfRule type="containsBlanks" dxfId="3457" priority="3405">
      <formula>LEN(TRIM(M82))=0</formula>
    </cfRule>
  </conditionalFormatting>
  <conditionalFormatting sqref="O83:S83">
    <cfRule type="containsBlanks" dxfId="3456" priority="3404">
      <formula>LEN(TRIM(O83))=0</formula>
    </cfRule>
  </conditionalFormatting>
  <conditionalFormatting sqref="M83:N83">
    <cfRule type="containsBlanks" dxfId="3455" priority="3403">
      <formula>LEN(TRIM(M83))=0</formula>
    </cfRule>
  </conditionalFormatting>
  <conditionalFormatting sqref="M46:T46">
    <cfRule type="containsBlanks" dxfId="3454" priority="3402">
      <formula>LEN(TRIM(M46))=0</formula>
    </cfRule>
  </conditionalFormatting>
  <conditionalFormatting sqref="M47:S47">
    <cfRule type="containsBlanks" dxfId="3453" priority="3401">
      <formula>LEN(TRIM(M47))=0</formula>
    </cfRule>
  </conditionalFormatting>
  <conditionalFormatting sqref="O57:Q57">
    <cfRule type="containsBlanks" dxfId="3452" priority="3400">
      <formula>LEN(TRIM(O57))=0</formula>
    </cfRule>
  </conditionalFormatting>
  <conditionalFormatting sqref="O54:Q54">
    <cfRule type="containsBlanks" dxfId="3451" priority="3399">
      <formula>LEN(TRIM(O54))=0</formula>
    </cfRule>
  </conditionalFormatting>
  <conditionalFormatting sqref="O55:Q55">
    <cfRule type="containsBlanks" dxfId="3450" priority="3398">
      <formula>LEN(TRIM(O55))=0</formula>
    </cfRule>
  </conditionalFormatting>
  <conditionalFormatting sqref="O59:Q59">
    <cfRule type="containsBlanks" dxfId="3449" priority="3397">
      <formula>LEN(TRIM(O59))=0</formula>
    </cfRule>
  </conditionalFormatting>
  <conditionalFormatting sqref="O61:Q61">
    <cfRule type="containsBlanks" dxfId="3448" priority="3396">
      <formula>LEN(TRIM(O61))=0</formula>
    </cfRule>
  </conditionalFormatting>
  <conditionalFormatting sqref="O63:Q63">
    <cfRule type="containsBlanks" dxfId="3447" priority="3395">
      <formula>LEN(TRIM(O63))=0</formula>
    </cfRule>
  </conditionalFormatting>
  <conditionalFormatting sqref="O76:Q76">
    <cfRule type="containsBlanks" dxfId="3446" priority="3394">
      <formula>LEN(TRIM(O76))=0</formula>
    </cfRule>
  </conditionalFormatting>
  <conditionalFormatting sqref="O77:Q77">
    <cfRule type="containsBlanks" dxfId="3445" priority="3393">
      <formula>LEN(TRIM(O77))=0</formula>
    </cfRule>
  </conditionalFormatting>
  <conditionalFormatting sqref="O79:Q79">
    <cfRule type="containsBlanks" dxfId="3444" priority="3392">
      <formula>LEN(TRIM(O79))=0</formula>
    </cfRule>
  </conditionalFormatting>
  <conditionalFormatting sqref="N75:T75">
    <cfRule type="containsBlanks" dxfId="3443" priority="3391">
      <formula>LEN(TRIM(N75))=0</formula>
    </cfRule>
  </conditionalFormatting>
  <conditionalFormatting sqref="M92:S92">
    <cfRule type="containsBlanks" dxfId="3442" priority="3390">
      <formula>LEN(TRIM(M92))=0</formula>
    </cfRule>
  </conditionalFormatting>
  <conditionalFormatting sqref="N95:T95">
    <cfRule type="containsBlanks" dxfId="3441" priority="3389">
      <formula>LEN(TRIM(N95))=0</formula>
    </cfRule>
  </conditionalFormatting>
  <conditionalFormatting sqref="O97:Q97">
    <cfRule type="containsBlanks" dxfId="3440" priority="3388">
      <formula>LEN(TRIM(O97))=0</formula>
    </cfRule>
  </conditionalFormatting>
  <conditionalFormatting sqref="M105:T105">
    <cfRule type="containsBlanks" dxfId="3439" priority="3386">
      <formula>LEN(TRIM(M105))=0</formula>
    </cfRule>
  </conditionalFormatting>
  <conditionalFormatting sqref="O106:S106">
    <cfRule type="containsBlanks" dxfId="3438" priority="3385">
      <formula>LEN(TRIM(O106))=0</formula>
    </cfRule>
  </conditionalFormatting>
  <conditionalFormatting sqref="M106:N106">
    <cfRule type="containsBlanks" dxfId="3437" priority="3384">
      <formula>LEN(TRIM(M106))=0</formula>
    </cfRule>
  </conditionalFormatting>
  <conditionalFormatting sqref="M69:T69">
    <cfRule type="containsBlanks" dxfId="3436" priority="3383">
      <formula>LEN(TRIM(M69))=0</formula>
    </cfRule>
  </conditionalFormatting>
  <conditionalFormatting sqref="M70:S70">
    <cfRule type="containsBlanks" dxfId="3435" priority="3382">
      <formula>LEN(TRIM(M70))=0</formula>
    </cfRule>
  </conditionalFormatting>
  <conditionalFormatting sqref="O54:Q54">
    <cfRule type="containsBlanks" dxfId="3434" priority="3381">
      <formula>LEN(TRIM(O54))=0</formula>
    </cfRule>
  </conditionalFormatting>
  <conditionalFormatting sqref="O67:Q67">
    <cfRule type="containsBlanks" dxfId="3433" priority="3380">
      <formula>LEN(TRIM(O67))=0</formula>
    </cfRule>
  </conditionalFormatting>
  <conditionalFormatting sqref="O68:Q68">
    <cfRule type="containsBlanks" dxfId="3432" priority="3379">
      <formula>LEN(TRIM(O68))=0</formula>
    </cfRule>
  </conditionalFormatting>
  <conditionalFormatting sqref="O70:Q70">
    <cfRule type="containsBlanks" dxfId="3431" priority="3378">
      <formula>LEN(TRIM(O70))=0</formula>
    </cfRule>
  </conditionalFormatting>
  <conditionalFormatting sqref="N66:T66">
    <cfRule type="containsBlanks" dxfId="3430" priority="3377">
      <formula>LEN(TRIM(N66))=0</formula>
    </cfRule>
  </conditionalFormatting>
  <conditionalFormatting sqref="M83:S83">
    <cfRule type="containsBlanks" dxfId="3429" priority="3376">
      <formula>LEN(TRIM(M83))=0</formula>
    </cfRule>
  </conditionalFormatting>
  <conditionalFormatting sqref="N86:T86">
    <cfRule type="containsBlanks" dxfId="3428" priority="3375">
      <formula>LEN(TRIM(N86))=0</formula>
    </cfRule>
  </conditionalFormatting>
  <conditionalFormatting sqref="O88:Q88">
    <cfRule type="containsBlanks" dxfId="3427" priority="3374">
      <formula>LEN(TRIM(O88))=0</formula>
    </cfRule>
  </conditionalFormatting>
  <conditionalFormatting sqref="M90:T90">
    <cfRule type="containsBlanks" dxfId="3426" priority="3373">
      <formula>LEN(TRIM(M90))=0</formula>
    </cfRule>
  </conditionalFormatting>
  <conditionalFormatting sqref="M96:T96">
    <cfRule type="containsBlanks" dxfId="3425" priority="3372">
      <formula>LEN(TRIM(M96))=0</formula>
    </cfRule>
  </conditionalFormatting>
  <conditionalFormatting sqref="O97:S97">
    <cfRule type="containsBlanks" dxfId="3424" priority="3371">
      <formula>LEN(TRIM(O97))=0</formula>
    </cfRule>
  </conditionalFormatting>
  <conditionalFormatting sqref="M97:N97">
    <cfRule type="containsBlanks" dxfId="3423" priority="3370">
      <formula>LEN(TRIM(M97))=0</formula>
    </cfRule>
  </conditionalFormatting>
  <conditionalFormatting sqref="M60:T60">
    <cfRule type="containsBlanks" dxfId="3422" priority="3369">
      <formula>LEN(TRIM(M60))=0</formula>
    </cfRule>
  </conditionalFormatting>
  <conditionalFormatting sqref="M61:S61">
    <cfRule type="containsBlanks" dxfId="3421" priority="3368">
      <formula>LEN(TRIM(M61))=0</formula>
    </cfRule>
  </conditionalFormatting>
  <conditionalFormatting sqref="O54:Q54">
    <cfRule type="containsBlanks" dxfId="3420" priority="3367">
      <formula>LEN(TRIM(O54))=0</formula>
    </cfRule>
  </conditionalFormatting>
  <conditionalFormatting sqref="O56:Q56">
    <cfRule type="containsBlanks" dxfId="3419" priority="3366">
      <formula>LEN(TRIM(O56))=0</formula>
    </cfRule>
  </conditionalFormatting>
  <conditionalFormatting sqref="O58:Q58">
    <cfRule type="containsBlanks" dxfId="3418" priority="3365">
      <formula>LEN(TRIM(O58))=0</formula>
    </cfRule>
  </conditionalFormatting>
  <conditionalFormatting sqref="O71:Q71">
    <cfRule type="containsBlanks" dxfId="3417" priority="3364">
      <formula>LEN(TRIM(O71))=0</formula>
    </cfRule>
  </conditionalFormatting>
  <conditionalFormatting sqref="O72:Q72">
    <cfRule type="containsBlanks" dxfId="3416" priority="3363">
      <formula>LEN(TRIM(O72))=0</formula>
    </cfRule>
  </conditionalFormatting>
  <conditionalFormatting sqref="O74:Q74">
    <cfRule type="containsBlanks" dxfId="3415" priority="3362">
      <formula>LEN(TRIM(O74))=0</formula>
    </cfRule>
  </conditionalFormatting>
  <conditionalFormatting sqref="N70:T70">
    <cfRule type="containsBlanks" dxfId="3414" priority="3361">
      <formula>LEN(TRIM(N70))=0</formula>
    </cfRule>
  </conditionalFormatting>
  <conditionalFormatting sqref="M87:S87">
    <cfRule type="containsBlanks" dxfId="3413" priority="3360">
      <formula>LEN(TRIM(M87))=0</formula>
    </cfRule>
  </conditionalFormatting>
  <conditionalFormatting sqref="N90:T90">
    <cfRule type="containsBlanks" dxfId="3412" priority="3359">
      <formula>LEN(TRIM(N90))=0</formula>
    </cfRule>
  </conditionalFormatting>
  <conditionalFormatting sqref="O92:Q92">
    <cfRule type="containsBlanks" dxfId="3411" priority="3358">
      <formula>LEN(TRIM(O92))=0</formula>
    </cfRule>
  </conditionalFormatting>
  <conditionalFormatting sqref="M94:T94">
    <cfRule type="containsBlanks" dxfId="3410" priority="3357">
      <formula>LEN(TRIM(M94))=0</formula>
    </cfRule>
  </conditionalFormatting>
  <conditionalFormatting sqref="M100:T100">
    <cfRule type="containsBlanks" dxfId="3409" priority="3356">
      <formula>LEN(TRIM(M100))=0</formula>
    </cfRule>
  </conditionalFormatting>
  <conditionalFormatting sqref="O101:S101">
    <cfRule type="containsBlanks" dxfId="3408" priority="3355">
      <formula>LEN(TRIM(O101))=0</formula>
    </cfRule>
  </conditionalFormatting>
  <conditionalFormatting sqref="M101:N101">
    <cfRule type="containsBlanks" dxfId="3407" priority="3354">
      <formula>LEN(TRIM(M101))=0</formula>
    </cfRule>
  </conditionalFormatting>
  <conditionalFormatting sqref="M64:T64">
    <cfRule type="containsBlanks" dxfId="3406" priority="3353">
      <formula>LEN(TRIM(M64))=0</formula>
    </cfRule>
  </conditionalFormatting>
  <conditionalFormatting sqref="M65:S65">
    <cfRule type="containsBlanks" dxfId="3405" priority="3352">
      <formula>LEN(TRIM(M65))=0</formula>
    </cfRule>
  </conditionalFormatting>
  <conditionalFormatting sqref="O62:Q62">
    <cfRule type="containsBlanks" dxfId="3404" priority="3351">
      <formula>LEN(TRIM(O62))=0</formula>
    </cfRule>
  </conditionalFormatting>
  <conditionalFormatting sqref="O63:Q63">
    <cfRule type="containsBlanks" dxfId="3403" priority="3350">
      <formula>LEN(TRIM(O63))=0</formula>
    </cfRule>
  </conditionalFormatting>
  <conditionalFormatting sqref="O65:Q65">
    <cfRule type="containsBlanks" dxfId="3402" priority="3349">
      <formula>LEN(TRIM(O65))=0</formula>
    </cfRule>
  </conditionalFormatting>
  <conditionalFormatting sqref="N61:T61">
    <cfRule type="containsBlanks" dxfId="3401" priority="3348">
      <formula>LEN(TRIM(N61))=0</formula>
    </cfRule>
  </conditionalFormatting>
  <conditionalFormatting sqref="M78:S78">
    <cfRule type="containsBlanks" dxfId="3400" priority="3347">
      <formula>LEN(TRIM(M78))=0</formula>
    </cfRule>
  </conditionalFormatting>
  <conditionalFormatting sqref="N81:T81">
    <cfRule type="containsBlanks" dxfId="3399" priority="3346">
      <formula>LEN(TRIM(N81))=0</formula>
    </cfRule>
  </conditionalFormatting>
  <conditionalFormatting sqref="O83:Q83">
    <cfRule type="containsBlanks" dxfId="3398" priority="3345">
      <formula>LEN(TRIM(O83))=0</formula>
    </cfRule>
  </conditionalFormatting>
  <conditionalFormatting sqref="M85:T85">
    <cfRule type="containsBlanks" dxfId="3397" priority="3344">
      <formula>LEN(TRIM(M85))=0</formula>
    </cfRule>
  </conditionalFormatting>
  <conditionalFormatting sqref="M91:T91">
    <cfRule type="containsBlanks" dxfId="3396" priority="3343">
      <formula>LEN(TRIM(M91))=0</formula>
    </cfRule>
  </conditionalFormatting>
  <conditionalFormatting sqref="O92:S92">
    <cfRule type="containsBlanks" dxfId="3395" priority="3342">
      <formula>LEN(TRIM(O92))=0</formula>
    </cfRule>
  </conditionalFormatting>
  <conditionalFormatting sqref="M92:N92">
    <cfRule type="containsBlanks" dxfId="3394" priority="3341">
      <formula>LEN(TRIM(M92))=0</formula>
    </cfRule>
  </conditionalFormatting>
  <conditionalFormatting sqref="M55:T55">
    <cfRule type="containsBlanks" dxfId="3393" priority="3340">
      <formula>LEN(TRIM(M55))=0</formula>
    </cfRule>
  </conditionalFormatting>
  <conditionalFormatting sqref="M56:S56">
    <cfRule type="containsBlanks" dxfId="3392" priority="3339">
      <formula>LEN(TRIM(M56))=0</formula>
    </cfRule>
  </conditionalFormatting>
  <conditionalFormatting sqref="O54:Q54">
    <cfRule type="containsBlanks" dxfId="3391" priority="3338">
      <formula>LEN(TRIM(O54))=0</formula>
    </cfRule>
  </conditionalFormatting>
  <conditionalFormatting sqref="O56:Q56">
    <cfRule type="containsBlanks" dxfId="3390" priority="3337">
      <formula>LEN(TRIM(O56))=0</formula>
    </cfRule>
  </conditionalFormatting>
  <conditionalFormatting sqref="O58:Q58">
    <cfRule type="containsBlanks" dxfId="3389" priority="3336">
      <formula>LEN(TRIM(O58))=0</formula>
    </cfRule>
  </conditionalFormatting>
  <conditionalFormatting sqref="O60:Q60">
    <cfRule type="containsBlanks" dxfId="3388" priority="3335">
      <formula>LEN(TRIM(O60))=0</formula>
    </cfRule>
  </conditionalFormatting>
  <conditionalFormatting sqref="O73:Q73">
    <cfRule type="containsBlanks" dxfId="3387" priority="3334">
      <formula>LEN(TRIM(O73))=0</formula>
    </cfRule>
  </conditionalFormatting>
  <conditionalFormatting sqref="O74:Q74">
    <cfRule type="containsBlanks" dxfId="3386" priority="3333">
      <formula>LEN(TRIM(O74))=0</formula>
    </cfRule>
  </conditionalFormatting>
  <conditionalFormatting sqref="O76:Q76">
    <cfRule type="containsBlanks" dxfId="3385" priority="3332">
      <formula>LEN(TRIM(O76))=0</formula>
    </cfRule>
  </conditionalFormatting>
  <conditionalFormatting sqref="N72:T72">
    <cfRule type="containsBlanks" dxfId="3384" priority="3331">
      <formula>LEN(TRIM(N72))=0</formula>
    </cfRule>
  </conditionalFormatting>
  <conditionalFormatting sqref="M89:S89">
    <cfRule type="containsBlanks" dxfId="3383" priority="3330">
      <formula>LEN(TRIM(M89))=0</formula>
    </cfRule>
  </conditionalFormatting>
  <conditionalFormatting sqref="N92:T92">
    <cfRule type="containsBlanks" dxfId="3382" priority="3329">
      <formula>LEN(TRIM(N92))=0</formula>
    </cfRule>
  </conditionalFormatting>
  <conditionalFormatting sqref="O94:Q94">
    <cfRule type="containsBlanks" dxfId="3381" priority="3328">
      <formula>LEN(TRIM(O94))=0</formula>
    </cfRule>
  </conditionalFormatting>
  <conditionalFormatting sqref="M96:T96">
    <cfRule type="containsBlanks" dxfId="3380" priority="3327">
      <formula>LEN(TRIM(M96))=0</formula>
    </cfRule>
  </conditionalFormatting>
  <conditionalFormatting sqref="M102:T102">
    <cfRule type="containsBlanks" dxfId="3379" priority="3326">
      <formula>LEN(TRIM(M102))=0</formula>
    </cfRule>
  </conditionalFormatting>
  <conditionalFormatting sqref="O103:S103">
    <cfRule type="containsBlanks" dxfId="3378" priority="3325">
      <formula>LEN(TRIM(O103))=0</formula>
    </cfRule>
  </conditionalFormatting>
  <conditionalFormatting sqref="M103:N103">
    <cfRule type="containsBlanks" dxfId="3377" priority="3324">
      <formula>LEN(TRIM(M103))=0</formula>
    </cfRule>
  </conditionalFormatting>
  <conditionalFormatting sqref="M66:T66">
    <cfRule type="containsBlanks" dxfId="3376" priority="3323">
      <formula>LEN(TRIM(M66))=0</formula>
    </cfRule>
  </conditionalFormatting>
  <conditionalFormatting sqref="M67:S67">
    <cfRule type="containsBlanks" dxfId="3375" priority="3322">
      <formula>LEN(TRIM(M67))=0</formula>
    </cfRule>
  </conditionalFormatting>
  <conditionalFormatting sqref="O64:Q64">
    <cfRule type="containsBlanks" dxfId="3374" priority="3321">
      <formula>LEN(TRIM(O64))=0</formula>
    </cfRule>
  </conditionalFormatting>
  <conditionalFormatting sqref="O65:Q65">
    <cfRule type="containsBlanks" dxfId="3373" priority="3320">
      <formula>LEN(TRIM(O65))=0</formula>
    </cfRule>
  </conditionalFormatting>
  <conditionalFormatting sqref="O67:Q67">
    <cfRule type="containsBlanks" dxfId="3372" priority="3319">
      <formula>LEN(TRIM(O67))=0</formula>
    </cfRule>
  </conditionalFormatting>
  <conditionalFormatting sqref="N63:T63">
    <cfRule type="containsBlanks" dxfId="3371" priority="3318">
      <formula>LEN(TRIM(N63))=0</formula>
    </cfRule>
  </conditionalFormatting>
  <conditionalFormatting sqref="M80:S80">
    <cfRule type="containsBlanks" dxfId="3370" priority="3317">
      <formula>LEN(TRIM(M80))=0</formula>
    </cfRule>
  </conditionalFormatting>
  <conditionalFormatting sqref="N83:T83">
    <cfRule type="containsBlanks" dxfId="3369" priority="3316">
      <formula>LEN(TRIM(N83))=0</formula>
    </cfRule>
  </conditionalFormatting>
  <conditionalFormatting sqref="O85:Q85">
    <cfRule type="containsBlanks" dxfId="3368" priority="3315">
      <formula>LEN(TRIM(O85))=0</formula>
    </cfRule>
  </conditionalFormatting>
  <conditionalFormatting sqref="M87:T87">
    <cfRule type="containsBlanks" dxfId="3367" priority="3314">
      <formula>LEN(TRIM(M87))=0</formula>
    </cfRule>
  </conditionalFormatting>
  <conditionalFormatting sqref="M93:T93">
    <cfRule type="containsBlanks" dxfId="3366" priority="3313">
      <formula>LEN(TRIM(M93))=0</formula>
    </cfRule>
  </conditionalFormatting>
  <conditionalFormatting sqref="O94:S94">
    <cfRule type="containsBlanks" dxfId="3365" priority="3312">
      <formula>LEN(TRIM(O94))=0</formula>
    </cfRule>
  </conditionalFormatting>
  <conditionalFormatting sqref="M94:N94">
    <cfRule type="containsBlanks" dxfId="3364" priority="3311">
      <formula>LEN(TRIM(M94))=0</formula>
    </cfRule>
  </conditionalFormatting>
  <conditionalFormatting sqref="M57:T57">
    <cfRule type="containsBlanks" dxfId="3363" priority="3310">
      <formula>LEN(TRIM(M57))=0</formula>
    </cfRule>
  </conditionalFormatting>
  <conditionalFormatting sqref="M58:S58">
    <cfRule type="containsBlanks" dxfId="3362" priority="3309">
      <formula>LEN(TRIM(M58))=0</formula>
    </cfRule>
  </conditionalFormatting>
  <conditionalFormatting sqref="O55:Q55">
    <cfRule type="containsBlanks" dxfId="3361" priority="3308">
      <formula>LEN(TRIM(O55))=0</formula>
    </cfRule>
  </conditionalFormatting>
  <conditionalFormatting sqref="O68:Q68">
    <cfRule type="containsBlanks" dxfId="3360" priority="3307">
      <formula>LEN(TRIM(O68))=0</formula>
    </cfRule>
  </conditionalFormatting>
  <conditionalFormatting sqref="O69:Q69">
    <cfRule type="containsBlanks" dxfId="3359" priority="3306">
      <formula>LEN(TRIM(O69))=0</formula>
    </cfRule>
  </conditionalFormatting>
  <conditionalFormatting sqref="O71:Q71">
    <cfRule type="containsBlanks" dxfId="3358" priority="3305">
      <formula>LEN(TRIM(O71))=0</formula>
    </cfRule>
  </conditionalFormatting>
  <conditionalFormatting sqref="N67:T67">
    <cfRule type="containsBlanks" dxfId="3357" priority="3304">
      <formula>LEN(TRIM(N67))=0</formula>
    </cfRule>
  </conditionalFormatting>
  <conditionalFormatting sqref="M84:S84">
    <cfRule type="containsBlanks" dxfId="3356" priority="3303">
      <formula>LEN(TRIM(M84))=0</formula>
    </cfRule>
  </conditionalFormatting>
  <conditionalFormatting sqref="N87:T87">
    <cfRule type="containsBlanks" dxfId="3355" priority="3302">
      <formula>LEN(TRIM(N87))=0</formula>
    </cfRule>
  </conditionalFormatting>
  <conditionalFormatting sqref="O89:Q89">
    <cfRule type="containsBlanks" dxfId="3354" priority="3301">
      <formula>LEN(TRIM(O89))=0</formula>
    </cfRule>
  </conditionalFormatting>
  <conditionalFormatting sqref="M91:T91">
    <cfRule type="containsBlanks" dxfId="3353" priority="3300">
      <formula>LEN(TRIM(M91))=0</formula>
    </cfRule>
  </conditionalFormatting>
  <conditionalFormatting sqref="M97:T97">
    <cfRule type="containsBlanks" dxfId="3352" priority="3299">
      <formula>LEN(TRIM(M97))=0</formula>
    </cfRule>
  </conditionalFormatting>
  <conditionalFormatting sqref="O98:S98">
    <cfRule type="containsBlanks" dxfId="3351" priority="3298">
      <formula>LEN(TRIM(O98))=0</formula>
    </cfRule>
  </conditionalFormatting>
  <conditionalFormatting sqref="M98:N98">
    <cfRule type="containsBlanks" dxfId="3350" priority="3297">
      <formula>LEN(TRIM(M98))=0</formula>
    </cfRule>
  </conditionalFormatting>
  <conditionalFormatting sqref="M61:T61">
    <cfRule type="containsBlanks" dxfId="3349" priority="3296">
      <formula>LEN(TRIM(M61))=0</formula>
    </cfRule>
  </conditionalFormatting>
  <conditionalFormatting sqref="M62:S62">
    <cfRule type="containsBlanks" dxfId="3348" priority="3295">
      <formula>LEN(TRIM(M62))=0</formula>
    </cfRule>
  </conditionalFormatting>
  <conditionalFormatting sqref="O59:Q59">
    <cfRule type="containsBlanks" dxfId="3347" priority="3294">
      <formula>LEN(TRIM(O59))=0</formula>
    </cfRule>
  </conditionalFormatting>
  <conditionalFormatting sqref="O60:Q60">
    <cfRule type="containsBlanks" dxfId="3346" priority="3293">
      <formula>LEN(TRIM(O60))=0</formula>
    </cfRule>
  </conditionalFormatting>
  <conditionalFormatting sqref="O62:Q62">
    <cfRule type="containsBlanks" dxfId="3345" priority="3292">
      <formula>LEN(TRIM(O62))=0</formula>
    </cfRule>
  </conditionalFormatting>
  <conditionalFormatting sqref="N58:T58">
    <cfRule type="containsBlanks" dxfId="3344" priority="3291">
      <formula>LEN(TRIM(N58))=0</formula>
    </cfRule>
  </conditionalFormatting>
  <conditionalFormatting sqref="M75:S75">
    <cfRule type="containsBlanks" dxfId="3343" priority="3290">
      <formula>LEN(TRIM(M75))=0</formula>
    </cfRule>
  </conditionalFormatting>
  <conditionalFormatting sqref="N78:T78">
    <cfRule type="containsBlanks" dxfId="3342" priority="3289">
      <formula>LEN(TRIM(N78))=0</formula>
    </cfRule>
  </conditionalFormatting>
  <conditionalFormatting sqref="O80:Q80">
    <cfRule type="containsBlanks" dxfId="3341" priority="3288">
      <formula>LEN(TRIM(O80))=0</formula>
    </cfRule>
  </conditionalFormatting>
  <conditionalFormatting sqref="M82:T82">
    <cfRule type="containsBlanks" dxfId="3340" priority="3287">
      <formula>LEN(TRIM(M82))=0</formula>
    </cfRule>
  </conditionalFormatting>
  <conditionalFormatting sqref="M88:T88">
    <cfRule type="containsBlanks" dxfId="3339" priority="3286">
      <formula>LEN(TRIM(M88))=0</formula>
    </cfRule>
  </conditionalFormatting>
  <conditionalFormatting sqref="O89:S89">
    <cfRule type="containsBlanks" dxfId="3338" priority="3285">
      <formula>LEN(TRIM(O89))=0</formula>
    </cfRule>
  </conditionalFormatting>
  <conditionalFormatting sqref="M89:N89">
    <cfRule type="containsBlanks" dxfId="3337" priority="3284">
      <formula>LEN(TRIM(M89))=0</formula>
    </cfRule>
  </conditionalFormatting>
  <conditionalFormatting sqref="O54:Q54">
    <cfRule type="containsBlanks" dxfId="3336" priority="3283">
      <formula>LEN(TRIM(O54))=0</formula>
    </cfRule>
  </conditionalFormatting>
  <conditionalFormatting sqref="O56:Q56">
    <cfRule type="containsBlanks" dxfId="3335" priority="3282">
      <formula>LEN(TRIM(O56))=0</formula>
    </cfRule>
  </conditionalFormatting>
  <conditionalFormatting sqref="O58:Q58">
    <cfRule type="containsBlanks" dxfId="3334" priority="3281">
      <formula>LEN(TRIM(O58))=0</formula>
    </cfRule>
  </conditionalFormatting>
  <conditionalFormatting sqref="O60:Q60">
    <cfRule type="containsBlanks" dxfId="3333" priority="3280">
      <formula>LEN(TRIM(O60))=0</formula>
    </cfRule>
  </conditionalFormatting>
  <conditionalFormatting sqref="O73:Q73">
    <cfRule type="containsBlanks" dxfId="3332" priority="3279">
      <formula>LEN(TRIM(O73))=0</formula>
    </cfRule>
  </conditionalFormatting>
  <conditionalFormatting sqref="O74:Q74">
    <cfRule type="containsBlanks" dxfId="3331" priority="3278">
      <formula>LEN(TRIM(O74))=0</formula>
    </cfRule>
  </conditionalFormatting>
  <conditionalFormatting sqref="O76:Q76">
    <cfRule type="containsBlanks" dxfId="3330" priority="3277">
      <formula>LEN(TRIM(O76))=0</formula>
    </cfRule>
  </conditionalFormatting>
  <conditionalFormatting sqref="N72:T72">
    <cfRule type="containsBlanks" dxfId="3329" priority="3276">
      <formula>LEN(TRIM(N72))=0</formula>
    </cfRule>
  </conditionalFormatting>
  <conditionalFormatting sqref="M89:S89">
    <cfRule type="containsBlanks" dxfId="3328" priority="3275">
      <formula>LEN(TRIM(M89))=0</formula>
    </cfRule>
  </conditionalFormatting>
  <conditionalFormatting sqref="N92:T92">
    <cfRule type="containsBlanks" dxfId="3327" priority="3274">
      <formula>LEN(TRIM(N92))=0</formula>
    </cfRule>
  </conditionalFormatting>
  <conditionalFormatting sqref="O94:Q94">
    <cfRule type="containsBlanks" dxfId="3326" priority="3273">
      <formula>LEN(TRIM(O94))=0</formula>
    </cfRule>
  </conditionalFormatting>
  <conditionalFormatting sqref="M96:T96">
    <cfRule type="containsBlanks" dxfId="3325" priority="3272">
      <formula>LEN(TRIM(M96))=0</formula>
    </cfRule>
  </conditionalFormatting>
  <conditionalFormatting sqref="M102:T102">
    <cfRule type="containsBlanks" dxfId="3324" priority="3271">
      <formula>LEN(TRIM(M102))=0</formula>
    </cfRule>
  </conditionalFormatting>
  <conditionalFormatting sqref="O103:S103">
    <cfRule type="containsBlanks" dxfId="3323" priority="3270">
      <formula>LEN(TRIM(O103))=0</formula>
    </cfRule>
  </conditionalFormatting>
  <conditionalFormatting sqref="M103:N103">
    <cfRule type="containsBlanks" dxfId="3322" priority="3269">
      <formula>LEN(TRIM(M103))=0</formula>
    </cfRule>
  </conditionalFormatting>
  <conditionalFormatting sqref="M66:T66">
    <cfRule type="containsBlanks" dxfId="3321" priority="3268">
      <formula>LEN(TRIM(M66))=0</formula>
    </cfRule>
  </conditionalFormatting>
  <conditionalFormatting sqref="M67:S67">
    <cfRule type="containsBlanks" dxfId="3320" priority="3267">
      <formula>LEN(TRIM(M67))=0</formula>
    </cfRule>
  </conditionalFormatting>
  <conditionalFormatting sqref="O64:Q64">
    <cfRule type="containsBlanks" dxfId="3319" priority="3266">
      <formula>LEN(TRIM(O64))=0</formula>
    </cfRule>
  </conditionalFormatting>
  <conditionalFormatting sqref="O65:Q65">
    <cfRule type="containsBlanks" dxfId="3318" priority="3265">
      <formula>LEN(TRIM(O65))=0</formula>
    </cfRule>
  </conditionalFormatting>
  <conditionalFormatting sqref="O67:Q67">
    <cfRule type="containsBlanks" dxfId="3317" priority="3264">
      <formula>LEN(TRIM(O67))=0</formula>
    </cfRule>
  </conditionalFormatting>
  <conditionalFormatting sqref="N63:T63">
    <cfRule type="containsBlanks" dxfId="3316" priority="3263">
      <formula>LEN(TRIM(N63))=0</formula>
    </cfRule>
  </conditionalFormatting>
  <conditionalFormatting sqref="M80:S80">
    <cfRule type="containsBlanks" dxfId="3315" priority="3262">
      <formula>LEN(TRIM(M80))=0</formula>
    </cfRule>
  </conditionalFormatting>
  <conditionalFormatting sqref="N83:T83">
    <cfRule type="containsBlanks" dxfId="3314" priority="3261">
      <formula>LEN(TRIM(N83))=0</formula>
    </cfRule>
  </conditionalFormatting>
  <conditionalFormatting sqref="O85:Q85">
    <cfRule type="containsBlanks" dxfId="3313" priority="3260">
      <formula>LEN(TRIM(O85))=0</formula>
    </cfRule>
  </conditionalFormatting>
  <conditionalFormatting sqref="M87:T87">
    <cfRule type="containsBlanks" dxfId="3312" priority="3259">
      <formula>LEN(TRIM(M87))=0</formula>
    </cfRule>
  </conditionalFormatting>
  <conditionalFormatting sqref="M93:T93">
    <cfRule type="containsBlanks" dxfId="3311" priority="3258">
      <formula>LEN(TRIM(M93))=0</formula>
    </cfRule>
  </conditionalFormatting>
  <conditionalFormatting sqref="O94:S94">
    <cfRule type="containsBlanks" dxfId="3310" priority="3257">
      <formula>LEN(TRIM(O94))=0</formula>
    </cfRule>
  </conditionalFormatting>
  <conditionalFormatting sqref="M94:N94">
    <cfRule type="containsBlanks" dxfId="3309" priority="3256">
      <formula>LEN(TRIM(M94))=0</formula>
    </cfRule>
  </conditionalFormatting>
  <conditionalFormatting sqref="M57:T57">
    <cfRule type="containsBlanks" dxfId="3308" priority="3255">
      <formula>LEN(TRIM(M57))=0</formula>
    </cfRule>
  </conditionalFormatting>
  <conditionalFormatting sqref="M58:S58">
    <cfRule type="containsBlanks" dxfId="3307" priority="3254">
      <formula>LEN(TRIM(M58))=0</formula>
    </cfRule>
  </conditionalFormatting>
  <conditionalFormatting sqref="O55:Q55">
    <cfRule type="containsBlanks" dxfId="3306" priority="3253">
      <formula>LEN(TRIM(O55))=0</formula>
    </cfRule>
  </conditionalFormatting>
  <conditionalFormatting sqref="O68:Q68">
    <cfRule type="containsBlanks" dxfId="3305" priority="3252">
      <formula>LEN(TRIM(O68))=0</formula>
    </cfRule>
  </conditionalFormatting>
  <conditionalFormatting sqref="O69:Q69">
    <cfRule type="containsBlanks" dxfId="3304" priority="3251">
      <formula>LEN(TRIM(O69))=0</formula>
    </cfRule>
  </conditionalFormatting>
  <conditionalFormatting sqref="O71:Q71">
    <cfRule type="containsBlanks" dxfId="3303" priority="3250">
      <formula>LEN(TRIM(O71))=0</formula>
    </cfRule>
  </conditionalFormatting>
  <conditionalFormatting sqref="N67:T67">
    <cfRule type="containsBlanks" dxfId="3302" priority="3249">
      <formula>LEN(TRIM(N67))=0</formula>
    </cfRule>
  </conditionalFormatting>
  <conditionalFormatting sqref="M84:S84">
    <cfRule type="containsBlanks" dxfId="3301" priority="3248">
      <formula>LEN(TRIM(M84))=0</formula>
    </cfRule>
  </conditionalFormatting>
  <conditionalFormatting sqref="N87:T87">
    <cfRule type="containsBlanks" dxfId="3300" priority="3247">
      <formula>LEN(TRIM(N87))=0</formula>
    </cfRule>
  </conditionalFormatting>
  <conditionalFormatting sqref="O89:Q89">
    <cfRule type="containsBlanks" dxfId="3299" priority="3246">
      <formula>LEN(TRIM(O89))=0</formula>
    </cfRule>
  </conditionalFormatting>
  <conditionalFormatting sqref="M91:T91">
    <cfRule type="containsBlanks" dxfId="3298" priority="3245">
      <formula>LEN(TRIM(M91))=0</formula>
    </cfRule>
  </conditionalFormatting>
  <conditionalFormatting sqref="M97:T97">
    <cfRule type="containsBlanks" dxfId="3297" priority="3244">
      <formula>LEN(TRIM(M97))=0</formula>
    </cfRule>
  </conditionalFormatting>
  <conditionalFormatting sqref="O98:S98">
    <cfRule type="containsBlanks" dxfId="3296" priority="3243">
      <formula>LEN(TRIM(O98))=0</formula>
    </cfRule>
  </conditionalFormatting>
  <conditionalFormatting sqref="M98:N98">
    <cfRule type="containsBlanks" dxfId="3295" priority="3242">
      <formula>LEN(TRIM(M98))=0</formula>
    </cfRule>
  </conditionalFormatting>
  <conditionalFormatting sqref="M61:T61">
    <cfRule type="containsBlanks" dxfId="3294" priority="3241">
      <formula>LEN(TRIM(M61))=0</formula>
    </cfRule>
  </conditionalFormatting>
  <conditionalFormatting sqref="M62:S62">
    <cfRule type="containsBlanks" dxfId="3293" priority="3240">
      <formula>LEN(TRIM(M62))=0</formula>
    </cfRule>
  </conditionalFormatting>
  <conditionalFormatting sqref="O59:Q59">
    <cfRule type="containsBlanks" dxfId="3292" priority="3239">
      <formula>LEN(TRIM(O59))=0</formula>
    </cfRule>
  </conditionalFormatting>
  <conditionalFormatting sqref="O60:Q60">
    <cfRule type="containsBlanks" dxfId="3291" priority="3238">
      <formula>LEN(TRIM(O60))=0</formula>
    </cfRule>
  </conditionalFormatting>
  <conditionalFormatting sqref="O62:Q62">
    <cfRule type="containsBlanks" dxfId="3290" priority="3237">
      <formula>LEN(TRIM(O62))=0</formula>
    </cfRule>
  </conditionalFormatting>
  <conditionalFormatting sqref="N58:T58">
    <cfRule type="containsBlanks" dxfId="3289" priority="3236">
      <formula>LEN(TRIM(N58))=0</formula>
    </cfRule>
  </conditionalFormatting>
  <conditionalFormatting sqref="M75:S75">
    <cfRule type="containsBlanks" dxfId="3288" priority="3235">
      <formula>LEN(TRIM(M75))=0</formula>
    </cfRule>
  </conditionalFormatting>
  <conditionalFormatting sqref="N78:T78">
    <cfRule type="containsBlanks" dxfId="3287" priority="3234">
      <formula>LEN(TRIM(N78))=0</formula>
    </cfRule>
  </conditionalFormatting>
  <conditionalFormatting sqref="O80:Q80">
    <cfRule type="containsBlanks" dxfId="3286" priority="3233">
      <formula>LEN(TRIM(O80))=0</formula>
    </cfRule>
  </conditionalFormatting>
  <conditionalFormatting sqref="M82:T82">
    <cfRule type="containsBlanks" dxfId="3285" priority="3232">
      <formula>LEN(TRIM(M82))=0</formula>
    </cfRule>
  </conditionalFormatting>
  <conditionalFormatting sqref="M88:T88">
    <cfRule type="containsBlanks" dxfId="3284" priority="3231">
      <formula>LEN(TRIM(M88))=0</formula>
    </cfRule>
  </conditionalFormatting>
  <conditionalFormatting sqref="O89:S89">
    <cfRule type="containsBlanks" dxfId="3283" priority="3230">
      <formula>LEN(TRIM(O89))=0</formula>
    </cfRule>
  </conditionalFormatting>
  <conditionalFormatting sqref="M89:N89">
    <cfRule type="containsBlanks" dxfId="3282" priority="3229">
      <formula>LEN(TRIM(M89))=0</formula>
    </cfRule>
  </conditionalFormatting>
  <conditionalFormatting sqref="O55:Q55">
    <cfRule type="containsBlanks" dxfId="3281" priority="3228">
      <formula>LEN(TRIM(O55))=0</formula>
    </cfRule>
  </conditionalFormatting>
  <conditionalFormatting sqref="O57:Q57">
    <cfRule type="containsBlanks" dxfId="3280" priority="3227">
      <formula>LEN(TRIM(O57))=0</formula>
    </cfRule>
  </conditionalFormatting>
  <conditionalFormatting sqref="O70:Q70">
    <cfRule type="containsBlanks" dxfId="3279" priority="3226">
      <formula>LEN(TRIM(O70))=0</formula>
    </cfRule>
  </conditionalFormatting>
  <conditionalFormatting sqref="O71:Q71">
    <cfRule type="containsBlanks" dxfId="3278" priority="3225">
      <formula>LEN(TRIM(O71))=0</formula>
    </cfRule>
  </conditionalFormatting>
  <conditionalFormatting sqref="O73:Q73">
    <cfRule type="containsBlanks" dxfId="3277" priority="3224">
      <formula>LEN(TRIM(O73))=0</formula>
    </cfRule>
  </conditionalFormatting>
  <conditionalFormatting sqref="N69:T69">
    <cfRule type="containsBlanks" dxfId="3276" priority="3223">
      <formula>LEN(TRIM(N69))=0</formula>
    </cfRule>
  </conditionalFormatting>
  <conditionalFormatting sqref="M86:S86">
    <cfRule type="containsBlanks" dxfId="3275" priority="3222">
      <formula>LEN(TRIM(M86))=0</formula>
    </cfRule>
  </conditionalFormatting>
  <conditionalFormatting sqref="N89:T89">
    <cfRule type="containsBlanks" dxfId="3274" priority="3221">
      <formula>LEN(TRIM(N89))=0</formula>
    </cfRule>
  </conditionalFormatting>
  <conditionalFormatting sqref="O91:Q91">
    <cfRule type="containsBlanks" dxfId="3273" priority="3220">
      <formula>LEN(TRIM(O91))=0</formula>
    </cfRule>
  </conditionalFormatting>
  <conditionalFormatting sqref="M93:T93">
    <cfRule type="containsBlanks" dxfId="3272" priority="3219">
      <formula>LEN(TRIM(M93))=0</formula>
    </cfRule>
  </conditionalFormatting>
  <conditionalFormatting sqref="O100:S100">
    <cfRule type="containsBlanks" dxfId="3271" priority="3217">
      <formula>LEN(TRIM(O100))=0</formula>
    </cfRule>
  </conditionalFormatting>
  <conditionalFormatting sqref="M100:N100">
    <cfRule type="containsBlanks" dxfId="3270" priority="3216">
      <formula>LEN(TRIM(M100))=0</formula>
    </cfRule>
  </conditionalFormatting>
  <conditionalFormatting sqref="M63:T63">
    <cfRule type="containsBlanks" dxfId="3269" priority="3215">
      <formula>LEN(TRIM(M63))=0</formula>
    </cfRule>
  </conditionalFormatting>
  <conditionalFormatting sqref="M64:S64">
    <cfRule type="containsBlanks" dxfId="3268" priority="3214">
      <formula>LEN(TRIM(M64))=0</formula>
    </cfRule>
  </conditionalFormatting>
  <conditionalFormatting sqref="O61:Q61">
    <cfRule type="containsBlanks" dxfId="3267" priority="3213">
      <formula>LEN(TRIM(O61))=0</formula>
    </cfRule>
  </conditionalFormatting>
  <conditionalFormatting sqref="O62:Q62">
    <cfRule type="containsBlanks" dxfId="3266" priority="3212">
      <formula>LEN(TRIM(O62))=0</formula>
    </cfRule>
  </conditionalFormatting>
  <conditionalFormatting sqref="O64:Q64">
    <cfRule type="containsBlanks" dxfId="3265" priority="3211">
      <formula>LEN(TRIM(O64))=0</formula>
    </cfRule>
  </conditionalFormatting>
  <conditionalFormatting sqref="N60:T60">
    <cfRule type="containsBlanks" dxfId="3264" priority="3210">
      <formula>LEN(TRIM(N60))=0</formula>
    </cfRule>
  </conditionalFormatting>
  <conditionalFormatting sqref="M77:S77">
    <cfRule type="containsBlanks" dxfId="3263" priority="3209">
      <formula>LEN(TRIM(M77))=0</formula>
    </cfRule>
  </conditionalFormatting>
  <conditionalFormatting sqref="N80:T80">
    <cfRule type="containsBlanks" dxfId="3262" priority="3208">
      <formula>LEN(TRIM(N80))=0</formula>
    </cfRule>
  </conditionalFormatting>
  <conditionalFormatting sqref="O82:Q82">
    <cfRule type="containsBlanks" dxfId="3261" priority="3207">
      <formula>LEN(TRIM(O82))=0</formula>
    </cfRule>
  </conditionalFormatting>
  <conditionalFormatting sqref="M84:T84">
    <cfRule type="containsBlanks" dxfId="3260" priority="3206">
      <formula>LEN(TRIM(M84))=0</formula>
    </cfRule>
  </conditionalFormatting>
  <conditionalFormatting sqref="M90:T90">
    <cfRule type="containsBlanks" dxfId="3259" priority="3205">
      <formula>LEN(TRIM(M90))=0</formula>
    </cfRule>
  </conditionalFormatting>
  <conditionalFormatting sqref="O91:S91">
    <cfRule type="containsBlanks" dxfId="3258" priority="3204">
      <formula>LEN(TRIM(O91))=0</formula>
    </cfRule>
  </conditionalFormatting>
  <conditionalFormatting sqref="M91:N91">
    <cfRule type="containsBlanks" dxfId="3257" priority="3203">
      <formula>LEN(TRIM(M91))=0</formula>
    </cfRule>
  </conditionalFormatting>
  <conditionalFormatting sqref="M54:T54">
    <cfRule type="containsBlanks" dxfId="3256" priority="3202">
      <formula>LEN(TRIM(M54))=0</formula>
    </cfRule>
  </conditionalFormatting>
  <conditionalFormatting sqref="M55:S55">
    <cfRule type="containsBlanks" dxfId="3255" priority="3201">
      <formula>LEN(TRIM(M55))=0</formula>
    </cfRule>
  </conditionalFormatting>
  <conditionalFormatting sqref="O65:Q65">
    <cfRule type="containsBlanks" dxfId="3254" priority="3200">
      <formula>LEN(TRIM(O65))=0</formula>
    </cfRule>
  </conditionalFormatting>
  <conditionalFormatting sqref="O66:Q66">
    <cfRule type="containsBlanks" dxfId="3253" priority="3199">
      <formula>LEN(TRIM(O66))=0</formula>
    </cfRule>
  </conditionalFormatting>
  <conditionalFormatting sqref="O68:Q68">
    <cfRule type="containsBlanks" dxfId="3252" priority="3198">
      <formula>LEN(TRIM(O68))=0</formula>
    </cfRule>
  </conditionalFormatting>
  <conditionalFormatting sqref="N64:T64">
    <cfRule type="containsBlanks" dxfId="3251" priority="3197">
      <formula>LEN(TRIM(N64))=0</formula>
    </cfRule>
  </conditionalFormatting>
  <conditionalFormatting sqref="M81:S81">
    <cfRule type="containsBlanks" dxfId="3250" priority="3196">
      <formula>LEN(TRIM(M81))=0</formula>
    </cfRule>
  </conditionalFormatting>
  <conditionalFormatting sqref="N84:T84">
    <cfRule type="containsBlanks" dxfId="3249" priority="3195">
      <formula>LEN(TRIM(N84))=0</formula>
    </cfRule>
  </conditionalFormatting>
  <conditionalFormatting sqref="O86:Q86">
    <cfRule type="containsBlanks" dxfId="3248" priority="3194">
      <formula>LEN(TRIM(O86))=0</formula>
    </cfRule>
  </conditionalFormatting>
  <conditionalFormatting sqref="M88:T88">
    <cfRule type="containsBlanks" dxfId="3247" priority="3193">
      <formula>LEN(TRIM(M88))=0</formula>
    </cfRule>
  </conditionalFormatting>
  <conditionalFormatting sqref="M94:T94">
    <cfRule type="containsBlanks" dxfId="3246" priority="3192">
      <formula>LEN(TRIM(M94))=0</formula>
    </cfRule>
  </conditionalFormatting>
  <conditionalFormatting sqref="O95:S95">
    <cfRule type="containsBlanks" dxfId="3245" priority="3191">
      <formula>LEN(TRIM(O95))=0</formula>
    </cfRule>
  </conditionalFormatting>
  <conditionalFormatting sqref="M95:N95">
    <cfRule type="containsBlanks" dxfId="3244" priority="3190">
      <formula>LEN(TRIM(M95))=0</formula>
    </cfRule>
  </conditionalFormatting>
  <conditionalFormatting sqref="M58:T58">
    <cfRule type="containsBlanks" dxfId="3243" priority="3189">
      <formula>LEN(TRIM(M58))=0</formula>
    </cfRule>
  </conditionalFormatting>
  <conditionalFormatting sqref="M59:S59">
    <cfRule type="containsBlanks" dxfId="3242" priority="3188">
      <formula>LEN(TRIM(M59))=0</formula>
    </cfRule>
  </conditionalFormatting>
  <conditionalFormatting sqref="O56:Q56">
    <cfRule type="containsBlanks" dxfId="3241" priority="3187">
      <formula>LEN(TRIM(O56))=0</formula>
    </cfRule>
  </conditionalFormatting>
  <conditionalFormatting sqref="O57:Q57">
    <cfRule type="containsBlanks" dxfId="3240" priority="3186">
      <formula>LEN(TRIM(O57))=0</formula>
    </cfRule>
  </conditionalFormatting>
  <conditionalFormatting sqref="O59:Q59">
    <cfRule type="containsBlanks" dxfId="3239" priority="3185">
      <formula>LEN(TRIM(O59))=0</formula>
    </cfRule>
  </conditionalFormatting>
  <conditionalFormatting sqref="N55:T55">
    <cfRule type="containsBlanks" dxfId="3238" priority="3184">
      <formula>LEN(TRIM(N55))=0</formula>
    </cfRule>
  </conditionalFormatting>
  <conditionalFormatting sqref="M72:S72">
    <cfRule type="containsBlanks" dxfId="3237" priority="3183">
      <formula>LEN(TRIM(M72))=0</formula>
    </cfRule>
  </conditionalFormatting>
  <conditionalFormatting sqref="N75:T75">
    <cfRule type="containsBlanks" dxfId="3236" priority="3182">
      <formula>LEN(TRIM(N75))=0</formula>
    </cfRule>
  </conditionalFormatting>
  <conditionalFormatting sqref="O77:Q77">
    <cfRule type="containsBlanks" dxfId="3235" priority="3181">
      <formula>LEN(TRIM(O77))=0</formula>
    </cfRule>
  </conditionalFormatting>
  <conditionalFormatting sqref="M79:T79">
    <cfRule type="containsBlanks" dxfId="3234" priority="3180">
      <formula>LEN(TRIM(M79))=0</formula>
    </cfRule>
  </conditionalFormatting>
  <conditionalFormatting sqref="M85:T85">
    <cfRule type="containsBlanks" dxfId="3233" priority="3179">
      <formula>LEN(TRIM(M85))=0</formula>
    </cfRule>
  </conditionalFormatting>
  <conditionalFormatting sqref="O86:S86">
    <cfRule type="containsBlanks" dxfId="3232" priority="3178">
      <formula>LEN(TRIM(O86))=0</formula>
    </cfRule>
  </conditionalFormatting>
  <conditionalFormatting sqref="M86:N86">
    <cfRule type="containsBlanks" dxfId="3231" priority="3177">
      <formula>LEN(TRIM(M86))=0</formula>
    </cfRule>
  </conditionalFormatting>
  <conditionalFormatting sqref="O56:Q56">
    <cfRule type="containsBlanks" dxfId="3230" priority="3176">
      <formula>LEN(TRIM(O56))=0</formula>
    </cfRule>
  </conditionalFormatting>
  <conditionalFormatting sqref="O54:Q54">
    <cfRule type="containsBlanks" dxfId="3229" priority="3175">
      <formula>LEN(TRIM(O54))=0</formula>
    </cfRule>
  </conditionalFormatting>
  <conditionalFormatting sqref="O58:Q58">
    <cfRule type="containsBlanks" dxfId="3228" priority="3174">
      <formula>LEN(TRIM(O58))=0</formula>
    </cfRule>
  </conditionalFormatting>
  <conditionalFormatting sqref="O60:Q60">
    <cfRule type="containsBlanks" dxfId="3227" priority="3173">
      <formula>LEN(TRIM(O60))=0</formula>
    </cfRule>
  </conditionalFormatting>
  <conditionalFormatting sqref="O62:Q62">
    <cfRule type="containsBlanks" dxfId="3226" priority="3172">
      <formula>LEN(TRIM(O62))=0</formula>
    </cfRule>
  </conditionalFormatting>
  <conditionalFormatting sqref="O75:Q75">
    <cfRule type="containsBlanks" dxfId="3225" priority="3171">
      <formula>LEN(TRIM(O75))=0</formula>
    </cfRule>
  </conditionalFormatting>
  <conditionalFormatting sqref="O76:Q76">
    <cfRule type="containsBlanks" dxfId="3224" priority="3170">
      <formula>LEN(TRIM(O76))=0</formula>
    </cfRule>
  </conditionalFormatting>
  <conditionalFormatting sqref="O78:Q78">
    <cfRule type="containsBlanks" dxfId="3223" priority="3169">
      <formula>LEN(TRIM(O78))=0</formula>
    </cfRule>
  </conditionalFormatting>
  <conditionalFormatting sqref="N74:T74">
    <cfRule type="containsBlanks" dxfId="3222" priority="3168">
      <formula>LEN(TRIM(N74))=0</formula>
    </cfRule>
  </conditionalFormatting>
  <conditionalFormatting sqref="M91:S91">
    <cfRule type="containsBlanks" dxfId="3221" priority="3167">
      <formula>LEN(TRIM(M91))=0</formula>
    </cfRule>
  </conditionalFormatting>
  <conditionalFormatting sqref="N94:T94">
    <cfRule type="containsBlanks" dxfId="3220" priority="3166">
      <formula>LEN(TRIM(N94))=0</formula>
    </cfRule>
  </conditionalFormatting>
  <conditionalFormatting sqref="O96:Q96">
    <cfRule type="containsBlanks" dxfId="3219" priority="3165">
      <formula>LEN(TRIM(O96))=0</formula>
    </cfRule>
  </conditionalFormatting>
  <conditionalFormatting sqref="M98:T98">
    <cfRule type="containsBlanks" dxfId="3218" priority="3164">
      <formula>LEN(TRIM(M98))=0</formula>
    </cfRule>
  </conditionalFormatting>
  <conditionalFormatting sqref="M104:T104">
    <cfRule type="containsBlanks" dxfId="3217" priority="3163">
      <formula>LEN(TRIM(M104))=0</formula>
    </cfRule>
  </conditionalFormatting>
  <conditionalFormatting sqref="O105:S105">
    <cfRule type="containsBlanks" dxfId="3216" priority="3162">
      <formula>LEN(TRIM(O105))=0</formula>
    </cfRule>
  </conditionalFormatting>
  <conditionalFormatting sqref="M105:N105">
    <cfRule type="containsBlanks" dxfId="3215" priority="3161">
      <formula>LEN(TRIM(M105))=0</formula>
    </cfRule>
  </conditionalFormatting>
  <conditionalFormatting sqref="M68:T68">
    <cfRule type="containsBlanks" dxfId="3214" priority="3160">
      <formula>LEN(TRIM(M68))=0</formula>
    </cfRule>
  </conditionalFormatting>
  <conditionalFormatting sqref="M69:S69">
    <cfRule type="containsBlanks" dxfId="3213" priority="3159">
      <formula>LEN(TRIM(M69))=0</formula>
    </cfRule>
  </conditionalFormatting>
  <conditionalFormatting sqref="O66:Q66">
    <cfRule type="containsBlanks" dxfId="3212" priority="3158">
      <formula>LEN(TRIM(O66))=0</formula>
    </cfRule>
  </conditionalFormatting>
  <conditionalFormatting sqref="O67:Q67">
    <cfRule type="containsBlanks" dxfId="3211" priority="3157">
      <formula>LEN(TRIM(O67))=0</formula>
    </cfRule>
  </conditionalFormatting>
  <conditionalFormatting sqref="O69:Q69">
    <cfRule type="containsBlanks" dxfId="3210" priority="3156">
      <formula>LEN(TRIM(O69))=0</formula>
    </cfRule>
  </conditionalFormatting>
  <conditionalFormatting sqref="N65:T65">
    <cfRule type="containsBlanks" dxfId="3209" priority="3155">
      <formula>LEN(TRIM(N65))=0</formula>
    </cfRule>
  </conditionalFormatting>
  <conditionalFormatting sqref="M82:S82">
    <cfRule type="containsBlanks" dxfId="3208" priority="3154">
      <formula>LEN(TRIM(M82))=0</formula>
    </cfRule>
  </conditionalFormatting>
  <conditionalFormatting sqref="N85:T85">
    <cfRule type="containsBlanks" dxfId="3207" priority="3153">
      <formula>LEN(TRIM(N85))=0</formula>
    </cfRule>
  </conditionalFormatting>
  <conditionalFormatting sqref="O87:Q87">
    <cfRule type="containsBlanks" dxfId="3206" priority="3152">
      <formula>LEN(TRIM(O87))=0</formula>
    </cfRule>
  </conditionalFormatting>
  <conditionalFormatting sqref="M89:T89">
    <cfRule type="containsBlanks" dxfId="3205" priority="3151">
      <formula>LEN(TRIM(M89))=0</formula>
    </cfRule>
  </conditionalFormatting>
  <conditionalFormatting sqref="M95:T95">
    <cfRule type="containsBlanks" dxfId="3204" priority="3150">
      <formula>LEN(TRIM(M95))=0</formula>
    </cfRule>
  </conditionalFormatting>
  <conditionalFormatting sqref="O96:S96">
    <cfRule type="containsBlanks" dxfId="3203" priority="3149">
      <formula>LEN(TRIM(O96))=0</formula>
    </cfRule>
  </conditionalFormatting>
  <conditionalFormatting sqref="M96:N96">
    <cfRule type="containsBlanks" dxfId="3202" priority="3148">
      <formula>LEN(TRIM(M96))=0</formula>
    </cfRule>
  </conditionalFormatting>
  <conditionalFormatting sqref="M59:T59">
    <cfRule type="containsBlanks" dxfId="3201" priority="3147">
      <formula>LEN(TRIM(M59))=0</formula>
    </cfRule>
  </conditionalFormatting>
  <conditionalFormatting sqref="M60:S60">
    <cfRule type="containsBlanks" dxfId="3200" priority="3146">
      <formula>LEN(TRIM(M60))=0</formula>
    </cfRule>
  </conditionalFormatting>
  <conditionalFormatting sqref="O55:Q55">
    <cfRule type="containsBlanks" dxfId="3199" priority="3145">
      <formula>LEN(TRIM(O55))=0</formula>
    </cfRule>
  </conditionalFormatting>
  <conditionalFormatting sqref="O57:Q57">
    <cfRule type="containsBlanks" dxfId="3198" priority="3144">
      <formula>LEN(TRIM(O57))=0</formula>
    </cfRule>
  </conditionalFormatting>
  <conditionalFormatting sqref="O70:Q70">
    <cfRule type="containsBlanks" dxfId="3197" priority="3143">
      <formula>LEN(TRIM(O70))=0</formula>
    </cfRule>
  </conditionalFormatting>
  <conditionalFormatting sqref="O71:Q71">
    <cfRule type="containsBlanks" dxfId="3196" priority="3142">
      <formula>LEN(TRIM(O71))=0</formula>
    </cfRule>
  </conditionalFormatting>
  <conditionalFormatting sqref="O73:Q73">
    <cfRule type="containsBlanks" dxfId="3195" priority="3141">
      <formula>LEN(TRIM(O73))=0</formula>
    </cfRule>
  </conditionalFormatting>
  <conditionalFormatting sqref="N69:T69">
    <cfRule type="containsBlanks" dxfId="3194" priority="3140">
      <formula>LEN(TRIM(N69))=0</formula>
    </cfRule>
  </conditionalFormatting>
  <conditionalFormatting sqref="M86:S86">
    <cfRule type="containsBlanks" dxfId="3193" priority="3139">
      <formula>LEN(TRIM(M86))=0</formula>
    </cfRule>
  </conditionalFormatting>
  <conditionalFormatting sqref="N89:T89">
    <cfRule type="containsBlanks" dxfId="3192" priority="3138">
      <formula>LEN(TRIM(N89))=0</formula>
    </cfRule>
  </conditionalFormatting>
  <conditionalFormatting sqref="O91:Q91">
    <cfRule type="containsBlanks" dxfId="3191" priority="3137">
      <formula>LEN(TRIM(O91))=0</formula>
    </cfRule>
  </conditionalFormatting>
  <conditionalFormatting sqref="M93:T93">
    <cfRule type="containsBlanks" dxfId="3190" priority="3136">
      <formula>LEN(TRIM(M93))=0</formula>
    </cfRule>
  </conditionalFormatting>
  <conditionalFormatting sqref="O100:S100">
    <cfRule type="containsBlanks" dxfId="3189" priority="3134">
      <formula>LEN(TRIM(O100))=0</formula>
    </cfRule>
  </conditionalFormatting>
  <conditionalFormatting sqref="M100:N100">
    <cfRule type="containsBlanks" dxfId="3188" priority="3133">
      <formula>LEN(TRIM(M100))=0</formula>
    </cfRule>
  </conditionalFormatting>
  <conditionalFormatting sqref="M63:T63">
    <cfRule type="containsBlanks" dxfId="3187" priority="3132">
      <formula>LEN(TRIM(M63))=0</formula>
    </cfRule>
  </conditionalFormatting>
  <conditionalFormatting sqref="M64:S64">
    <cfRule type="containsBlanks" dxfId="3186" priority="3131">
      <formula>LEN(TRIM(M64))=0</formula>
    </cfRule>
  </conditionalFormatting>
  <conditionalFormatting sqref="O61:Q61">
    <cfRule type="containsBlanks" dxfId="3185" priority="3130">
      <formula>LEN(TRIM(O61))=0</formula>
    </cfRule>
  </conditionalFormatting>
  <conditionalFormatting sqref="O62:Q62">
    <cfRule type="containsBlanks" dxfId="3184" priority="3129">
      <formula>LEN(TRIM(O62))=0</formula>
    </cfRule>
  </conditionalFormatting>
  <conditionalFormatting sqref="O64:Q64">
    <cfRule type="containsBlanks" dxfId="3183" priority="3128">
      <formula>LEN(TRIM(O64))=0</formula>
    </cfRule>
  </conditionalFormatting>
  <conditionalFormatting sqref="N60:T60">
    <cfRule type="containsBlanks" dxfId="3182" priority="3127">
      <formula>LEN(TRIM(N60))=0</formula>
    </cfRule>
  </conditionalFormatting>
  <conditionalFormatting sqref="M77:S77">
    <cfRule type="containsBlanks" dxfId="3181" priority="3126">
      <formula>LEN(TRIM(M77))=0</formula>
    </cfRule>
  </conditionalFormatting>
  <conditionalFormatting sqref="N80:T80">
    <cfRule type="containsBlanks" dxfId="3180" priority="3125">
      <formula>LEN(TRIM(N80))=0</formula>
    </cfRule>
  </conditionalFormatting>
  <conditionalFormatting sqref="O82:Q82">
    <cfRule type="containsBlanks" dxfId="3179" priority="3124">
      <formula>LEN(TRIM(O82))=0</formula>
    </cfRule>
  </conditionalFormatting>
  <conditionalFormatting sqref="M84:T84">
    <cfRule type="containsBlanks" dxfId="3178" priority="3123">
      <formula>LEN(TRIM(M84))=0</formula>
    </cfRule>
  </conditionalFormatting>
  <conditionalFormatting sqref="M90:T90">
    <cfRule type="containsBlanks" dxfId="3177" priority="3122">
      <formula>LEN(TRIM(M90))=0</formula>
    </cfRule>
  </conditionalFormatting>
  <conditionalFormatting sqref="O91:S91">
    <cfRule type="containsBlanks" dxfId="3176" priority="3121">
      <formula>LEN(TRIM(O91))=0</formula>
    </cfRule>
  </conditionalFormatting>
  <conditionalFormatting sqref="M91:N91">
    <cfRule type="containsBlanks" dxfId="3175" priority="3120">
      <formula>LEN(TRIM(M91))=0</formula>
    </cfRule>
  </conditionalFormatting>
  <conditionalFormatting sqref="M54:T54">
    <cfRule type="containsBlanks" dxfId="3174" priority="3119">
      <formula>LEN(TRIM(M54))=0</formula>
    </cfRule>
  </conditionalFormatting>
  <conditionalFormatting sqref="M55:S55">
    <cfRule type="containsBlanks" dxfId="3173" priority="3118">
      <formula>LEN(TRIM(M55))=0</formula>
    </cfRule>
  </conditionalFormatting>
  <conditionalFormatting sqref="O55:Q55">
    <cfRule type="containsBlanks" dxfId="3172" priority="3117">
      <formula>LEN(TRIM(O55))=0</formula>
    </cfRule>
  </conditionalFormatting>
  <conditionalFormatting sqref="O57:Q57">
    <cfRule type="containsBlanks" dxfId="3171" priority="3116">
      <formula>LEN(TRIM(O57))=0</formula>
    </cfRule>
  </conditionalFormatting>
  <conditionalFormatting sqref="O59:Q59">
    <cfRule type="containsBlanks" dxfId="3170" priority="3115">
      <formula>LEN(TRIM(O59))=0</formula>
    </cfRule>
  </conditionalFormatting>
  <conditionalFormatting sqref="O72:Q72">
    <cfRule type="containsBlanks" dxfId="3169" priority="3114">
      <formula>LEN(TRIM(O72))=0</formula>
    </cfRule>
  </conditionalFormatting>
  <conditionalFormatting sqref="O73:Q73">
    <cfRule type="containsBlanks" dxfId="3168" priority="3113">
      <formula>LEN(TRIM(O73))=0</formula>
    </cfRule>
  </conditionalFormatting>
  <conditionalFormatting sqref="O75:Q75">
    <cfRule type="containsBlanks" dxfId="3167" priority="3112">
      <formula>LEN(TRIM(O75))=0</formula>
    </cfRule>
  </conditionalFormatting>
  <conditionalFormatting sqref="N71:T71">
    <cfRule type="containsBlanks" dxfId="3166" priority="3111">
      <formula>LEN(TRIM(N71))=0</formula>
    </cfRule>
  </conditionalFormatting>
  <conditionalFormatting sqref="M88:S88">
    <cfRule type="containsBlanks" dxfId="3165" priority="3110">
      <formula>LEN(TRIM(M88))=0</formula>
    </cfRule>
  </conditionalFormatting>
  <conditionalFormatting sqref="N91:T91">
    <cfRule type="containsBlanks" dxfId="3164" priority="3109">
      <formula>LEN(TRIM(N91))=0</formula>
    </cfRule>
  </conditionalFormatting>
  <conditionalFormatting sqref="O93:Q93">
    <cfRule type="containsBlanks" dxfId="3163" priority="3108">
      <formula>LEN(TRIM(O93))=0</formula>
    </cfRule>
  </conditionalFormatting>
  <conditionalFormatting sqref="M95:T95">
    <cfRule type="containsBlanks" dxfId="3162" priority="3107">
      <formula>LEN(TRIM(M95))=0</formula>
    </cfRule>
  </conditionalFormatting>
  <conditionalFormatting sqref="M101:T101">
    <cfRule type="containsBlanks" dxfId="3161" priority="3106">
      <formula>LEN(TRIM(M101))=0</formula>
    </cfRule>
  </conditionalFormatting>
  <conditionalFormatting sqref="O102:S102">
    <cfRule type="containsBlanks" dxfId="3160" priority="3105">
      <formula>LEN(TRIM(O102))=0</formula>
    </cfRule>
  </conditionalFormatting>
  <conditionalFormatting sqref="M102:N102">
    <cfRule type="containsBlanks" dxfId="3159" priority="3104">
      <formula>LEN(TRIM(M102))=0</formula>
    </cfRule>
  </conditionalFormatting>
  <conditionalFormatting sqref="M65:T65">
    <cfRule type="containsBlanks" dxfId="3158" priority="3103">
      <formula>LEN(TRIM(M65))=0</formula>
    </cfRule>
  </conditionalFormatting>
  <conditionalFormatting sqref="M66:S66">
    <cfRule type="containsBlanks" dxfId="3157" priority="3102">
      <formula>LEN(TRIM(M66))=0</formula>
    </cfRule>
  </conditionalFormatting>
  <conditionalFormatting sqref="O63:Q63">
    <cfRule type="containsBlanks" dxfId="3156" priority="3101">
      <formula>LEN(TRIM(O63))=0</formula>
    </cfRule>
  </conditionalFormatting>
  <conditionalFormatting sqref="O64:Q64">
    <cfRule type="containsBlanks" dxfId="3155" priority="3100">
      <formula>LEN(TRIM(O64))=0</formula>
    </cfRule>
  </conditionalFormatting>
  <conditionalFormatting sqref="O66:Q66">
    <cfRule type="containsBlanks" dxfId="3154" priority="3099">
      <formula>LEN(TRIM(O66))=0</formula>
    </cfRule>
  </conditionalFormatting>
  <conditionalFormatting sqref="N62:T62">
    <cfRule type="containsBlanks" dxfId="3153" priority="3098">
      <formula>LEN(TRIM(N62))=0</formula>
    </cfRule>
  </conditionalFormatting>
  <conditionalFormatting sqref="M79:S79">
    <cfRule type="containsBlanks" dxfId="3152" priority="3097">
      <formula>LEN(TRIM(M79))=0</formula>
    </cfRule>
  </conditionalFormatting>
  <conditionalFormatting sqref="N82:T82">
    <cfRule type="containsBlanks" dxfId="3151" priority="3096">
      <formula>LEN(TRIM(N82))=0</formula>
    </cfRule>
  </conditionalFormatting>
  <conditionalFormatting sqref="O84:Q84">
    <cfRule type="containsBlanks" dxfId="3150" priority="3095">
      <formula>LEN(TRIM(O84))=0</formula>
    </cfRule>
  </conditionalFormatting>
  <conditionalFormatting sqref="M86:T86">
    <cfRule type="containsBlanks" dxfId="3149" priority="3094">
      <formula>LEN(TRIM(M86))=0</formula>
    </cfRule>
  </conditionalFormatting>
  <conditionalFormatting sqref="M92:T92">
    <cfRule type="containsBlanks" dxfId="3148" priority="3093">
      <formula>LEN(TRIM(M92))=0</formula>
    </cfRule>
  </conditionalFormatting>
  <conditionalFormatting sqref="O93:S93">
    <cfRule type="containsBlanks" dxfId="3147" priority="3092">
      <formula>LEN(TRIM(O93))=0</formula>
    </cfRule>
  </conditionalFormatting>
  <conditionalFormatting sqref="M93:N93">
    <cfRule type="containsBlanks" dxfId="3146" priority="3091">
      <formula>LEN(TRIM(M93))=0</formula>
    </cfRule>
  </conditionalFormatting>
  <conditionalFormatting sqref="M56:T56">
    <cfRule type="containsBlanks" dxfId="3145" priority="3090">
      <formula>LEN(TRIM(M56))=0</formula>
    </cfRule>
  </conditionalFormatting>
  <conditionalFormatting sqref="M57:S57">
    <cfRule type="containsBlanks" dxfId="3144" priority="3089">
      <formula>LEN(TRIM(M57))=0</formula>
    </cfRule>
  </conditionalFormatting>
  <conditionalFormatting sqref="O54:Q54">
    <cfRule type="containsBlanks" dxfId="3143" priority="3088">
      <formula>LEN(TRIM(O54))=0</formula>
    </cfRule>
  </conditionalFormatting>
  <conditionalFormatting sqref="O67:Q67">
    <cfRule type="containsBlanks" dxfId="3142" priority="3087">
      <formula>LEN(TRIM(O67))=0</formula>
    </cfRule>
  </conditionalFormatting>
  <conditionalFormatting sqref="O68:Q68">
    <cfRule type="containsBlanks" dxfId="3141" priority="3086">
      <formula>LEN(TRIM(O68))=0</formula>
    </cfRule>
  </conditionalFormatting>
  <conditionalFormatting sqref="O70:Q70">
    <cfRule type="containsBlanks" dxfId="3140" priority="3085">
      <formula>LEN(TRIM(O70))=0</formula>
    </cfRule>
  </conditionalFormatting>
  <conditionalFormatting sqref="N66:T66">
    <cfRule type="containsBlanks" dxfId="3139" priority="3084">
      <formula>LEN(TRIM(N66))=0</formula>
    </cfRule>
  </conditionalFormatting>
  <conditionalFormatting sqref="M83:S83">
    <cfRule type="containsBlanks" dxfId="3138" priority="3083">
      <formula>LEN(TRIM(M83))=0</formula>
    </cfRule>
  </conditionalFormatting>
  <conditionalFormatting sqref="N86:T86">
    <cfRule type="containsBlanks" dxfId="3137" priority="3082">
      <formula>LEN(TRIM(N86))=0</formula>
    </cfRule>
  </conditionalFormatting>
  <conditionalFormatting sqref="O88:Q88">
    <cfRule type="containsBlanks" dxfId="3136" priority="3081">
      <formula>LEN(TRIM(O88))=0</formula>
    </cfRule>
  </conditionalFormatting>
  <conditionalFormatting sqref="M90:T90">
    <cfRule type="containsBlanks" dxfId="3135" priority="3080">
      <formula>LEN(TRIM(M90))=0</formula>
    </cfRule>
  </conditionalFormatting>
  <conditionalFormatting sqref="M96:T96">
    <cfRule type="containsBlanks" dxfId="3134" priority="3079">
      <formula>LEN(TRIM(M96))=0</formula>
    </cfRule>
  </conditionalFormatting>
  <conditionalFormatting sqref="O97:S97">
    <cfRule type="containsBlanks" dxfId="3133" priority="3078">
      <formula>LEN(TRIM(O97))=0</formula>
    </cfRule>
  </conditionalFormatting>
  <conditionalFormatting sqref="M97:N97">
    <cfRule type="containsBlanks" dxfId="3132" priority="3077">
      <formula>LEN(TRIM(M97))=0</formula>
    </cfRule>
  </conditionalFormatting>
  <conditionalFormatting sqref="M60:T60">
    <cfRule type="containsBlanks" dxfId="3131" priority="3076">
      <formula>LEN(TRIM(M60))=0</formula>
    </cfRule>
  </conditionalFormatting>
  <conditionalFormatting sqref="M61:S61">
    <cfRule type="containsBlanks" dxfId="3130" priority="3075">
      <formula>LEN(TRIM(M61))=0</formula>
    </cfRule>
  </conditionalFormatting>
  <conditionalFormatting sqref="O58:Q58">
    <cfRule type="containsBlanks" dxfId="3129" priority="3074">
      <formula>LEN(TRIM(O58))=0</formula>
    </cfRule>
  </conditionalFormatting>
  <conditionalFormatting sqref="O59:Q59">
    <cfRule type="containsBlanks" dxfId="3128" priority="3073">
      <formula>LEN(TRIM(O59))=0</formula>
    </cfRule>
  </conditionalFormatting>
  <conditionalFormatting sqref="O61:Q61">
    <cfRule type="containsBlanks" dxfId="3127" priority="3072">
      <formula>LEN(TRIM(O61))=0</formula>
    </cfRule>
  </conditionalFormatting>
  <conditionalFormatting sqref="N57:T57">
    <cfRule type="containsBlanks" dxfId="3126" priority="3071">
      <formula>LEN(TRIM(N57))=0</formula>
    </cfRule>
  </conditionalFormatting>
  <conditionalFormatting sqref="M74:S74">
    <cfRule type="containsBlanks" dxfId="3125" priority="3070">
      <formula>LEN(TRIM(M74))=0</formula>
    </cfRule>
  </conditionalFormatting>
  <conditionalFormatting sqref="N77:T77">
    <cfRule type="containsBlanks" dxfId="3124" priority="3069">
      <formula>LEN(TRIM(N77))=0</formula>
    </cfRule>
  </conditionalFormatting>
  <conditionalFormatting sqref="O79:Q79">
    <cfRule type="containsBlanks" dxfId="3123" priority="3068">
      <formula>LEN(TRIM(O79))=0</formula>
    </cfRule>
  </conditionalFormatting>
  <conditionalFormatting sqref="M81:T81">
    <cfRule type="containsBlanks" dxfId="3122" priority="3067">
      <formula>LEN(TRIM(M81))=0</formula>
    </cfRule>
  </conditionalFormatting>
  <conditionalFormatting sqref="M87:T87">
    <cfRule type="containsBlanks" dxfId="3121" priority="3066">
      <formula>LEN(TRIM(M87))=0</formula>
    </cfRule>
  </conditionalFormatting>
  <conditionalFormatting sqref="O88:S88">
    <cfRule type="containsBlanks" dxfId="3120" priority="3065">
      <formula>LEN(TRIM(O88))=0</formula>
    </cfRule>
  </conditionalFormatting>
  <conditionalFormatting sqref="M88:N88">
    <cfRule type="containsBlanks" dxfId="3119" priority="3064">
      <formula>LEN(TRIM(M88))=0</formula>
    </cfRule>
  </conditionalFormatting>
  <conditionalFormatting sqref="O55:Q55">
    <cfRule type="containsBlanks" dxfId="3118" priority="3063">
      <formula>LEN(TRIM(O55))=0</formula>
    </cfRule>
  </conditionalFormatting>
  <conditionalFormatting sqref="O57:Q57">
    <cfRule type="containsBlanks" dxfId="3117" priority="3062">
      <formula>LEN(TRIM(O57))=0</formula>
    </cfRule>
  </conditionalFormatting>
  <conditionalFormatting sqref="O59:Q59">
    <cfRule type="containsBlanks" dxfId="3116" priority="3061">
      <formula>LEN(TRIM(O59))=0</formula>
    </cfRule>
  </conditionalFormatting>
  <conditionalFormatting sqref="O72:Q72">
    <cfRule type="containsBlanks" dxfId="3115" priority="3060">
      <formula>LEN(TRIM(O72))=0</formula>
    </cfRule>
  </conditionalFormatting>
  <conditionalFormatting sqref="O73:Q73">
    <cfRule type="containsBlanks" dxfId="3114" priority="3059">
      <formula>LEN(TRIM(O73))=0</formula>
    </cfRule>
  </conditionalFormatting>
  <conditionalFormatting sqref="O75:Q75">
    <cfRule type="containsBlanks" dxfId="3113" priority="3058">
      <formula>LEN(TRIM(O75))=0</formula>
    </cfRule>
  </conditionalFormatting>
  <conditionalFormatting sqref="N71:T71">
    <cfRule type="containsBlanks" dxfId="3112" priority="3057">
      <formula>LEN(TRIM(N71))=0</formula>
    </cfRule>
  </conditionalFormatting>
  <conditionalFormatting sqref="M88:S88">
    <cfRule type="containsBlanks" dxfId="3111" priority="3056">
      <formula>LEN(TRIM(M88))=0</formula>
    </cfRule>
  </conditionalFormatting>
  <conditionalFormatting sqref="N91:T91">
    <cfRule type="containsBlanks" dxfId="3110" priority="3055">
      <formula>LEN(TRIM(N91))=0</formula>
    </cfRule>
  </conditionalFormatting>
  <conditionalFormatting sqref="O93:Q93">
    <cfRule type="containsBlanks" dxfId="3109" priority="3054">
      <formula>LEN(TRIM(O93))=0</formula>
    </cfRule>
  </conditionalFormatting>
  <conditionalFormatting sqref="M95:T95">
    <cfRule type="containsBlanks" dxfId="3108" priority="3053">
      <formula>LEN(TRIM(M95))=0</formula>
    </cfRule>
  </conditionalFormatting>
  <conditionalFormatting sqref="M101:T101">
    <cfRule type="containsBlanks" dxfId="3107" priority="3052">
      <formula>LEN(TRIM(M101))=0</formula>
    </cfRule>
  </conditionalFormatting>
  <conditionalFormatting sqref="O102:S102">
    <cfRule type="containsBlanks" dxfId="3106" priority="3051">
      <formula>LEN(TRIM(O102))=0</formula>
    </cfRule>
  </conditionalFormatting>
  <conditionalFormatting sqref="M102:N102">
    <cfRule type="containsBlanks" dxfId="3105" priority="3050">
      <formula>LEN(TRIM(M102))=0</formula>
    </cfRule>
  </conditionalFormatting>
  <conditionalFormatting sqref="M65:T65">
    <cfRule type="containsBlanks" dxfId="3104" priority="3049">
      <formula>LEN(TRIM(M65))=0</formula>
    </cfRule>
  </conditionalFormatting>
  <conditionalFormatting sqref="M66:S66">
    <cfRule type="containsBlanks" dxfId="3103" priority="3048">
      <formula>LEN(TRIM(M66))=0</formula>
    </cfRule>
  </conditionalFormatting>
  <conditionalFormatting sqref="O63:Q63">
    <cfRule type="containsBlanks" dxfId="3102" priority="3047">
      <formula>LEN(TRIM(O63))=0</formula>
    </cfRule>
  </conditionalFormatting>
  <conditionalFormatting sqref="O64:Q64">
    <cfRule type="containsBlanks" dxfId="3101" priority="3046">
      <formula>LEN(TRIM(O64))=0</formula>
    </cfRule>
  </conditionalFormatting>
  <conditionalFormatting sqref="O66:Q66">
    <cfRule type="containsBlanks" dxfId="3100" priority="3045">
      <formula>LEN(TRIM(O66))=0</formula>
    </cfRule>
  </conditionalFormatting>
  <conditionalFormatting sqref="N62:T62">
    <cfRule type="containsBlanks" dxfId="3099" priority="3044">
      <formula>LEN(TRIM(N62))=0</formula>
    </cfRule>
  </conditionalFormatting>
  <conditionalFormatting sqref="M79:S79">
    <cfRule type="containsBlanks" dxfId="3098" priority="3043">
      <formula>LEN(TRIM(M79))=0</formula>
    </cfRule>
  </conditionalFormatting>
  <conditionalFormatting sqref="N82:T82">
    <cfRule type="containsBlanks" dxfId="3097" priority="3042">
      <formula>LEN(TRIM(N82))=0</formula>
    </cfRule>
  </conditionalFormatting>
  <conditionalFormatting sqref="O84:Q84">
    <cfRule type="containsBlanks" dxfId="3096" priority="3041">
      <formula>LEN(TRIM(O84))=0</formula>
    </cfRule>
  </conditionalFormatting>
  <conditionalFormatting sqref="M86:T86">
    <cfRule type="containsBlanks" dxfId="3095" priority="3040">
      <formula>LEN(TRIM(M86))=0</formula>
    </cfRule>
  </conditionalFormatting>
  <conditionalFormatting sqref="M92:T92">
    <cfRule type="containsBlanks" dxfId="3094" priority="3039">
      <formula>LEN(TRIM(M92))=0</formula>
    </cfRule>
  </conditionalFormatting>
  <conditionalFormatting sqref="O93:S93">
    <cfRule type="containsBlanks" dxfId="3093" priority="3038">
      <formula>LEN(TRIM(O93))=0</formula>
    </cfRule>
  </conditionalFormatting>
  <conditionalFormatting sqref="M93:N93">
    <cfRule type="containsBlanks" dxfId="3092" priority="3037">
      <formula>LEN(TRIM(M93))=0</formula>
    </cfRule>
  </conditionalFormatting>
  <conditionalFormatting sqref="M56:T56">
    <cfRule type="containsBlanks" dxfId="3091" priority="3036">
      <formula>LEN(TRIM(M56))=0</formula>
    </cfRule>
  </conditionalFormatting>
  <conditionalFormatting sqref="M57:S57">
    <cfRule type="containsBlanks" dxfId="3090" priority="3035">
      <formula>LEN(TRIM(M57))=0</formula>
    </cfRule>
  </conditionalFormatting>
  <conditionalFormatting sqref="O54:Q54">
    <cfRule type="containsBlanks" dxfId="3089" priority="3034">
      <formula>LEN(TRIM(O54))=0</formula>
    </cfRule>
  </conditionalFormatting>
  <conditionalFormatting sqref="O67:Q67">
    <cfRule type="containsBlanks" dxfId="3088" priority="3033">
      <formula>LEN(TRIM(O67))=0</formula>
    </cfRule>
  </conditionalFormatting>
  <conditionalFormatting sqref="O68:Q68">
    <cfRule type="containsBlanks" dxfId="3087" priority="3032">
      <formula>LEN(TRIM(O68))=0</formula>
    </cfRule>
  </conditionalFormatting>
  <conditionalFormatting sqref="O70:Q70">
    <cfRule type="containsBlanks" dxfId="3086" priority="3031">
      <formula>LEN(TRIM(O70))=0</formula>
    </cfRule>
  </conditionalFormatting>
  <conditionalFormatting sqref="N66:T66">
    <cfRule type="containsBlanks" dxfId="3085" priority="3030">
      <formula>LEN(TRIM(N66))=0</formula>
    </cfRule>
  </conditionalFormatting>
  <conditionalFormatting sqref="M83:S83">
    <cfRule type="containsBlanks" dxfId="3084" priority="3029">
      <formula>LEN(TRIM(M83))=0</formula>
    </cfRule>
  </conditionalFormatting>
  <conditionalFormatting sqref="N86:T86">
    <cfRule type="containsBlanks" dxfId="3083" priority="3028">
      <formula>LEN(TRIM(N86))=0</formula>
    </cfRule>
  </conditionalFormatting>
  <conditionalFormatting sqref="O88:Q88">
    <cfRule type="containsBlanks" dxfId="3082" priority="3027">
      <formula>LEN(TRIM(O88))=0</formula>
    </cfRule>
  </conditionalFormatting>
  <conditionalFormatting sqref="M90:T90">
    <cfRule type="containsBlanks" dxfId="3081" priority="3026">
      <formula>LEN(TRIM(M90))=0</formula>
    </cfRule>
  </conditionalFormatting>
  <conditionalFormatting sqref="M96:T96">
    <cfRule type="containsBlanks" dxfId="3080" priority="3025">
      <formula>LEN(TRIM(M96))=0</formula>
    </cfRule>
  </conditionalFormatting>
  <conditionalFormatting sqref="O97:S97">
    <cfRule type="containsBlanks" dxfId="3079" priority="3024">
      <formula>LEN(TRIM(O97))=0</formula>
    </cfRule>
  </conditionalFormatting>
  <conditionalFormatting sqref="M97:N97">
    <cfRule type="containsBlanks" dxfId="3078" priority="3023">
      <formula>LEN(TRIM(M97))=0</formula>
    </cfRule>
  </conditionalFormatting>
  <conditionalFormatting sqref="M60:T60">
    <cfRule type="containsBlanks" dxfId="3077" priority="3022">
      <formula>LEN(TRIM(M60))=0</formula>
    </cfRule>
  </conditionalFormatting>
  <conditionalFormatting sqref="M61:S61">
    <cfRule type="containsBlanks" dxfId="3076" priority="3021">
      <formula>LEN(TRIM(M61))=0</formula>
    </cfRule>
  </conditionalFormatting>
  <conditionalFormatting sqref="O58:Q58">
    <cfRule type="containsBlanks" dxfId="3075" priority="3020">
      <formula>LEN(TRIM(O58))=0</formula>
    </cfRule>
  </conditionalFormatting>
  <conditionalFormatting sqref="O59:Q59">
    <cfRule type="containsBlanks" dxfId="3074" priority="3019">
      <formula>LEN(TRIM(O59))=0</formula>
    </cfRule>
  </conditionalFormatting>
  <conditionalFormatting sqref="O61:Q61">
    <cfRule type="containsBlanks" dxfId="3073" priority="3018">
      <formula>LEN(TRIM(O61))=0</formula>
    </cfRule>
  </conditionalFormatting>
  <conditionalFormatting sqref="N57:T57">
    <cfRule type="containsBlanks" dxfId="3072" priority="3017">
      <formula>LEN(TRIM(N57))=0</formula>
    </cfRule>
  </conditionalFormatting>
  <conditionalFormatting sqref="M74:S74">
    <cfRule type="containsBlanks" dxfId="3071" priority="3016">
      <formula>LEN(TRIM(M74))=0</formula>
    </cfRule>
  </conditionalFormatting>
  <conditionalFormatting sqref="N77:T77">
    <cfRule type="containsBlanks" dxfId="3070" priority="3015">
      <formula>LEN(TRIM(N77))=0</formula>
    </cfRule>
  </conditionalFormatting>
  <conditionalFormatting sqref="O79:Q79">
    <cfRule type="containsBlanks" dxfId="3069" priority="3014">
      <formula>LEN(TRIM(O79))=0</formula>
    </cfRule>
  </conditionalFormatting>
  <conditionalFormatting sqref="M81:T81">
    <cfRule type="containsBlanks" dxfId="3068" priority="3013">
      <formula>LEN(TRIM(M81))=0</formula>
    </cfRule>
  </conditionalFormatting>
  <conditionalFormatting sqref="M87:T87">
    <cfRule type="containsBlanks" dxfId="3067" priority="3012">
      <formula>LEN(TRIM(M87))=0</formula>
    </cfRule>
  </conditionalFormatting>
  <conditionalFormatting sqref="O88:S88">
    <cfRule type="containsBlanks" dxfId="3066" priority="3011">
      <formula>LEN(TRIM(O88))=0</formula>
    </cfRule>
  </conditionalFormatting>
  <conditionalFormatting sqref="M88:N88">
    <cfRule type="containsBlanks" dxfId="3065" priority="3010">
      <formula>LEN(TRIM(M88))=0</formula>
    </cfRule>
  </conditionalFormatting>
  <conditionalFormatting sqref="O54:Q54">
    <cfRule type="containsBlanks" dxfId="3064" priority="3009">
      <formula>LEN(TRIM(O54))=0</formula>
    </cfRule>
  </conditionalFormatting>
  <conditionalFormatting sqref="O56:Q56">
    <cfRule type="containsBlanks" dxfId="3063" priority="3008">
      <formula>LEN(TRIM(O56))=0</formula>
    </cfRule>
  </conditionalFormatting>
  <conditionalFormatting sqref="O69:Q69">
    <cfRule type="containsBlanks" dxfId="3062" priority="3007">
      <formula>LEN(TRIM(O69))=0</formula>
    </cfRule>
  </conditionalFormatting>
  <conditionalFormatting sqref="O70:Q70">
    <cfRule type="containsBlanks" dxfId="3061" priority="3006">
      <formula>LEN(TRIM(O70))=0</formula>
    </cfRule>
  </conditionalFormatting>
  <conditionalFormatting sqref="O72:Q72">
    <cfRule type="containsBlanks" dxfId="3060" priority="3005">
      <formula>LEN(TRIM(O72))=0</formula>
    </cfRule>
  </conditionalFormatting>
  <conditionalFormatting sqref="N68:T68">
    <cfRule type="containsBlanks" dxfId="3059" priority="3004">
      <formula>LEN(TRIM(N68))=0</formula>
    </cfRule>
  </conditionalFormatting>
  <conditionalFormatting sqref="M85:S85">
    <cfRule type="containsBlanks" dxfId="3058" priority="3003">
      <formula>LEN(TRIM(M85))=0</formula>
    </cfRule>
  </conditionalFormatting>
  <conditionalFormatting sqref="N88:T88">
    <cfRule type="containsBlanks" dxfId="3057" priority="3002">
      <formula>LEN(TRIM(N88))=0</formula>
    </cfRule>
  </conditionalFormatting>
  <conditionalFormatting sqref="O90:Q90">
    <cfRule type="containsBlanks" dxfId="3056" priority="3001">
      <formula>LEN(TRIM(O90))=0</formula>
    </cfRule>
  </conditionalFormatting>
  <conditionalFormatting sqref="M92:T92">
    <cfRule type="containsBlanks" dxfId="3055" priority="3000">
      <formula>LEN(TRIM(M92))=0</formula>
    </cfRule>
  </conditionalFormatting>
  <conditionalFormatting sqref="M98:T98">
    <cfRule type="containsBlanks" dxfId="3054" priority="2999">
      <formula>LEN(TRIM(M98))=0</formula>
    </cfRule>
  </conditionalFormatting>
  <conditionalFormatting sqref="M62:T62">
    <cfRule type="containsBlanks" dxfId="3053" priority="2996">
      <formula>LEN(TRIM(M62))=0</formula>
    </cfRule>
  </conditionalFormatting>
  <conditionalFormatting sqref="M63:S63">
    <cfRule type="containsBlanks" dxfId="3052" priority="2995">
      <formula>LEN(TRIM(M63))=0</formula>
    </cfRule>
  </conditionalFormatting>
  <conditionalFormatting sqref="O60:Q60">
    <cfRule type="containsBlanks" dxfId="3051" priority="2994">
      <formula>LEN(TRIM(O60))=0</formula>
    </cfRule>
  </conditionalFormatting>
  <conditionalFormatting sqref="O61:Q61">
    <cfRule type="containsBlanks" dxfId="3050" priority="2993">
      <formula>LEN(TRIM(O61))=0</formula>
    </cfRule>
  </conditionalFormatting>
  <conditionalFormatting sqref="O63:Q63">
    <cfRule type="containsBlanks" dxfId="3049" priority="2992">
      <formula>LEN(TRIM(O63))=0</formula>
    </cfRule>
  </conditionalFormatting>
  <conditionalFormatting sqref="N59:T59">
    <cfRule type="containsBlanks" dxfId="3048" priority="2991">
      <formula>LEN(TRIM(N59))=0</formula>
    </cfRule>
  </conditionalFormatting>
  <conditionalFormatting sqref="M76:S76">
    <cfRule type="containsBlanks" dxfId="3047" priority="2990">
      <formula>LEN(TRIM(M76))=0</formula>
    </cfRule>
  </conditionalFormatting>
  <conditionalFormatting sqref="N79:T79">
    <cfRule type="containsBlanks" dxfId="3046" priority="2989">
      <formula>LEN(TRIM(N79))=0</formula>
    </cfRule>
  </conditionalFormatting>
  <conditionalFormatting sqref="O81:Q81">
    <cfRule type="containsBlanks" dxfId="3045" priority="2988">
      <formula>LEN(TRIM(O81))=0</formula>
    </cfRule>
  </conditionalFormatting>
  <conditionalFormatting sqref="M83:T83">
    <cfRule type="containsBlanks" dxfId="3044" priority="2987">
      <formula>LEN(TRIM(M83))=0</formula>
    </cfRule>
  </conditionalFormatting>
  <conditionalFormatting sqref="M89:T89">
    <cfRule type="containsBlanks" dxfId="3043" priority="2986">
      <formula>LEN(TRIM(M89))=0</formula>
    </cfRule>
  </conditionalFormatting>
  <conditionalFormatting sqref="O90:S90">
    <cfRule type="containsBlanks" dxfId="3042" priority="2985">
      <formula>LEN(TRIM(O90))=0</formula>
    </cfRule>
  </conditionalFormatting>
  <conditionalFormatting sqref="M90:N90">
    <cfRule type="containsBlanks" dxfId="3041" priority="2984">
      <formula>LEN(TRIM(M90))=0</formula>
    </cfRule>
  </conditionalFormatting>
  <conditionalFormatting sqref="M54:S54">
    <cfRule type="containsBlanks" dxfId="3040" priority="2983">
      <formula>LEN(TRIM(M54))=0</formula>
    </cfRule>
  </conditionalFormatting>
  <conditionalFormatting sqref="O64:Q64">
    <cfRule type="containsBlanks" dxfId="3039" priority="2982">
      <formula>LEN(TRIM(O64))=0</formula>
    </cfRule>
  </conditionalFormatting>
  <conditionalFormatting sqref="O65:Q65">
    <cfRule type="containsBlanks" dxfId="3038" priority="2981">
      <formula>LEN(TRIM(O65))=0</formula>
    </cfRule>
  </conditionalFormatting>
  <conditionalFormatting sqref="O67:Q67">
    <cfRule type="containsBlanks" dxfId="3037" priority="2980">
      <formula>LEN(TRIM(O67))=0</formula>
    </cfRule>
  </conditionalFormatting>
  <conditionalFormatting sqref="N63:T63">
    <cfRule type="containsBlanks" dxfId="3036" priority="2979">
      <formula>LEN(TRIM(N63))=0</formula>
    </cfRule>
  </conditionalFormatting>
  <conditionalFormatting sqref="M80:S80">
    <cfRule type="containsBlanks" dxfId="3035" priority="2978">
      <formula>LEN(TRIM(M80))=0</formula>
    </cfRule>
  </conditionalFormatting>
  <conditionalFormatting sqref="N83:T83">
    <cfRule type="containsBlanks" dxfId="3034" priority="2977">
      <formula>LEN(TRIM(N83))=0</formula>
    </cfRule>
  </conditionalFormatting>
  <conditionalFormatting sqref="O85:Q85">
    <cfRule type="containsBlanks" dxfId="3033" priority="2976">
      <formula>LEN(TRIM(O85))=0</formula>
    </cfRule>
  </conditionalFormatting>
  <conditionalFormatting sqref="M87:T87">
    <cfRule type="containsBlanks" dxfId="3032" priority="2975">
      <formula>LEN(TRIM(M87))=0</formula>
    </cfRule>
  </conditionalFormatting>
  <conditionalFormatting sqref="M93:T93">
    <cfRule type="containsBlanks" dxfId="3031" priority="2974">
      <formula>LEN(TRIM(M93))=0</formula>
    </cfRule>
  </conditionalFormatting>
  <conditionalFormatting sqref="O94:S94">
    <cfRule type="containsBlanks" dxfId="3030" priority="2973">
      <formula>LEN(TRIM(O94))=0</formula>
    </cfRule>
  </conditionalFormatting>
  <conditionalFormatting sqref="M94:N94">
    <cfRule type="containsBlanks" dxfId="3029" priority="2972">
      <formula>LEN(TRIM(M94))=0</formula>
    </cfRule>
  </conditionalFormatting>
  <conditionalFormatting sqref="M57:T57">
    <cfRule type="containsBlanks" dxfId="3028" priority="2971">
      <formula>LEN(TRIM(M57))=0</formula>
    </cfRule>
  </conditionalFormatting>
  <conditionalFormatting sqref="M58:S58">
    <cfRule type="containsBlanks" dxfId="3027" priority="2970">
      <formula>LEN(TRIM(M58))=0</formula>
    </cfRule>
  </conditionalFormatting>
  <conditionalFormatting sqref="O55:Q55">
    <cfRule type="containsBlanks" dxfId="3026" priority="2969">
      <formula>LEN(TRIM(O55))=0</formula>
    </cfRule>
  </conditionalFormatting>
  <conditionalFormatting sqref="O56:Q56">
    <cfRule type="containsBlanks" dxfId="3025" priority="2968">
      <formula>LEN(TRIM(O56))=0</formula>
    </cfRule>
  </conditionalFormatting>
  <conditionalFormatting sqref="O58:Q58">
    <cfRule type="containsBlanks" dxfId="3024" priority="2967">
      <formula>LEN(TRIM(O58))=0</formula>
    </cfRule>
  </conditionalFormatting>
  <conditionalFormatting sqref="N54:T54">
    <cfRule type="containsBlanks" dxfId="3023" priority="2966">
      <formula>LEN(TRIM(N54))=0</formula>
    </cfRule>
  </conditionalFormatting>
  <conditionalFormatting sqref="M71:S71">
    <cfRule type="containsBlanks" dxfId="3022" priority="2965">
      <formula>LEN(TRIM(M71))=0</formula>
    </cfRule>
  </conditionalFormatting>
  <conditionalFormatting sqref="N74:T74">
    <cfRule type="containsBlanks" dxfId="3021" priority="2964">
      <formula>LEN(TRIM(N74))=0</formula>
    </cfRule>
  </conditionalFormatting>
  <conditionalFormatting sqref="O76:Q76">
    <cfRule type="containsBlanks" dxfId="3020" priority="2963">
      <formula>LEN(TRIM(O76))=0</formula>
    </cfRule>
  </conditionalFormatting>
  <conditionalFormatting sqref="M78:T78">
    <cfRule type="containsBlanks" dxfId="3019" priority="2962">
      <formula>LEN(TRIM(M78))=0</formula>
    </cfRule>
  </conditionalFormatting>
  <conditionalFormatting sqref="M84:T84">
    <cfRule type="containsBlanks" dxfId="3018" priority="2961">
      <formula>LEN(TRIM(M84))=0</formula>
    </cfRule>
  </conditionalFormatting>
  <conditionalFormatting sqref="O85:S85">
    <cfRule type="containsBlanks" dxfId="3017" priority="2960">
      <formula>LEN(TRIM(O85))=0</formula>
    </cfRule>
  </conditionalFormatting>
  <conditionalFormatting sqref="M85:N85">
    <cfRule type="containsBlanks" dxfId="3016" priority="2959">
      <formula>LEN(TRIM(M85))=0</formula>
    </cfRule>
  </conditionalFormatting>
  <conditionalFormatting sqref="O56:Q56">
    <cfRule type="containsBlanks" dxfId="3015" priority="2958">
      <formula>LEN(TRIM(O56))=0</formula>
    </cfRule>
  </conditionalFormatting>
  <conditionalFormatting sqref="O54:Q54">
    <cfRule type="containsBlanks" dxfId="3014" priority="2957">
      <formula>LEN(TRIM(O54))=0</formula>
    </cfRule>
  </conditionalFormatting>
  <conditionalFormatting sqref="O58:Q58">
    <cfRule type="containsBlanks" dxfId="3013" priority="2956">
      <formula>LEN(TRIM(O58))=0</formula>
    </cfRule>
  </conditionalFormatting>
  <conditionalFormatting sqref="O60:Q60">
    <cfRule type="containsBlanks" dxfId="3012" priority="2955">
      <formula>LEN(TRIM(O60))=0</formula>
    </cfRule>
  </conditionalFormatting>
  <conditionalFormatting sqref="O62:Q62">
    <cfRule type="containsBlanks" dxfId="3011" priority="2954">
      <formula>LEN(TRIM(O62))=0</formula>
    </cfRule>
  </conditionalFormatting>
  <conditionalFormatting sqref="O75:Q75">
    <cfRule type="containsBlanks" dxfId="3010" priority="2953">
      <formula>LEN(TRIM(O75))=0</formula>
    </cfRule>
  </conditionalFormatting>
  <conditionalFormatting sqref="O76:Q76">
    <cfRule type="containsBlanks" dxfId="3009" priority="2952">
      <formula>LEN(TRIM(O76))=0</formula>
    </cfRule>
  </conditionalFormatting>
  <conditionalFormatting sqref="O78:Q78">
    <cfRule type="containsBlanks" dxfId="3008" priority="2951">
      <formula>LEN(TRIM(O78))=0</formula>
    </cfRule>
  </conditionalFormatting>
  <conditionalFormatting sqref="N74:T74">
    <cfRule type="containsBlanks" dxfId="3007" priority="2950">
      <formula>LEN(TRIM(N74))=0</formula>
    </cfRule>
  </conditionalFormatting>
  <conditionalFormatting sqref="M91:S91">
    <cfRule type="containsBlanks" dxfId="3006" priority="2949">
      <formula>LEN(TRIM(M91))=0</formula>
    </cfRule>
  </conditionalFormatting>
  <conditionalFormatting sqref="N94:T94">
    <cfRule type="containsBlanks" dxfId="3005" priority="2948">
      <formula>LEN(TRIM(N94))=0</formula>
    </cfRule>
  </conditionalFormatting>
  <conditionalFormatting sqref="O96:Q96">
    <cfRule type="containsBlanks" dxfId="3004" priority="2947">
      <formula>LEN(TRIM(O96))=0</formula>
    </cfRule>
  </conditionalFormatting>
  <conditionalFormatting sqref="M98:T98">
    <cfRule type="containsBlanks" dxfId="3003" priority="2946">
      <formula>LEN(TRIM(M98))=0</formula>
    </cfRule>
  </conditionalFormatting>
  <conditionalFormatting sqref="M104:T104">
    <cfRule type="containsBlanks" dxfId="3002" priority="2945">
      <formula>LEN(TRIM(M104))=0</formula>
    </cfRule>
  </conditionalFormatting>
  <conditionalFormatting sqref="O105:S105">
    <cfRule type="containsBlanks" dxfId="3001" priority="2944">
      <formula>LEN(TRIM(O105))=0</formula>
    </cfRule>
  </conditionalFormatting>
  <conditionalFormatting sqref="M105:N105">
    <cfRule type="containsBlanks" dxfId="3000" priority="2943">
      <formula>LEN(TRIM(M105))=0</formula>
    </cfRule>
  </conditionalFormatting>
  <conditionalFormatting sqref="M68:T68">
    <cfRule type="containsBlanks" dxfId="2999" priority="2942">
      <formula>LEN(TRIM(M68))=0</formula>
    </cfRule>
  </conditionalFormatting>
  <conditionalFormatting sqref="M69:S69">
    <cfRule type="containsBlanks" dxfId="2998" priority="2941">
      <formula>LEN(TRIM(M69))=0</formula>
    </cfRule>
  </conditionalFormatting>
  <conditionalFormatting sqref="O66:Q66">
    <cfRule type="containsBlanks" dxfId="2997" priority="2940">
      <formula>LEN(TRIM(O66))=0</formula>
    </cfRule>
  </conditionalFormatting>
  <conditionalFormatting sqref="O67:Q67">
    <cfRule type="containsBlanks" dxfId="2996" priority="2939">
      <formula>LEN(TRIM(O67))=0</formula>
    </cfRule>
  </conditionalFormatting>
  <conditionalFormatting sqref="O69:Q69">
    <cfRule type="containsBlanks" dxfId="2995" priority="2938">
      <formula>LEN(TRIM(O69))=0</formula>
    </cfRule>
  </conditionalFormatting>
  <conditionalFormatting sqref="N65:T65">
    <cfRule type="containsBlanks" dxfId="2994" priority="2937">
      <formula>LEN(TRIM(N65))=0</formula>
    </cfRule>
  </conditionalFormatting>
  <conditionalFormatting sqref="M82:S82">
    <cfRule type="containsBlanks" dxfId="2993" priority="2936">
      <formula>LEN(TRIM(M82))=0</formula>
    </cfRule>
  </conditionalFormatting>
  <conditionalFormatting sqref="N85:T85">
    <cfRule type="containsBlanks" dxfId="2992" priority="2935">
      <formula>LEN(TRIM(N85))=0</formula>
    </cfRule>
  </conditionalFormatting>
  <conditionalFormatting sqref="O87:Q87">
    <cfRule type="containsBlanks" dxfId="2991" priority="2934">
      <formula>LEN(TRIM(O87))=0</formula>
    </cfRule>
  </conditionalFormatting>
  <conditionalFormatting sqref="M89:T89">
    <cfRule type="containsBlanks" dxfId="2990" priority="2933">
      <formula>LEN(TRIM(M89))=0</formula>
    </cfRule>
  </conditionalFormatting>
  <conditionalFormatting sqref="M95:T95">
    <cfRule type="containsBlanks" dxfId="2989" priority="2932">
      <formula>LEN(TRIM(M95))=0</formula>
    </cfRule>
  </conditionalFormatting>
  <conditionalFormatting sqref="O96:S96">
    <cfRule type="containsBlanks" dxfId="2988" priority="2931">
      <formula>LEN(TRIM(O96))=0</formula>
    </cfRule>
  </conditionalFormatting>
  <conditionalFormatting sqref="M96:N96">
    <cfRule type="containsBlanks" dxfId="2987" priority="2930">
      <formula>LEN(TRIM(M96))=0</formula>
    </cfRule>
  </conditionalFormatting>
  <conditionalFormatting sqref="M59:T59">
    <cfRule type="containsBlanks" dxfId="2986" priority="2929">
      <formula>LEN(TRIM(M59))=0</formula>
    </cfRule>
  </conditionalFormatting>
  <conditionalFormatting sqref="M60:S60">
    <cfRule type="containsBlanks" dxfId="2985" priority="2928">
      <formula>LEN(TRIM(M60))=0</formula>
    </cfRule>
  </conditionalFormatting>
  <conditionalFormatting sqref="O55:Q55">
    <cfRule type="containsBlanks" dxfId="2984" priority="2927">
      <formula>LEN(TRIM(O55))=0</formula>
    </cfRule>
  </conditionalFormatting>
  <conditionalFormatting sqref="O57:Q57">
    <cfRule type="containsBlanks" dxfId="2983" priority="2926">
      <formula>LEN(TRIM(O57))=0</formula>
    </cfRule>
  </conditionalFormatting>
  <conditionalFormatting sqref="O70:Q70">
    <cfRule type="containsBlanks" dxfId="2982" priority="2925">
      <formula>LEN(TRIM(O70))=0</formula>
    </cfRule>
  </conditionalFormatting>
  <conditionalFormatting sqref="O71:Q71">
    <cfRule type="containsBlanks" dxfId="2981" priority="2924">
      <formula>LEN(TRIM(O71))=0</formula>
    </cfRule>
  </conditionalFormatting>
  <conditionalFormatting sqref="O73:Q73">
    <cfRule type="containsBlanks" dxfId="2980" priority="2923">
      <formula>LEN(TRIM(O73))=0</formula>
    </cfRule>
  </conditionalFormatting>
  <conditionalFormatting sqref="N69:T69">
    <cfRule type="containsBlanks" dxfId="2979" priority="2922">
      <formula>LEN(TRIM(N69))=0</formula>
    </cfRule>
  </conditionalFormatting>
  <conditionalFormatting sqref="M86:S86">
    <cfRule type="containsBlanks" dxfId="2978" priority="2921">
      <formula>LEN(TRIM(M86))=0</formula>
    </cfRule>
  </conditionalFormatting>
  <conditionalFormatting sqref="N89:T89">
    <cfRule type="containsBlanks" dxfId="2977" priority="2920">
      <formula>LEN(TRIM(N89))=0</formula>
    </cfRule>
  </conditionalFormatting>
  <conditionalFormatting sqref="O91:Q91">
    <cfRule type="containsBlanks" dxfId="2976" priority="2919">
      <formula>LEN(TRIM(O91))=0</formula>
    </cfRule>
  </conditionalFormatting>
  <conditionalFormatting sqref="M93:T93">
    <cfRule type="containsBlanks" dxfId="2975" priority="2918">
      <formula>LEN(TRIM(M93))=0</formula>
    </cfRule>
  </conditionalFormatting>
  <conditionalFormatting sqref="O100:S100">
    <cfRule type="containsBlanks" dxfId="2974" priority="2916">
      <formula>LEN(TRIM(O100))=0</formula>
    </cfRule>
  </conditionalFormatting>
  <conditionalFormatting sqref="M100:N100">
    <cfRule type="containsBlanks" dxfId="2973" priority="2915">
      <formula>LEN(TRIM(M100))=0</formula>
    </cfRule>
  </conditionalFormatting>
  <conditionalFormatting sqref="M63:T63">
    <cfRule type="containsBlanks" dxfId="2972" priority="2914">
      <formula>LEN(TRIM(M63))=0</formula>
    </cfRule>
  </conditionalFormatting>
  <conditionalFormatting sqref="M64:S64">
    <cfRule type="containsBlanks" dxfId="2971" priority="2913">
      <formula>LEN(TRIM(M64))=0</formula>
    </cfRule>
  </conditionalFormatting>
  <conditionalFormatting sqref="O61:Q61">
    <cfRule type="containsBlanks" dxfId="2970" priority="2912">
      <formula>LEN(TRIM(O61))=0</formula>
    </cfRule>
  </conditionalFormatting>
  <conditionalFormatting sqref="O62:Q62">
    <cfRule type="containsBlanks" dxfId="2969" priority="2911">
      <formula>LEN(TRIM(O62))=0</formula>
    </cfRule>
  </conditionalFormatting>
  <conditionalFormatting sqref="O64:Q64">
    <cfRule type="containsBlanks" dxfId="2968" priority="2910">
      <formula>LEN(TRIM(O64))=0</formula>
    </cfRule>
  </conditionalFormatting>
  <conditionalFormatting sqref="N60:T60">
    <cfRule type="containsBlanks" dxfId="2967" priority="2909">
      <formula>LEN(TRIM(N60))=0</formula>
    </cfRule>
  </conditionalFormatting>
  <conditionalFormatting sqref="M77:S77">
    <cfRule type="containsBlanks" dxfId="2966" priority="2908">
      <formula>LEN(TRIM(M77))=0</formula>
    </cfRule>
  </conditionalFormatting>
  <conditionalFormatting sqref="N80:T80">
    <cfRule type="containsBlanks" dxfId="2965" priority="2907">
      <formula>LEN(TRIM(N80))=0</formula>
    </cfRule>
  </conditionalFormatting>
  <conditionalFormatting sqref="O82:Q82">
    <cfRule type="containsBlanks" dxfId="2964" priority="2906">
      <formula>LEN(TRIM(O82))=0</formula>
    </cfRule>
  </conditionalFormatting>
  <conditionalFormatting sqref="M84:T84">
    <cfRule type="containsBlanks" dxfId="2963" priority="2905">
      <formula>LEN(TRIM(M84))=0</formula>
    </cfRule>
  </conditionalFormatting>
  <conditionalFormatting sqref="M90:T90">
    <cfRule type="containsBlanks" dxfId="2962" priority="2904">
      <formula>LEN(TRIM(M90))=0</formula>
    </cfRule>
  </conditionalFormatting>
  <conditionalFormatting sqref="O91:S91">
    <cfRule type="containsBlanks" dxfId="2961" priority="2903">
      <formula>LEN(TRIM(O91))=0</formula>
    </cfRule>
  </conditionalFormatting>
  <conditionalFormatting sqref="M91:N91">
    <cfRule type="containsBlanks" dxfId="2960" priority="2902">
      <formula>LEN(TRIM(M91))=0</formula>
    </cfRule>
  </conditionalFormatting>
  <conditionalFormatting sqref="M54:T54">
    <cfRule type="containsBlanks" dxfId="2959" priority="2901">
      <formula>LEN(TRIM(M54))=0</formula>
    </cfRule>
  </conditionalFormatting>
  <conditionalFormatting sqref="M55:S55">
    <cfRule type="containsBlanks" dxfId="2958" priority="2900">
      <formula>LEN(TRIM(M55))=0</formula>
    </cfRule>
  </conditionalFormatting>
  <conditionalFormatting sqref="O55:Q55">
    <cfRule type="containsBlanks" dxfId="2957" priority="2899">
      <formula>LEN(TRIM(O55))=0</formula>
    </cfRule>
  </conditionalFormatting>
  <conditionalFormatting sqref="O57:Q57">
    <cfRule type="containsBlanks" dxfId="2956" priority="2898">
      <formula>LEN(TRIM(O57))=0</formula>
    </cfRule>
  </conditionalFormatting>
  <conditionalFormatting sqref="O59:Q59">
    <cfRule type="containsBlanks" dxfId="2955" priority="2897">
      <formula>LEN(TRIM(O59))=0</formula>
    </cfRule>
  </conditionalFormatting>
  <conditionalFormatting sqref="O72:Q72">
    <cfRule type="containsBlanks" dxfId="2954" priority="2896">
      <formula>LEN(TRIM(O72))=0</formula>
    </cfRule>
  </conditionalFormatting>
  <conditionalFormatting sqref="O73:Q73">
    <cfRule type="containsBlanks" dxfId="2953" priority="2895">
      <formula>LEN(TRIM(O73))=0</formula>
    </cfRule>
  </conditionalFormatting>
  <conditionalFormatting sqref="O75:Q75">
    <cfRule type="containsBlanks" dxfId="2952" priority="2894">
      <formula>LEN(TRIM(O75))=0</formula>
    </cfRule>
  </conditionalFormatting>
  <conditionalFormatting sqref="N71:T71">
    <cfRule type="containsBlanks" dxfId="2951" priority="2893">
      <formula>LEN(TRIM(N71))=0</formula>
    </cfRule>
  </conditionalFormatting>
  <conditionalFormatting sqref="M88:S88">
    <cfRule type="containsBlanks" dxfId="2950" priority="2892">
      <formula>LEN(TRIM(M88))=0</formula>
    </cfRule>
  </conditionalFormatting>
  <conditionalFormatting sqref="N91:T91">
    <cfRule type="containsBlanks" dxfId="2949" priority="2891">
      <formula>LEN(TRIM(N91))=0</formula>
    </cfRule>
  </conditionalFormatting>
  <conditionalFormatting sqref="O93:Q93">
    <cfRule type="containsBlanks" dxfId="2948" priority="2890">
      <formula>LEN(TRIM(O93))=0</formula>
    </cfRule>
  </conditionalFormatting>
  <conditionalFormatting sqref="M95:T95">
    <cfRule type="containsBlanks" dxfId="2947" priority="2889">
      <formula>LEN(TRIM(M95))=0</formula>
    </cfRule>
  </conditionalFormatting>
  <conditionalFormatting sqref="M101:T101">
    <cfRule type="containsBlanks" dxfId="2946" priority="2888">
      <formula>LEN(TRIM(M101))=0</formula>
    </cfRule>
  </conditionalFormatting>
  <conditionalFormatting sqref="O102:S102">
    <cfRule type="containsBlanks" dxfId="2945" priority="2887">
      <formula>LEN(TRIM(O102))=0</formula>
    </cfRule>
  </conditionalFormatting>
  <conditionalFormatting sqref="M102:N102">
    <cfRule type="containsBlanks" dxfId="2944" priority="2886">
      <formula>LEN(TRIM(M102))=0</formula>
    </cfRule>
  </conditionalFormatting>
  <conditionalFormatting sqref="M65:T65">
    <cfRule type="containsBlanks" dxfId="2943" priority="2885">
      <formula>LEN(TRIM(M65))=0</formula>
    </cfRule>
  </conditionalFormatting>
  <conditionalFormatting sqref="M66:S66">
    <cfRule type="containsBlanks" dxfId="2942" priority="2884">
      <formula>LEN(TRIM(M66))=0</formula>
    </cfRule>
  </conditionalFormatting>
  <conditionalFormatting sqref="O63:Q63">
    <cfRule type="containsBlanks" dxfId="2941" priority="2883">
      <formula>LEN(TRIM(O63))=0</formula>
    </cfRule>
  </conditionalFormatting>
  <conditionalFormatting sqref="O64:Q64">
    <cfRule type="containsBlanks" dxfId="2940" priority="2882">
      <formula>LEN(TRIM(O64))=0</formula>
    </cfRule>
  </conditionalFormatting>
  <conditionalFormatting sqref="O66:Q66">
    <cfRule type="containsBlanks" dxfId="2939" priority="2881">
      <formula>LEN(TRIM(O66))=0</formula>
    </cfRule>
  </conditionalFormatting>
  <conditionalFormatting sqref="N62:T62">
    <cfRule type="containsBlanks" dxfId="2938" priority="2880">
      <formula>LEN(TRIM(N62))=0</formula>
    </cfRule>
  </conditionalFormatting>
  <conditionalFormatting sqref="M79:S79">
    <cfRule type="containsBlanks" dxfId="2937" priority="2879">
      <formula>LEN(TRIM(M79))=0</formula>
    </cfRule>
  </conditionalFormatting>
  <conditionalFormatting sqref="N82:T82">
    <cfRule type="containsBlanks" dxfId="2936" priority="2878">
      <formula>LEN(TRIM(N82))=0</formula>
    </cfRule>
  </conditionalFormatting>
  <conditionalFormatting sqref="O84:Q84">
    <cfRule type="containsBlanks" dxfId="2935" priority="2877">
      <formula>LEN(TRIM(O84))=0</formula>
    </cfRule>
  </conditionalFormatting>
  <conditionalFormatting sqref="M86:T86">
    <cfRule type="containsBlanks" dxfId="2934" priority="2876">
      <formula>LEN(TRIM(M86))=0</formula>
    </cfRule>
  </conditionalFormatting>
  <conditionalFormatting sqref="M92:T92">
    <cfRule type="containsBlanks" dxfId="2933" priority="2875">
      <formula>LEN(TRIM(M92))=0</formula>
    </cfRule>
  </conditionalFormatting>
  <conditionalFormatting sqref="O93:S93">
    <cfRule type="containsBlanks" dxfId="2932" priority="2874">
      <formula>LEN(TRIM(O93))=0</formula>
    </cfRule>
  </conditionalFormatting>
  <conditionalFormatting sqref="M93:N93">
    <cfRule type="containsBlanks" dxfId="2931" priority="2873">
      <formula>LEN(TRIM(M93))=0</formula>
    </cfRule>
  </conditionalFormatting>
  <conditionalFormatting sqref="M56:T56">
    <cfRule type="containsBlanks" dxfId="2930" priority="2872">
      <formula>LEN(TRIM(M56))=0</formula>
    </cfRule>
  </conditionalFormatting>
  <conditionalFormatting sqref="M57:S57">
    <cfRule type="containsBlanks" dxfId="2929" priority="2871">
      <formula>LEN(TRIM(M57))=0</formula>
    </cfRule>
  </conditionalFormatting>
  <conditionalFormatting sqref="O54:Q54">
    <cfRule type="containsBlanks" dxfId="2928" priority="2870">
      <formula>LEN(TRIM(O54))=0</formula>
    </cfRule>
  </conditionalFormatting>
  <conditionalFormatting sqref="O67:Q67">
    <cfRule type="containsBlanks" dxfId="2927" priority="2869">
      <formula>LEN(TRIM(O67))=0</formula>
    </cfRule>
  </conditionalFormatting>
  <conditionalFormatting sqref="O68:Q68">
    <cfRule type="containsBlanks" dxfId="2926" priority="2868">
      <formula>LEN(TRIM(O68))=0</formula>
    </cfRule>
  </conditionalFormatting>
  <conditionalFormatting sqref="O70:Q70">
    <cfRule type="containsBlanks" dxfId="2925" priority="2867">
      <formula>LEN(TRIM(O70))=0</formula>
    </cfRule>
  </conditionalFormatting>
  <conditionalFormatting sqref="N66:T66">
    <cfRule type="containsBlanks" dxfId="2924" priority="2866">
      <formula>LEN(TRIM(N66))=0</formula>
    </cfRule>
  </conditionalFormatting>
  <conditionalFormatting sqref="M83:S83">
    <cfRule type="containsBlanks" dxfId="2923" priority="2865">
      <formula>LEN(TRIM(M83))=0</formula>
    </cfRule>
  </conditionalFormatting>
  <conditionalFormatting sqref="N86:T86">
    <cfRule type="containsBlanks" dxfId="2922" priority="2864">
      <formula>LEN(TRIM(N86))=0</formula>
    </cfRule>
  </conditionalFormatting>
  <conditionalFormatting sqref="O88:Q88">
    <cfRule type="containsBlanks" dxfId="2921" priority="2863">
      <formula>LEN(TRIM(O88))=0</formula>
    </cfRule>
  </conditionalFormatting>
  <conditionalFormatting sqref="M90:T90">
    <cfRule type="containsBlanks" dxfId="2920" priority="2862">
      <formula>LEN(TRIM(M90))=0</formula>
    </cfRule>
  </conditionalFormatting>
  <conditionalFormatting sqref="M96:T96">
    <cfRule type="containsBlanks" dxfId="2919" priority="2861">
      <formula>LEN(TRIM(M96))=0</formula>
    </cfRule>
  </conditionalFormatting>
  <conditionalFormatting sqref="O97:S97">
    <cfRule type="containsBlanks" dxfId="2918" priority="2860">
      <formula>LEN(TRIM(O97))=0</formula>
    </cfRule>
  </conditionalFormatting>
  <conditionalFormatting sqref="M97:N97">
    <cfRule type="containsBlanks" dxfId="2917" priority="2859">
      <formula>LEN(TRIM(M97))=0</formula>
    </cfRule>
  </conditionalFormatting>
  <conditionalFormatting sqref="M60:T60">
    <cfRule type="containsBlanks" dxfId="2916" priority="2858">
      <formula>LEN(TRIM(M60))=0</formula>
    </cfRule>
  </conditionalFormatting>
  <conditionalFormatting sqref="M61:S61">
    <cfRule type="containsBlanks" dxfId="2915" priority="2857">
      <formula>LEN(TRIM(M61))=0</formula>
    </cfRule>
  </conditionalFormatting>
  <conditionalFormatting sqref="O58:Q58">
    <cfRule type="containsBlanks" dxfId="2914" priority="2856">
      <formula>LEN(TRIM(O58))=0</formula>
    </cfRule>
  </conditionalFormatting>
  <conditionalFormatting sqref="O59:Q59">
    <cfRule type="containsBlanks" dxfId="2913" priority="2855">
      <formula>LEN(TRIM(O59))=0</formula>
    </cfRule>
  </conditionalFormatting>
  <conditionalFormatting sqref="O61:Q61">
    <cfRule type="containsBlanks" dxfId="2912" priority="2854">
      <formula>LEN(TRIM(O61))=0</formula>
    </cfRule>
  </conditionalFormatting>
  <conditionalFormatting sqref="N57:T57">
    <cfRule type="containsBlanks" dxfId="2911" priority="2853">
      <formula>LEN(TRIM(N57))=0</formula>
    </cfRule>
  </conditionalFormatting>
  <conditionalFormatting sqref="M74:S74">
    <cfRule type="containsBlanks" dxfId="2910" priority="2852">
      <formula>LEN(TRIM(M74))=0</formula>
    </cfRule>
  </conditionalFormatting>
  <conditionalFormatting sqref="N77:T77">
    <cfRule type="containsBlanks" dxfId="2909" priority="2851">
      <formula>LEN(TRIM(N77))=0</formula>
    </cfRule>
  </conditionalFormatting>
  <conditionalFormatting sqref="O79:Q79">
    <cfRule type="containsBlanks" dxfId="2908" priority="2850">
      <formula>LEN(TRIM(O79))=0</formula>
    </cfRule>
  </conditionalFormatting>
  <conditionalFormatting sqref="M81:T81">
    <cfRule type="containsBlanks" dxfId="2907" priority="2849">
      <formula>LEN(TRIM(M81))=0</formula>
    </cfRule>
  </conditionalFormatting>
  <conditionalFormatting sqref="M87:T87">
    <cfRule type="containsBlanks" dxfId="2906" priority="2848">
      <formula>LEN(TRIM(M87))=0</formula>
    </cfRule>
  </conditionalFormatting>
  <conditionalFormatting sqref="O88:S88">
    <cfRule type="containsBlanks" dxfId="2905" priority="2847">
      <formula>LEN(TRIM(O88))=0</formula>
    </cfRule>
  </conditionalFormatting>
  <conditionalFormatting sqref="M88:N88">
    <cfRule type="containsBlanks" dxfId="2904" priority="2846">
      <formula>LEN(TRIM(M88))=0</formula>
    </cfRule>
  </conditionalFormatting>
  <conditionalFormatting sqref="O55:Q55">
    <cfRule type="containsBlanks" dxfId="2903" priority="2845">
      <formula>LEN(TRIM(O55))=0</formula>
    </cfRule>
  </conditionalFormatting>
  <conditionalFormatting sqref="O57:Q57">
    <cfRule type="containsBlanks" dxfId="2902" priority="2844">
      <formula>LEN(TRIM(O57))=0</formula>
    </cfRule>
  </conditionalFormatting>
  <conditionalFormatting sqref="O59:Q59">
    <cfRule type="containsBlanks" dxfId="2901" priority="2843">
      <formula>LEN(TRIM(O59))=0</formula>
    </cfRule>
  </conditionalFormatting>
  <conditionalFormatting sqref="O72:Q72">
    <cfRule type="containsBlanks" dxfId="2900" priority="2842">
      <formula>LEN(TRIM(O72))=0</formula>
    </cfRule>
  </conditionalFormatting>
  <conditionalFormatting sqref="O73:Q73">
    <cfRule type="containsBlanks" dxfId="2899" priority="2841">
      <formula>LEN(TRIM(O73))=0</formula>
    </cfRule>
  </conditionalFormatting>
  <conditionalFormatting sqref="O75:Q75">
    <cfRule type="containsBlanks" dxfId="2898" priority="2840">
      <formula>LEN(TRIM(O75))=0</formula>
    </cfRule>
  </conditionalFormatting>
  <conditionalFormatting sqref="N71:T71">
    <cfRule type="containsBlanks" dxfId="2897" priority="2839">
      <formula>LEN(TRIM(N71))=0</formula>
    </cfRule>
  </conditionalFormatting>
  <conditionalFormatting sqref="M88:S88">
    <cfRule type="containsBlanks" dxfId="2896" priority="2838">
      <formula>LEN(TRIM(M88))=0</formula>
    </cfRule>
  </conditionalFormatting>
  <conditionalFormatting sqref="N91:T91">
    <cfRule type="containsBlanks" dxfId="2895" priority="2837">
      <formula>LEN(TRIM(N91))=0</formula>
    </cfRule>
  </conditionalFormatting>
  <conditionalFormatting sqref="O93:Q93">
    <cfRule type="containsBlanks" dxfId="2894" priority="2836">
      <formula>LEN(TRIM(O93))=0</formula>
    </cfRule>
  </conditionalFormatting>
  <conditionalFormatting sqref="M95:T95">
    <cfRule type="containsBlanks" dxfId="2893" priority="2835">
      <formula>LEN(TRIM(M95))=0</formula>
    </cfRule>
  </conditionalFormatting>
  <conditionalFormatting sqref="M101:T101">
    <cfRule type="containsBlanks" dxfId="2892" priority="2834">
      <formula>LEN(TRIM(M101))=0</formula>
    </cfRule>
  </conditionalFormatting>
  <conditionalFormatting sqref="O102:S102">
    <cfRule type="containsBlanks" dxfId="2891" priority="2833">
      <formula>LEN(TRIM(O102))=0</formula>
    </cfRule>
  </conditionalFormatting>
  <conditionalFormatting sqref="M102:N102">
    <cfRule type="containsBlanks" dxfId="2890" priority="2832">
      <formula>LEN(TRIM(M102))=0</formula>
    </cfRule>
  </conditionalFormatting>
  <conditionalFormatting sqref="M65:T65">
    <cfRule type="containsBlanks" dxfId="2889" priority="2831">
      <formula>LEN(TRIM(M65))=0</formula>
    </cfRule>
  </conditionalFormatting>
  <conditionalFormatting sqref="M66:S66">
    <cfRule type="containsBlanks" dxfId="2888" priority="2830">
      <formula>LEN(TRIM(M66))=0</formula>
    </cfRule>
  </conditionalFormatting>
  <conditionalFormatting sqref="O63:Q63">
    <cfRule type="containsBlanks" dxfId="2887" priority="2829">
      <formula>LEN(TRIM(O63))=0</formula>
    </cfRule>
  </conditionalFormatting>
  <conditionalFormatting sqref="O64:Q64">
    <cfRule type="containsBlanks" dxfId="2886" priority="2828">
      <formula>LEN(TRIM(O64))=0</formula>
    </cfRule>
  </conditionalFormatting>
  <conditionalFormatting sqref="O66:Q66">
    <cfRule type="containsBlanks" dxfId="2885" priority="2827">
      <formula>LEN(TRIM(O66))=0</formula>
    </cfRule>
  </conditionalFormatting>
  <conditionalFormatting sqref="N62:T62">
    <cfRule type="containsBlanks" dxfId="2884" priority="2826">
      <formula>LEN(TRIM(N62))=0</formula>
    </cfRule>
  </conditionalFormatting>
  <conditionalFormatting sqref="M79:S79">
    <cfRule type="containsBlanks" dxfId="2883" priority="2825">
      <formula>LEN(TRIM(M79))=0</formula>
    </cfRule>
  </conditionalFormatting>
  <conditionalFormatting sqref="N82:T82">
    <cfRule type="containsBlanks" dxfId="2882" priority="2824">
      <formula>LEN(TRIM(N82))=0</formula>
    </cfRule>
  </conditionalFormatting>
  <conditionalFormatting sqref="O84:Q84">
    <cfRule type="containsBlanks" dxfId="2881" priority="2823">
      <formula>LEN(TRIM(O84))=0</formula>
    </cfRule>
  </conditionalFormatting>
  <conditionalFormatting sqref="M86:T86">
    <cfRule type="containsBlanks" dxfId="2880" priority="2822">
      <formula>LEN(TRIM(M86))=0</formula>
    </cfRule>
  </conditionalFormatting>
  <conditionalFormatting sqref="M92:T92">
    <cfRule type="containsBlanks" dxfId="2879" priority="2821">
      <formula>LEN(TRIM(M92))=0</formula>
    </cfRule>
  </conditionalFormatting>
  <conditionalFormatting sqref="O93:S93">
    <cfRule type="containsBlanks" dxfId="2878" priority="2820">
      <formula>LEN(TRIM(O93))=0</formula>
    </cfRule>
  </conditionalFormatting>
  <conditionalFormatting sqref="M93:N93">
    <cfRule type="containsBlanks" dxfId="2877" priority="2819">
      <formula>LEN(TRIM(M93))=0</formula>
    </cfRule>
  </conditionalFormatting>
  <conditionalFormatting sqref="M56:T56">
    <cfRule type="containsBlanks" dxfId="2876" priority="2818">
      <formula>LEN(TRIM(M56))=0</formula>
    </cfRule>
  </conditionalFormatting>
  <conditionalFormatting sqref="M57:S57">
    <cfRule type="containsBlanks" dxfId="2875" priority="2817">
      <formula>LEN(TRIM(M57))=0</formula>
    </cfRule>
  </conditionalFormatting>
  <conditionalFormatting sqref="O54:Q54">
    <cfRule type="containsBlanks" dxfId="2874" priority="2816">
      <formula>LEN(TRIM(O54))=0</formula>
    </cfRule>
  </conditionalFormatting>
  <conditionalFormatting sqref="O67:Q67">
    <cfRule type="containsBlanks" dxfId="2873" priority="2815">
      <formula>LEN(TRIM(O67))=0</formula>
    </cfRule>
  </conditionalFormatting>
  <conditionalFormatting sqref="O68:Q68">
    <cfRule type="containsBlanks" dxfId="2872" priority="2814">
      <formula>LEN(TRIM(O68))=0</formula>
    </cfRule>
  </conditionalFormatting>
  <conditionalFormatting sqref="O70:Q70">
    <cfRule type="containsBlanks" dxfId="2871" priority="2813">
      <formula>LEN(TRIM(O70))=0</formula>
    </cfRule>
  </conditionalFormatting>
  <conditionalFormatting sqref="N66:T66">
    <cfRule type="containsBlanks" dxfId="2870" priority="2812">
      <formula>LEN(TRIM(N66))=0</formula>
    </cfRule>
  </conditionalFormatting>
  <conditionalFormatting sqref="M83:S83">
    <cfRule type="containsBlanks" dxfId="2869" priority="2811">
      <formula>LEN(TRIM(M83))=0</formula>
    </cfRule>
  </conditionalFormatting>
  <conditionalFormatting sqref="N86:T86">
    <cfRule type="containsBlanks" dxfId="2868" priority="2810">
      <formula>LEN(TRIM(N86))=0</formula>
    </cfRule>
  </conditionalFormatting>
  <conditionalFormatting sqref="O88:Q88">
    <cfRule type="containsBlanks" dxfId="2867" priority="2809">
      <formula>LEN(TRIM(O88))=0</formula>
    </cfRule>
  </conditionalFormatting>
  <conditionalFormatting sqref="M90:T90">
    <cfRule type="containsBlanks" dxfId="2866" priority="2808">
      <formula>LEN(TRIM(M90))=0</formula>
    </cfRule>
  </conditionalFormatting>
  <conditionalFormatting sqref="M96:T96">
    <cfRule type="containsBlanks" dxfId="2865" priority="2807">
      <formula>LEN(TRIM(M96))=0</formula>
    </cfRule>
  </conditionalFormatting>
  <conditionalFormatting sqref="O97:S97">
    <cfRule type="containsBlanks" dxfId="2864" priority="2806">
      <formula>LEN(TRIM(O97))=0</formula>
    </cfRule>
  </conditionalFormatting>
  <conditionalFormatting sqref="M97:N97">
    <cfRule type="containsBlanks" dxfId="2863" priority="2805">
      <formula>LEN(TRIM(M97))=0</formula>
    </cfRule>
  </conditionalFormatting>
  <conditionalFormatting sqref="M60:T60">
    <cfRule type="containsBlanks" dxfId="2862" priority="2804">
      <formula>LEN(TRIM(M60))=0</formula>
    </cfRule>
  </conditionalFormatting>
  <conditionalFormatting sqref="M61:S61">
    <cfRule type="containsBlanks" dxfId="2861" priority="2803">
      <formula>LEN(TRIM(M61))=0</formula>
    </cfRule>
  </conditionalFormatting>
  <conditionalFormatting sqref="O58:Q58">
    <cfRule type="containsBlanks" dxfId="2860" priority="2802">
      <formula>LEN(TRIM(O58))=0</formula>
    </cfRule>
  </conditionalFormatting>
  <conditionalFormatting sqref="O59:Q59">
    <cfRule type="containsBlanks" dxfId="2859" priority="2801">
      <formula>LEN(TRIM(O59))=0</formula>
    </cfRule>
  </conditionalFormatting>
  <conditionalFormatting sqref="O61:Q61">
    <cfRule type="containsBlanks" dxfId="2858" priority="2800">
      <formula>LEN(TRIM(O61))=0</formula>
    </cfRule>
  </conditionalFormatting>
  <conditionalFormatting sqref="N57:T57">
    <cfRule type="containsBlanks" dxfId="2857" priority="2799">
      <formula>LEN(TRIM(N57))=0</formula>
    </cfRule>
  </conditionalFormatting>
  <conditionalFormatting sqref="M74:S74">
    <cfRule type="containsBlanks" dxfId="2856" priority="2798">
      <formula>LEN(TRIM(M74))=0</formula>
    </cfRule>
  </conditionalFormatting>
  <conditionalFormatting sqref="N77:T77">
    <cfRule type="containsBlanks" dxfId="2855" priority="2797">
      <formula>LEN(TRIM(N77))=0</formula>
    </cfRule>
  </conditionalFormatting>
  <conditionalFormatting sqref="O79:Q79">
    <cfRule type="containsBlanks" dxfId="2854" priority="2796">
      <formula>LEN(TRIM(O79))=0</formula>
    </cfRule>
  </conditionalFormatting>
  <conditionalFormatting sqref="M81:T81">
    <cfRule type="containsBlanks" dxfId="2853" priority="2795">
      <formula>LEN(TRIM(M81))=0</formula>
    </cfRule>
  </conditionalFormatting>
  <conditionalFormatting sqref="M87:T87">
    <cfRule type="containsBlanks" dxfId="2852" priority="2794">
      <formula>LEN(TRIM(M87))=0</formula>
    </cfRule>
  </conditionalFormatting>
  <conditionalFormatting sqref="O88:S88">
    <cfRule type="containsBlanks" dxfId="2851" priority="2793">
      <formula>LEN(TRIM(O88))=0</formula>
    </cfRule>
  </conditionalFormatting>
  <conditionalFormatting sqref="M88:N88">
    <cfRule type="containsBlanks" dxfId="2850" priority="2792">
      <formula>LEN(TRIM(M88))=0</formula>
    </cfRule>
  </conditionalFormatting>
  <conditionalFormatting sqref="O54:Q54">
    <cfRule type="containsBlanks" dxfId="2849" priority="2791">
      <formula>LEN(TRIM(O54))=0</formula>
    </cfRule>
  </conditionalFormatting>
  <conditionalFormatting sqref="O56:Q56">
    <cfRule type="containsBlanks" dxfId="2848" priority="2790">
      <formula>LEN(TRIM(O56))=0</formula>
    </cfRule>
  </conditionalFormatting>
  <conditionalFormatting sqref="O69:Q69">
    <cfRule type="containsBlanks" dxfId="2847" priority="2789">
      <formula>LEN(TRIM(O69))=0</formula>
    </cfRule>
  </conditionalFormatting>
  <conditionalFormatting sqref="O70:Q70">
    <cfRule type="containsBlanks" dxfId="2846" priority="2788">
      <formula>LEN(TRIM(O70))=0</formula>
    </cfRule>
  </conditionalFormatting>
  <conditionalFormatting sqref="O72:Q72">
    <cfRule type="containsBlanks" dxfId="2845" priority="2787">
      <formula>LEN(TRIM(O72))=0</formula>
    </cfRule>
  </conditionalFormatting>
  <conditionalFormatting sqref="N68:T68">
    <cfRule type="containsBlanks" dxfId="2844" priority="2786">
      <formula>LEN(TRIM(N68))=0</formula>
    </cfRule>
  </conditionalFormatting>
  <conditionalFormatting sqref="M85:S85">
    <cfRule type="containsBlanks" dxfId="2843" priority="2785">
      <formula>LEN(TRIM(M85))=0</formula>
    </cfRule>
  </conditionalFormatting>
  <conditionalFormatting sqref="N88:T88">
    <cfRule type="containsBlanks" dxfId="2842" priority="2784">
      <formula>LEN(TRIM(N88))=0</formula>
    </cfRule>
  </conditionalFormatting>
  <conditionalFormatting sqref="O90:Q90">
    <cfRule type="containsBlanks" dxfId="2841" priority="2783">
      <formula>LEN(TRIM(O90))=0</formula>
    </cfRule>
  </conditionalFormatting>
  <conditionalFormatting sqref="M92:T92">
    <cfRule type="containsBlanks" dxfId="2840" priority="2782">
      <formula>LEN(TRIM(M92))=0</formula>
    </cfRule>
  </conditionalFormatting>
  <conditionalFormatting sqref="M98:T98">
    <cfRule type="containsBlanks" dxfId="2839" priority="2781">
      <formula>LEN(TRIM(M98))=0</formula>
    </cfRule>
  </conditionalFormatting>
  <conditionalFormatting sqref="M62:T62">
    <cfRule type="containsBlanks" dxfId="2838" priority="2778">
      <formula>LEN(TRIM(M62))=0</formula>
    </cfRule>
  </conditionalFormatting>
  <conditionalFormatting sqref="M63:S63">
    <cfRule type="containsBlanks" dxfId="2837" priority="2777">
      <formula>LEN(TRIM(M63))=0</formula>
    </cfRule>
  </conditionalFormatting>
  <conditionalFormatting sqref="O60:Q60">
    <cfRule type="containsBlanks" dxfId="2836" priority="2776">
      <formula>LEN(TRIM(O60))=0</formula>
    </cfRule>
  </conditionalFormatting>
  <conditionalFormatting sqref="O61:Q61">
    <cfRule type="containsBlanks" dxfId="2835" priority="2775">
      <formula>LEN(TRIM(O61))=0</formula>
    </cfRule>
  </conditionalFormatting>
  <conditionalFormatting sqref="O63:Q63">
    <cfRule type="containsBlanks" dxfId="2834" priority="2774">
      <formula>LEN(TRIM(O63))=0</formula>
    </cfRule>
  </conditionalFormatting>
  <conditionalFormatting sqref="N59:T59">
    <cfRule type="containsBlanks" dxfId="2833" priority="2773">
      <formula>LEN(TRIM(N59))=0</formula>
    </cfRule>
  </conditionalFormatting>
  <conditionalFormatting sqref="M76:S76">
    <cfRule type="containsBlanks" dxfId="2832" priority="2772">
      <formula>LEN(TRIM(M76))=0</formula>
    </cfRule>
  </conditionalFormatting>
  <conditionalFormatting sqref="N79:T79">
    <cfRule type="containsBlanks" dxfId="2831" priority="2771">
      <formula>LEN(TRIM(N79))=0</formula>
    </cfRule>
  </conditionalFormatting>
  <conditionalFormatting sqref="O81:Q81">
    <cfRule type="containsBlanks" dxfId="2830" priority="2770">
      <formula>LEN(TRIM(O81))=0</formula>
    </cfRule>
  </conditionalFormatting>
  <conditionalFormatting sqref="M83:T83">
    <cfRule type="containsBlanks" dxfId="2829" priority="2769">
      <formula>LEN(TRIM(M83))=0</formula>
    </cfRule>
  </conditionalFormatting>
  <conditionalFormatting sqref="M89:T89">
    <cfRule type="containsBlanks" dxfId="2828" priority="2768">
      <formula>LEN(TRIM(M89))=0</formula>
    </cfRule>
  </conditionalFormatting>
  <conditionalFormatting sqref="O90:S90">
    <cfRule type="containsBlanks" dxfId="2827" priority="2767">
      <formula>LEN(TRIM(O90))=0</formula>
    </cfRule>
  </conditionalFormatting>
  <conditionalFormatting sqref="M90:N90">
    <cfRule type="containsBlanks" dxfId="2826" priority="2766">
      <formula>LEN(TRIM(M90))=0</formula>
    </cfRule>
  </conditionalFormatting>
  <conditionalFormatting sqref="M54:S54">
    <cfRule type="containsBlanks" dxfId="2825" priority="2765">
      <formula>LEN(TRIM(M54))=0</formula>
    </cfRule>
  </conditionalFormatting>
  <conditionalFormatting sqref="O64:Q64">
    <cfRule type="containsBlanks" dxfId="2824" priority="2764">
      <formula>LEN(TRIM(O64))=0</formula>
    </cfRule>
  </conditionalFormatting>
  <conditionalFormatting sqref="O65:Q65">
    <cfRule type="containsBlanks" dxfId="2823" priority="2763">
      <formula>LEN(TRIM(O65))=0</formula>
    </cfRule>
  </conditionalFormatting>
  <conditionalFormatting sqref="O67:Q67">
    <cfRule type="containsBlanks" dxfId="2822" priority="2762">
      <formula>LEN(TRIM(O67))=0</formula>
    </cfRule>
  </conditionalFormatting>
  <conditionalFormatting sqref="N63:T63">
    <cfRule type="containsBlanks" dxfId="2821" priority="2761">
      <formula>LEN(TRIM(N63))=0</formula>
    </cfRule>
  </conditionalFormatting>
  <conditionalFormatting sqref="M80:S80">
    <cfRule type="containsBlanks" dxfId="2820" priority="2760">
      <formula>LEN(TRIM(M80))=0</formula>
    </cfRule>
  </conditionalFormatting>
  <conditionalFormatting sqref="N83:T83">
    <cfRule type="containsBlanks" dxfId="2819" priority="2759">
      <formula>LEN(TRIM(N83))=0</formula>
    </cfRule>
  </conditionalFormatting>
  <conditionalFormatting sqref="O85:Q85">
    <cfRule type="containsBlanks" dxfId="2818" priority="2758">
      <formula>LEN(TRIM(O85))=0</formula>
    </cfRule>
  </conditionalFormatting>
  <conditionalFormatting sqref="M87:T87">
    <cfRule type="containsBlanks" dxfId="2817" priority="2757">
      <formula>LEN(TRIM(M87))=0</formula>
    </cfRule>
  </conditionalFormatting>
  <conditionalFormatting sqref="M93:T93">
    <cfRule type="containsBlanks" dxfId="2816" priority="2756">
      <formula>LEN(TRIM(M93))=0</formula>
    </cfRule>
  </conditionalFormatting>
  <conditionalFormatting sqref="O94:S94">
    <cfRule type="containsBlanks" dxfId="2815" priority="2755">
      <formula>LEN(TRIM(O94))=0</formula>
    </cfRule>
  </conditionalFormatting>
  <conditionalFormatting sqref="M94:N94">
    <cfRule type="containsBlanks" dxfId="2814" priority="2754">
      <formula>LEN(TRIM(M94))=0</formula>
    </cfRule>
  </conditionalFormatting>
  <conditionalFormatting sqref="M57:T57">
    <cfRule type="containsBlanks" dxfId="2813" priority="2753">
      <formula>LEN(TRIM(M57))=0</formula>
    </cfRule>
  </conditionalFormatting>
  <conditionalFormatting sqref="M58:S58">
    <cfRule type="containsBlanks" dxfId="2812" priority="2752">
      <formula>LEN(TRIM(M58))=0</formula>
    </cfRule>
  </conditionalFormatting>
  <conditionalFormatting sqref="O55:Q55">
    <cfRule type="containsBlanks" dxfId="2811" priority="2751">
      <formula>LEN(TRIM(O55))=0</formula>
    </cfRule>
  </conditionalFormatting>
  <conditionalFormatting sqref="O56:Q56">
    <cfRule type="containsBlanks" dxfId="2810" priority="2750">
      <formula>LEN(TRIM(O56))=0</formula>
    </cfRule>
  </conditionalFormatting>
  <conditionalFormatting sqref="O58:Q58">
    <cfRule type="containsBlanks" dxfId="2809" priority="2749">
      <formula>LEN(TRIM(O58))=0</formula>
    </cfRule>
  </conditionalFormatting>
  <conditionalFormatting sqref="N54:T54">
    <cfRule type="containsBlanks" dxfId="2808" priority="2748">
      <formula>LEN(TRIM(N54))=0</formula>
    </cfRule>
  </conditionalFormatting>
  <conditionalFormatting sqref="M71:S71">
    <cfRule type="containsBlanks" dxfId="2807" priority="2747">
      <formula>LEN(TRIM(M71))=0</formula>
    </cfRule>
  </conditionalFormatting>
  <conditionalFormatting sqref="N74:T74">
    <cfRule type="containsBlanks" dxfId="2806" priority="2746">
      <formula>LEN(TRIM(N74))=0</formula>
    </cfRule>
  </conditionalFormatting>
  <conditionalFormatting sqref="O76:Q76">
    <cfRule type="containsBlanks" dxfId="2805" priority="2745">
      <formula>LEN(TRIM(O76))=0</formula>
    </cfRule>
  </conditionalFormatting>
  <conditionalFormatting sqref="M78:T78">
    <cfRule type="containsBlanks" dxfId="2804" priority="2744">
      <formula>LEN(TRIM(M78))=0</formula>
    </cfRule>
  </conditionalFormatting>
  <conditionalFormatting sqref="M84:T84">
    <cfRule type="containsBlanks" dxfId="2803" priority="2743">
      <formula>LEN(TRIM(M84))=0</formula>
    </cfRule>
  </conditionalFormatting>
  <conditionalFormatting sqref="O85:S85">
    <cfRule type="containsBlanks" dxfId="2802" priority="2742">
      <formula>LEN(TRIM(O85))=0</formula>
    </cfRule>
  </conditionalFormatting>
  <conditionalFormatting sqref="M85:N85">
    <cfRule type="containsBlanks" dxfId="2801" priority="2741">
      <formula>LEN(TRIM(M85))=0</formula>
    </cfRule>
  </conditionalFormatting>
  <conditionalFormatting sqref="O55:Q55">
    <cfRule type="containsBlanks" dxfId="2800" priority="2740">
      <formula>LEN(TRIM(O55))=0</formula>
    </cfRule>
  </conditionalFormatting>
  <conditionalFormatting sqref="O57:Q57">
    <cfRule type="containsBlanks" dxfId="2799" priority="2739">
      <formula>LEN(TRIM(O57))=0</formula>
    </cfRule>
  </conditionalFormatting>
  <conditionalFormatting sqref="O59:Q59">
    <cfRule type="containsBlanks" dxfId="2798" priority="2738">
      <formula>LEN(TRIM(O59))=0</formula>
    </cfRule>
  </conditionalFormatting>
  <conditionalFormatting sqref="O61:Q61">
    <cfRule type="containsBlanks" dxfId="2797" priority="2737">
      <formula>LEN(TRIM(O61))=0</formula>
    </cfRule>
  </conditionalFormatting>
  <conditionalFormatting sqref="O74:Q74">
    <cfRule type="containsBlanks" dxfId="2796" priority="2736">
      <formula>LEN(TRIM(O74))=0</formula>
    </cfRule>
  </conditionalFormatting>
  <conditionalFormatting sqref="O75:Q75">
    <cfRule type="containsBlanks" dxfId="2795" priority="2735">
      <formula>LEN(TRIM(O75))=0</formula>
    </cfRule>
  </conditionalFormatting>
  <conditionalFormatting sqref="O77:Q77">
    <cfRule type="containsBlanks" dxfId="2794" priority="2734">
      <formula>LEN(TRIM(O77))=0</formula>
    </cfRule>
  </conditionalFormatting>
  <conditionalFormatting sqref="N73:T73">
    <cfRule type="containsBlanks" dxfId="2793" priority="2733">
      <formula>LEN(TRIM(N73))=0</formula>
    </cfRule>
  </conditionalFormatting>
  <conditionalFormatting sqref="M90:S90">
    <cfRule type="containsBlanks" dxfId="2792" priority="2732">
      <formula>LEN(TRIM(M90))=0</formula>
    </cfRule>
  </conditionalFormatting>
  <conditionalFormatting sqref="N93:T93">
    <cfRule type="containsBlanks" dxfId="2791" priority="2731">
      <formula>LEN(TRIM(N93))=0</formula>
    </cfRule>
  </conditionalFormatting>
  <conditionalFormatting sqref="O95:Q95">
    <cfRule type="containsBlanks" dxfId="2790" priority="2730">
      <formula>LEN(TRIM(O95))=0</formula>
    </cfRule>
  </conditionalFormatting>
  <conditionalFormatting sqref="M97:T97">
    <cfRule type="containsBlanks" dxfId="2789" priority="2729">
      <formula>LEN(TRIM(M97))=0</formula>
    </cfRule>
  </conditionalFormatting>
  <conditionalFormatting sqref="M103:T103">
    <cfRule type="containsBlanks" dxfId="2788" priority="2728">
      <formula>LEN(TRIM(M103))=0</formula>
    </cfRule>
  </conditionalFormatting>
  <conditionalFormatting sqref="O104:S104">
    <cfRule type="containsBlanks" dxfId="2787" priority="2727">
      <formula>LEN(TRIM(O104))=0</formula>
    </cfRule>
  </conditionalFormatting>
  <conditionalFormatting sqref="M104:N104">
    <cfRule type="containsBlanks" dxfId="2786" priority="2726">
      <formula>LEN(TRIM(M104))=0</formula>
    </cfRule>
  </conditionalFormatting>
  <conditionalFormatting sqref="M67:T67">
    <cfRule type="containsBlanks" dxfId="2785" priority="2725">
      <formula>LEN(TRIM(M67))=0</formula>
    </cfRule>
  </conditionalFormatting>
  <conditionalFormatting sqref="M68:S68">
    <cfRule type="containsBlanks" dxfId="2784" priority="2724">
      <formula>LEN(TRIM(M68))=0</formula>
    </cfRule>
  </conditionalFormatting>
  <conditionalFormatting sqref="O65:Q65">
    <cfRule type="containsBlanks" dxfId="2783" priority="2723">
      <formula>LEN(TRIM(O65))=0</formula>
    </cfRule>
  </conditionalFormatting>
  <conditionalFormatting sqref="O66:Q66">
    <cfRule type="containsBlanks" dxfId="2782" priority="2722">
      <formula>LEN(TRIM(O66))=0</formula>
    </cfRule>
  </conditionalFormatting>
  <conditionalFormatting sqref="O68:Q68">
    <cfRule type="containsBlanks" dxfId="2781" priority="2721">
      <formula>LEN(TRIM(O68))=0</formula>
    </cfRule>
  </conditionalFormatting>
  <conditionalFormatting sqref="N64:T64">
    <cfRule type="containsBlanks" dxfId="2780" priority="2720">
      <formula>LEN(TRIM(N64))=0</formula>
    </cfRule>
  </conditionalFormatting>
  <conditionalFormatting sqref="M81:S81">
    <cfRule type="containsBlanks" dxfId="2779" priority="2719">
      <formula>LEN(TRIM(M81))=0</formula>
    </cfRule>
  </conditionalFormatting>
  <conditionalFormatting sqref="N84:T84">
    <cfRule type="containsBlanks" dxfId="2778" priority="2718">
      <formula>LEN(TRIM(N84))=0</formula>
    </cfRule>
  </conditionalFormatting>
  <conditionalFormatting sqref="O86:Q86">
    <cfRule type="containsBlanks" dxfId="2777" priority="2717">
      <formula>LEN(TRIM(O86))=0</formula>
    </cfRule>
  </conditionalFormatting>
  <conditionalFormatting sqref="M88:T88">
    <cfRule type="containsBlanks" dxfId="2776" priority="2716">
      <formula>LEN(TRIM(M88))=0</formula>
    </cfRule>
  </conditionalFormatting>
  <conditionalFormatting sqref="M94:T94">
    <cfRule type="containsBlanks" dxfId="2775" priority="2715">
      <formula>LEN(TRIM(M94))=0</formula>
    </cfRule>
  </conditionalFormatting>
  <conditionalFormatting sqref="O95:S95">
    <cfRule type="containsBlanks" dxfId="2774" priority="2714">
      <formula>LEN(TRIM(O95))=0</formula>
    </cfRule>
  </conditionalFormatting>
  <conditionalFormatting sqref="M95:N95">
    <cfRule type="containsBlanks" dxfId="2773" priority="2713">
      <formula>LEN(TRIM(M95))=0</formula>
    </cfRule>
  </conditionalFormatting>
  <conditionalFormatting sqref="M58:T58">
    <cfRule type="containsBlanks" dxfId="2772" priority="2712">
      <formula>LEN(TRIM(M58))=0</formula>
    </cfRule>
  </conditionalFormatting>
  <conditionalFormatting sqref="M59:S59">
    <cfRule type="containsBlanks" dxfId="2771" priority="2711">
      <formula>LEN(TRIM(M59))=0</formula>
    </cfRule>
  </conditionalFormatting>
  <conditionalFormatting sqref="O54:Q54">
    <cfRule type="containsBlanks" dxfId="2770" priority="2710">
      <formula>LEN(TRIM(O54))=0</formula>
    </cfRule>
  </conditionalFormatting>
  <conditionalFormatting sqref="O56:Q56">
    <cfRule type="containsBlanks" dxfId="2769" priority="2709">
      <formula>LEN(TRIM(O56))=0</formula>
    </cfRule>
  </conditionalFormatting>
  <conditionalFormatting sqref="O69:Q69">
    <cfRule type="containsBlanks" dxfId="2768" priority="2708">
      <formula>LEN(TRIM(O69))=0</formula>
    </cfRule>
  </conditionalFormatting>
  <conditionalFormatting sqref="O70:Q70">
    <cfRule type="containsBlanks" dxfId="2767" priority="2707">
      <formula>LEN(TRIM(O70))=0</formula>
    </cfRule>
  </conditionalFormatting>
  <conditionalFormatting sqref="O72:Q72">
    <cfRule type="containsBlanks" dxfId="2766" priority="2706">
      <formula>LEN(TRIM(O72))=0</formula>
    </cfRule>
  </conditionalFormatting>
  <conditionalFormatting sqref="N68:T68">
    <cfRule type="containsBlanks" dxfId="2765" priority="2705">
      <formula>LEN(TRIM(N68))=0</formula>
    </cfRule>
  </conditionalFormatting>
  <conditionalFormatting sqref="M85:S85">
    <cfRule type="containsBlanks" dxfId="2764" priority="2704">
      <formula>LEN(TRIM(M85))=0</formula>
    </cfRule>
  </conditionalFormatting>
  <conditionalFormatting sqref="N88:T88">
    <cfRule type="containsBlanks" dxfId="2763" priority="2703">
      <formula>LEN(TRIM(N88))=0</formula>
    </cfRule>
  </conditionalFormatting>
  <conditionalFormatting sqref="O90:Q90">
    <cfRule type="containsBlanks" dxfId="2762" priority="2702">
      <formula>LEN(TRIM(O90))=0</formula>
    </cfRule>
  </conditionalFormatting>
  <conditionalFormatting sqref="M92:T92">
    <cfRule type="containsBlanks" dxfId="2761" priority="2701">
      <formula>LEN(TRIM(M92))=0</formula>
    </cfRule>
  </conditionalFormatting>
  <conditionalFormatting sqref="M98:T98">
    <cfRule type="containsBlanks" dxfId="2760" priority="2700">
      <formula>LEN(TRIM(M98))=0</formula>
    </cfRule>
  </conditionalFormatting>
  <conditionalFormatting sqref="M62:T62">
    <cfRule type="containsBlanks" dxfId="2759" priority="2697">
      <formula>LEN(TRIM(M62))=0</formula>
    </cfRule>
  </conditionalFormatting>
  <conditionalFormatting sqref="M63:S63">
    <cfRule type="containsBlanks" dxfId="2758" priority="2696">
      <formula>LEN(TRIM(M63))=0</formula>
    </cfRule>
  </conditionalFormatting>
  <conditionalFormatting sqref="O60:Q60">
    <cfRule type="containsBlanks" dxfId="2757" priority="2695">
      <formula>LEN(TRIM(O60))=0</formula>
    </cfRule>
  </conditionalFormatting>
  <conditionalFormatting sqref="O61:Q61">
    <cfRule type="containsBlanks" dxfId="2756" priority="2694">
      <formula>LEN(TRIM(O61))=0</formula>
    </cfRule>
  </conditionalFormatting>
  <conditionalFormatting sqref="O63:Q63">
    <cfRule type="containsBlanks" dxfId="2755" priority="2693">
      <formula>LEN(TRIM(O63))=0</formula>
    </cfRule>
  </conditionalFormatting>
  <conditionalFormatting sqref="N59:T59">
    <cfRule type="containsBlanks" dxfId="2754" priority="2692">
      <formula>LEN(TRIM(N59))=0</formula>
    </cfRule>
  </conditionalFormatting>
  <conditionalFormatting sqref="M76:S76">
    <cfRule type="containsBlanks" dxfId="2753" priority="2691">
      <formula>LEN(TRIM(M76))=0</formula>
    </cfRule>
  </conditionalFormatting>
  <conditionalFormatting sqref="N79:T79">
    <cfRule type="containsBlanks" dxfId="2752" priority="2690">
      <formula>LEN(TRIM(N79))=0</formula>
    </cfRule>
  </conditionalFormatting>
  <conditionalFormatting sqref="O81:Q81">
    <cfRule type="containsBlanks" dxfId="2751" priority="2689">
      <formula>LEN(TRIM(O81))=0</formula>
    </cfRule>
  </conditionalFormatting>
  <conditionalFormatting sqref="M83:T83">
    <cfRule type="containsBlanks" dxfId="2750" priority="2688">
      <formula>LEN(TRIM(M83))=0</formula>
    </cfRule>
  </conditionalFormatting>
  <conditionalFormatting sqref="M89:T89">
    <cfRule type="containsBlanks" dxfId="2749" priority="2687">
      <formula>LEN(TRIM(M89))=0</formula>
    </cfRule>
  </conditionalFormatting>
  <conditionalFormatting sqref="O90:S90">
    <cfRule type="containsBlanks" dxfId="2748" priority="2686">
      <formula>LEN(TRIM(O90))=0</formula>
    </cfRule>
  </conditionalFormatting>
  <conditionalFormatting sqref="M90:N90">
    <cfRule type="containsBlanks" dxfId="2747" priority="2685">
      <formula>LEN(TRIM(M90))=0</formula>
    </cfRule>
  </conditionalFormatting>
  <conditionalFormatting sqref="M54:S54">
    <cfRule type="containsBlanks" dxfId="2746" priority="2684">
      <formula>LEN(TRIM(M54))=0</formula>
    </cfRule>
  </conditionalFormatting>
  <conditionalFormatting sqref="O54:Q54">
    <cfRule type="containsBlanks" dxfId="2745" priority="2683">
      <formula>LEN(TRIM(O54))=0</formula>
    </cfRule>
  </conditionalFormatting>
  <conditionalFormatting sqref="O56:Q56">
    <cfRule type="containsBlanks" dxfId="2744" priority="2682">
      <formula>LEN(TRIM(O56))=0</formula>
    </cfRule>
  </conditionalFormatting>
  <conditionalFormatting sqref="O58:Q58">
    <cfRule type="containsBlanks" dxfId="2743" priority="2681">
      <formula>LEN(TRIM(O58))=0</formula>
    </cfRule>
  </conditionalFormatting>
  <conditionalFormatting sqref="O71:Q71">
    <cfRule type="containsBlanks" dxfId="2742" priority="2680">
      <formula>LEN(TRIM(O71))=0</formula>
    </cfRule>
  </conditionalFormatting>
  <conditionalFormatting sqref="O72:Q72">
    <cfRule type="containsBlanks" dxfId="2741" priority="2679">
      <formula>LEN(TRIM(O72))=0</formula>
    </cfRule>
  </conditionalFormatting>
  <conditionalFormatting sqref="O74:Q74">
    <cfRule type="containsBlanks" dxfId="2740" priority="2678">
      <formula>LEN(TRIM(O74))=0</formula>
    </cfRule>
  </conditionalFormatting>
  <conditionalFormatting sqref="N70:T70">
    <cfRule type="containsBlanks" dxfId="2739" priority="2677">
      <formula>LEN(TRIM(N70))=0</formula>
    </cfRule>
  </conditionalFormatting>
  <conditionalFormatting sqref="M87:S87">
    <cfRule type="containsBlanks" dxfId="2738" priority="2676">
      <formula>LEN(TRIM(M87))=0</formula>
    </cfRule>
  </conditionalFormatting>
  <conditionalFormatting sqref="N90:T90">
    <cfRule type="containsBlanks" dxfId="2737" priority="2675">
      <formula>LEN(TRIM(N90))=0</formula>
    </cfRule>
  </conditionalFormatting>
  <conditionalFormatting sqref="O92:Q92">
    <cfRule type="containsBlanks" dxfId="2736" priority="2674">
      <formula>LEN(TRIM(O92))=0</formula>
    </cfRule>
  </conditionalFormatting>
  <conditionalFormatting sqref="M94:T94">
    <cfRule type="containsBlanks" dxfId="2735" priority="2673">
      <formula>LEN(TRIM(M94))=0</formula>
    </cfRule>
  </conditionalFormatting>
  <conditionalFormatting sqref="M100:T100">
    <cfRule type="containsBlanks" dxfId="2734" priority="2672">
      <formula>LEN(TRIM(M100))=0</formula>
    </cfRule>
  </conditionalFormatting>
  <conditionalFormatting sqref="O101:S101">
    <cfRule type="containsBlanks" dxfId="2733" priority="2671">
      <formula>LEN(TRIM(O101))=0</formula>
    </cfRule>
  </conditionalFormatting>
  <conditionalFormatting sqref="M101:N101">
    <cfRule type="containsBlanks" dxfId="2732" priority="2670">
      <formula>LEN(TRIM(M101))=0</formula>
    </cfRule>
  </conditionalFormatting>
  <conditionalFormatting sqref="M64:T64">
    <cfRule type="containsBlanks" dxfId="2731" priority="2669">
      <formula>LEN(TRIM(M64))=0</formula>
    </cfRule>
  </conditionalFormatting>
  <conditionalFormatting sqref="M65:S65">
    <cfRule type="containsBlanks" dxfId="2730" priority="2668">
      <formula>LEN(TRIM(M65))=0</formula>
    </cfRule>
  </conditionalFormatting>
  <conditionalFormatting sqref="O62:Q62">
    <cfRule type="containsBlanks" dxfId="2729" priority="2667">
      <formula>LEN(TRIM(O62))=0</formula>
    </cfRule>
  </conditionalFormatting>
  <conditionalFormatting sqref="O63:Q63">
    <cfRule type="containsBlanks" dxfId="2728" priority="2666">
      <formula>LEN(TRIM(O63))=0</formula>
    </cfRule>
  </conditionalFormatting>
  <conditionalFormatting sqref="O65:Q65">
    <cfRule type="containsBlanks" dxfId="2727" priority="2665">
      <formula>LEN(TRIM(O65))=0</formula>
    </cfRule>
  </conditionalFormatting>
  <conditionalFormatting sqref="N61:T61">
    <cfRule type="containsBlanks" dxfId="2726" priority="2664">
      <formula>LEN(TRIM(N61))=0</formula>
    </cfRule>
  </conditionalFormatting>
  <conditionalFormatting sqref="M78:S78">
    <cfRule type="containsBlanks" dxfId="2725" priority="2663">
      <formula>LEN(TRIM(M78))=0</formula>
    </cfRule>
  </conditionalFormatting>
  <conditionalFormatting sqref="N81:T81">
    <cfRule type="containsBlanks" dxfId="2724" priority="2662">
      <formula>LEN(TRIM(N81))=0</formula>
    </cfRule>
  </conditionalFormatting>
  <conditionalFormatting sqref="O83:Q83">
    <cfRule type="containsBlanks" dxfId="2723" priority="2661">
      <formula>LEN(TRIM(O83))=0</formula>
    </cfRule>
  </conditionalFormatting>
  <conditionalFormatting sqref="M85:T85">
    <cfRule type="containsBlanks" dxfId="2722" priority="2660">
      <formula>LEN(TRIM(M85))=0</formula>
    </cfRule>
  </conditionalFormatting>
  <conditionalFormatting sqref="M91:T91">
    <cfRule type="containsBlanks" dxfId="2721" priority="2659">
      <formula>LEN(TRIM(M91))=0</formula>
    </cfRule>
  </conditionalFormatting>
  <conditionalFormatting sqref="O92:S92">
    <cfRule type="containsBlanks" dxfId="2720" priority="2658">
      <formula>LEN(TRIM(O92))=0</formula>
    </cfRule>
  </conditionalFormatting>
  <conditionalFormatting sqref="M92:N92">
    <cfRule type="containsBlanks" dxfId="2719" priority="2657">
      <formula>LEN(TRIM(M92))=0</formula>
    </cfRule>
  </conditionalFormatting>
  <conditionalFormatting sqref="M55:T55">
    <cfRule type="containsBlanks" dxfId="2718" priority="2656">
      <formula>LEN(TRIM(M55))=0</formula>
    </cfRule>
  </conditionalFormatting>
  <conditionalFormatting sqref="M56:S56">
    <cfRule type="containsBlanks" dxfId="2717" priority="2655">
      <formula>LEN(TRIM(M56))=0</formula>
    </cfRule>
  </conditionalFormatting>
  <conditionalFormatting sqref="O66:Q66">
    <cfRule type="containsBlanks" dxfId="2716" priority="2654">
      <formula>LEN(TRIM(O66))=0</formula>
    </cfRule>
  </conditionalFormatting>
  <conditionalFormatting sqref="O67:Q67">
    <cfRule type="containsBlanks" dxfId="2715" priority="2653">
      <formula>LEN(TRIM(O67))=0</formula>
    </cfRule>
  </conditionalFormatting>
  <conditionalFormatting sqref="O69:Q69">
    <cfRule type="containsBlanks" dxfId="2714" priority="2652">
      <formula>LEN(TRIM(O69))=0</formula>
    </cfRule>
  </conditionalFormatting>
  <conditionalFormatting sqref="N65:T65">
    <cfRule type="containsBlanks" dxfId="2713" priority="2651">
      <formula>LEN(TRIM(N65))=0</formula>
    </cfRule>
  </conditionalFormatting>
  <conditionalFormatting sqref="M82:S82">
    <cfRule type="containsBlanks" dxfId="2712" priority="2650">
      <formula>LEN(TRIM(M82))=0</formula>
    </cfRule>
  </conditionalFormatting>
  <conditionalFormatting sqref="N85:T85">
    <cfRule type="containsBlanks" dxfId="2711" priority="2649">
      <formula>LEN(TRIM(N85))=0</formula>
    </cfRule>
  </conditionalFormatting>
  <conditionalFormatting sqref="O87:Q87">
    <cfRule type="containsBlanks" dxfId="2710" priority="2648">
      <formula>LEN(TRIM(O87))=0</formula>
    </cfRule>
  </conditionalFormatting>
  <conditionalFormatting sqref="M89:T89">
    <cfRule type="containsBlanks" dxfId="2709" priority="2647">
      <formula>LEN(TRIM(M89))=0</formula>
    </cfRule>
  </conditionalFormatting>
  <conditionalFormatting sqref="M95:T95">
    <cfRule type="containsBlanks" dxfId="2708" priority="2646">
      <formula>LEN(TRIM(M95))=0</formula>
    </cfRule>
  </conditionalFormatting>
  <conditionalFormatting sqref="O96:S96">
    <cfRule type="containsBlanks" dxfId="2707" priority="2645">
      <formula>LEN(TRIM(O96))=0</formula>
    </cfRule>
  </conditionalFormatting>
  <conditionalFormatting sqref="M96:N96">
    <cfRule type="containsBlanks" dxfId="2706" priority="2644">
      <formula>LEN(TRIM(M96))=0</formula>
    </cfRule>
  </conditionalFormatting>
  <conditionalFormatting sqref="M59:T59">
    <cfRule type="containsBlanks" dxfId="2705" priority="2643">
      <formula>LEN(TRIM(M59))=0</formula>
    </cfRule>
  </conditionalFormatting>
  <conditionalFormatting sqref="M60:S60">
    <cfRule type="containsBlanks" dxfId="2704" priority="2642">
      <formula>LEN(TRIM(M60))=0</formula>
    </cfRule>
  </conditionalFormatting>
  <conditionalFormatting sqref="O57:Q57">
    <cfRule type="containsBlanks" dxfId="2703" priority="2641">
      <formula>LEN(TRIM(O57))=0</formula>
    </cfRule>
  </conditionalFormatting>
  <conditionalFormatting sqref="O58:Q58">
    <cfRule type="containsBlanks" dxfId="2702" priority="2640">
      <formula>LEN(TRIM(O58))=0</formula>
    </cfRule>
  </conditionalFormatting>
  <conditionalFormatting sqref="O60:Q60">
    <cfRule type="containsBlanks" dxfId="2701" priority="2639">
      <formula>LEN(TRIM(O60))=0</formula>
    </cfRule>
  </conditionalFormatting>
  <conditionalFormatting sqref="N56:T56">
    <cfRule type="containsBlanks" dxfId="2700" priority="2638">
      <formula>LEN(TRIM(N56))=0</formula>
    </cfRule>
  </conditionalFormatting>
  <conditionalFormatting sqref="M73:S73">
    <cfRule type="containsBlanks" dxfId="2699" priority="2637">
      <formula>LEN(TRIM(M73))=0</formula>
    </cfRule>
  </conditionalFormatting>
  <conditionalFormatting sqref="N76:T76">
    <cfRule type="containsBlanks" dxfId="2698" priority="2636">
      <formula>LEN(TRIM(N76))=0</formula>
    </cfRule>
  </conditionalFormatting>
  <conditionalFormatting sqref="O78:Q78">
    <cfRule type="containsBlanks" dxfId="2697" priority="2635">
      <formula>LEN(TRIM(O78))=0</formula>
    </cfRule>
  </conditionalFormatting>
  <conditionalFormatting sqref="M80:T80">
    <cfRule type="containsBlanks" dxfId="2696" priority="2634">
      <formula>LEN(TRIM(M80))=0</formula>
    </cfRule>
  </conditionalFormatting>
  <conditionalFormatting sqref="M86:T86">
    <cfRule type="containsBlanks" dxfId="2695" priority="2633">
      <formula>LEN(TRIM(M86))=0</formula>
    </cfRule>
  </conditionalFormatting>
  <conditionalFormatting sqref="O87:S87">
    <cfRule type="containsBlanks" dxfId="2694" priority="2632">
      <formula>LEN(TRIM(O87))=0</formula>
    </cfRule>
  </conditionalFormatting>
  <conditionalFormatting sqref="M87:N87">
    <cfRule type="containsBlanks" dxfId="2693" priority="2631">
      <formula>LEN(TRIM(M87))=0</formula>
    </cfRule>
  </conditionalFormatting>
  <conditionalFormatting sqref="O54:Q54">
    <cfRule type="containsBlanks" dxfId="2692" priority="2630">
      <formula>LEN(TRIM(O54))=0</formula>
    </cfRule>
  </conditionalFormatting>
  <conditionalFormatting sqref="O56:Q56">
    <cfRule type="containsBlanks" dxfId="2691" priority="2629">
      <formula>LEN(TRIM(O56))=0</formula>
    </cfRule>
  </conditionalFormatting>
  <conditionalFormatting sqref="O58:Q58">
    <cfRule type="containsBlanks" dxfId="2690" priority="2628">
      <formula>LEN(TRIM(O58))=0</formula>
    </cfRule>
  </conditionalFormatting>
  <conditionalFormatting sqref="O71:Q71">
    <cfRule type="containsBlanks" dxfId="2689" priority="2627">
      <formula>LEN(TRIM(O71))=0</formula>
    </cfRule>
  </conditionalFormatting>
  <conditionalFormatting sqref="O72:Q72">
    <cfRule type="containsBlanks" dxfId="2688" priority="2626">
      <formula>LEN(TRIM(O72))=0</formula>
    </cfRule>
  </conditionalFormatting>
  <conditionalFormatting sqref="O74:Q74">
    <cfRule type="containsBlanks" dxfId="2687" priority="2625">
      <formula>LEN(TRIM(O74))=0</formula>
    </cfRule>
  </conditionalFormatting>
  <conditionalFormatting sqref="N70:T70">
    <cfRule type="containsBlanks" dxfId="2686" priority="2624">
      <formula>LEN(TRIM(N70))=0</formula>
    </cfRule>
  </conditionalFormatting>
  <conditionalFormatting sqref="M87:S87">
    <cfRule type="containsBlanks" dxfId="2685" priority="2623">
      <formula>LEN(TRIM(M87))=0</formula>
    </cfRule>
  </conditionalFormatting>
  <conditionalFormatting sqref="N90:T90">
    <cfRule type="containsBlanks" dxfId="2684" priority="2622">
      <formula>LEN(TRIM(N90))=0</formula>
    </cfRule>
  </conditionalFormatting>
  <conditionalFormatting sqref="O92:Q92">
    <cfRule type="containsBlanks" dxfId="2683" priority="2621">
      <formula>LEN(TRIM(O92))=0</formula>
    </cfRule>
  </conditionalFormatting>
  <conditionalFormatting sqref="M94:T94">
    <cfRule type="containsBlanks" dxfId="2682" priority="2620">
      <formula>LEN(TRIM(M94))=0</formula>
    </cfRule>
  </conditionalFormatting>
  <conditionalFormatting sqref="M100:T100">
    <cfRule type="containsBlanks" dxfId="2681" priority="2619">
      <formula>LEN(TRIM(M100))=0</formula>
    </cfRule>
  </conditionalFormatting>
  <conditionalFormatting sqref="O101:S101">
    <cfRule type="containsBlanks" dxfId="2680" priority="2618">
      <formula>LEN(TRIM(O101))=0</formula>
    </cfRule>
  </conditionalFormatting>
  <conditionalFormatting sqref="M101:N101">
    <cfRule type="containsBlanks" dxfId="2679" priority="2617">
      <formula>LEN(TRIM(M101))=0</formula>
    </cfRule>
  </conditionalFormatting>
  <conditionalFormatting sqref="M64:T64">
    <cfRule type="containsBlanks" dxfId="2678" priority="2616">
      <formula>LEN(TRIM(M64))=0</formula>
    </cfRule>
  </conditionalFormatting>
  <conditionalFormatting sqref="M65:S65">
    <cfRule type="containsBlanks" dxfId="2677" priority="2615">
      <formula>LEN(TRIM(M65))=0</formula>
    </cfRule>
  </conditionalFormatting>
  <conditionalFormatting sqref="O62:Q62">
    <cfRule type="containsBlanks" dxfId="2676" priority="2614">
      <formula>LEN(TRIM(O62))=0</formula>
    </cfRule>
  </conditionalFormatting>
  <conditionalFormatting sqref="O63:Q63">
    <cfRule type="containsBlanks" dxfId="2675" priority="2613">
      <formula>LEN(TRIM(O63))=0</formula>
    </cfRule>
  </conditionalFormatting>
  <conditionalFormatting sqref="O65:Q65">
    <cfRule type="containsBlanks" dxfId="2674" priority="2612">
      <formula>LEN(TRIM(O65))=0</formula>
    </cfRule>
  </conditionalFormatting>
  <conditionalFormatting sqref="N61:T61">
    <cfRule type="containsBlanks" dxfId="2673" priority="2611">
      <formula>LEN(TRIM(N61))=0</formula>
    </cfRule>
  </conditionalFormatting>
  <conditionalFormatting sqref="M78:S78">
    <cfRule type="containsBlanks" dxfId="2672" priority="2610">
      <formula>LEN(TRIM(M78))=0</formula>
    </cfRule>
  </conditionalFormatting>
  <conditionalFormatting sqref="N81:T81">
    <cfRule type="containsBlanks" dxfId="2671" priority="2609">
      <formula>LEN(TRIM(N81))=0</formula>
    </cfRule>
  </conditionalFormatting>
  <conditionalFormatting sqref="O83:Q83">
    <cfRule type="containsBlanks" dxfId="2670" priority="2608">
      <formula>LEN(TRIM(O83))=0</formula>
    </cfRule>
  </conditionalFormatting>
  <conditionalFormatting sqref="M85:T85">
    <cfRule type="containsBlanks" dxfId="2669" priority="2607">
      <formula>LEN(TRIM(M85))=0</formula>
    </cfRule>
  </conditionalFormatting>
  <conditionalFormatting sqref="M91:T91">
    <cfRule type="containsBlanks" dxfId="2668" priority="2606">
      <formula>LEN(TRIM(M91))=0</formula>
    </cfRule>
  </conditionalFormatting>
  <conditionalFormatting sqref="O92:S92">
    <cfRule type="containsBlanks" dxfId="2667" priority="2605">
      <formula>LEN(TRIM(O92))=0</formula>
    </cfRule>
  </conditionalFormatting>
  <conditionalFormatting sqref="M92:N92">
    <cfRule type="containsBlanks" dxfId="2666" priority="2604">
      <formula>LEN(TRIM(M92))=0</formula>
    </cfRule>
  </conditionalFormatting>
  <conditionalFormatting sqref="M55:T55">
    <cfRule type="containsBlanks" dxfId="2665" priority="2603">
      <formula>LEN(TRIM(M55))=0</formula>
    </cfRule>
  </conditionalFormatting>
  <conditionalFormatting sqref="M56:S56">
    <cfRule type="containsBlanks" dxfId="2664" priority="2602">
      <formula>LEN(TRIM(M56))=0</formula>
    </cfRule>
  </conditionalFormatting>
  <conditionalFormatting sqref="O66:Q66">
    <cfRule type="containsBlanks" dxfId="2663" priority="2601">
      <formula>LEN(TRIM(O66))=0</formula>
    </cfRule>
  </conditionalFormatting>
  <conditionalFormatting sqref="O67:Q67">
    <cfRule type="containsBlanks" dxfId="2662" priority="2600">
      <formula>LEN(TRIM(O67))=0</formula>
    </cfRule>
  </conditionalFormatting>
  <conditionalFormatting sqref="O69:Q69">
    <cfRule type="containsBlanks" dxfId="2661" priority="2599">
      <formula>LEN(TRIM(O69))=0</formula>
    </cfRule>
  </conditionalFormatting>
  <conditionalFormatting sqref="N65:T65">
    <cfRule type="containsBlanks" dxfId="2660" priority="2598">
      <formula>LEN(TRIM(N65))=0</formula>
    </cfRule>
  </conditionalFormatting>
  <conditionalFormatting sqref="M82:S82">
    <cfRule type="containsBlanks" dxfId="2659" priority="2597">
      <formula>LEN(TRIM(M82))=0</formula>
    </cfRule>
  </conditionalFormatting>
  <conditionalFormatting sqref="N85:T85">
    <cfRule type="containsBlanks" dxfId="2658" priority="2596">
      <formula>LEN(TRIM(N85))=0</formula>
    </cfRule>
  </conditionalFormatting>
  <conditionalFormatting sqref="O87:Q87">
    <cfRule type="containsBlanks" dxfId="2657" priority="2595">
      <formula>LEN(TRIM(O87))=0</formula>
    </cfRule>
  </conditionalFormatting>
  <conditionalFormatting sqref="M89:T89">
    <cfRule type="containsBlanks" dxfId="2656" priority="2594">
      <formula>LEN(TRIM(M89))=0</formula>
    </cfRule>
  </conditionalFormatting>
  <conditionalFormatting sqref="M95:T95">
    <cfRule type="containsBlanks" dxfId="2655" priority="2593">
      <formula>LEN(TRIM(M95))=0</formula>
    </cfRule>
  </conditionalFormatting>
  <conditionalFormatting sqref="O96:S96">
    <cfRule type="containsBlanks" dxfId="2654" priority="2592">
      <formula>LEN(TRIM(O96))=0</formula>
    </cfRule>
  </conditionalFormatting>
  <conditionalFormatting sqref="M96:N96">
    <cfRule type="containsBlanks" dxfId="2653" priority="2591">
      <formula>LEN(TRIM(M96))=0</formula>
    </cfRule>
  </conditionalFormatting>
  <conditionalFormatting sqref="M59:T59">
    <cfRule type="containsBlanks" dxfId="2652" priority="2590">
      <formula>LEN(TRIM(M59))=0</formula>
    </cfRule>
  </conditionalFormatting>
  <conditionalFormatting sqref="M60:S60">
    <cfRule type="containsBlanks" dxfId="2651" priority="2589">
      <formula>LEN(TRIM(M60))=0</formula>
    </cfRule>
  </conditionalFormatting>
  <conditionalFormatting sqref="O57:Q57">
    <cfRule type="containsBlanks" dxfId="2650" priority="2588">
      <formula>LEN(TRIM(O57))=0</formula>
    </cfRule>
  </conditionalFormatting>
  <conditionalFormatting sqref="O58:Q58">
    <cfRule type="containsBlanks" dxfId="2649" priority="2587">
      <formula>LEN(TRIM(O58))=0</formula>
    </cfRule>
  </conditionalFormatting>
  <conditionalFormatting sqref="O60:Q60">
    <cfRule type="containsBlanks" dxfId="2648" priority="2586">
      <formula>LEN(TRIM(O60))=0</formula>
    </cfRule>
  </conditionalFormatting>
  <conditionalFormatting sqref="N56:T56">
    <cfRule type="containsBlanks" dxfId="2647" priority="2585">
      <formula>LEN(TRIM(N56))=0</formula>
    </cfRule>
  </conditionalFormatting>
  <conditionalFormatting sqref="M73:S73">
    <cfRule type="containsBlanks" dxfId="2646" priority="2584">
      <formula>LEN(TRIM(M73))=0</formula>
    </cfRule>
  </conditionalFormatting>
  <conditionalFormatting sqref="N76:T76">
    <cfRule type="containsBlanks" dxfId="2645" priority="2583">
      <formula>LEN(TRIM(N76))=0</formula>
    </cfRule>
  </conditionalFormatting>
  <conditionalFormatting sqref="O78:Q78">
    <cfRule type="containsBlanks" dxfId="2644" priority="2582">
      <formula>LEN(TRIM(O78))=0</formula>
    </cfRule>
  </conditionalFormatting>
  <conditionalFormatting sqref="M80:T80">
    <cfRule type="containsBlanks" dxfId="2643" priority="2581">
      <formula>LEN(TRIM(M80))=0</formula>
    </cfRule>
  </conditionalFormatting>
  <conditionalFormatting sqref="M86:T86">
    <cfRule type="containsBlanks" dxfId="2642" priority="2580">
      <formula>LEN(TRIM(M86))=0</formula>
    </cfRule>
  </conditionalFormatting>
  <conditionalFormatting sqref="O87:S87">
    <cfRule type="containsBlanks" dxfId="2641" priority="2579">
      <formula>LEN(TRIM(O87))=0</formula>
    </cfRule>
  </conditionalFormatting>
  <conditionalFormatting sqref="M87:N87">
    <cfRule type="containsBlanks" dxfId="2640" priority="2578">
      <formula>LEN(TRIM(M87))=0</formula>
    </cfRule>
  </conditionalFormatting>
  <conditionalFormatting sqref="O55:Q55">
    <cfRule type="containsBlanks" dxfId="2639" priority="2577">
      <formula>LEN(TRIM(O55))=0</formula>
    </cfRule>
  </conditionalFormatting>
  <conditionalFormatting sqref="O68:Q68">
    <cfRule type="containsBlanks" dxfId="2638" priority="2576">
      <formula>LEN(TRIM(O68))=0</formula>
    </cfRule>
  </conditionalFormatting>
  <conditionalFormatting sqref="O69:Q69">
    <cfRule type="containsBlanks" dxfId="2637" priority="2575">
      <formula>LEN(TRIM(O69))=0</formula>
    </cfRule>
  </conditionalFormatting>
  <conditionalFormatting sqref="O71:Q71">
    <cfRule type="containsBlanks" dxfId="2636" priority="2574">
      <formula>LEN(TRIM(O71))=0</formula>
    </cfRule>
  </conditionalFormatting>
  <conditionalFormatting sqref="N67:T67">
    <cfRule type="containsBlanks" dxfId="2635" priority="2573">
      <formula>LEN(TRIM(N67))=0</formula>
    </cfRule>
  </conditionalFormatting>
  <conditionalFormatting sqref="M84:S84">
    <cfRule type="containsBlanks" dxfId="2634" priority="2572">
      <formula>LEN(TRIM(M84))=0</formula>
    </cfRule>
  </conditionalFormatting>
  <conditionalFormatting sqref="N87:T87">
    <cfRule type="containsBlanks" dxfId="2633" priority="2571">
      <formula>LEN(TRIM(N87))=0</formula>
    </cfRule>
  </conditionalFormatting>
  <conditionalFormatting sqref="O89:Q89">
    <cfRule type="containsBlanks" dxfId="2632" priority="2570">
      <formula>LEN(TRIM(O89))=0</formula>
    </cfRule>
  </conditionalFormatting>
  <conditionalFormatting sqref="M91:T91">
    <cfRule type="containsBlanks" dxfId="2631" priority="2569">
      <formula>LEN(TRIM(M91))=0</formula>
    </cfRule>
  </conditionalFormatting>
  <conditionalFormatting sqref="M97:T97">
    <cfRule type="containsBlanks" dxfId="2630" priority="2568">
      <formula>LEN(TRIM(M97))=0</formula>
    </cfRule>
  </conditionalFormatting>
  <conditionalFormatting sqref="O98:S98">
    <cfRule type="containsBlanks" dxfId="2629" priority="2567">
      <formula>LEN(TRIM(O98))=0</formula>
    </cfRule>
  </conditionalFormatting>
  <conditionalFormatting sqref="M98:N98">
    <cfRule type="containsBlanks" dxfId="2628" priority="2566">
      <formula>LEN(TRIM(M98))=0</formula>
    </cfRule>
  </conditionalFormatting>
  <conditionalFormatting sqref="M61:T61">
    <cfRule type="containsBlanks" dxfId="2627" priority="2565">
      <formula>LEN(TRIM(M61))=0</formula>
    </cfRule>
  </conditionalFormatting>
  <conditionalFormatting sqref="M62:S62">
    <cfRule type="containsBlanks" dxfId="2626" priority="2564">
      <formula>LEN(TRIM(M62))=0</formula>
    </cfRule>
  </conditionalFormatting>
  <conditionalFormatting sqref="O59:Q59">
    <cfRule type="containsBlanks" dxfId="2625" priority="2563">
      <formula>LEN(TRIM(O59))=0</formula>
    </cfRule>
  </conditionalFormatting>
  <conditionalFormatting sqref="O60:Q60">
    <cfRule type="containsBlanks" dxfId="2624" priority="2562">
      <formula>LEN(TRIM(O60))=0</formula>
    </cfRule>
  </conditionalFormatting>
  <conditionalFormatting sqref="O62:Q62">
    <cfRule type="containsBlanks" dxfId="2623" priority="2561">
      <formula>LEN(TRIM(O62))=0</formula>
    </cfRule>
  </conditionalFormatting>
  <conditionalFormatting sqref="N58:T58">
    <cfRule type="containsBlanks" dxfId="2622" priority="2560">
      <formula>LEN(TRIM(N58))=0</formula>
    </cfRule>
  </conditionalFormatting>
  <conditionalFormatting sqref="M75:S75">
    <cfRule type="containsBlanks" dxfId="2621" priority="2559">
      <formula>LEN(TRIM(M75))=0</formula>
    </cfRule>
  </conditionalFormatting>
  <conditionalFormatting sqref="N78:T78">
    <cfRule type="containsBlanks" dxfId="2620" priority="2558">
      <formula>LEN(TRIM(N78))=0</formula>
    </cfRule>
  </conditionalFormatting>
  <conditionalFormatting sqref="O80:Q80">
    <cfRule type="containsBlanks" dxfId="2619" priority="2557">
      <formula>LEN(TRIM(O80))=0</formula>
    </cfRule>
  </conditionalFormatting>
  <conditionalFormatting sqref="M82:T82">
    <cfRule type="containsBlanks" dxfId="2618" priority="2556">
      <formula>LEN(TRIM(M82))=0</formula>
    </cfRule>
  </conditionalFormatting>
  <conditionalFormatting sqref="M88:T88">
    <cfRule type="containsBlanks" dxfId="2617" priority="2555">
      <formula>LEN(TRIM(M88))=0</formula>
    </cfRule>
  </conditionalFormatting>
  <conditionalFormatting sqref="O89:S89">
    <cfRule type="containsBlanks" dxfId="2616" priority="2554">
      <formula>LEN(TRIM(O89))=0</formula>
    </cfRule>
  </conditionalFormatting>
  <conditionalFormatting sqref="M89:N89">
    <cfRule type="containsBlanks" dxfId="2615" priority="2553">
      <formula>LEN(TRIM(M89))=0</formula>
    </cfRule>
  </conditionalFormatting>
  <conditionalFormatting sqref="O63:Q63">
    <cfRule type="containsBlanks" dxfId="2614" priority="2552">
      <formula>LEN(TRIM(O63))=0</formula>
    </cfRule>
  </conditionalFormatting>
  <conditionalFormatting sqref="O64:Q64">
    <cfRule type="containsBlanks" dxfId="2613" priority="2551">
      <formula>LEN(TRIM(O64))=0</formula>
    </cfRule>
  </conditionalFormatting>
  <conditionalFormatting sqref="O66:Q66">
    <cfRule type="containsBlanks" dxfId="2612" priority="2550">
      <formula>LEN(TRIM(O66))=0</formula>
    </cfRule>
  </conditionalFormatting>
  <conditionalFormatting sqref="N62:T62">
    <cfRule type="containsBlanks" dxfId="2611" priority="2549">
      <formula>LEN(TRIM(N62))=0</formula>
    </cfRule>
  </conditionalFormatting>
  <conditionalFormatting sqref="M79:S79">
    <cfRule type="containsBlanks" dxfId="2610" priority="2548">
      <formula>LEN(TRIM(M79))=0</formula>
    </cfRule>
  </conditionalFormatting>
  <conditionalFormatting sqref="N82:T82">
    <cfRule type="containsBlanks" dxfId="2609" priority="2547">
      <formula>LEN(TRIM(N82))=0</formula>
    </cfRule>
  </conditionalFormatting>
  <conditionalFormatting sqref="O84:Q84">
    <cfRule type="containsBlanks" dxfId="2608" priority="2546">
      <formula>LEN(TRIM(O84))=0</formula>
    </cfRule>
  </conditionalFormatting>
  <conditionalFormatting sqref="M86:T86">
    <cfRule type="containsBlanks" dxfId="2607" priority="2545">
      <formula>LEN(TRIM(M86))=0</formula>
    </cfRule>
  </conditionalFormatting>
  <conditionalFormatting sqref="M92:T92">
    <cfRule type="containsBlanks" dxfId="2606" priority="2544">
      <formula>LEN(TRIM(M92))=0</formula>
    </cfRule>
  </conditionalFormatting>
  <conditionalFormatting sqref="O93:S93">
    <cfRule type="containsBlanks" dxfId="2605" priority="2543">
      <formula>LEN(TRIM(O93))=0</formula>
    </cfRule>
  </conditionalFormatting>
  <conditionalFormatting sqref="M93:N93">
    <cfRule type="containsBlanks" dxfId="2604" priority="2542">
      <formula>LEN(TRIM(M93))=0</formula>
    </cfRule>
  </conditionalFormatting>
  <conditionalFormatting sqref="M56:T56">
    <cfRule type="containsBlanks" dxfId="2603" priority="2541">
      <formula>LEN(TRIM(M56))=0</formula>
    </cfRule>
  </conditionalFormatting>
  <conditionalFormatting sqref="M57:S57">
    <cfRule type="containsBlanks" dxfId="2602" priority="2540">
      <formula>LEN(TRIM(M57))=0</formula>
    </cfRule>
  </conditionalFormatting>
  <conditionalFormatting sqref="O54:Q54">
    <cfRule type="containsBlanks" dxfId="2601" priority="2539">
      <formula>LEN(TRIM(O54))=0</formula>
    </cfRule>
  </conditionalFormatting>
  <conditionalFormatting sqref="O55:Q55">
    <cfRule type="containsBlanks" dxfId="2600" priority="2538">
      <formula>LEN(TRIM(O55))=0</formula>
    </cfRule>
  </conditionalFormatting>
  <conditionalFormatting sqref="O57:Q57">
    <cfRule type="containsBlanks" dxfId="2599" priority="2537">
      <formula>LEN(TRIM(O57))=0</formula>
    </cfRule>
  </conditionalFormatting>
  <conditionalFormatting sqref="M70:S70">
    <cfRule type="containsBlanks" dxfId="2598" priority="2536">
      <formula>LEN(TRIM(M70))=0</formula>
    </cfRule>
  </conditionalFormatting>
  <conditionalFormatting sqref="N73:T73">
    <cfRule type="containsBlanks" dxfId="2597" priority="2535">
      <formula>LEN(TRIM(N73))=0</formula>
    </cfRule>
  </conditionalFormatting>
  <conditionalFormatting sqref="O75:Q75">
    <cfRule type="containsBlanks" dxfId="2596" priority="2534">
      <formula>LEN(TRIM(O75))=0</formula>
    </cfRule>
  </conditionalFormatting>
  <conditionalFormatting sqref="M77:T77">
    <cfRule type="containsBlanks" dxfId="2595" priority="2533">
      <formula>LEN(TRIM(M77))=0</formula>
    </cfRule>
  </conditionalFormatting>
  <conditionalFormatting sqref="M83:T83">
    <cfRule type="containsBlanks" dxfId="2594" priority="2532">
      <formula>LEN(TRIM(M83))=0</formula>
    </cfRule>
  </conditionalFormatting>
  <conditionalFormatting sqref="O84:S84">
    <cfRule type="containsBlanks" dxfId="2593" priority="2531">
      <formula>LEN(TRIM(O84))=0</formula>
    </cfRule>
  </conditionalFormatting>
  <conditionalFormatting sqref="M84:N84">
    <cfRule type="containsBlanks" dxfId="2592" priority="2530">
      <formula>LEN(TRIM(M84))=0</formula>
    </cfRule>
  </conditionalFormatting>
  <conditionalFormatting sqref="O56:Q56">
    <cfRule type="containsBlanks" dxfId="2591" priority="2529">
      <formula>LEN(TRIM(O56))=0</formula>
    </cfRule>
  </conditionalFormatting>
  <conditionalFormatting sqref="O54:Q54">
    <cfRule type="containsBlanks" dxfId="2590" priority="2528">
      <formula>LEN(TRIM(O54))=0</formula>
    </cfRule>
  </conditionalFormatting>
  <conditionalFormatting sqref="O58:Q58">
    <cfRule type="containsBlanks" dxfId="2589" priority="2527">
      <formula>LEN(TRIM(O58))=0</formula>
    </cfRule>
  </conditionalFormatting>
  <conditionalFormatting sqref="O60:Q60">
    <cfRule type="containsBlanks" dxfId="2588" priority="2526">
      <formula>LEN(TRIM(O60))=0</formula>
    </cfRule>
  </conditionalFormatting>
  <conditionalFormatting sqref="O62:Q62">
    <cfRule type="containsBlanks" dxfId="2587" priority="2525">
      <formula>LEN(TRIM(O62))=0</formula>
    </cfRule>
  </conditionalFormatting>
  <conditionalFormatting sqref="O75:Q75">
    <cfRule type="containsBlanks" dxfId="2586" priority="2524">
      <formula>LEN(TRIM(O75))=0</formula>
    </cfRule>
  </conditionalFormatting>
  <conditionalFormatting sqref="O76:Q76">
    <cfRule type="containsBlanks" dxfId="2585" priority="2523">
      <formula>LEN(TRIM(O76))=0</formula>
    </cfRule>
  </conditionalFormatting>
  <conditionalFormatting sqref="O78:Q78">
    <cfRule type="containsBlanks" dxfId="2584" priority="2522">
      <formula>LEN(TRIM(O78))=0</formula>
    </cfRule>
  </conditionalFormatting>
  <conditionalFormatting sqref="N74:T74">
    <cfRule type="containsBlanks" dxfId="2583" priority="2521">
      <formula>LEN(TRIM(N74))=0</formula>
    </cfRule>
  </conditionalFormatting>
  <conditionalFormatting sqref="M91:S91">
    <cfRule type="containsBlanks" dxfId="2582" priority="2520">
      <formula>LEN(TRIM(M91))=0</formula>
    </cfRule>
  </conditionalFormatting>
  <conditionalFormatting sqref="N94:T94">
    <cfRule type="containsBlanks" dxfId="2581" priority="2519">
      <formula>LEN(TRIM(N94))=0</formula>
    </cfRule>
  </conditionalFormatting>
  <conditionalFormatting sqref="O96:Q96">
    <cfRule type="containsBlanks" dxfId="2580" priority="2518">
      <formula>LEN(TRIM(O96))=0</formula>
    </cfRule>
  </conditionalFormatting>
  <conditionalFormatting sqref="M98:T98">
    <cfRule type="containsBlanks" dxfId="2579" priority="2517">
      <formula>LEN(TRIM(M98))=0</formula>
    </cfRule>
  </conditionalFormatting>
  <conditionalFormatting sqref="M104:T104">
    <cfRule type="containsBlanks" dxfId="2578" priority="2516">
      <formula>LEN(TRIM(M104))=0</formula>
    </cfRule>
  </conditionalFormatting>
  <conditionalFormatting sqref="O105:S105">
    <cfRule type="containsBlanks" dxfId="2577" priority="2515">
      <formula>LEN(TRIM(O105))=0</formula>
    </cfRule>
  </conditionalFormatting>
  <conditionalFormatting sqref="M105:N105">
    <cfRule type="containsBlanks" dxfId="2576" priority="2514">
      <formula>LEN(TRIM(M105))=0</formula>
    </cfRule>
  </conditionalFormatting>
  <conditionalFormatting sqref="M68:T68">
    <cfRule type="containsBlanks" dxfId="2575" priority="2513">
      <formula>LEN(TRIM(M68))=0</formula>
    </cfRule>
  </conditionalFormatting>
  <conditionalFormatting sqref="M69:S69">
    <cfRule type="containsBlanks" dxfId="2574" priority="2512">
      <formula>LEN(TRIM(M69))=0</formula>
    </cfRule>
  </conditionalFormatting>
  <conditionalFormatting sqref="O66:Q66">
    <cfRule type="containsBlanks" dxfId="2573" priority="2511">
      <formula>LEN(TRIM(O66))=0</formula>
    </cfRule>
  </conditionalFormatting>
  <conditionalFormatting sqref="O67:Q67">
    <cfRule type="containsBlanks" dxfId="2572" priority="2510">
      <formula>LEN(TRIM(O67))=0</formula>
    </cfRule>
  </conditionalFormatting>
  <conditionalFormatting sqref="O69:Q69">
    <cfRule type="containsBlanks" dxfId="2571" priority="2509">
      <formula>LEN(TRIM(O69))=0</formula>
    </cfRule>
  </conditionalFormatting>
  <conditionalFormatting sqref="N65:T65">
    <cfRule type="containsBlanks" dxfId="2570" priority="2508">
      <formula>LEN(TRIM(N65))=0</formula>
    </cfRule>
  </conditionalFormatting>
  <conditionalFormatting sqref="M82:S82">
    <cfRule type="containsBlanks" dxfId="2569" priority="2507">
      <formula>LEN(TRIM(M82))=0</formula>
    </cfRule>
  </conditionalFormatting>
  <conditionalFormatting sqref="N85:T85">
    <cfRule type="containsBlanks" dxfId="2568" priority="2506">
      <formula>LEN(TRIM(N85))=0</formula>
    </cfRule>
  </conditionalFormatting>
  <conditionalFormatting sqref="O87:Q87">
    <cfRule type="containsBlanks" dxfId="2567" priority="2505">
      <formula>LEN(TRIM(O87))=0</formula>
    </cfRule>
  </conditionalFormatting>
  <conditionalFormatting sqref="M89:T89">
    <cfRule type="containsBlanks" dxfId="2566" priority="2504">
      <formula>LEN(TRIM(M89))=0</formula>
    </cfRule>
  </conditionalFormatting>
  <conditionalFormatting sqref="M95:T95">
    <cfRule type="containsBlanks" dxfId="2565" priority="2503">
      <formula>LEN(TRIM(M95))=0</formula>
    </cfRule>
  </conditionalFormatting>
  <conditionalFormatting sqref="O96:S96">
    <cfRule type="containsBlanks" dxfId="2564" priority="2502">
      <formula>LEN(TRIM(O96))=0</formula>
    </cfRule>
  </conditionalFormatting>
  <conditionalFormatting sqref="M96:N96">
    <cfRule type="containsBlanks" dxfId="2563" priority="2501">
      <formula>LEN(TRIM(M96))=0</formula>
    </cfRule>
  </conditionalFormatting>
  <conditionalFormatting sqref="M59:T59">
    <cfRule type="containsBlanks" dxfId="2562" priority="2500">
      <formula>LEN(TRIM(M59))=0</formula>
    </cfRule>
  </conditionalFormatting>
  <conditionalFormatting sqref="M60:S60">
    <cfRule type="containsBlanks" dxfId="2561" priority="2499">
      <formula>LEN(TRIM(M60))=0</formula>
    </cfRule>
  </conditionalFormatting>
  <conditionalFormatting sqref="O55:Q55">
    <cfRule type="containsBlanks" dxfId="2560" priority="2498">
      <formula>LEN(TRIM(O55))=0</formula>
    </cfRule>
  </conditionalFormatting>
  <conditionalFormatting sqref="O57:Q57">
    <cfRule type="containsBlanks" dxfId="2559" priority="2497">
      <formula>LEN(TRIM(O57))=0</formula>
    </cfRule>
  </conditionalFormatting>
  <conditionalFormatting sqref="O70:Q70">
    <cfRule type="containsBlanks" dxfId="2558" priority="2496">
      <formula>LEN(TRIM(O70))=0</formula>
    </cfRule>
  </conditionalFormatting>
  <conditionalFormatting sqref="O71:Q71">
    <cfRule type="containsBlanks" dxfId="2557" priority="2495">
      <formula>LEN(TRIM(O71))=0</formula>
    </cfRule>
  </conditionalFormatting>
  <conditionalFormatting sqref="O73:Q73">
    <cfRule type="containsBlanks" dxfId="2556" priority="2494">
      <formula>LEN(TRIM(O73))=0</formula>
    </cfRule>
  </conditionalFormatting>
  <conditionalFormatting sqref="N69:T69">
    <cfRule type="containsBlanks" dxfId="2555" priority="2493">
      <formula>LEN(TRIM(N69))=0</formula>
    </cfRule>
  </conditionalFormatting>
  <conditionalFormatting sqref="M86:S86">
    <cfRule type="containsBlanks" dxfId="2554" priority="2492">
      <formula>LEN(TRIM(M86))=0</formula>
    </cfRule>
  </conditionalFormatting>
  <conditionalFormatting sqref="N89:T89">
    <cfRule type="containsBlanks" dxfId="2553" priority="2491">
      <formula>LEN(TRIM(N89))=0</formula>
    </cfRule>
  </conditionalFormatting>
  <conditionalFormatting sqref="O91:Q91">
    <cfRule type="containsBlanks" dxfId="2552" priority="2490">
      <formula>LEN(TRIM(O91))=0</formula>
    </cfRule>
  </conditionalFormatting>
  <conditionalFormatting sqref="M93:T93">
    <cfRule type="containsBlanks" dxfId="2551" priority="2489">
      <formula>LEN(TRIM(M93))=0</formula>
    </cfRule>
  </conditionalFormatting>
  <conditionalFormatting sqref="O100:S100">
    <cfRule type="containsBlanks" dxfId="2550" priority="2487">
      <formula>LEN(TRIM(O100))=0</formula>
    </cfRule>
  </conditionalFormatting>
  <conditionalFormatting sqref="M100:N100">
    <cfRule type="containsBlanks" dxfId="2549" priority="2486">
      <formula>LEN(TRIM(M100))=0</formula>
    </cfRule>
  </conditionalFormatting>
  <conditionalFormatting sqref="M63:T63">
    <cfRule type="containsBlanks" dxfId="2548" priority="2485">
      <formula>LEN(TRIM(M63))=0</formula>
    </cfRule>
  </conditionalFormatting>
  <conditionalFormatting sqref="M64:S64">
    <cfRule type="containsBlanks" dxfId="2547" priority="2484">
      <formula>LEN(TRIM(M64))=0</formula>
    </cfRule>
  </conditionalFormatting>
  <conditionalFormatting sqref="O61:Q61">
    <cfRule type="containsBlanks" dxfId="2546" priority="2483">
      <formula>LEN(TRIM(O61))=0</formula>
    </cfRule>
  </conditionalFormatting>
  <conditionalFormatting sqref="O62:Q62">
    <cfRule type="containsBlanks" dxfId="2545" priority="2482">
      <formula>LEN(TRIM(O62))=0</formula>
    </cfRule>
  </conditionalFormatting>
  <conditionalFormatting sqref="O64:Q64">
    <cfRule type="containsBlanks" dxfId="2544" priority="2481">
      <formula>LEN(TRIM(O64))=0</formula>
    </cfRule>
  </conditionalFormatting>
  <conditionalFormatting sqref="N60:T60">
    <cfRule type="containsBlanks" dxfId="2543" priority="2480">
      <formula>LEN(TRIM(N60))=0</formula>
    </cfRule>
  </conditionalFormatting>
  <conditionalFormatting sqref="M77:S77">
    <cfRule type="containsBlanks" dxfId="2542" priority="2479">
      <formula>LEN(TRIM(M77))=0</formula>
    </cfRule>
  </conditionalFormatting>
  <conditionalFormatting sqref="N80:T80">
    <cfRule type="containsBlanks" dxfId="2541" priority="2478">
      <formula>LEN(TRIM(N80))=0</formula>
    </cfRule>
  </conditionalFormatting>
  <conditionalFormatting sqref="O82:Q82">
    <cfRule type="containsBlanks" dxfId="2540" priority="2477">
      <formula>LEN(TRIM(O82))=0</formula>
    </cfRule>
  </conditionalFormatting>
  <conditionalFormatting sqref="M84:T84">
    <cfRule type="containsBlanks" dxfId="2539" priority="2476">
      <formula>LEN(TRIM(M84))=0</formula>
    </cfRule>
  </conditionalFormatting>
  <conditionalFormatting sqref="M90:T90">
    <cfRule type="containsBlanks" dxfId="2538" priority="2475">
      <formula>LEN(TRIM(M90))=0</formula>
    </cfRule>
  </conditionalFormatting>
  <conditionalFormatting sqref="O91:S91">
    <cfRule type="containsBlanks" dxfId="2537" priority="2474">
      <formula>LEN(TRIM(O91))=0</formula>
    </cfRule>
  </conditionalFormatting>
  <conditionalFormatting sqref="M91:N91">
    <cfRule type="containsBlanks" dxfId="2536" priority="2473">
      <formula>LEN(TRIM(M91))=0</formula>
    </cfRule>
  </conditionalFormatting>
  <conditionalFormatting sqref="M54:T54">
    <cfRule type="containsBlanks" dxfId="2535" priority="2472">
      <formula>LEN(TRIM(M54))=0</formula>
    </cfRule>
  </conditionalFormatting>
  <conditionalFormatting sqref="M55:S55">
    <cfRule type="containsBlanks" dxfId="2534" priority="2471">
      <formula>LEN(TRIM(M55))=0</formula>
    </cfRule>
  </conditionalFormatting>
  <conditionalFormatting sqref="O55:Q55">
    <cfRule type="containsBlanks" dxfId="2533" priority="2470">
      <formula>LEN(TRIM(O55))=0</formula>
    </cfRule>
  </conditionalFormatting>
  <conditionalFormatting sqref="O57:Q57">
    <cfRule type="containsBlanks" dxfId="2532" priority="2469">
      <formula>LEN(TRIM(O57))=0</formula>
    </cfRule>
  </conditionalFormatting>
  <conditionalFormatting sqref="O59:Q59">
    <cfRule type="containsBlanks" dxfId="2531" priority="2468">
      <formula>LEN(TRIM(O59))=0</formula>
    </cfRule>
  </conditionalFormatting>
  <conditionalFormatting sqref="O72:Q72">
    <cfRule type="containsBlanks" dxfId="2530" priority="2467">
      <formula>LEN(TRIM(O72))=0</formula>
    </cfRule>
  </conditionalFormatting>
  <conditionalFormatting sqref="O73:Q73">
    <cfRule type="containsBlanks" dxfId="2529" priority="2466">
      <formula>LEN(TRIM(O73))=0</formula>
    </cfRule>
  </conditionalFormatting>
  <conditionalFormatting sqref="O75:Q75">
    <cfRule type="containsBlanks" dxfId="2528" priority="2465">
      <formula>LEN(TRIM(O75))=0</formula>
    </cfRule>
  </conditionalFormatting>
  <conditionalFormatting sqref="N71:T71">
    <cfRule type="containsBlanks" dxfId="2527" priority="2464">
      <formula>LEN(TRIM(N71))=0</formula>
    </cfRule>
  </conditionalFormatting>
  <conditionalFormatting sqref="M88:S88">
    <cfRule type="containsBlanks" dxfId="2526" priority="2463">
      <formula>LEN(TRIM(M88))=0</formula>
    </cfRule>
  </conditionalFormatting>
  <conditionalFormatting sqref="N91:T91">
    <cfRule type="containsBlanks" dxfId="2525" priority="2462">
      <formula>LEN(TRIM(N91))=0</formula>
    </cfRule>
  </conditionalFormatting>
  <conditionalFormatting sqref="O93:Q93">
    <cfRule type="containsBlanks" dxfId="2524" priority="2461">
      <formula>LEN(TRIM(O93))=0</formula>
    </cfRule>
  </conditionalFormatting>
  <conditionalFormatting sqref="M95:T95">
    <cfRule type="containsBlanks" dxfId="2523" priority="2460">
      <formula>LEN(TRIM(M95))=0</formula>
    </cfRule>
  </conditionalFormatting>
  <conditionalFormatting sqref="M101:T101">
    <cfRule type="containsBlanks" dxfId="2522" priority="2459">
      <formula>LEN(TRIM(M101))=0</formula>
    </cfRule>
  </conditionalFormatting>
  <conditionalFormatting sqref="O102:S102">
    <cfRule type="containsBlanks" dxfId="2521" priority="2458">
      <formula>LEN(TRIM(O102))=0</formula>
    </cfRule>
  </conditionalFormatting>
  <conditionalFormatting sqref="M102:N102">
    <cfRule type="containsBlanks" dxfId="2520" priority="2457">
      <formula>LEN(TRIM(M102))=0</formula>
    </cfRule>
  </conditionalFormatting>
  <conditionalFormatting sqref="M65:T65">
    <cfRule type="containsBlanks" dxfId="2519" priority="2456">
      <formula>LEN(TRIM(M65))=0</formula>
    </cfRule>
  </conditionalFormatting>
  <conditionalFormatting sqref="M66:S66">
    <cfRule type="containsBlanks" dxfId="2518" priority="2455">
      <formula>LEN(TRIM(M66))=0</formula>
    </cfRule>
  </conditionalFormatting>
  <conditionalFormatting sqref="O63:Q63">
    <cfRule type="containsBlanks" dxfId="2517" priority="2454">
      <formula>LEN(TRIM(O63))=0</formula>
    </cfRule>
  </conditionalFormatting>
  <conditionalFormatting sqref="O64:Q64">
    <cfRule type="containsBlanks" dxfId="2516" priority="2453">
      <formula>LEN(TRIM(O64))=0</formula>
    </cfRule>
  </conditionalFormatting>
  <conditionalFormatting sqref="O66:Q66">
    <cfRule type="containsBlanks" dxfId="2515" priority="2452">
      <formula>LEN(TRIM(O66))=0</formula>
    </cfRule>
  </conditionalFormatting>
  <conditionalFormatting sqref="N62:T62">
    <cfRule type="containsBlanks" dxfId="2514" priority="2451">
      <formula>LEN(TRIM(N62))=0</formula>
    </cfRule>
  </conditionalFormatting>
  <conditionalFormatting sqref="M79:S79">
    <cfRule type="containsBlanks" dxfId="2513" priority="2450">
      <formula>LEN(TRIM(M79))=0</formula>
    </cfRule>
  </conditionalFormatting>
  <conditionalFormatting sqref="N82:T82">
    <cfRule type="containsBlanks" dxfId="2512" priority="2449">
      <formula>LEN(TRIM(N82))=0</formula>
    </cfRule>
  </conditionalFormatting>
  <conditionalFormatting sqref="O84:Q84">
    <cfRule type="containsBlanks" dxfId="2511" priority="2448">
      <formula>LEN(TRIM(O84))=0</formula>
    </cfRule>
  </conditionalFormatting>
  <conditionalFormatting sqref="M86:T86">
    <cfRule type="containsBlanks" dxfId="2510" priority="2447">
      <formula>LEN(TRIM(M86))=0</formula>
    </cfRule>
  </conditionalFormatting>
  <conditionalFormatting sqref="M92:T92">
    <cfRule type="containsBlanks" dxfId="2509" priority="2446">
      <formula>LEN(TRIM(M92))=0</formula>
    </cfRule>
  </conditionalFormatting>
  <conditionalFormatting sqref="O93:S93">
    <cfRule type="containsBlanks" dxfId="2508" priority="2445">
      <formula>LEN(TRIM(O93))=0</formula>
    </cfRule>
  </conditionalFormatting>
  <conditionalFormatting sqref="M93:N93">
    <cfRule type="containsBlanks" dxfId="2507" priority="2444">
      <formula>LEN(TRIM(M93))=0</formula>
    </cfRule>
  </conditionalFormatting>
  <conditionalFormatting sqref="M56:T56">
    <cfRule type="containsBlanks" dxfId="2506" priority="2443">
      <formula>LEN(TRIM(M56))=0</formula>
    </cfRule>
  </conditionalFormatting>
  <conditionalFormatting sqref="M57:S57">
    <cfRule type="containsBlanks" dxfId="2505" priority="2442">
      <formula>LEN(TRIM(M57))=0</formula>
    </cfRule>
  </conditionalFormatting>
  <conditionalFormatting sqref="O54:Q54">
    <cfRule type="containsBlanks" dxfId="2504" priority="2441">
      <formula>LEN(TRIM(O54))=0</formula>
    </cfRule>
  </conditionalFormatting>
  <conditionalFormatting sqref="O67:Q67">
    <cfRule type="containsBlanks" dxfId="2503" priority="2440">
      <formula>LEN(TRIM(O67))=0</formula>
    </cfRule>
  </conditionalFormatting>
  <conditionalFormatting sqref="O68:Q68">
    <cfRule type="containsBlanks" dxfId="2502" priority="2439">
      <formula>LEN(TRIM(O68))=0</formula>
    </cfRule>
  </conditionalFormatting>
  <conditionalFormatting sqref="O70:Q70">
    <cfRule type="containsBlanks" dxfId="2501" priority="2438">
      <formula>LEN(TRIM(O70))=0</formula>
    </cfRule>
  </conditionalFormatting>
  <conditionalFormatting sqref="N66:T66">
    <cfRule type="containsBlanks" dxfId="2500" priority="2437">
      <formula>LEN(TRIM(N66))=0</formula>
    </cfRule>
  </conditionalFormatting>
  <conditionalFormatting sqref="M83:S83">
    <cfRule type="containsBlanks" dxfId="2499" priority="2436">
      <formula>LEN(TRIM(M83))=0</formula>
    </cfRule>
  </conditionalFormatting>
  <conditionalFormatting sqref="N86:T86">
    <cfRule type="containsBlanks" dxfId="2498" priority="2435">
      <formula>LEN(TRIM(N86))=0</formula>
    </cfRule>
  </conditionalFormatting>
  <conditionalFormatting sqref="O88:Q88">
    <cfRule type="containsBlanks" dxfId="2497" priority="2434">
      <formula>LEN(TRIM(O88))=0</formula>
    </cfRule>
  </conditionalFormatting>
  <conditionalFormatting sqref="M90:T90">
    <cfRule type="containsBlanks" dxfId="2496" priority="2433">
      <formula>LEN(TRIM(M90))=0</formula>
    </cfRule>
  </conditionalFormatting>
  <conditionalFormatting sqref="M96:T96">
    <cfRule type="containsBlanks" dxfId="2495" priority="2432">
      <formula>LEN(TRIM(M96))=0</formula>
    </cfRule>
  </conditionalFormatting>
  <conditionalFormatting sqref="O97:S97">
    <cfRule type="containsBlanks" dxfId="2494" priority="2431">
      <formula>LEN(TRIM(O97))=0</formula>
    </cfRule>
  </conditionalFormatting>
  <conditionalFormatting sqref="M97:N97">
    <cfRule type="containsBlanks" dxfId="2493" priority="2430">
      <formula>LEN(TRIM(M97))=0</formula>
    </cfRule>
  </conditionalFormatting>
  <conditionalFormatting sqref="M60:T60">
    <cfRule type="containsBlanks" dxfId="2492" priority="2429">
      <formula>LEN(TRIM(M60))=0</formula>
    </cfRule>
  </conditionalFormatting>
  <conditionalFormatting sqref="M61:S61">
    <cfRule type="containsBlanks" dxfId="2491" priority="2428">
      <formula>LEN(TRIM(M61))=0</formula>
    </cfRule>
  </conditionalFormatting>
  <conditionalFormatting sqref="O58:Q58">
    <cfRule type="containsBlanks" dxfId="2490" priority="2427">
      <formula>LEN(TRIM(O58))=0</formula>
    </cfRule>
  </conditionalFormatting>
  <conditionalFormatting sqref="O59:Q59">
    <cfRule type="containsBlanks" dxfId="2489" priority="2426">
      <formula>LEN(TRIM(O59))=0</formula>
    </cfRule>
  </conditionalFormatting>
  <conditionalFormatting sqref="O61:Q61">
    <cfRule type="containsBlanks" dxfId="2488" priority="2425">
      <formula>LEN(TRIM(O61))=0</formula>
    </cfRule>
  </conditionalFormatting>
  <conditionalFormatting sqref="N57:T57">
    <cfRule type="containsBlanks" dxfId="2487" priority="2424">
      <formula>LEN(TRIM(N57))=0</formula>
    </cfRule>
  </conditionalFormatting>
  <conditionalFormatting sqref="M74:S74">
    <cfRule type="containsBlanks" dxfId="2486" priority="2423">
      <formula>LEN(TRIM(M74))=0</formula>
    </cfRule>
  </conditionalFormatting>
  <conditionalFormatting sqref="N77:T77">
    <cfRule type="containsBlanks" dxfId="2485" priority="2422">
      <formula>LEN(TRIM(N77))=0</formula>
    </cfRule>
  </conditionalFormatting>
  <conditionalFormatting sqref="O79:Q79">
    <cfRule type="containsBlanks" dxfId="2484" priority="2421">
      <formula>LEN(TRIM(O79))=0</formula>
    </cfRule>
  </conditionalFormatting>
  <conditionalFormatting sqref="M81:T81">
    <cfRule type="containsBlanks" dxfId="2483" priority="2420">
      <formula>LEN(TRIM(M81))=0</formula>
    </cfRule>
  </conditionalFormatting>
  <conditionalFormatting sqref="M87:T87">
    <cfRule type="containsBlanks" dxfId="2482" priority="2419">
      <formula>LEN(TRIM(M87))=0</formula>
    </cfRule>
  </conditionalFormatting>
  <conditionalFormatting sqref="O88:S88">
    <cfRule type="containsBlanks" dxfId="2481" priority="2418">
      <formula>LEN(TRIM(O88))=0</formula>
    </cfRule>
  </conditionalFormatting>
  <conditionalFormatting sqref="M88:N88">
    <cfRule type="containsBlanks" dxfId="2480" priority="2417">
      <formula>LEN(TRIM(M88))=0</formula>
    </cfRule>
  </conditionalFormatting>
  <conditionalFormatting sqref="O55:Q55">
    <cfRule type="containsBlanks" dxfId="2479" priority="2416">
      <formula>LEN(TRIM(O55))=0</formula>
    </cfRule>
  </conditionalFormatting>
  <conditionalFormatting sqref="O57:Q57">
    <cfRule type="containsBlanks" dxfId="2478" priority="2415">
      <formula>LEN(TRIM(O57))=0</formula>
    </cfRule>
  </conditionalFormatting>
  <conditionalFormatting sqref="O59:Q59">
    <cfRule type="containsBlanks" dxfId="2477" priority="2414">
      <formula>LEN(TRIM(O59))=0</formula>
    </cfRule>
  </conditionalFormatting>
  <conditionalFormatting sqref="O72:Q72">
    <cfRule type="containsBlanks" dxfId="2476" priority="2413">
      <formula>LEN(TRIM(O72))=0</formula>
    </cfRule>
  </conditionalFormatting>
  <conditionalFormatting sqref="O73:Q73">
    <cfRule type="containsBlanks" dxfId="2475" priority="2412">
      <formula>LEN(TRIM(O73))=0</formula>
    </cfRule>
  </conditionalFormatting>
  <conditionalFormatting sqref="O75:Q75">
    <cfRule type="containsBlanks" dxfId="2474" priority="2411">
      <formula>LEN(TRIM(O75))=0</formula>
    </cfRule>
  </conditionalFormatting>
  <conditionalFormatting sqref="N71:T71">
    <cfRule type="containsBlanks" dxfId="2473" priority="2410">
      <formula>LEN(TRIM(N71))=0</formula>
    </cfRule>
  </conditionalFormatting>
  <conditionalFormatting sqref="M88:S88">
    <cfRule type="containsBlanks" dxfId="2472" priority="2409">
      <formula>LEN(TRIM(M88))=0</formula>
    </cfRule>
  </conditionalFormatting>
  <conditionalFormatting sqref="N91:T91">
    <cfRule type="containsBlanks" dxfId="2471" priority="2408">
      <formula>LEN(TRIM(N91))=0</formula>
    </cfRule>
  </conditionalFormatting>
  <conditionalFormatting sqref="O93:Q93">
    <cfRule type="containsBlanks" dxfId="2470" priority="2407">
      <formula>LEN(TRIM(O93))=0</formula>
    </cfRule>
  </conditionalFormatting>
  <conditionalFormatting sqref="M95:T95">
    <cfRule type="containsBlanks" dxfId="2469" priority="2406">
      <formula>LEN(TRIM(M95))=0</formula>
    </cfRule>
  </conditionalFormatting>
  <conditionalFormatting sqref="M101:T101">
    <cfRule type="containsBlanks" dxfId="2468" priority="2405">
      <formula>LEN(TRIM(M101))=0</formula>
    </cfRule>
  </conditionalFormatting>
  <conditionalFormatting sqref="O102:S102">
    <cfRule type="containsBlanks" dxfId="2467" priority="2404">
      <formula>LEN(TRIM(O102))=0</formula>
    </cfRule>
  </conditionalFormatting>
  <conditionalFormatting sqref="M102:N102">
    <cfRule type="containsBlanks" dxfId="2466" priority="2403">
      <formula>LEN(TRIM(M102))=0</formula>
    </cfRule>
  </conditionalFormatting>
  <conditionalFormatting sqref="M65:T65">
    <cfRule type="containsBlanks" dxfId="2465" priority="2402">
      <formula>LEN(TRIM(M65))=0</formula>
    </cfRule>
  </conditionalFormatting>
  <conditionalFormatting sqref="M66:S66">
    <cfRule type="containsBlanks" dxfId="2464" priority="2401">
      <formula>LEN(TRIM(M66))=0</formula>
    </cfRule>
  </conditionalFormatting>
  <conditionalFormatting sqref="O63:Q63">
    <cfRule type="containsBlanks" dxfId="2463" priority="2400">
      <formula>LEN(TRIM(O63))=0</formula>
    </cfRule>
  </conditionalFormatting>
  <conditionalFormatting sqref="O64:Q64">
    <cfRule type="containsBlanks" dxfId="2462" priority="2399">
      <formula>LEN(TRIM(O64))=0</formula>
    </cfRule>
  </conditionalFormatting>
  <conditionalFormatting sqref="O66:Q66">
    <cfRule type="containsBlanks" dxfId="2461" priority="2398">
      <formula>LEN(TRIM(O66))=0</formula>
    </cfRule>
  </conditionalFormatting>
  <conditionalFormatting sqref="N62:T62">
    <cfRule type="containsBlanks" dxfId="2460" priority="2397">
      <formula>LEN(TRIM(N62))=0</formula>
    </cfRule>
  </conditionalFormatting>
  <conditionalFormatting sqref="M79:S79">
    <cfRule type="containsBlanks" dxfId="2459" priority="2396">
      <formula>LEN(TRIM(M79))=0</formula>
    </cfRule>
  </conditionalFormatting>
  <conditionalFormatting sqref="N82:T82">
    <cfRule type="containsBlanks" dxfId="2458" priority="2395">
      <formula>LEN(TRIM(N82))=0</formula>
    </cfRule>
  </conditionalFormatting>
  <conditionalFormatting sqref="O84:Q84">
    <cfRule type="containsBlanks" dxfId="2457" priority="2394">
      <formula>LEN(TRIM(O84))=0</formula>
    </cfRule>
  </conditionalFormatting>
  <conditionalFormatting sqref="M86:T86">
    <cfRule type="containsBlanks" dxfId="2456" priority="2393">
      <formula>LEN(TRIM(M86))=0</formula>
    </cfRule>
  </conditionalFormatting>
  <conditionalFormatting sqref="M92:T92">
    <cfRule type="containsBlanks" dxfId="2455" priority="2392">
      <formula>LEN(TRIM(M92))=0</formula>
    </cfRule>
  </conditionalFormatting>
  <conditionalFormatting sqref="O93:S93">
    <cfRule type="containsBlanks" dxfId="2454" priority="2391">
      <formula>LEN(TRIM(O93))=0</formula>
    </cfRule>
  </conditionalFormatting>
  <conditionalFormatting sqref="M93:N93">
    <cfRule type="containsBlanks" dxfId="2453" priority="2390">
      <formula>LEN(TRIM(M93))=0</formula>
    </cfRule>
  </conditionalFormatting>
  <conditionalFormatting sqref="M56:T56">
    <cfRule type="containsBlanks" dxfId="2452" priority="2389">
      <formula>LEN(TRIM(M56))=0</formula>
    </cfRule>
  </conditionalFormatting>
  <conditionalFormatting sqref="M57:S57">
    <cfRule type="containsBlanks" dxfId="2451" priority="2388">
      <formula>LEN(TRIM(M57))=0</formula>
    </cfRule>
  </conditionalFormatting>
  <conditionalFormatting sqref="O54:Q54">
    <cfRule type="containsBlanks" dxfId="2450" priority="2387">
      <formula>LEN(TRIM(O54))=0</formula>
    </cfRule>
  </conditionalFormatting>
  <conditionalFormatting sqref="O67:Q67">
    <cfRule type="containsBlanks" dxfId="2449" priority="2386">
      <formula>LEN(TRIM(O67))=0</formula>
    </cfRule>
  </conditionalFormatting>
  <conditionalFormatting sqref="O68:Q68">
    <cfRule type="containsBlanks" dxfId="2448" priority="2385">
      <formula>LEN(TRIM(O68))=0</formula>
    </cfRule>
  </conditionalFormatting>
  <conditionalFormatting sqref="O70:Q70">
    <cfRule type="containsBlanks" dxfId="2447" priority="2384">
      <formula>LEN(TRIM(O70))=0</formula>
    </cfRule>
  </conditionalFormatting>
  <conditionalFormatting sqref="N66:T66">
    <cfRule type="containsBlanks" dxfId="2446" priority="2383">
      <formula>LEN(TRIM(N66))=0</formula>
    </cfRule>
  </conditionalFormatting>
  <conditionalFormatting sqref="M83:S83">
    <cfRule type="containsBlanks" dxfId="2445" priority="2382">
      <formula>LEN(TRIM(M83))=0</formula>
    </cfRule>
  </conditionalFormatting>
  <conditionalFormatting sqref="N86:T86">
    <cfRule type="containsBlanks" dxfId="2444" priority="2381">
      <formula>LEN(TRIM(N86))=0</formula>
    </cfRule>
  </conditionalFormatting>
  <conditionalFormatting sqref="O88:Q88">
    <cfRule type="containsBlanks" dxfId="2443" priority="2380">
      <formula>LEN(TRIM(O88))=0</formula>
    </cfRule>
  </conditionalFormatting>
  <conditionalFormatting sqref="M90:T90">
    <cfRule type="containsBlanks" dxfId="2442" priority="2379">
      <formula>LEN(TRIM(M90))=0</formula>
    </cfRule>
  </conditionalFormatting>
  <conditionalFormatting sqref="M96:T96">
    <cfRule type="containsBlanks" dxfId="2441" priority="2378">
      <formula>LEN(TRIM(M96))=0</formula>
    </cfRule>
  </conditionalFormatting>
  <conditionalFormatting sqref="O97:S97">
    <cfRule type="containsBlanks" dxfId="2440" priority="2377">
      <formula>LEN(TRIM(O97))=0</formula>
    </cfRule>
  </conditionalFormatting>
  <conditionalFormatting sqref="M97:N97">
    <cfRule type="containsBlanks" dxfId="2439" priority="2376">
      <formula>LEN(TRIM(M97))=0</formula>
    </cfRule>
  </conditionalFormatting>
  <conditionalFormatting sqref="M60:T60">
    <cfRule type="containsBlanks" dxfId="2438" priority="2375">
      <formula>LEN(TRIM(M60))=0</formula>
    </cfRule>
  </conditionalFormatting>
  <conditionalFormatting sqref="M61:S61">
    <cfRule type="containsBlanks" dxfId="2437" priority="2374">
      <formula>LEN(TRIM(M61))=0</formula>
    </cfRule>
  </conditionalFormatting>
  <conditionalFormatting sqref="O58:Q58">
    <cfRule type="containsBlanks" dxfId="2436" priority="2373">
      <formula>LEN(TRIM(O58))=0</formula>
    </cfRule>
  </conditionalFormatting>
  <conditionalFormatting sqref="O59:Q59">
    <cfRule type="containsBlanks" dxfId="2435" priority="2372">
      <formula>LEN(TRIM(O59))=0</formula>
    </cfRule>
  </conditionalFormatting>
  <conditionalFormatting sqref="O61:Q61">
    <cfRule type="containsBlanks" dxfId="2434" priority="2371">
      <formula>LEN(TRIM(O61))=0</formula>
    </cfRule>
  </conditionalFormatting>
  <conditionalFormatting sqref="N57:T57">
    <cfRule type="containsBlanks" dxfId="2433" priority="2370">
      <formula>LEN(TRIM(N57))=0</formula>
    </cfRule>
  </conditionalFormatting>
  <conditionalFormatting sqref="M74:S74">
    <cfRule type="containsBlanks" dxfId="2432" priority="2369">
      <formula>LEN(TRIM(M74))=0</formula>
    </cfRule>
  </conditionalFormatting>
  <conditionalFormatting sqref="N77:T77">
    <cfRule type="containsBlanks" dxfId="2431" priority="2368">
      <formula>LEN(TRIM(N77))=0</formula>
    </cfRule>
  </conditionalFormatting>
  <conditionalFormatting sqref="O79:Q79">
    <cfRule type="containsBlanks" dxfId="2430" priority="2367">
      <formula>LEN(TRIM(O79))=0</formula>
    </cfRule>
  </conditionalFormatting>
  <conditionalFormatting sqref="M81:T81">
    <cfRule type="containsBlanks" dxfId="2429" priority="2366">
      <formula>LEN(TRIM(M81))=0</formula>
    </cfRule>
  </conditionalFormatting>
  <conditionalFormatting sqref="M87:T87">
    <cfRule type="containsBlanks" dxfId="2428" priority="2365">
      <formula>LEN(TRIM(M87))=0</formula>
    </cfRule>
  </conditionalFormatting>
  <conditionalFormatting sqref="O88:S88">
    <cfRule type="containsBlanks" dxfId="2427" priority="2364">
      <formula>LEN(TRIM(O88))=0</formula>
    </cfRule>
  </conditionalFormatting>
  <conditionalFormatting sqref="M88:N88">
    <cfRule type="containsBlanks" dxfId="2426" priority="2363">
      <formula>LEN(TRIM(M88))=0</formula>
    </cfRule>
  </conditionalFormatting>
  <conditionalFormatting sqref="O54:Q54">
    <cfRule type="containsBlanks" dxfId="2425" priority="2362">
      <formula>LEN(TRIM(O54))=0</formula>
    </cfRule>
  </conditionalFormatting>
  <conditionalFormatting sqref="O56:Q56">
    <cfRule type="containsBlanks" dxfId="2424" priority="2361">
      <formula>LEN(TRIM(O56))=0</formula>
    </cfRule>
  </conditionalFormatting>
  <conditionalFormatting sqref="O69:Q69">
    <cfRule type="containsBlanks" dxfId="2423" priority="2360">
      <formula>LEN(TRIM(O69))=0</formula>
    </cfRule>
  </conditionalFormatting>
  <conditionalFormatting sqref="O70:Q70">
    <cfRule type="containsBlanks" dxfId="2422" priority="2359">
      <formula>LEN(TRIM(O70))=0</formula>
    </cfRule>
  </conditionalFormatting>
  <conditionalFormatting sqref="O72:Q72">
    <cfRule type="containsBlanks" dxfId="2421" priority="2358">
      <formula>LEN(TRIM(O72))=0</formula>
    </cfRule>
  </conditionalFormatting>
  <conditionalFormatting sqref="N68:T68">
    <cfRule type="containsBlanks" dxfId="2420" priority="2357">
      <formula>LEN(TRIM(N68))=0</formula>
    </cfRule>
  </conditionalFormatting>
  <conditionalFormatting sqref="M85:S85">
    <cfRule type="containsBlanks" dxfId="2419" priority="2356">
      <formula>LEN(TRIM(M85))=0</formula>
    </cfRule>
  </conditionalFormatting>
  <conditionalFormatting sqref="N88:T88">
    <cfRule type="containsBlanks" dxfId="2418" priority="2355">
      <formula>LEN(TRIM(N88))=0</formula>
    </cfRule>
  </conditionalFormatting>
  <conditionalFormatting sqref="O90:Q90">
    <cfRule type="containsBlanks" dxfId="2417" priority="2354">
      <formula>LEN(TRIM(O90))=0</formula>
    </cfRule>
  </conditionalFormatting>
  <conditionalFormatting sqref="M92:T92">
    <cfRule type="containsBlanks" dxfId="2416" priority="2353">
      <formula>LEN(TRIM(M92))=0</formula>
    </cfRule>
  </conditionalFormatting>
  <conditionalFormatting sqref="M98:T98">
    <cfRule type="containsBlanks" dxfId="2415" priority="2352">
      <formula>LEN(TRIM(M98))=0</formula>
    </cfRule>
  </conditionalFormatting>
  <conditionalFormatting sqref="M62:T62">
    <cfRule type="containsBlanks" dxfId="2414" priority="2349">
      <formula>LEN(TRIM(M62))=0</formula>
    </cfRule>
  </conditionalFormatting>
  <conditionalFormatting sqref="M63:S63">
    <cfRule type="containsBlanks" dxfId="2413" priority="2348">
      <formula>LEN(TRIM(M63))=0</formula>
    </cfRule>
  </conditionalFormatting>
  <conditionalFormatting sqref="O60:Q60">
    <cfRule type="containsBlanks" dxfId="2412" priority="2347">
      <formula>LEN(TRIM(O60))=0</formula>
    </cfRule>
  </conditionalFormatting>
  <conditionalFormatting sqref="O61:Q61">
    <cfRule type="containsBlanks" dxfId="2411" priority="2346">
      <formula>LEN(TRIM(O61))=0</formula>
    </cfRule>
  </conditionalFormatting>
  <conditionalFormatting sqref="O63:Q63">
    <cfRule type="containsBlanks" dxfId="2410" priority="2345">
      <formula>LEN(TRIM(O63))=0</formula>
    </cfRule>
  </conditionalFormatting>
  <conditionalFormatting sqref="N59:T59">
    <cfRule type="containsBlanks" dxfId="2409" priority="2344">
      <formula>LEN(TRIM(N59))=0</formula>
    </cfRule>
  </conditionalFormatting>
  <conditionalFormatting sqref="M76:S76">
    <cfRule type="containsBlanks" dxfId="2408" priority="2343">
      <formula>LEN(TRIM(M76))=0</formula>
    </cfRule>
  </conditionalFormatting>
  <conditionalFormatting sqref="N79:T79">
    <cfRule type="containsBlanks" dxfId="2407" priority="2342">
      <formula>LEN(TRIM(N79))=0</formula>
    </cfRule>
  </conditionalFormatting>
  <conditionalFormatting sqref="O81:Q81">
    <cfRule type="containsBlanks" dxfId="2406" priority="2341">
      <formula>LEN(TRIM(O81))=0</formula>
    </cfRule>
  </conditionalFormatting>
  <conditionalFormatting sqref="M83:T83">
    <cfRule type="containsBlanks" dxfId="2405" priority="2340">
      <formula>LEN(TRIM(M83))=0</formula>
    </cfRule>
  </conditionalFormatting>
  <conditionalFormatting sqref="M89:T89">
    <cfRule type="containsBlanks" dxfId="2404" priority="2339">
      <formula>LEN(TRIM(M89))=0</formula>
    </cfRule>
  </conditionalFormatting>
  <conditionalFormatting sqref="O90:S90">
    <cfRule type="containsBlanks" dxfId="2403" priority="2338">
      <formula>LEN(TRIM(O90))=0</formula>
    </cfRule>
  </conditionalFormatting>
  <conditionalFormatting sqref="M90:N90">
    <cfRule type="containsBlanks" dxfId="2402" priority="2337">
      <formula>LEN(TRIM(M90))=0</formula>
    </cfRule>
  </conditionalFormatting>
  <conditionalFormatting sqref="M54:S54">
    <cfRule type="containsBlanks" dxfId="2401" priority="2336">
      <formula>LEN(TRIM(M54))=0</formula>
    </cfRule>
  </conditionalFormatting>
  <conditionalFormatting sqref="O64:Q64">
    <cfRule type="containsBlanks" dxfId="2400" priority="2335">
      <formula>LEN(TRIM(O64))=0</formula>
    </cfRule>
  </conditionalFormatting>
  <conditionalFormatting sqref="O65:Q65">
    <cfRule type="containsBlanks" dxfId="2399" priority="2334">
      <formula>LEN(TRIM(O65))=0</formula>
    </cfRule>
  </conditionalFormatting>
  <conditionalFormatting sqref="O67:Q67">
    <cfRule type="containsBlanks" dxfId="2398" priority="2333">
      <formula>LEN(TRIM(O67))=0</formula>
    </cfRule>
  </conditionalFormatting>
  <conditionalFormatting sqref="N63:T63">
    <cfRule type="containsBlanks" dxfId="2397" priority="2332">
      <formula>LEN(TRIM(N63))=0</formula>
    </cfRule>
  </conditionalFormatting>
  <conditionalFormatting sqref="M80:S80">
    <cfRule type="containsBlanks" dxfId="2396" priority="2331">
      <formula>LEN(TRIM(M80))=0</formula>
    </cfRule>
  </conditionalFormatting>
  <conditionalFormatting sqref="N83:T83">
    <cfRule type="containsBlanks" dxfId="2395" priority="2330">
      <formula>LEN(TRIM(N83))=0</formula>
    </cfRule>
  </conditionalFormatting>
  <conditionalFormatting sqref="O85:Q85">
    <cfRule type="containsBlanks" dxfId="2394" priority="2329">
      <formula>LEN(TRIM(O85))=0</formula>
    </cfRule>
  </conditionalFormatting>
  <conditionalFormatting sqref="M87:T87">
    <cfRule type="containsBlanks" dxfId="2393" priority="2328">
      <formula>LEN(TRIM(M87))=0</formula>
    </cfRule>
  </conditionalFormatting>
  <conditionalFormatting sqref="M93:T93">
    <cfRule type="containsBlanks" dxfId="2392" priority="2327">
      <formula>LEN(TRIM(M93))=0</formula>
    </cfRule>
  </conditionalFormatting>
  <conditionalFormatting sqref="O94:S94">
    <cfRule type="containsBlanks" dxfId="2391" priority="2326">
      <formula>LEN(TRIM(O94))=0</formula>
    </cfRule>
  </conditionalFormatting>
  <conditionalFormatting sqref="M94:N94">
    <cfRule type="containsBlanks" dxfId="2390" priority="2325">
      <formula>LEN(TRIM(M94))=0</formula>
    </cfRule>
  </conditionalFormatting>
  <conditionalFormatting sqref="M57:T57">
    <cfRule type="containsBlanks" dxfId="2389" priority="2324">
      <formula>LEN(TRIM(M57))=0</formula>
    </cfRule>
  </conditionalFormatting>
  <conditionalFormatting sqref="M58:S58">
    <cfRule type="containsBlanks" dxfId="2388" priority="2323">
      <formula>LEN(TRIM(M58))=0</formula>
    </cfRule>
  </conditionalFormatting>
  <conditionalFormatting sqref="O55:Q55">
    <cfRule type="containsBlanks" dxfId="2387" priority="2322">
      <formula>LEN(TRIM(O55))=0</formula>
    </cfRule>
  </conditionalFormatting>
  <conditionalFormatting sqref="O56:Q56">
    <cfRule type="containsBlanks" dxfId="2386" priority="2321">
      <formula>LEN(TRIM(O56))=0</formula>
    </cfRule>
  </conditionalFormatting>
  <conditionalFormatting sqref="O58:Q58">
    <cfRule type="containsBlanks" dxfId="2385" priority="2320">
      <formula>LEN(TRIM(O58))=0</formula>
    </cfRule>
  </conditionalFormatting>
  <conditionalFormatting sqref="N54:T54">
    <cfRule type="containsBlanks" dxfId="2384" priority="2319">
      <formula>LEN(TRIM(N54))=0</formula>
    </cfRule>
  </conditionalFormatting>
  <conditionalFormatting sqref="M71:S71">
    <cfRule type="containsBlanks" dxfId="2383" priority="2318">
      <formula>LEN(TRIM(M71))=0</formula>
    </cfRule>
  </conditionalFormatting>
  <conditionalFormatting sqref="N74:T74">
    <cfRule type="containsBlanks" dxfId="2382" priority="2317">
      <formula>LEN(TRIM(N74))=0</formula>
    </cfRule>
  </conditionalFormatting>
  <conditionalFormatting sqref="O76:Q76">
    <cfRule type="containsBlanks" dxfId="2381" priority="2316">
      <formula>LEN(TRIM(O76))=0</formula>
    </cfRule>
  </conditionalFormatting>
  <conditionalFormatting sqref="M78:T78">
    <cfRule type="containsBlanks" dxfId="2380" priority="2315">
      <formula>LEN(TRIM(M78))=0</formula>
    </cfRule>
  </conditionalFormatting>
  <conditionalFormatting sqref="M84:T84">
    <cfRule type="containsBlanks" dxfId="2379" priority="2314">
      <formula>LEN(TRIM(M84))=0</formula>
    </cfRule>
  </conditionalFormatting>
  <conditionalFormatting sqref="O85:S85">
    <cfRule type="containsBlanks" dxfId="2378" priority="2313">
      <formula>LEN(TRIM(O85))=0</formula>
    </cfRule>
  </conditionalFormatting>
  <conditionalFormatting sqref="M85:N85">
    <cfRule type="containsBlanks" dxfId="2377" priority="2312">
      <formula>LEN(TRIM(M85))=0</formula>
    </cfRule>
  </conditionalFormatting>
  <conditionalFormatting sqref="O55:Q55">
    <cfRule type="containsBlanks" dxfId="2376" priority="2311">
      <formula>LEN(TRIM(O55))=0</formula>
    </cfRule>
  </conditionalFormatting>
  <conditionalFormatting sqref="O57:Q57">
    <cfRule type="containsBlanks" dxfId="2375" priority="2310">
      <formula>LEN(TRIM(O57))=0</formula>
    </cfRule>
  </conditionalFormatting>
  <conditionalFormatting sqref="O59:Q59">
    <cfRule type="containsBlanks" dxfId="2374" priority="2309">
      <formula>LEN(TRIM(O59))=0</formula>
    </cfRule>
  </conditionalFormatting>
  <conditionalFormatting sqref="O61:Q61">
    <cfRule type="containsBlanks" dxfId="2373" priority="2308">
      <formula>LEN(TRIM(O61))=0</formula>
    </cfRule>
  </conditionalFormatting>
  <conditionalFormatting sqref="O74:Q74">
    <cfRule type="containsBlanks" dxfId="2372" priority="2307">
      <formula>LEN(TRIM(O74))=0</formula>
    </cfRule>
  </conditionalFormatting>
  <conditionalFormatting sqref="O75:Q75">
    <cfRule type="containsBlanks" dxfId="2371" priority="2306">
      <formula>LEN(TRIM(O75))=0</formula>
    </cfRule>
  </conditionalFormatting>
  <conditionalFormatting sqref="O77:Q77">
    <cfRule type="containsBlanks" dxfId="2370" priority="2305">
      <formula>LEN(TRIM(O77))=0</formula>
    </cfRule>
  </conditionalFormatting>
  <conditionalFormatting sqref="N73:T73">
    <cfRule type="containsBlanks" dxfId="2369" priority="2304">
      <formula>LEN(TRIM(N73))=0</formula>
    </cfRule>
  </conditionalFormatting>
  <conditionalFormatting sqref="M90:S90">
    <cfRule type="containsBlanks" dxfId="2368" priority="2303">
      <formula>LEN(TRIM(M90))=0</formula>
    </cfRule>
  </conditionalFormatting>
  <conditionalFormatting sqref="N93:T93">
    <cfRule type="containsBlanks" dxfId="2367" priority="2302">
      <formula>LEN(TRIM(N93))=0</formula>
    </cfRule>
  </conditionalFormatting>
  <conditionalFormatting sqref="O95:Q95">
    <cfRule type="containsBlanks" dxfId="2366" priority="2301">
      <formula>LEN(TRIM(O95))=0</formula>
    </cfRule>
  </conditionalFormatting>
  <conditionalFormatting sqref="M97:T97">
    <cfRule type="containsBlanks" dxfId="2365" priority="2300">
      <formula>LEN(TRIM(M97))=0</formula>
    </cfRule>
  </conditionalFormatting>
  <conditionalFormatting sqref="M103:T103">
    <cfRule type="containsBlanks" dxfId="2364" priority="2299">
      <formula>LEN(TRIM(M103))=0</formula>
    </cfRule>
  </conditionalFormatting>
  <conditionalFormatting sqref="O104:S104">
    <cfRule type="containsBlanks" dxfId="2363" priority="2298">
      <formula>LEN(TRIM(O104))=0</formula>
    </cfRule>
  </conditionalFormatting>
  <conditionalFormatting sqref="M104:N104">
    <cfRule type="containsBlanks" dxfId="2362" priority="2297">
      <formula>LEN(TRIM(M104))=0</formula>
    </cfRule>
  </conditionalFormatting>
  <conditionalFormatting sqref="M67:T67">
    <cfRule type="containsBlanks" dxfId="2361" priority="2296">
      <formula>LEN(TRIM(M67))=0</formula>
    </cfRule>
  </conditionalFormatting>
  <conditionalFormatting sqref="M68:S68">
    <cfRule type="containsBlanks" dxfId="2360" priority="2295">
      <formula>LEN(TRIM(M68))=0</formula>
    </cfRule>
  </conditionalFormatting>
  <conditionalFormatting sqref="O65:Q65">
    <cfRule type="containsBlanks" dxfId="2359" priority="2294">
      <formula>LEN(TRIM(O65))=0</formula>
    </cfRule>
  </conditionalFormatting>
  <conditionalFormatting sqref="O66:Q66">
    <cfRule type="containsBlanks" dxfId="2358" priority="2293">
      <formula>LEN(TRIM(O66))=0</formula>
    </cfRule>
  </conditionalFormatting>
  <conditionalFormatting sqref="O68:Q68">
    <cfRule type="containsBlanks" dxfId="2357" priority="2292">
      <formula>LEN(TRIM(O68))=0</formula>
    </cfRule>
  </conditionalFormatting>
  <conditionalFormatting sqref="N64:T64">
    <cfRule type="containsBlanks" dxfId="2356" priority="2291">
      <formula>LEN(TRIM(N64))=0</formula>
    </cfRule>
  </conditionalFormatting>
  <conditionalFormatting sqref="M81:S81">
    <cfRule type="containsBlanks" dxfId="2355" priority="2290">
      <formula>LEN(TRIM(M81))=0</formula>
    </cfRule>
  </conditionalFormatting>
  <conditionalFormatting sqref="N84:T84">
    <cfRule type="containsBlanks" dxfId="2354" priority="2289">
      <formula>LEN(TRIM(N84))=0</formula>
    </cfRule>
  </conditionalFormatting>
  <conditionalFormatting sqref="O86:Q86">
    <cfRule type="containsBlanks" dxfId="2353" priority="2288">
      <formula>LEN(TRIM(O86))=0</formula>
    </cfRule>
  </conditionalFormatting>
  <conditionalFormatting sqref="M88:T88">
    <cfRule type="containsBlanks" dxfId="2352" priority="2287">
      <formula>LEN(TRIM(M88))=0</formula>
    </cfRule>
  </conditionalFormatting>
  <conditionalFormatting sqref="M94:T94">
    <cfRule type="containsBlanks" dxfId="2351" priority="2286">
      <formula>LEN(TRIM(M94))=0</formula>
    </cfRule>
  </conditionalFormatting>
  <conditionalFormatting sqref="O95:S95">
    <cfRule type="containsBlanks" dxfId="2350" priority="2285">
      <formula>LEN(TRIM(O95))=0</formula>
    </cfRule>
  </conditionalFormatting>
  <conditionalFormatting sqref="M95:N95">
    <cfRule type="containsBlanks" dxfId="2349" priority="2284">
      <formula>LEN(TRIM(M95))=0</formula>
    </cfRule>
  </conditionalFormatting>
  <conditionalFormatting sqref="M58:T58">
    <cfRule type="containsBlanks" dxfId="2348" priority="2283">
      <formula>LEN(TRIM(M58))=0</formula>
    </cfRule>
  </conditionalFormatting>
  <conditionalFormatting sqref="M59:S59">
    <cfRule type="containsBlanks" dxfId="2347" priority="2282">
      <formula>LEN(TRIM(M59))=0</formula>
    </cfRule>
  </conditionalFormatting>
  <conditionalFormatting sqref="O54:Q54">
    <cfRule type="containsBlanks" dxfId="2346" priority="2281">
      <formula>LEN(TRIM(O54))=0</formula>
    </cfRule>
  </conditionalFormatting>
  <conditionalFormatting sqref="O56:Q56">
    <cfRule type="containsBlanks" dxfId="2345" priority="2280">
      <formula>LEN(TRIM(O56))=0</formula>
    </cfRule>
  </conditionalFormatting>
  <conditionalFormatting sqref="O69:Q69">
    <cfRule type="containsBlanks" dxfId="2344" priority="2279">
      <formula>LEN(TRIM(O69))=0</formula>
    </cfRule>
  </conditionalFormatting>
  <conditionalFormatting sqref="O70:Q70">
    <cfRule type="containsBlanks" dxfId="2343" priority="2278">
      <formula>LEN(TRIM(O70))=0</formula>
    </cfRule>
  </conditionalFormatting>
  <conditionalFormatting sqref="O72:Q72">
    <cfRule type="containsBlanks" dxfId="2342" priority="2277">
      <formula>LEN(TRIM(O72))=0</formula>
    </cfRule>
  </conditionalFormatting>
  <conditionalFormatting sqref="N68:T68">
    <cfRule type="containsBlanks" dxfId="2341" priority="2276">
      <formula>LEN(TRIM(N68))=0</formula>
    </cfRule>
  </conditionalFormatting>
  <conditionalFormatting sqref="M85:S85">
    <cfRule type="containsBlanks" dxfId="2340" priority="2275">
      <formula>LEN(TRIM(M85))=0</formula>
    </cfRule>
  </conditionalFormatting>
  <conditionalFormatting sqref="N88:T88">
    <cfRule type="containsBlanks" dxfId="2339" priority="2274">
      <formula>LEN(TRIM(N88))=0</formula>
    </cfRule>
  </conditionalFormatting>
  <conditionalFormatting sqref="O90:Q90">
    <cfRule type="containsBlanks" dxfId="2338" priority="2273">
      <formula>LEN(TRIM(O90))=0</formula>
    </cfRule>
  </conditionalFormatting>
  <conditionalFormatting sqref="M92:T92">
    <cfRule type="containsBlanks" dxfId="2337" priority="2272">
      <formula>LEN(TRIM(M92))=0</formula>
    </cfRule>
  </conditionalFormatting>
  <conditionalFormatting sqref="M98:T98">
    <cfRule type="containsBlanks" dxfId="2336" priority="2271">
      <formula>LEN(TRIM(M98))=0</formula>
    </cfRule>
  </conditionalFormatting>
  <conditionalFormatting sqref="M62:T62">
    <cfRule type="containsBlanks" dxfId="2335" priority="2268">
      <formula>LEN(TRIM(M62))=0</formula>
    </cfRule>
  </conditionalFormatting>
  <conditionalFormatting sqref="M63:S63">
    <cfRule type="containsBlanks" dxfId="2334" priority="2267">
      <formula>LEN(TRIM(M63))=0</formula>
    </cfRule>
  </conditionalFormatting>
  <conditionalFormatting sqref="O60:Q60">
    <cfRule type="containsBlanks" dxfId="2333" priority="2266">
      <formula>LEN(TRIM(O60))=0</formula>
    </cfRule>
  </conditionalFormatting>
  <conditionalFormatting sqref="O61:Q61">
    <cfRule type="containsBlanks" dxfId="2332" priority="2265">
      <formula>LEN(TRIM(O61))=0</formula>
    </cfRule>
  </conditionalFormatting>
  <conditionalFormatting sqref="O63:Q63">
    <cfRule type="containsBlanks" dxfId="2331" priority="2264">
      <formula>LEN(TRIM(O63))=0</formula>
    </cfRule>
  </conditionalFormatting>
  <conditionalFormatting sqref="N59:T59">
    <cfRule type="containsBlanks" dxfId="2330" priority="2263">
      <formula>LEN(TRIM(N59))=0</formula>
    </cfRule>
  </conditionalFormatting>
  <conditionalFormatting sqref="M76:S76">
    <cfRule type="containsBlanks" dxfId="2329" priority="2262">
      <formula>LEN(TRIM(M76))=0</formula>
    </cfRule>
  </conditionalFormatting>
  <conditionalFormatting sqref="N79:T79">
    <cfRule type="containsBlanks" dxfId="2328" priority="2261">
      <formula>LEN(TRIM(N79))=0</formula>
    </cfRule>
  </conditionalFormatting>
  <conditionalFormatting sqref="O81:Q81">
    <cfRule type="containsBlanks" dxfId="2327" priority="2260">
      <formula>LEN(TRIM(O81))=0</formula>
    </cfRule>
  </conditionalFormatting>
  <conditionalFormatting sqref="M83:T83">
    <cfRule type="containsBlanks" dxfId="2326" priority="2259">
      <formula>LEN(TRIM(M83))=0</formula>
    </cfRule>
  </conditionalFormatting>
  <conditionalFormatting sqref="M89:T89">
    <cfRule type="containsBlanks" dxfId="2325" priority="2258">
      <formula>LEN(TRIM(M89))=0</formula>
    </cfRule>
  </conditionalFormatting>
  <conditionalFormatting sqref="O90:S90">
    <cfRule type="containsBlanks" dxfId="2324" priority="2257">
      <formula>LEN(TRIM(O90))=0</formula>
    </cfRule>
  </conditionalFormatting>
  <conditionalFormatting sqref="M90:N90">
    <cfRule type="containsBlanks" dxfId="2323" priority="2256">
      <formula>LEN(TRIM(M90))=0</formula>
    </cfRule>
  </conditionalFormatting>
  <conditionalFormatting sqref="M54:S54">
    <cfRule type="containsBlanks" dxfId="2322" priority="2255">
      <formula>LEN(TRIM(M54))=0</formula>
    </cfRule>
  </conditionalFormatting>
  <conditionalFormatting sqref="O54:Q54">
    <cfRule type="containsBlanks" dxfId="2321" priority="2254">
      <formula>LEN(TRIM(O54))=0</formula>
    </cfRule>
  </conditionalFormatting>
  <conditionalFormatting sqref="O56:Q56">
    <cfRule type="containsBlanks" dxfId="2320" priority="2253">
      <formula>LEN(TRIM(O56))=0</formula>
    </cfRule>
  </conditionalFormatting>
  <conditionalFormatting sqref="O58:Q58">
    <cfRule type="containsBlanks" dxfId="2319" priority="2252">
      <formula>LEN(TRIM(O58))=0</formula>
    </cfRule>
  </conditionalFormatting>
  <conditionalFormatting sqref="O71:Q71">
    <cfRule type="containsBlanks" dxfId="2318" priority="2251">
      <formula>LEN(TRIM(O71))=0</formula>
    </cfRule>
  </conditionalFormatting>
  <conditionalFormatting sqref="O72:Q72">
    <cfRule type="containsBlanks" dxfId="2317" priority="2250">
      <formula>LEN(TRIM(O72))=0</formula>
    </cfRule>
  </conditionalFormatting>
  <conditionalFormatting sqref="O74:Q74">
    <cfRule type="containsBlanks" dxfId="2316" priority="2249">
      <formula>LEN(TRIM(O74))=0</formula>
    </cfRule>
  </conditionalFormatting>
  <conditionalFormatting sqref="N70:T70">
    <cfRule type="containsBlanks" dxfId="2315" priority="2248">
      <formula>LEN(TRIM(N70))=0</formula>
    </cfRule>
  </conditionalFormatting>
  <conditionalFormatting sqref="M87:S87">
    <cfRule type="containsBlanks" dxfId="2314" priority="2247">
      <formula>LEN(TRIM(M87))=0</formula>
    </cfRule>
  </conditionalFormatting>
  <conditionalFormatting sqref="N90:T90">
    <cfRule type="containsBlanks" dxfId="2313" priority="2246">
      <formula>LEN(TRIM(N90))=0</formula>
    </cfRule>
  </conditionalFormatting>
  <conditionalFormatting sqref="O92:Q92">
    <cfRule type="containsBlanks" dxfId="2312" priority="2245">
      <formula>LEN(TRIM(O92))=0</formula>
    </cfRule>
  </conditionalFormatting>
  <conditionalFormatting sqref="M94:T94">
    <cfRule type="containsBlanks" dxfId="2311" priority="2244">
      <formula>LEN(TRIM(M94))=0</formula>
    </cfRule>
  </conditionalFormatting>
  <conditionalFormatting sqref="M100:T100">
    <cfRule type="containsBlanks" dxfId="2310" priority="2243">
      <formula>LEN(TRIM(M100))=0</formula>
    </cfRule>
  </conditionalFormatting>
  <conditionalFormatting sqref="O101:S101">
    <cfRule type="containsBlanks" dxfId="2309" priority="2242">
      <formula>LEN(TRIM(O101))=0</formula>
    </cfRule>
  </conditionalFormatting>
  <conditionalFormatting sqref="M101:N101">
    <cfRule type="containsBlanks" dxfId="2308" priority="2241">
      <formula>LEN(TRIM(M101))=0</formula>
    </cfRule>
  </conditionalFormatting>
  <conditionalFormatting sqref="M64:T64">
    <cfRule type="containsBlanks" dxfId="2307" priority="2240">
      <formula>LEN(TRIM(M64))=0</formula>
    </cfRule>
  </conditionalFormatting>
  <conditionalFormatting sqref="M65:S65">
    <cfRule type="containsBlanks" dxfId="2306" priority="2239">
      <formula>LEN(TRIM(M65))=0</formula>
    </cfRule>
  </conditionalFormatting>
  <conditionalFormatting sqref="O62:Q62">
    <cfRule type="containsBlanks" dxfId="2305" priority="2238">
      <formula>LEN(TRIM(O62))=0</formula>
    </cfRule>
  </conditionalFormatting>
  <conditionalFormatting sqref="O63:Q63">
    <cfRule type="containsBlanks" dxfId="2304" priority="2237">
      <formula>LEN(TRIM(O63))=0</formula>
    </cfRule>
  </conditionalFormatting>
  <conditionalFormatting sqref="O65:Q65">
    <cfRule type="containsBlanks" dxfId="2303" priority="2236">
      <formula>LEN(TRIM(O65))=0</formula>
    </cfRule>
  </conditionalFormatting>
  <conditionalFormatting sqref="N61:T61">
    <cfRule type="containsBlanks" dxfId="2302" priority="2235">
      <formula>LEN(TRIM(N61))=0</formula>
    </cfRule>
  </conditionalFormatting>
  <conditionalFormatting sqref="M78:S78">
    <cfRule type="containsBlanks" dxfId="2301" priority="2234">
      <formula>LEN(TRIM(M78))=0</formula>
    </cfRule>
  </conditionalFormatting>
  <conditionalFormatting sqref="N81:T81">
    <cfRule type="containsBlanks" dxfId="2300" priority="2233">
      <formula>LEN(TRIM(N81))=0</formula>
    </cfRule>
  </conditionalFormatting>
  <conditionalFormatting sqref="O83:Q83">
    <cfRule type="containsBlanks" dxfId="2299" priority="2232">
      <formula>LEN(TRIM(O83))=0</formula>
    </cfRule>
  </conditionalFormatting>
  <conditionalFormatting sqref="M85:T85">
    <cfRule type="containsBlanks" dxfId="2298" priority="2231">
      <formula>LEN(TRIM(M85))=0</formula>
    </cfRule>
  </conditionalFormatting>
  <conditionalFormatting sqref="M91:T91">
    <cfRule type="containsBlanks" dxfId="2297" priority="2230">
      <formula>LEN(TRIM(M91))=0</formula>
    </cfRule>
  </conditionalFormatting>
  <conditionalFormatting sqref="O92:S92">
    <cfRule type="containsBlanks" dxfId="2296" priority="2229">
      <formula>LEN(TRIM(O92))=0</formula>
    </cfRule>
  </conditionalFormatting>
  <conditionalFormatting sqref="M92:N92">
    <cfRule type="containsBlanks" dxfId="2295" priority="2228">
      <formula>LEN(TRIM(M92))=0</formula>
    </cfRule>
  </conditionalFormatting>
  <conditionalFormatting sqref="M55:T55">
    <cfRule type="containsBlanks" dxfId="2294" priority="2227">
      <formula>LEN(TRIM(M55))=0</formula>
    </cfRule>
  </conditionalFormatting>
  <conditionalFormatting sqref="M56:S56">
    <cfRule type="containsBlanks" dxfId="2293" priority="2226">
      <formula>LEN(TRIM(M56))=0</formula>
    </cfRule>
  </conditionalFormatting>
  <conditionalFormatting sqref="O66:Q66">
    <cfRule type="containsBlanks" dxfId="2292" priority="2225">
      <formula>LEN(TRIM(O66))=0</formula>
    </cfRule>
  </conditionalFormatting>
  <conditionalFormatting sqref="O67:Q67">
    <cfRule type="containsBlanks" dxfId="2291" priority="2224">
      <formula>LEN(TRIM(O67))=0</formula>
    </cfRule>
  </conditionalFormatting>
  <conditionalFormatting sqref="O69:Q69">
    <cfRule type="containsBlanks" dxfId="2290" priority="2223">
      <formula>LEN(TRIM(O69))=0</formula>
    </cfRule>
  </conditionalFormatting>
  <conditionalFormatting sqref="N65:T65">
    <cfRule type="containsBlanks" dxfId="2289" priority="2222">
      <formula>LEN(TRIM(N65))=0</formula>
    </cfRule>
  </conditionalFormatting>
  <conditionalFormatting sqref="M82:S82">
    <cfRule type="containsBlanks" dxfId="2288" priority="2221">
      <formula>LEN(TRIM(M82))=0</formula>
    </cfRule>
  </conditionalFormatting>
  <conditionalFormatting sqref="N85:T85">
    <cfRule type="containsBlanks" dxfId="2287" priority="2220">
      <formula>LEN(TRIM(N85))=0</formula>
    </cfRule>
  </conditionalFormatting>
  <conditionalFormatting sqref="O87:Q87">
    <cfRule type="containsBlanks" dxfId="2286" priority="2219">
      <formula>LEN(TRIM(O87))=0</formula>
    </cfRule>
  </conditionalFormatting>
  <conditionalFormatting sqref="M89:T89">
    <cfRule type="containsBlanks" dxfId="2285" priority="2218">
      <formula>LEN(TRIM(M89))=0</formula>
    </cfRule>
  </conditionalFormatting>
  <conditionalFormatting sqref="M95:T95">
    <cfRule type="containsBlanks" dxfId="2284" priority="2217">
      <formula>LEN(TRIM(M95))=0</formula>
    </cfRule>
  </conditionalFormatting>
  <conditionalFormatting sqref="O96:S96">
    <cfRule type="containsBlanks" dxfId="2283" priority="2216">
      <formula>LEN(TRIM(O96))=0</formula>
    </cfRule>
  </conditionalFormatting>
  <conditionalFormatting sqref="M96:N96">
    <cfRule type="containsBlanks" dxfId="2282" priority="2215">
      <formula>LEN(TRIM(M96))=0</formula>
    </cfRule>
  </conditionalFormatting>
  <conditionalFormatting sqref="M59:T59">
    <cfRule type="containsBlanks" dxfId="2281" priority="2214">
      <formula>LEN(TRIM(M59))=0</formula>
    </cfRule>
  </conditionalFormatting>
  <conditionalFormatting sqref="M60:S60">
    <cfRule type="containsBlanks" dxfId="2280" priority="2213">
      <formula>LEN(TRIM(M60))=0</formula>
    </cfRule>
  </conditionalFormatting>
  <conditionalFormatting sqref="O57:Q57">
    <cfRule type="containsBlanks" dxfId="2279" priority="2212">
      <formula>LEN(TRIM(O57))=0</formula>
    </cfRule>
  </conditionalFormatting>
  <conditionalFormatting sqref="O58:Q58">
    <cfRule type="containsBlanks" dxfId="2278" priority="2211">
      <formula>LEN(TRIM(O58))=0</formula>
    </cfRule>
  </conditionalFormatting>
  <conditionalFormatting sqref="O60:Q60">
    <cfRule type="containsBlanks" dxfId="2277" priority="2210">
      <formula>LEN(TRIM(O60))=0</formula>
    </cfRule>
  </conditionalFormatting>
  <conditionalFormatting sqref="N56:T56">
    <cfRule type="containsBlanks" dxfId="2276" priority="2209">
      <formula>LEN(TRIM(N56))=0</formula>
    </cfRule>
  </conditionalFormatting>
  <conditionalFormatting sqref="M73:S73">
    <cfRule type="containsBlanks" dxfId="2275" priority="2208">
      <formula>LEN(TRIM(M73))=0</formula>
    </cfRule>
  </conditionalFormatting>
  <conditionalFormatting sqref="N76:T76">
    <cfRule type="containsBlanks" dxfId="2274" priority="2207">
      <formula>LEN(TRIM(N76))=0</formula>
    </cfRule>
  </conditionalFormatting>
  <conditionalFormatting sqref="O78:Q78">
    <cfRule type="containsBlanks" dxfId="2273" priority="2206">
      <formula>LEN(TRIM(O78))=0</formula>
    </cfRule>
  </conditionalFormatting>
  <conditionalFormatting sqref="M80:T80">
    <cfRule type="containsBlanks" dxfId="2272" priority="2205">
      <formula>LEN(TRIM(M80))=0</formula>
    </cfRule>
  </conditionalFormatting>
  <conditionalFormatting sqref="M86:T86">
    <cfRule type="containsBlanks" dxfId="2271" priority="2204">
      <formula>LEN(TRIM(M86))=0</formula>
    </cfRule>
  </conditionalFormatting>
  <conditionalFormatting sqref="O87:S87">
    <cfRule type="containsBlanks" dxfId="2270" priority="2203">
      <formula>LEN(TRIM(O87))=0</formula>
    </cfRule>
  </conditionalFormatting>
  <conditionalFormatting sqref="M87:N87">
    <cfRule type="containsBlanks" dxfId="2269" priority="2202">
      <formula>LEN(TRIM(M87))=0</formula>
    </cfRule>
  </conditionalFormatting>
  <conditionalFormatting sqref="O54:Q54">
    <cfRule type="containsBlanks" dxfId="2268" priority="2201">
      <formula>LEN(TRIM(O54))=0</formula>
    </cfRule>
  </conditionalFormatting>
  <conditionalFormatting sqref="O56:Q56">
    <cfRule type="containsBlanks" dxfId="2267" priority="2200">
      <formula>LEN(TRIM(O56))=0</formula>
    </cfRule>
  </conditionalFormatting>
  <conditionalFormatting sqref="O58:Q58">
    <cfRule type="containsBlanks" dxfId="2266" priority="2199">
      <formula>LEN(TRIM(O58))=0</formula>
    </cfRule>
  </conditionalFormatting>
  <conditionalFormatting sqref="O71:Q71">
    <cfRule type="containsBlanks" dxfId="2265" priority="2198">
      <formula>LEN(TRIM(O71))=0</formula>
    </cfRule>
  </conditionalFormatting>
  <conditionalFormatting sqref="O72:Q72">
    <cfRule type="containsBlanks" dxfId="2264" priority="2197">
      <formula>LEN(TRIM(O72))=0</formula>
    </cfRule>
  </conditionalFormatting>
  <conditionalFormatting sqref="O74:Q74">
    <cfRule type="containsBlanks" dxfId="2263" priority="2196">
      <formula>LEN(TRIM(O74))=0</formula>
    </cfRule>
  </conditionalFormatting>
  <conditionalFormatting sqref="N70:T70">
    <cfRule type="containsBlanks" dxfId="2262" priority="2195">
      <formula>LEN(TRIM(N70))=0</formula>
    </cfRule>
  </conditionalFormatting>
  <conditionalFormatting sqref="M87:S87">
    <cfRule type="containsBlanks" dxfId="2261" priority="2194">
      <formula>LEN(TRIM(M87))=0</formula>
    </cfRule>
  </conditionalFormatting>
  <conditionalFormatting sqref="N90:T90">
    <cfRule type="containsBlanks" dxfId="2260" priority="2193">
      <formula>LEN(TRIM(N90))=0</formula>
    </cfRule>
  </conditionalFormatting>
  <conditionalFormatting sqref="O92:Q92">
    <cfRule type="containsBlanks" dxfId="2259" priority="2192">
      <formula>LEN(TRIM(O92))=0</formula>
    </cfRule>
  </conditionalFormatting>
  <conditionalFormatting sqref="M94:T94">
    <cfRule type="containsBlanks" dxfId="2258" priority="2191">
      <formula>LEN(TRIM(M94))=0</formula>
    </cfRule>
  </conditionalFormatting>
  <conditionalFormatting sqref="M100:T100">
    <cfRule type="containsBlanks" dxfId="2257" priority="2190">
      <formula>LEN(TRIM(M100))=0</formula>
    </cfRule>
  </conditionalFormatting>
  <conditionalFormatting sqref="O101:S101">
    <cfRule type="containsBlanks" dxfId="2256" priority="2189">
      <formula>LEN(TRIM(O101))=0</formula>
    </cfRule>
  </conditionalFormatting>
  <conditionalFormatting sqref="M101:N101">
    <cfRule type="containsBlanks" dxfId="2255" priority="2188">
      <formula>LEN(TRIM(M101))=0</formula>
    </cfRule>
  </conditionalFormatting>
  <conditionalFormatting sqref="M64:T64">
    <cfRule type="containsBlanks" dxfId="2254" priority="2187">
      <formula>LEN(TRIM(M64))=0</formula>
    </cfRule>
  </conditionalFormatting>
  <conditionalFormatting sqref="M65:S65">
    <cfRule type="containsBlanks" dxfId="2253" priority="2186">
      <formula>LEN(TRIM(M65))=0</formula>
    </cfRule>
  </conditionalFormatting>
  <conditionalFormatting sqref="O62:Q62">
    <cfRule type="containsBlanks" dxfId="2252" priority="2185">
      <formula>LEN(TRIM(O62))=0</formula>
    </cfRule>
  </conditionalFormatting>
  <conditionalFormatting sqref="O63:Q63">
    <cfRule type="containsBlanks" dxfId="2251" priority="2184">
      <formula>LEN(TRIM(O63))=0</formula>
    </cfRule>
  </conditionalFormatting>
  <conditionalFormatting sqref="O65:Q65">
    <cfRule type="containsBlanks" dxfId="2250" priority="2183">
      <formula>LEN(TRIM(O65))=0</formula>
    </cfRule>
  </conditionalFormatting>
  <conditionalFormatting sqref="N61:T61">
    <cfRule type="containsBlanks" dxfId="2249" priority="2182">
      <formula>LEN(TRIM(N61))=0</formula>
    </cfRule>
  </conditionalFormatting>
  <conditionalFormatting sqref="M78:S78">
    <cfRule type="containsBlanks" dxfId="2248" priority="2181">
      <formula>LEN(TRIM(M78))=0</formula>
    </cfRule>
  </conditionalFormatting>
  <conditionalFormatting sqref="N81:T81">
    <cfRule type="containsBlanks" dxfId="2247" priority="2180">
      <formula>LEN(TRIM(N81))=0</formula>
    </cfRule>
  </conditionalFormatting>
  <conditionalFormatting sqref="O83:Q83">
    <cfRule type="containsBlanks" dxfId="2246" priority="2179">
      <formula>LEN(TRIM(O83))=0</formula>
    </cfRule>
  </conditionalFormatting>
  <conditionalFormatting sqref="M85:T85">
    <cfRule type="containsBlanks" dxfId="2245" priority="2178">
      <formula>LEN(TRIM(M85))=0</formula>
    </cfRule>
  </conditionalFormatting>
  <conditionalFormatting sqref="M91:T91">
    <cfRule type="containsBlanks" dxfId="2244" priority="2177">
      <formula>LEN(TRIM(M91))=0</formula>
    </cfRule>
  </conditionalFormatting>
  <conditionalFormatting sqref="O92:S92">
    <cfRule type="containsBlanks" dxfId="2243" priority="2176">
      <formula>LEN(TRIM(O92))=0</formula>
    </cfRule>
  </conditionalFormatting>
  <conditionalFormatting sqref="M92:N92">
    <cfRule type="containsBlanks" dxfId="2242" priority="2175">
      <formula>LEN(TRIM(M92))=0</formula>
    </cfRule>
  </conditionalFormatting>
  <conditionalFormatting sqref="M55:T55">
    <cfRule type="containsBlanks" dxfId="2241" priority="2174">
      <formula>LEN(TRIM(M55))=0</formula>
    </cfRule>
  </conditionalFormatting>
  <conditionalFormatting sqref="M56:S56">
    <cfRule type="containsBlanks" dxfId="2240" priority="2173">
      <formula>LEN(TRIM(M56))=0</formula>
    </cfRule>
  </conditionalFormatting>
  <conditionalFormatting sqref="O66:Q66">
    <cfRule type="containsBlanks" dxfId="2239" priority="2172">
      <formula>LEN(TRIM(O66))=0</formula>
    </cfRule>
  </conditionalFormatting>
  <conditionalFormatting sqref="O67:Q67">
    <cfRule type="containsBlanks" dxfId="2238" priority="2171">
      <formula>LEN(TRIM(O67))=0</formula>
    </cfRule>
  </conditionalFormatting>
  <conditionalFormatting sqref="O69:Q69">
    <cfRule type="containsBlanks" dxfId="2237" priority="2170">
      <formula>LEN(TRIM(O69))=0</formula>
    </cfRule>
  </conditionalFormatting>
  <conditionalFormatting sqref="N65:T65">
    <cfRule type="containsBlanks" dxfId="2236" priority="2169">
      <formula>LEN(TRIM(N65))=0</formula>
    </cfRule>
  </conditionalFormatting>
  <conditionalFormatting sqref="M82:S82">
    <cfRule type="containsBlanks" dxfId="2235" priority="2168">
      <formula>LEN(TRIM(M82))=0</formula>
    </cfRule>
  </conditionalFormatting>
  <conditionalFormatting sqref="N85:T85">
    <cfRule type="containsBlanks" dxfId="2234" priority="2167">
      <formula>LEN(TRIM(N85))=0</formula>
    </cfRule>
  </conditionalFormatting>
  <conditionalFormatting sqref="O87:Q87">
    <cfRule type="containsBlanks" dxfId="2233" priority="2166">
      <formula>LEN(TRIM(O87))=0</formula>
    </cfRule>
  </conditionalFormatting>
  <conditionalFormatting sqref="M89:T89">
    <cfRule type="containsBlanks" dxfId="2232" priority="2165">
      <formula>LEN(TRIM(M89))=0</formula>
    </cfRule>
  </conditionalFormatting>
  <conditionalFormatting sqref="M95:T95">
    <cfRule type="containsBlanks" dxfId="2231" priority="2164">
      <formula>LEN(TRIM(M95))=0</formula>
    </cfRule>
  </conditionalFormatting>
  <conditionalFormatting sqref="O96:S96">
    <cfRule type="containsBlanks" dxfId="2230" priority="2163">
      <formula>LEN(TRIM(O96))=0</formula>
    </cfRule>
  </conditionalFormatting>
  <conditionalFormatting sqref="M96:N96">
    <cfRule type="containsBlanks" dxfId="2229" priority="2162">
      <formula>LEN(TRIM(M96))=0</formula>
    </cfRule>
  </conditionalFormatting>
  <conditionalFormatting sqref="M59:T59">
    <cfRule type="containsBlanks" dxfId="2228" priority="2161">
      <formula>LEN(TRIM(M59))=0</formula>
    </cfRule>
  </conditionalFormatting>
  <conditionalFormatting sqref="M60:S60">
    <cfRule type="containsBlanks" dxfId="2227" priority="2160">
      <formula>LEN(TRIM(M60))=0</formula>
    </cfRule>
  </conditionalFormatting>
  <conditionalFormatting sqref="O57:Q57">
    <cfRule type="containsBlanks" dxfId="2226" priority="2159">
      <formula>LEN(TRIM(O57))=0</formula>
    </cfRule>
  </conditionalFormatting>
  <conditionalFormatting sqref="O58:Q58">
    <cfRule type="containsBlanks" dxfId="2225" priority="2158">
      <formula>LEN(TRIM(O58))=0</formula>
    </cfRule>
  </conditionalFormatting>
  <conditionalFormatting sqref="O60:Q60">
    <cfRule type="containsBlanks" dxfId="2224" priority="2157">
      <formula>LEN(TRIM(O60))=0</formula>
    </cfRule>
  </conditionalFormatting>
  <conditionalFormatting sqref="N56:T56">
    <cfRule type="containsBlanks" dxfId="2223" priority="2156">
      <formula>LEN(TRIM(N56))=0</formula>
    </cfRule>
  </conditionalFormatting>
  <conditionalFormatting sqref="M73:S73">
    <cfRule type="containsBlanks" dxfId="2222" priority="2155">
      <formula>LEN(TRIM(M73))=0</formula>
    </cfRule>
  </conditionalFormatting>
  <conditionalFormatting sqref="N76:T76">
    <cfRule type="containsBlanks" dxfId="2221" priority="2154">
      <formula>LEN(TRIM(N76))=0</formula>
    </cfRule>
  </conditionalFormatting>
  <conditionalFormatting sqref="O78:Q78">
    <cfRule type="containsBlanks" dxfId="2220" priority="2153">
      <formula>LEN(TRIM(O78))=0</formula>
    </cfRule>
  </conditionalFormatting>
  <conditionalFormatting sqref="M80:T80">
    <cfRule type="containsBlanks" dxfId="2219" priority="2152">
      <formula>LEN(TRIM(M80))=0</formula>
    </cfRule>
  </conditionalFormatting>
  <conditionalFormatting sqref="M86:T86">
    <cfRule type="containsBlanks" dxfId="2218" priority="2151">
      <formula>LEN(TRIM(M86))=0</formula>
    </cfRule>
  </conditionalFormatting>
  <conditionalFormatting sqref="O87:S87">
    <cfRule type="containsBlanks" dxfId="2217" priority="2150">
      <formula>LEN(TRIM(O87))=0</formula>
    </cfRule>
  </conditionalFormatting>
  <conditionalFormatting sqref="M87:N87">
    <cfRule type="containsBlanks" dxfId="2216" priority="2149">
      <formula>LEN(TRIM(M87))=0</formula>
    </cfRule>
  </conditionalFormatting>
  <conditionalFormatting sqref="O55:Q55">
    <cfRule type="containsBlanks" dxfId="2215" priority="2148">
      <formula>LEN(TRIM(O55))=0</formula>
    </cfRule>
  </conditionalFormatting>
  <conditionalFormatting sqref="O68:Q68">
    <cfRule type="containsBlanks" dxfId="2214" priority="2147">
      <formula>LEN(TRIM(O68))=0</formula>
    </cfRule>
  </conditionalFormatting>
  <conditionalFormatting sqref="O69:Q69">
    <cfRule type="containsBlanks" dxfId="2213" priority="2146">
      <formula>LEN(TRIM(O69))=0</formula>
    </cfRule>
  </conditionalFormatting>
  <conditionalFormatting sqref="O71:Q71">
    <cfRule type="containsBlanks" dxfId="2212" priority="2145">
      <formula>LEN(TRIM(O71))=0</formula>
    </cfRule>
  </conditionalFormatting>
  <conditionalFormatting sqref="N67:T67">
    <cfRule type="containsBlanks" dxfId="2211" priority="2144">
      <formula>LEN(TRIM(N67))=0</formula>
    </cfRule>
  </conditionalFormatting>
  <conditionalFormatting sqref="M84:S84">
    <cfRule type="containsBlanks" dxfId="2210" priority="2143">
      <formula>LEN(TRIM(M84))=0</formula>
    </cfRule>
  </conditionalFormatting>
  <conditionalFormatting sqref="N87:T87">
    <cfRule type="containsBlanks" dxfId="2209" priority="2142">
      <formula>LEN(TRIM(N87))=0</formula>
    </cfRule>
  </conditionalFormatting>
  <conditionalFormatting sqref="O89:Q89">
    <cfRule type="containsBlanks" dxfId="2208" priority="2141">
      <formula>LEN(TRIM(O89))=0</formula>
    </cfRule>
  </conditionalFormatting>
  <conditionalFormatting sqref="M91:T91">
    <cfRule type="containsBlanks" dxfId="2207" priority="2140">
      <formula>LEN(TRIM(M91))=0</formula>
    </cfRule>
  </conditionalFormatting>
  <conditionalFormatting sqref="M97:T97">
    <cfRule type="containsBlanks" dxfId="2206" priority="2139">
      <formula>LEN(TRIM(M97))=0</formula>
    </cfRule>
  </conditionalFormatting>
  <conditionalFormatting sqref="O98:S98">
    <cfRule type="containsBlanks" dxfId="2205" priority="2138">
      <formula>LEN(TRIM(O98))=0</formula>
    </cfRule>
  </conditionalFormatting>
  <conditionalFormatting sqref="M98:N98">
    <cfRule type="containsBlanks" dxfId="2204" priority="2137">
      <formula>LEN(TRIM(M98))=0</formula>
    </cfRule>
  </conditionalFormatting>
  <conditionalFormatting sqref="M61:T61">
    <cfRule type="containsBlanks" dxfId="2203" priority="2136">
      <formula>LEN(TRIM(M61))=0</formula>
    </cfRule>
  </conditionalFormatting>
  <conditionalFormatting sqref="M62:S62">
    <cfRule type="containsBlanks" dxfId="2202" priority="2135">
      <formula>LEN(TRIM(M62))=0</formula>
    </cfRule>
  </conditionalFormatting>
  <conditionalFormatting sqref="O59:Q59">
    <cfRule type="containsBlanks" dxfId="2201" priority="2134">
      <formula>LEN(TRIM(O59))=0</formula>
    </cfRule>
  </conditionalFormatting>
  <conditionalFormatting sqref="O60:Q60">
    <cfRule type="containsBlanks" dxfId="2200" priority="2133">
      <formula>LEN(TRIM(O60))=0</formula>
    </cfRule>
  </conditionalFormatting>
  <conditionalFormatting sqref="O62:Q62">
    <cfRule type="containsBlanks" dxfId="2199" priority="2132">
      <formula>LEN(TRIM(O62))=0</formula>
    </cfRule>
  </conditionalFormatting>
  <conditionalFormatting sqref="N58:T58">
    <cfRule type="containsBlanks" dxfId="2198" priority="2131">
      <formula>LEN(TRIM(N58))=0</formula>
    </cfRule>
  </conditionalFormatting>
  <conditionalFormatting sqref="M75:S75">
    <cfRule type="containsBlanks" dxfId="2197" priority="2130">
      <formula>LEN(TRIM(M75))=0</formula>
    </cfRule>
  </conditionalFormatting>
  <conditionalFormatting sqref="N78:T78">
    <cfRule type="containsBlanks" dxfId="2196" priority="2129">
      <formula>LEN(TRIM(N78))=0</formula>
    </cfRule>
  </conditionalFormatting>
  <conditionalFormatting sqref="O80:Q80">
    <cfRule type="containsBlanks" dxfId="2195" priority="2128">
      <formula>LEN(TRIM(O80))=0</formula>
    </cfRule>
  </conditionalFormatting>
  <conditionalFormatting sqref="M82:T82">
    <cfRule type="containsBlanks" dxfId="2194" priority="2127">
      <formula>LEN(TRIM(M82))=0</formula>
    </cfRule>
  </conditionalFormatting>
  <conditionalFormatting sqref="M88:T88">
    <cfRule type="containsBlanks" dxfId="2193" priority="2126">
      <formula>LEN(TRIM(M88))=0</formula>
    </cfRule>
  </conditionalFormatting>
  <conditionalFormatting sqref="O89:S89">
    <cfRule type="containsBlanks" dxfId="2192" priority="2125">
      <formula>LEN(TRIM(O89))=0</formula>
    </cfRule>
  </conditionalFormatting>
  <conditionalFormatting sqref="M89:N89">
    <cfRule type="containsBlanks" dxfId="2191" priority="2124">
      <formula>LEN(TRIM(M89))=0</formula>
    </cfRule>
  </conditionalFormatting>
  <conditionalFormatting sqref="O63:Q63">
    <cfRule type="containsBlanks" dxfId="2190" priority="2123">
      <formula>LEN(TRIM(O63))=0</formula>
    </cfRule>
  </conditionalFormatting>
  <conditionalFormatting sqref="O64:Q64">
    <cfRule type="containsBlanks" dxfId="2189" priority="2122">
      <formula>LEN(TRIM(O64))=0</formula>
    </cfRule>
  </conditionalFormatting>
  <conditionalFormatting sqref="O66:Q66">
    <cfRule type="containsBlanks" dxfId="2188" priority="2121">
      <formula>LEN(TRIM(O66))=0</formula>
    </cfRule>
  </conditionalFormatting>
  <conditionalFormatting sqref="N62:T62">
    <cfRule type="containsBlanks" dxfId="2187" priority="2120">
      <formula>LEN(TRIM(N62))=0</formula>
    </cfRule>
  </conditionalFormatting>
  <conditionalFormatting sqref="M79:S79">
    <cfRule type="containsBlanks" dxfId="2186" priority="2119">
      <formula>LEN(TRIM(M79))=0</formula>
    </cfRule>
  </conditionalFormatting>
  <conditionalFormatting sqref="N82:T82">
    <cfRule type="containsBlanks" dxfId="2185" priority="2118">
      <formula>LEN(TRIM(N82))=0</formula>
    </cfRule>
  </conditionalFormatting>
  <conditionalFormatting sqref="O84:Q84">
    <cfRule type="containsBlanks" dxfId="2184" priority="2117">
      <formula>LEN(TRIM(O84))=0</formula>
    </cfRule>
  </conditionalFormatting>
  <conditionalFormatting sqref="M86:T86">
    <cfRule type="containsBlanks" dxfId="2183" priority="2116">
      <formula>LEN(TRIM(M86))=0</formula>
    </cfRule>
  </conditionalFormatting>
  <conditionalFormatting sqref="M92:T92">
    <cfRule type="containsBlanks" dxfId="2182" priority="2115">
      <formula>LEN(TRIM(M92))=0</formula>
    </cfRule>
  </conditionalFormatting>
  <conditionalFormatting sqref="O93:S93">
    <cfRule type="containsBlanks" dxfId="2181" priority="2114">
      <formula>LEN(TRIM(O93))=0</formula>
    </cfRule>
  </conditionalFormatting>
  <conditionalFormatting sqref="M93:N93">
    <cfRule type="containsBlanks" dxfId="2180" priority="2113">
      <formula>LEN(TRIM(M93))=0</formula>
    </cfRule>
  </conditionalFormatting>
  <conditionalFormatting sqref="M56:T56">
    <cfRule type="containsBlanks" dxfId="2179" priority="2112">
      <formula>LEN(TRIM(M56))=0</formula>
    </cfRule>
  </conditionalFormatting>
  <conditionalFormatting sqref="M57:S57">
    <cfRule type="containsBlanks" dxfId="2178" priority="2111">
      <formula>LEN(TRIM(M57))=0</formula>
    </cfRule>
  </conditionalFormatting>
  <conditionalFormatting sqref="O54:Q54">
    <cfRule type="containsBlanks" dxfId="2177" priority="2110">
      <formula>LEN(TRIM(O54))=0</formula>
    </cfRule>
  </conditionalFormatting>
  <conditionalFormatting sqref="O55:Q55">
    <cfRule type="containsBlanks" dxfId="2176" priority="2109">
      <formula>LEN(TRIM(O55))=0</formula>
    </cfRule>
  </conditionalFormatting>
  <conditionalFormatting sqref="O57:Q57">
    <cfRule type="containsBlanks" dxfId="2175" priority="2108">
      <formula>LEN(TRIM(O57))=0</formula>
    </cfRule>
  </conditionalFormatting>
  <conditionalFormatting sqref="M70:S70">
    <cfRule type="containsBlanks" dxfId="2174" priority="2107">
      <formula>LEN(TRIM(M70))=0</formula>
    </cfRule>
  </conditionalFormatting>
  <conditionalFormatting sqref="N73:T73">
    <cfRule type="containsBlanks" dxfId="2173" priority="2106">
      <formula>LEN(TRIM(N73))=0</formula>
    </cfRule>
  </conditionalFormatting>
  <conditionalFormatting sqref="O75:Q75">
    <cfRule type="containsBlanks" dxfId="2172" priority="2105">
      <formula>LEN(TRIM(O75))=0</formula>
    </cfRule>
  </conditionalFormatting>
  <conditionalFormatting sqref="M77:T77">
    <cfRule type="containsBlanks" dxfId="2171" priority="2104">
      <formula>LEN(TRIM(M77))=0</formula>
    </cfRule>
  </conditionalFormatting>
  <conditionalFormatting sqref="M83:T83">
    <cfRule type="containsBlanks" dxfId="2170" priority="2103">
      <formula>LEN(TRIM(M83))=0</formula>
    </cfRule>
  </conditionalFormatting>
  <conditionalFormatting sqref="O84:S84">
    <cfRule type="containsBlanks" dxfId="2169" priority="2102">
      <formula>LEN(TRIM(O84))=0</formula>
    </cfRule>
  </conditionalFormatting>
  <conditionalFormatting sqref="M84:N84">
    <cfRule type="containsBlanks" dxfId="2168" priority="2101">
      <formula>LEN(TRIM(M84))=0</formula>
    </cfRule>
  </conditionalFormatting>
  <conditionalFormatting sqref="O55:Q55">
    <cfRule type="containsBlanks" dxfId="2167" priority="2100">
      <formula>LEN(TRIM(O55))=0</formula>
    </cfRule>
  </conditionalFormatting>
  <conditionalFormatting sqref="O57:Q57">
    <cfRule type="containsBlanks" dxfId="2166" priority="2099">
      <formula>LEN(TRIM(O57))=0</formula>
    </cfRule>
  </conditionalFormatting>
  <conditionalFormatting sqref="O59:Q59">
    <cfRule type="containsBlanks" dxfId="2165" priority="2098">
      <formula>LEN(TRIM(O59))=0</formula>
    </cfRule>
  </conditionalFormatting>
  <conditionalFormatting sqref="O61:Q61">
    <cfRule type="containsBlanks" dxfId="2164" priority="2097">
      <formula>LEN(TRIM(O61))=0</formula>
    </cfRule>
  </conditionalFormatting>
  <conditionalFormatting sqref="O74:Q74">
    <cfRule type="containsBlanks" dxfId="2163" priority="2096">
      <formula>LEN(TRIM(O74))=0</formula>
    </cfRule>
  </conditionalFormatting>
  <conditionalFormatting sqref="O75:Q75">
    <cfRule type="containsBlanks" dxfId="2162" priority="2095">
      <formula>LEN(TRIM(O75))=0</formula>
    </cfRule>
  </conditionalFormatting>
  <conditionalFormatting sqref="O77:Q77">
    <cfRule type="containsBlanks" dxfId="2161" priority="2094">
      <formula>LEN(TRIM(O77))=0</formula>
    </cfRule>
  </conditionalFormatting>
  <conditionalFormatting sqref="N73:T73">
    <cfRule type="containsBlanks" dxfId="2160" priority="2093">
      <formula>LEN(TRIM(N73))=0</formula>
    </cfRule>
  </conditionalFormatting>
  <conditionalFormatting sqref="M90:S90">
    <cfRule type="containsBlanks" dxfId="2159" priority="2092">
      <formula>LEN(TRIM(M90))=0</formula>
    </cfRule>
  </conditionalFormatting>
  <conditionalFormatting sqref="N93:T93">
    <cfRule type="containsBlanks" dxfId="2158" priority="2091">
      <formula>LEN(TRIM(N93))=0</formula>
    </cfRule>
  </conditionalFormatting>
  <conditionalFormatting sqref="O95:Q95">
    <cfRule type="containsBlanks" dxfId="2157" priority="2090">
      <formula>LEN(TRIM(O95))=0</formula>
    </cfRule>
  </conditionalFormatting>
  <conditionalFormatting sqref="M97:T97">
    <cfRule type="containsBlanks" dxfId="2156" priority="2089">
      <formula>LEN(TRIM(M97))=0</formula>
    </cfRule>
  </conditionalFormatting>
  <conditionalFormatting sqref="M103:T103">
    <cfRule type="containsBlanks" dxfId="2155" priority="2088">
      <formula>LEN(TRIM(M103))=0</formula>
    </cfRule>
  </conditionalFormatting>
  <conditionalFormatting sqref="O104:S104">
    <cfRule type="containsBlanks" dxfId="2154" priority="2087">
      <formula>LEN(TRIM(O104))=0</formula>
    </cfRule>
  </conditionalFormatting>
  <conditionalFormatting sqref="M104:N104">
    <cfRule type="containsBlanks" dxfId="2153" priority="2086">
      <formula>LEN(TRIM(M104))=0</formula>
    </cfRule>
  </conditionalFormatting>
  <conditionalFormatting sqref="M67:T67">
    <cfRule type="containsBlanks" dxfId="2152" priority="2085">
      <formula>LEN(TRIM(M67))=0</formula>
    </cfRule>
  </conditionalFormatting>
  <conditionalFormatting sqref="M68:S68">
    <cfRule type="containsBlanks" dxfId="2151" priority="2084">
      <formula>LEN(TRIM(M68))=0</formula>
    </cfRule>
  </conditionalFormatting>
  <conditionalFormatting sqref="O65:Q65">
    <cfRule type="containsBlanks" dxfId="2150" priority="2083">
      <formula>LEN(TRIM(O65))=0</formula>
    </cfRule>
  </conditionalFormatting>
  <conditionalFormatting sqref="O66:Q66">
    <cfRule type="containsBlanks" dxfId="2149" priority="2082">
      <formula>LEN(TRIM(O66))=0</formula>
    </cfRule>
  </conditionalFormatting>
  <conditionalFormatting sqref="O68:Q68">
    <cfRule type="containsBlanks" dxfId="2148" priority="2081">
      <formula>LEN(TRIM(O68))=0</formula>
    </cfRule>
  </conditionalFormatting>
  <conditionalFormatting sqref="N64:T64">
    <cfRule type="containsBlanks" dxfId="2147" priority="2080">
      <formula>LEN(TRIM(N64))=0</formula>
    </cfRule>
  </conditionalFormatting>
  <conditionalFormatting sqref="M81:S81">
    <cfRule type="containsBlanks" dxfId="2146" priority="2079">
      <formula>LEN(TRIM(M81))=0</formula>
    </cfRule>
  </conditionalFormatting>
  <conditionalFormatting sqref="N84:T84">
    <cfRule type="containsBlanks" dxfId="2145" priority="2078">
      <formula>LEN(TRIM(N84))=0</formula>
    </cfRule>
  </conditionalFormatting>
  <conditionalFormatting sqref="O86:Q86">
    <cfRule type="containsBlanks" dxfId="2144" priority="2077">
      <formula>LEN(TRIM(O86))=0</formula>
    </cfRule>
  </conditionalFormatting>
  <conditionalFormatting sqref="M88:T88">
    <cfRule type="containsBlanks" dxfId="2143" priority="2076">
      <formula>LEN(TRIM(M88))=0</formula>
    </cfRule>
  </conditionalFormatting>
  <conditionalFormatting sqref="M94:T94">
    <cfRule type="containsBlanks" dxfId="2142" priority="2075">
      <formula>LEN(TRIM(M94))=0</formula>
    </cfRule>
  </conditionalFormatting>
  <conditionalFormatting sqref="O95:S95">
    <cfRule type="containsBlanks" dxfId="2141" priority="2074">
      <formula>LEN(TRIM(O95))=0</formula>
    </cfRule>
  </conditionalFormatting>
  <conditionalFormatting sqref="M95:N95">
    <cfRule type="containsBlanks" dxfId="2140" priority="2073">
      <formula>LEN(TRIM(M95))=0</formula>
    </cfRule>
  </conditionalFormatting>
  <conditionalFormatting sqref="M58:T58">
    <cfRule type="containsBlanks" dxfId="2139" priority="2072">
      <formula>LEN(TRIM(M58))=0</formula>
    </cfRule>
  </conditionalFormatting>
  <conditionalFormatting sqref="M59:S59">
    <cfRule type="containsBlanks" dxfId="2138" priority="2071">
      <formula>LEN(TRIM(M59))=0</formula>
    </cfRule>
  </conditionalFormatting>
  <conditionalFormatting sqref="O54:Q54">
    <cfRule type="containsBlanks" dxfId="2137" priority="2070">
      <formula>LEN(TRIM(O54))=0</formula>
    </cfRule>
  </conditionalFormatting>
  <conditionalFormatting sqref="O56:Q56">
    <cfRule type="containsBlanks" dxfId="2136" priority="2069">
      <formula>LEN(TRIM(O56))=0</formula>
    </cfRule>
  </conditionalFormatting>
  <conditionalFormatting sqref="O69:Q69">
    <cfRule type="containsBlanks" dxfId="2135" priority="2068">
      <formula>LEN(TRIM(O69))=0</formula>
    </cfRule>
  </conditionalFormatting>
  <conditionalFormatting sqref="O70:Q70">
    <cfRule type="containsBlanks" dxfId="2134" priority="2067">
      <formula>LEN(TRIM(O70))=0</formula>
    </cfRule>
  </conditionalFormatting>
  <conditionalFormatting sqref="O72:Q72">
    <cfRule type="containsBlanks" dxfId="2133" priority="2066">
      <formula>LEN(TRIM(O72))=0</formula>
    </cfRule>
  </conditionalFormatting>
  <conditionalFormatting sqref="N68:T68">
    <cfRule type="containsBlanks" dxfId="2132" priority="2065">
      <formula>LEN(TRIM(N68))=0</formula>
    </cfRule>
  </conditionalFormatting>
  <conditionalFormatting sqref="M85:S85">
    <cfRule type="containsBlanks" dxfId="2131" priority="2064">
      <formula>LEN(TRIM(M85))=0</formula>
    </cfRule>
  </conditionalFormatting>
  <conditionalFormatting sqref="N88:T88">
    <cfRule type="containsBlanks" dxfId="2130" priority="2063">
      <formula>LEN(TRIM(N88))=0</formula>
    </cfRule>
  </conditionalFormatting>
  <conditionalFormatting sqref="O90:Q90">
    <cfRule type="containsBlanks" dxfId="2129" priority="2062">
      <formula>LEN(TRIM(O90))=0</formula>
    </cfRule>
  </conditionalFormatting>
  <conditionalFormatting sqref="M92:T92">
    <cfRule type="containsBlanks" dxfId="2128" priority="2061">
      <formula>LEN(TRIM(M92))=0</formula>
    </cfRule>
  </conditionalFormatting>
  <conditionalFormatting sqref="M98:T98">
    <cfRule type="containsBlanks" dxfId="2127" priority="2060">
      <formula>LEN(TRIM(M98))=0</formula>
    </cfRule>
  </conditionalFormatting>
  <conditionalFormatting sqref="M62:T62">
    <cfRule type="containsBlanks" dxfId="2126" priority="2057">
      <formula>LEN(TRIM(M62))=0</formula>
    </cfRule>
  </conditionalFormatting>
  <conditionalFormatting sqref="M63:S63">
    <cfRule type="containsBlanks" dxfId="2125" priority="2056">
      <formula>LEN(TRIM(M63))=0</formula>
    </cfRule>
  </conditionalFormatting>
  <conditionalFormatting sqref="O60:Q60">
    <cfRule type="containsBlanks" dxfId="2124" priority="2055">
      <formula>LEN(TRIM(O60))=0</formula>
    </cfRule>
  </conditionalFormatting>
  <conditionalFormatting sqref="O61:Q61">
    <cfRule type="containsBlanks" dxfId="2123" priority="2054">
      <formula>LEN(TRIM(O61))=0</formula>
    </cfRule>
  </conditionalFormatting>
  <conditionalFormatting sqref="O63:Q63">
    <cfRule type="containsBlanks" dxfId="2122" priority="2053">
      <formula>LEN(TRIM(O63))=0</formula>
    </cfRule>
  </conditionalFormatting>
  <conditionalFormatting sqref="N59:T59">
    <cfRule type="containsBlanks" dxfId="2121" priority="2052">
      <formula>LEN(TRIM(N59))=0</formula>
    </cfRule>
  </conditionalFormatting>
  <conditionalFormatting sqref="M76:S76">
    <cfRule type="containsBlanks" dxfId="2120" priority="2051">
      <formula>LEN(TRIM(M76))=0</formula>
    </cfRule>
  </conditionalFormatting>
  <conditionalFormatting sqref="N79:T79">
    <cfRule type="containsBlanks" dxfId="2119" priority="2050">
      <formula>LEN(TRIM(N79))=0</formula>
    </cfRule>
  </conditionalFormatting>
  <conditionalFormatting sqref="O81:Q81">
    <cfRule type="containsBlanks" dxfId="2118" priority="2049">
      <formula>LEN(TRIM(O81))=0</formula>
    </cfRule>
  </conditionalFormatting>
  <conditionalFormatting sqref="M83:T83">
    <cfRule type="containsBlanks" dxfId="2117" priority="2048">
      <formula>LEN(TRIM(M83))=0</formula>
    </cfRule>
  </conditionalFormatting>
  <conditionalFormatting sqref="M89:T89">
    <cfRule type="containsBlanks" dxfId="2116" priority="2047">
      <formula>LEN(TRIM(M89))=0</formula>
    </cfRule>
  </conditionalFormatting>
  <conditionalFormatting sqref="O90:S90">
    <cfRule type="containsBlanks" dxfId="2115" priority="2046">
      <formula>LEN(TRIM(O90))=0</formula>
    </cfRule>
  </conditionalFormatting>
  <conditionalFormatting sqref="M90:N90">
    <cfRule type="containsBlanks" dxfId="2114" priority="2045">
      <formula>LEN(TRIM(M90))=0</formula>
    </cfRule>
  </conditionalFormatting>
  <conditionalFormatting sqref="M54:S54">
    <cfRule type="containsBlanks" dxfId="2113" priority="2044">
      <formula>LEN(TRIM(M54))=0</formula>
    </cfRule>
  </conditionalFormatting>
  <conditionalFormatting sqref="O54:Q54">
    <cfRule type="containsBlanks" dxfId="2112" priority="2043">
      <formula>LEN(TRIM(O54))=0</formula>
    </cfRule>
  </conditionalFormatting>
  <conditionalFormatting sqref="O56:Q56">
    <cfRule type="containsBlanks" dxfId="2111" priority="2042">
      <formula>LEN(TRIM(O56))=0</formula>
    </cfRule>
  </conditionalFormatting>
  <conditionalFormatting sqref="O58:Q58">
    <cfRule type="containsBlanks" dxfId="2110" priority="2041">
      <formula>LEN(TRIM(O58))=0</formula>
    </cfRule>
  </conditionalFormatting>
  <conditionalFormatting sqref="O71:Q71">
    <cfRule type="containsBlanks" dxfId="2109" priority="2040">
      <formula>LEN(TRIM(O71))=0</formula>
    </cfRule>
  </conditionalFormatting>
  <conditionalFormatting sqref="O72:Q72">
    <cfRule type="containsBlanks" dxfId="2108" priority="2039">
      <formula>LEN(TRIM(O72))=0</formula>
    </cfRule>
  </conditionalFormatting>
  <conditionalFormatting sqref="O74:Q74">
    <cfRule type="containsBlanks" dxfId="2107" priority="2038">
      <formula>LEN(TRIM(O74))=0</formula>
    </cfRule>
  </conditionalFormatting>
  <conditionalFormatting sqref="N70:T70">
    <cfRule type="containsBlanks" dxfId="2106" priority="2037">
      <formula>LEN(TRIM(N70))=0</formula>
    </cfRule>
  </conditionalFormatting>
  <conditionalFormatting sqref="M87:S87">
    <cfRule type="containsBlanks" dxfId="2105" priority="2036">
      <formula>LEN(TRIM(M87))=0</formula>
    </cfRule>
  </conditionalFormatting>
  <conditionalFormatting sqref="N90:T90">
    <cfRule type="containsBlanks" dxfId="2104" priority="2035">
      <formula>LEN(TRIM(N90))=0</formula>
    </cfRule>
  </conditionalFormatting>
  <conditionalFormatting sqref="O92:Q92">
    <cfRule type="containsBlanks" dxfId="2103" priority="2034">
      <formula>LEN(TRIM(O92))=0</formula>
    </cfRule>
  </conditionalFormatting>
  <conditionalFormatting sqref="M94:T94">
    <cfRule type="containsBlanks" dxfId="2102" priority="2033">
      <formula>LEN(TRIM(M94))=0</formula>
    </cfRule>
  </conditionalFormatting>
  <conditionalFormatting sqref="M100:T100">
    <cfRule type="containsBlanks" dxfId="2101" priority="2032">
      <formula>LEN(TRIM(M100))=0</formula>
    </cfRule>
  </conditionalFormatting>
  <conditionalFormatting sqref="O101:S101">
    <cfRule type="containsBlanks" dxfId="2100" priority="2031">
      <formula>LEN(TRIM(O101))=0</formula>
    </cfRule>
  </conditionalFormatting>
  <conditionalFormatting sqref="M101:N101">
    <cfRule type="containsBlanks" dxfId="2099" priority="2030">
      <formula>LEN(TRIM(M101))=0</formula>
    </cfRule>
  </conditionalFormatting>
  <conditionalFormatting sqref="M64:T64">
    <cfRule type="containsBlanks" dxfId="2098" priority="2029">
      <formula>LEN(TRIM(M64))=0</formula>
    </cfRule>
  </conditionalFormatting>
  <conditionalFormatting sqref="M65:S65">
    <cfRule type="containsBlanks" dxfId="2097" priority="2028">
      <formula>LEN(TRIM(M65))=0</formula>
    </cfRule>
  </conditionalFormatting>
  <conditionalFormatting sqref="O62:Q62">
    <cfRule type="containsBlanks" dxfId="2096" priority="2027">
      <formula>LEN(TRIM(O62))=0</formula>
    </cfRule>
  </conditionalFormatting>
  <conditionalFormatting sqref="O63:Q63">
    <cfRule type="containsBlanks" dxfId="2095" priority="2026">
      <formula>LEN(TRIM(O63))=0</formula>
    </cfRule>
  </conditionalFormatting>
  <conditionalFormatting sqref="O65:Q65">
    <cfRule type="containsBlanks" dxfId="2094" priority="2025">
      <formula>LEN(TRIM(O65))=0</formula>
    </cfRule>
  </conditionalFormatting>
  <conditionalFormatting sqref="N61:T61">
    <cfRule type="containsBlanks" dxfId="2093" priority="2024">
      <formula>LEN(TRIM(N61))=0</formula>
    </cfRule>
  </conditionalFormatting>
  <conditionalFormatting sqref="M78:S78">
    <cfRule type="containsBlanks" dxfId="2092" priority="2023">
      <formula>LEN(TRIM(M78))=0</formula>
    </cfRule>
  </conditionalFormatting>
  <conditionalFormatting sqref="N81:T81">
    <cfRule type="containsBlanks" dxfId="2091" priority="2022">
      <formula>LEN(TRIM(N81))=0</formula>
    </cfRule>
  </conditionalFormatting>
  <conditionalFormatting sqref="O83:Q83">
    <cfRule type="containsBlanks" dxfId="2090" priority="2021">
      <formula>LEN(TRIM(O83))=0</formula>
    </cfRule>
  </conditionalFormatting>
  <conditionalFormatting sqref="M85:T85">
    <cfRule type="containsBlanks" dxfId="2089" priority="2020">
      <formula>LEN(TRIM(M85))=0</formula>
    </cfRule>
  </conditionalFormatting>
  <conditionalFormatting sqref="M91:T91">
    <cfRule type="containsBlanks" dxfId="2088" priority="2019">
      <formula>LEN(TRIM(M91))=0</formula>
    </cfRule>
  </conditionalFormatting>
  <conditionalFormatting sqref="O92:S92">
    <cfRule type="containsBlanks" dxfId="2087" priority="2018">
      <formula>LEN(TRIM(O92))=0</formula>
    </cfRule>
  </conditionalFormatting>
  <conditionalFormatting sqref="M92:N92">
    <cfRule type="containsBlanks" dxfId="2086" priority="2017">
      <formula>LEN(TRIM(M92))=0</formula>
    </cfRule>
  </conditionalFormatting>
  <conditionalFormatting sqref="M55:T55">
    <cfRule type="containsBlanks" dxfId="2085" priority="2016">
      <formula>LEN(TRIM(M55))=0</formula>
    </cfRule>
  </conditionalFormatting>
  <conditionalFormatting sqref="M56:S56">
    <cfRule type="containsBlanks" dxfId="2084" priority="2015">
      <formula>LEN(TRIM(M56))=0</formula>
    </cfRule>
  </conditionalFormatting>
  <conditionalFormatting sqref="O66:Q66">
    <cfRule type="containsBlanks" dxfId="2083" priority="2014">
      <formula>LEN(TRIM(O66))=0</formula>
    </cfRule>
  </conditionalFormatting>
  <conditionalFormatting sqref="O67:Q67">
    <cfRule type="containsBlanks" dxfId="2082" priority="2013">
      <formula>LEN(TRIM(O67))=0</formula>
    </cfRule>
  </conditionalFormatting>
  <conditionalFormatting sqref="O69:Q69">
    <cfRule type="containsBlanks" dxfId="2081" priority="2012">
      <formula>LEN(TRIM(O69))=0</formula>
    </cfRule>
  </conditionalFormatting>
  <conditionalFormatting sqref="N65:T65">
    <cfRule type="containsBlanks" dxfId="2080" priority="2011">
      <formula>LEN(TRIM(N65))=0</formula>
    </cfRule>
  </conditionalFormatting>
  <conditionalFormatting sqref="M82:S82">
    <cfRule type="containsBlanks" dxfId="2079" priority="2010">
      <formula>LEN(TRIM(M82))=0</formula>
    </cfRule>
  </conditionalFormatting>
  <conditionalFormatting sqref="N85:T85">
    <cfRule type="containsBlanks" dxfId="2078" priority="2009">
      <formula>LEN(TRIM(N85))=0</formula>
    </cfRule>
  </conditionalFormatting>
  <conditionalFormatting sqref="O87:Q87">
    <cfRule type="containsBlanks" dxfId="2077" priority="2008">
      <formula>LEN(TRIM(O87))=0</formula>
    </cfRule>
  </conditionalFormatting>
  <conditionalFormatting sqref="M89:T89">
    <cfRule type="containsBlanks" dxfId="2076" priority="2007">
      <formula>LEN(TRIM(M89))=0</formula>
    </cfRule>
  </conditionalFormatting>
  <conditionalFormatting sqref="M95:T95">
    <cfRule type="containsBlanks" dxfId="2075" priority="2006">
      <formula>LEN(TRIM(M95))=0</formula>
    </cfRule>
  </conditionalFormatting>
  <conditionalFormatting sqref="O96:S96">
    <cfRule type="containsBlanks" dxfId="2074" priority="2005">
      <formula>LEN(TRIM(O96))=0</formula>
    </cfRule>
  </conditionalFormatting>
  <conditionalFormatting sqref="M96:N96">
    <cfRule type="containsBlanks" dxfId="2073" priority="2004">
      <formula>LEN(TRIM(M96))=0</formula>
    </cfRule>
  </conditionalFormatting>
  <conditionalFormatting sqref="M59:T59">
    <cfRule type="containsBlanks" dxfId="2072" priority="2003">
      <formula>LEN(TRIM(M59))=0</formula>
    </cfRule>
  </conditionalFormatting>
  <conditionalFormatting sqref="M60:S60">
    <cfRule type="containsBlanks" dxfId="2071" priority="2002">
      <formula>LEN(TRIM(M60))=0</formula>
    </cfRule>
  </conditionalFormatting>
  <conditionalFormatting sqref="O57:Q57">
    <cfRule type="containsBlanks" dxfId="2070" priority="2001">
      <formula>LEN(TRIM(O57))=0</formula>
    </cfRule>
  </conditionalFormatting>
  <conditionalFormatting sqref="O58:Q58">
    <cfRule type="containsBlanks" dxfId="2069" priority="2000">
      <formula>LEN(TRIM(O58))=0</formula>
    </cfRule>
  </conditionalFormatting>
  <conditionalFormatting sqref="O60:Q60">
    <cfRule type="containsBlanks" dxfId="2068" priority="1999">
      <formula>LEN(TRIM(O60))=0</formula>
    </cfRule>
  </conditionalFormatting>
  <conditionalFormatting sqref="N56:T56">
    <cfRule type="containsBlanks" dxfId="2067" priority="1998">
      <formula>LEN(TRIM(N56))=0</formula>
    </cfRule>
  </conditionalFormatting>
  <conditionalFormatting sqref="M73:S73">
    <cfRule type="containsBlanks" dxfId="2066" priority="1997">
      <formula>LEN(TRIM(M73))=0</formula>
    </cfRule>
  </conditionalFormatting>
  <conditionalFormatting sqref="N76:T76">
    <cfRule type="containsBlanks" dxfId="2065" priority="1996">
      <formula>LEN(TRIM(N76))=0</formula>
    </cfRule>
  </conditionalFormatting>
  <conditionalFormatting sqref="O78:Q78">
    <cfRule type="containsBlanks" dxfId="2064" priority="1995">
      <formula>LEN(TRIM(O78))=0</formula>
    </cfRule>
  </conditionalFormatting>
  <conditionalFormatting sqref="M80:T80">
    <cfRule type="containsBlanks" dxfId="2063" priority="1994">
      <formula>LEN(TRIM(M80))=0</formula>
    </cfRule>
  </conditionalFormatting>
  <conditionalFormatting sqref="M86:T86">
    <cfRule type="containsBlanks" dxfId="2062" priority="1993">
      <formula>LEN(TRIM(M86))=0</formula>
    </cfRule>
  </conditionalFormatting>
  <conditionalFormatting sqref="O87:S87">
    <cfRule type="containsBlanks" dxfId="2061" priority="1992">
      <formula>LEN(TRIM(O87))=0</formula>
    </cfRule>
  </conditionalFormatting>
  <conditionalFormatting sqref="M87:N87">
    <cfRule type="containsBlanks" dxfId="2060" priority="1991">
      <formula>LEN(TRIM(M87))=0</formula>
    </cfRule>
  </conditionalFormatting>
  <conditionalFormatting sqref="O54:Q54">
    <cfRule type="containsBlanks" dxfId="2059" priority="1990">
      <formula>LEN(TRIM(O54))=0</formula>
    </cfRule>
  </conditionalFormatting>
  <conditionalFormatting sqref="O56:Q56">
    <cfRule type="containsBlanks" dxfId="2058" priority="1989">
      <formula>LEN(TRIM(O56))=0</formula>
    </cfRule>
  </conditionalFormatting>
  <conditionalFormatting sqref="O58:Q58">
    <cfRule type="containsBlanks" dxfId="2057" priority="1988">
      <formula>LEN(TRIM(O58))=0</formula>
    </cfRule>
  </conditionalFormatting>
  <conditionalFormatting sqref="O71:Q71">
    <cfRule type="containsBlanks" dxfId="2056" priority="1987">
      <formula>LEN(TRIM(O71))=0</formula>
    </cfRule>
  </conditionalFormatting>
  <conditionalFormatting sqref="O72:Q72">
    <cfRule type="containsBlanks" dxfId="2055" priority="1986">
      <formula>LEN(TRIM(O72))=0</formula>
    </cfRule>
  </conditionalFormatting>
  <conditionalFormatting sqref="O74:Q74">
    <cfRule type="containsBlanks" dxfId="2054" priority="1985">
      <formula>LEN(TRIM(O74))=0</formula>
    </cfRule>
  </conditionalFormatting>
  <conditionalFormatting sqref="N70:T70">
    <cfRule type="containsBlanks" dxfId="2053" priority="1984">
      <formula>LEN(TRIM(N70))=0</formula>
    </cfRule>
  </conditionalFormatting>
  <conditionalFormatting sqref="M87:S87">
    <cfRule type="containsBlanks" dxfId="2052" priority="1983">
      <formula>LEN(TRIM(M87))=0</formula>
    </cfRule>
  </conditionalFormatting>
  <conditionalFormatting sqref="N90:T90">
    <cfRule type="containsBlanks" dxfId="2051" priority="1982">
      <formula>LEN(TRIM(N90))=0</formula>
    </cfRule>
  </conditionalFormatting>
  <conditionalFormatting sqref="O92:Q92">
    <cfRule type="containsBlanks" dxfId="2050" priority="1981">
      <formula>LEN(TRIM(O92))=0</formula>
    </cfRule>
  </conditionalFormatting>
  <conditionalFormatting sqref="M94:T94">
    <cfRule type="containsBlanks" dxfId="2049" priority="1980">
      <formula>LEN(TRIM(M94))=0</formula>
    </cfRule>
  </conditionalFormatting>
  <conditionalFormatting sqref="M100:T100">
    <cfRule type="containsBlanks" dxfId="2048" priority="1979">
      <formula>LEN(TRIM(M100))=0</formula>
    </cfRule>
  </conditionalFormatting>
  <conditionalFormatting sqref="O101:S101">
    <cfRule type="containsBlanks" dxfId="2047" priority="1978">
      <formula>LEN(TRIM(O101))=0</formula>
    </cfRule>
  </conditionalFormatting>
  <conditionalFormatting sqref="M101:N101">
    <cfRule type="containsBlanks" dxfId="2046" priority="1977">
      <formula>LEN(TRIM(M101))=0</formula>
    </cfRule>
  </conditionalFormatting>
  <conditionalFormatting sqref="M64:T64">
    <cfRule type="containsBlanks" dxfId="2045" priority="1976">
      <formula>LEN(TRIM(M64))=0</formula>
    </cfRule>
  </conditionalFormatting>
  <conditionalFormatting sqref="M65:S65">
    <cfRule type="containsBlanks" dxfId="2044" priority="1975">
      <formula>LEN(TRIM(M65))=0</formula>
    </cfRule>
  </conditionalFormatting>
  <conditionalFormatting sqref="O62:Q62">
    <cfRule type="containsBlanks" dxfId="2043" priority="1974">
      <formula>LEN(TRIM(O62))=0</formula>
    </cfRule>
  </conditionalFormatting>
  <conditionalFormatting sqref="O63:Q63">
    <cfRule type="containsBlanks" dxfId="2042" priority="1973">
      <formula>LEN(TRIM(O63))=0</formula>
    </cfRule>
  </conditionalFormatting>
  <conditionalFormatting sqref="O65:Q65">
    <cfRule type="containsBlanks" dxfId="2041" priority="1972">
      <formula>LEN(TRIM(O65))=0</formula>
    </cfRule>
  </conditionalFormatting>
  <conditionalFormatting sqref="N61:T61">
    <cfRule type="containsBlanks" dxfId="2040" priority="1971">
      <formula>LEN(TRIM(N61))=0</formula>
    </cfRule>
  </conditionalFormatting>
  <conditionalFormatting sqref="M78:S78">
    <cfRule type="containsBlanks" dxfId="2039" priority="1970">
      <formula>LEN(TRIM(M78))=0</formula>
    </cfRule>
  </conditionalFormatting>
  <conditionalFormatting sqref="N81:T81">
    <cfRule type="containsBlanks" dxfId="2038" priority="1969">
      <formula>LEN(TRIM(N81))=0</formula>
    </cfRule>
  </conditionalFormatting>
  <conditionalFormatting sqref="O83:Q83">
    <cfRule type="containsBlanks" dxfId="2037" priority="1968">
      <formula>LEN(TRIM(O83))=0</formula>
    </cfRule>
  </conditionalFormatting>
  <conditionalFormatting sqref="M85:T85">
    <cfRule type="containsBlanks" dxfId="2036" priority="1967">
      <formula>LEN(TRIM(M85))=0</formula>
    </cfRule>
  </conditionalFormatting>
  <conditionalFormatting sqref="M91:T91">
    <cfRule type="containsBlanks" dxfId="2035" priority="1966">
      <formula>LEN(TRIM(M91))=0</formula>
    </cfRule>
  </conditionalFormatting>
  <conditionalFormatting sqref="O92:S92">
    <cfRule type="containsBlanks" dxfId="2034" priority="1965">
      <formula>LEN(TRIM(O92))=0</formula>
    </cfRule>
  </conditionalFormatting>
  <conditionalFormatting sqref="M92:N92">
    <cfRule type="containsBlanks" dxfId="2033" priority="1964">
      <formula>LEN(TRIM(M92))=0</formula>
    </cfRule>
  </conditionalFormatting>
  <conditionalFormatting sqref="M55:T55">
    <cfRule type="containsBlanks" dxfId="2032" priority="1963">
      <formula>LEN(TRIM(M55))=0</formula>
    </cfRule>
  </conditionalFormatting>
  <conditionalFormatting sqref="M56:S56">
    <cfRule type="containsBlanks" dxfId="2031" priority="1962">
      <formula>LEN(TRIM(M56))=0</formula>
    </cfRule>
  </conditionalFormatting>
  <conditionalFormatting sqref="O66:Q66">
    <cfRule type="containsBlanks" dxfId="2030" priority="1961">
      <formula>LEN(TRIM(O66))=0</formula>
    </cfRule>
  </conditionalFormatting>
  <conditionalFormatting sqref="O67:Q67">
    <cfRule type="containsBlanks" dxfId="2029" priority="1960">
      <formula>LEN(TRIM(O67))=0</formula>
    </cfRule>
  </conditionalFormatting>
  <conditionalFormatting sqref="O69:Q69">
    <cfRule type="containsBlanks" dxfId="2028" priority="1959">
      <formula>LEN(TRIM(O69))=0</formula>
    </cfRule>
  </conditionalFormatting>
  <conditionalFormatting sqref="N65:T65">
    <cfRule type="containsBlanks" dxfId="2027" priority="1958">
      <formula>LEN(TRIM(N65))=0</formula>
    </cfRule>
  </conditionalFormatting>
  <conditionalFormatting sqref="M82:S82">
    <cfRule type="containsBlanks" dxfId="2026" priority="1957">
      <formula>LEN(TRIM(M82))=0</formula>
    </cfRule>
  </conditionalFormatting>
  <conditionalFormatting sqref="N85:T85">
    <cfRule type="containsBlanks" dxfId="2025" priority="1956">
      <formula>LEN(TRIM(N85))=0</formula>
    </cfRule>
  </conditionalFormatting>
  <conditionalFormatting sqref="O87:Q87">
    <cfRule type="containsBlanks" dxfId="2024" priority="1955">
      <formula>LEN(TRIM(O87))=0</formula>
    </cfRule>
  </conditionalFormatting>
  <conditionalFormatting sqref="M89:T89">
    <cfRule type="containsBlanks" dxfId="2023" priority="1954">
      <formula>LEN(TRIM(M89))=0</formula>
    </cfRule>
  </conditionalFormatting>
  <conditionalFormatting sqref="M95:T95">
    <cfRule type="containsBlanks" dxfId="2022" priority="1953">
      <formula>LEN(TRIM(M95))=0</formula>
    </cfRule>
  </conditionalFormatting>
  <conditionalFormatting sqref="O96:S96">
    <cfRule type="containsBlanks" dxfId="2021" priority="1952">
      <formula>LEN(TRIM(O96))=0</formula>
    </cfRule>
  </conditionalFormatting>
  <conditionalFormatting sqref="M96:N96">
    <cfRule type="containsBlanks" dxfId="2020" priority="1951">
      <formula>LEN(TRIM(M96))=0</formula>
    </cfRule>
  </conditionalFormatting>
  <conditionalFormatting sqref="M59:T59">
    <cfRule type="containsBlanks" dxfId="2019" priority="1950">
      <formula>LEN(TRIM(M59))=0</formula>
    </cfRule>
  </conditionalFormatting>
  <conditionalFormatting sqref="M60:S60">
    <cfRule type="containsBlanks" dxfId="2018" priority="1949">
      <formula>LEN(TRIM(M60))=0</formula>
    </cfRule>
  </conditionalFormatting>
  <conditionalFormatting sqref="O57:Q57">
    <cfRule type="containsBlanks" dxfId="2017" priority="1948">
      <formula>LEN(TRIM(O57))=0</formula>
    </cfRule>
  </conditionalFormatting>
  <conditionalFormatting sqref="O58:Q58">
    <cfRule type="containsBlanks" dxfId="2016" priority="1947">
      <formula>LEN(TRIM(O58))=0</formula>
    </cfRule>
  </conditionalFormatting>
  <conditionalFormatting sqref="O60:Q60">
    <cfRule type="containsBlanks" dxfId="2015" priority="1946">
      <formula>LEN(TRIM(O60))=0</formula>
    </cfRule>
  </conditionalFormatting>
  <conditionalFormatting sqref="N56:T56">
    <cfRule type="containsBlanks" dxfId="2014" priority="1945">
      <formula>LEN(TRIM(N56))=0</formula>
    </cfRule>
  </conditionalFormatting>
  <conditionalFormatting sqref="M73:S73">
    <cfRule type="containsBlanks" dxfId="2013" priority="1944">
      <formula>LEN(TRIM(M73))=0</formula>
    </cfRule>
  </conditionalFormatting>
  <conditionalFormatting sqref="N76:T76">
    <cfRule type="containsBlanks" dxfId="2012" priority="1943">
      <formula>LEN(TRIM(N76))=0</formula>
    </cfRule>
  </conditionalFormatting>
  <conditionalFormatting sqref="O78:Q78">
    <cfRule type="containsBlanks" dxfId="2011" priority="1942">
      <formula>LEN(TRIM(O78))=0</formula>
    </cfRule>
  </conditionalFormatting>
  <conditionalFormatting sqref="M80:T80">
    <cfRule type="containsBlanks" dxfId="2010" priority="1941">
      <formula>LEN(TRIM(M80))=0</formula>
    </cfRule>
  </conditionalFormatting>
  <conditionalFormatting sqref="M86:T86">
    <cfRule type="containsBlanks" dxfId="2009" priority="1940">
      <formula>LEN(TRIM(M86))=0</formula>
    </cfRule>
  </conditionalFormatting>
  <conditionalFormatting sqref="O87:S87">
    <cfRule type="containsBlanks" dxfId="2008" priority="1939">
      <formula>LEN(TRIM(O87))=0</formula>
    </cfRule>
  </conditionalFormatting>
  <conditionalFormatting sqref="M87:N87">
    <cfRule type="containsBlanks" dxfId="2007" priority="1938">
      <formula>LEN(TRIM(M87))=0</formula>
    </cfRule>
  </conditionalFormatting>
  <conditionalFormatting sqref="O55:Q55">
    <cfRule type="containsBlanks" dxfId="2006" priority="1937">
      <formula>LEN(TRIM(O55))=0</formula>
    </cfRule>
  </conditionalFormatting>
  <conditionalFormatting sqref="O68:Q68">
    <cfRule type="containsBlanks" dxfId="2005" priority="1936">
      <formula>LEN(TRIM(O68))=0</formula>
    </cfRule>
  </conditionalFormatting>
  <conditionalFormatting sqref="O69:Q69">
    <cfRule type="containsBlanks" dxfId="2004" priority="1935">
      <formula>LEN(TRIM(O69))=0</formula>
    </cfRule>
  </conditionalFormatting>
  <conditionalFormatting sqref="O71:Q71">
    <cfRule type="containsBlanks" dxfId="2003" priority="1934">
      <formula>LEN(TRIM(O71))=0</formula>
    </cfRule>
  </conditionalFormatting>
  <conditionalFormatting sqref="N67:T67">
    <cfRule type="containsBlanks" dxfId="2002" priority="1933">
      <formula>LEN(TRIM(N67))=0</formula>
    </cfRule>
  </conditionalFormatting>
  <conditionalFormatting sqref="M84:S84">
    <cfRule type="containsBlanks" dxfId="2001" priority="1932">
      <formula>LEN(TRIM(M84))=0</formula>
    </cfRule>
  </conditionalFormatting>
  <conditionalFormatting sqref="N87:T87">
    <cfRule type="containsBlanks" dxfId="2000" priority="1931">
      <formula>LEN(TRIM(N87))=0</formula>
    </cfRule>
  </conditionalFormatting>
  <conditionalFormatting sqref="O89:Q89">
    <cfRule type="containsBlanks" dxfId="1999" priority="1930">
      <formula>LEN(TRIM(O89))=0</formula>
    </cfRule>
  </conditionalFormatting>
  <conditionalFormatting sqref="M91:T91">
    <cfRule type="containsBlanks" dxfId="1998" priority="1929">
      <formula>LEN(TRIM(M91))=0</formula>
    </cfRule>
  </conditionalFormatting>
  <conditionalFormatting sqref="M97:T97">
    <cfRule type="containsBlanks" dxfId="1997" priority="1928">
      <formula>LEN(TRIM(M97))=0</formula>
    </cfRule>
  </conditionalFormatting>
  <conditionalFormatting sqref="O98:S98">
    <cfRule type="containsBlanks" dxfId="1996" priority="1927">
      <formula>LEN(TRIM(O98))=0</formula>
    </cfRule>
  </conditionalFormatting>
  <conditionalFormatting sqref="M98:N98">
    <cfRule type="containsBlanks" dxfId="1995" priority="1926">
      <formula>LEN(TRIM(M98))=0</formula>
    </cfRule>
  </conditionalFormatting>
  <conditionalFormatting sqref="M61:T61">
    <cfRule type="containsBlanks" dxfId="1994" priority="1925">
      <formula>LEN(TRIM(M61))=0</formula>
    </cfRule>
  </conditionalFormatting>
  <conditionalFormatting sqref="M62:S62">
    <cfRule type="containsBlanks" dxfId="1993" priority="1924">
      <formula>LEN(TRIM(M62))=0</formula>
    </cfRule>
  </conditionalFormatting>
  <conditionalFormatting sqref="O59:Q59">
    <cfRule type="containsBlanks" dxfId="1992" priority="1923">
      <formula>LEN(TRIM(O59))=0</formula>
    </cfRule>
  </conditionalFormatting>
  <conditionalFormatting sqref="O60:Q60">
    <cfRule type="containsBlanks" dxfId="1991" priority="1922">
      <formula>LEN(TRIM(O60))=0</formula>
    </cfRule>
  </conditionalFormatting>
  <conditionalFormatting sqref="O62:Q62">
    <cfRule type="containsBlanks" dxfId="1990" priority="1921">
      <formula>LEN(TRIM(O62))=0</formula>
    </cfRule>
  </conditionalFormatting>
  <conditionalFormatting sqref="N58:T58">
    <cfRule type="containsBlanks" dxfId="1989" priority="1920">
      <formula>LEN(TRIM(N58))=0</formula>
    </cfRule>
  </conditionalFormatting>
  <conditionalFormatting sqref="M75:S75">
    <cfRule type="containsBlanks" dxfId="1988" priority="1919">
      <formula>LEN(TRIM(M75))=0</formula>
    </cfRule>
  </conditionalFormatting>
  <conditionalFormatting sqref="N78:T78">
    <cfRule type="containsBlanks" dxfId="1987" priority="1918">
      <formula>LEN(TRIM(N78))=0</formula>
    </cfRule>
  </conditionalFormatting>
  <conditionalFormatting sqref="O80:Q80">
    <cfRule type="containsBlanks" dxfId="1986" priority="1917">
      <formula>LEN(TRIM(O80))=0</formula>
    </cfRule>
  </conditionalFormatting>
  <conditionalFormatting sqref="M82:T82">
    <cfRule type="containsBlanks" dxfId="1985" priority="1916">
      <formula>LEN(TRIM(M82))=0</formula>
    </cfRule>
  </conditionalFormatting>
  <conditionalFormatting sqref="M88:T88">
    <cfRule type="containsBlanks" dxfId="1984" priority="1915">
      <formula>LEN(TRIM(M88))=0</formula>
    </cfRule>
  </conditionalFormatting>
  <conditionalFormatting sqref="O89:S89">
    <cfRule type="containsBlanks" dxfId="1983" priority="1914">
      <formula>LEN(TRIM(O89))=0</formula>
    </cfRule>
  </conditionalFormatting>
  <conditionalFormatting sqref="M89:N89">
    <cfRule type="containsBlanks" dxfId="1982" priority="1913">
      <formula>LEN(TRIM(M89))=0</formula>
    </cfRule>
  </conditionalFormatting>
  <conditionalFormatting sqref="O63:Q63">
    <cfRule type="containsBlanks" dxfId="1981" priority="1912">
      <formula>LEN(TRIM(O63))=0</formula>
    </cfRule>
  </conditionalFormatting>
  <conditionalFormatting sqref="O64:Q64">
    <cfRule type="containsBlanks" dxfId="1980" priority="1911">
      <formula>LEN(TRIM(O64))=0</formula>
    </cfRule>
  </conditionalFormatting>
  <conditionalFormatting sqref="O66:Q66">
    <cfRule type="containsBlanks" dxfId="1979" priority="1910">
      <formula>LEN(TRIM(O66))=0</formula>
    </cfRule>
  </conditionalFormatting>
  <conditionalFormatting sqref="N62:T62">
    <cfRule type="containsBlanks" dxfId="1978" priority="1909">
      <formula>LEN(TRIM(N62))=0</formula>
    </cfRule>
  </conditionalFormatting>
  <conditionalFormatting sqref="M79:S79">
    <cfRule type="containsBlanks" dxfId="1977" priority="1908">
      <formula>LEN(TRIM(M79))=0</formula>
    </cfRule>
  </conditionalFormatting>
  <conditionalFormatting sqref="N82:T82">
    <cfRule type="containsBlanks" dxfId="1976" priority="1907">
      <formula>LEN(TRIM(N82))=0</formula>
    </cfRule>
  </conditionalFormatting>
  <conditionalFormatting sqref="O84:Q84">
    <cfRule type="containsBlanks" dxfId="1975" priority="1906">
      <formula>LEN(TRIM(O84))=0</formula>
    </cfRule>
  </conditionalFormatting>
  <conditionalFormatting sqref="M86:T86">
    <cfRule type="containsBlanks" dxfId="1974" priority="1905">
      <formula>LEN(TRIM(M86))=0</formula>
    </cfRule>
  </conditionalFormatting>
  <conditionalFormatting sqref="M92:T92">
    <cfRule type="containsBlanks" dxfId="1973" priority="1904">
      <formula>LEN(TRIM(M92))=0</formula>
    </cfRule>
  </conditionalFormatting>
  <conditionalFormatting sqref="O93:S93">
    <cfRule type="containsBlanks" dxfId="1972" priority="1903">
      <formula>LEN(TRIM(O93))=0</formula>
    </cfRule>
  </conditionalFormatting>
  <conditionalFormatting sqref="M93:N93">
    <cfRule type="containsBlanks" dxfId="1971" priority="1902">
      <formula>LEN(TRIM(M93))=0</formula>
    </cfRule>
  </conditionalFormatting>
  <conditionalFormatting sqref="M56:T56">
    <cfRule type="containsBlanks" dxfId="1970" priority="1901">
      <formula>LEN(TRIM(M56))=0</formula>
    </cfRule>
  </conditionalFormatting>
  <conditionalFormatting sqref="M57:S57">
    <cfRule type="containsBlanks" dxfId="1969" priority="1900">
      <formula>LEN(TRIM(M57))=0</formula>
    </cfRule>
  </conditionalFormatting>
  <conditionalFormatting sqref="O54:Q54">
    <cfRule type="containsBlanks" dxfId="1968" priority="1899">
      <formula>LEN(TRIM(O54))=0</formula>
    </cfRule>
  </conditionalFormatting>
  <conditionalFormatting sqref="O55:Q55">
    <cfRule type="containsBlanks" dxfId="1967" priority="1898">
      <formula>LEN(TRIM(O55))=0</formula>
    </cfRule>
  </conditionalFormatting>
  <conditionalFormatting sqref="O57:Q57">
    <cfRule type="containsBlanks" dxfId="1966" priority="1897">
      <formula>LEN(TRIM(O57))=0</formula>
    </cfRule>
  </conditionalFormatting>
  <conditionalFormatting sqref="M70:S70">
    <cfRule type="containsBlanks" dxfId="1965" priority="1896">
      <formula>LEN(TRIM(M70))=0</formula>
    </cfRule>
  </conditionalFormatting>
  <conditionalFormatting sqref="N73:T73">
    <cfRule type="containsBlanks" dxfId="1964" priority="1895">
      <formula>LEN(TRIM(N73))=0</formula>
    </cfRule>
  </conditionalFormatting>
  <conditionalFormatting sqref="O75:Q75">
    <cfRule type="containsBlanks" dxfId="1963" priority="1894">
      <formula>LEN(TRIM(O75))=0</formula>
    </cfRule>
  </conditionalFormatting>
  <conditionalFormatting sqref="M77:T77">
    <cfRule type="containsBlanks" dxfId="1962" priority="1893">
      <formula>LEN(TRIM(M77))=0</formula>
    </cfRule>
  </conditionalFormatting>
  <conditionalFormatting sqref="M83:T83">
    <cfRule type="containsBlanks" dxfId="1961" priority="1892">
      <formula>LEN(TRIM(M83))=0</formula>
    </cfRule>
  </conditionalFormatting>
  <conditionalFormatting sqref="O84:S84">
    <cfRule type="containsBlanks" dxfId="1960" priority="1891">
      <formula>LEN(TRIM(O84))=0</formula>
    </cfRule>
  </conditionalFormatting>
  <conditionalFormatting sqref="M84:N84">
    <cfRule type="containsBlanks" dxfId="1959" priority="1890">
      <formula>LEN(TRIM(M84))=0</formula>
    </cfRule>
  </conditionalFormatting>
  <conditionalFormatting sqref="O54:Q54">
    <cfRule type="containsBlanks" dxfId="1958" priority="1889">
      <formula>LEN(TRIM(O54))=0</formula>
    </cfRule>
  </conditionalFormatting>
  <conditionalFormatting sqref="O56:Q56">
    <cfRule type="containsBlanks" dxfId="1957" priority="1888">
      <formula>LEN(TRIM(O56))=0</formula>
    </cfRule>
  </conditionalFormatting>
  <conditionalFormatting sqref="O58:Q58">
    <cfRule type="containsBlanks" dxfId="1956" priority="1887">
      <formula>LEN(TRIM(O58))=0</formula>
    </cfRule>
  </conditionalFormatting>
  <conditionalFormatting sqref="O60:Q60">
    <cfRule type="containsBlanks" dxfId="1955" priority="1886">
      <formula>LEN(TRIM(O60))=0</formula>
    </cfRule>
  </conditionalFormatting>
  <conditionalFormatting sqref="O73:Q73">
    <cfRule type="containsBlanks" dxfId="1954" priority="1885">
      <formula>LEN(TRIM(O73))=0</formula>
    </cfRule>
  </conditionalFormatting>
  <conditionalFormatting sqref="O74:Q74">
    <cfRule type="containsBlanks" dxfId="1953" priority="1884">
      <formula>LEN(TRIM(O74))=0</formula>
    </cfRule>
  </conditionalFormatting>
  <conditionalFormatting sqref="O76:Q76">
    <cfRule type="containsBlanks" dxfId="1952" priority="1883">
      <formula>LEN(TRIM(O76))=0</formula>
    </cfRule>
  </conditionalFormatting>
  <conditionalFormatting sqref="N72:T72">
    <cfRule type="containsBlanks" dxfId="1951" priority="1882">
      <formula>LEN(TRIM(N72))=0</formula>
    </cfRule>
  </conditionalFormatting>
  <conditionalFormatting sqref="M89:S89">
    <cfRule type="containsBlanks" dxfId="1950" priority="1881">
      <formula>LEN(TRIM(M89))=0</formula>
    </cfRule>
  </conditionalFormatting>
  <conditionalFormatting sqref="N92:T92">
    <cfRule type="containsBlanks" dxfId="1949" priority="1880">
      <formula>LEN(TRIM(N92))=0</formula>
    </cfRule>
  </conditionalFormatting>
  <conditionalFormatting sqref="O94:Q94">
    <cfRule type="containsBlanks" dxfId="1948" priority="1879">
      <formula>LEN(TRIM(O94))=0</formula>
    </cfRule>
  </conditionalFormatting>
  <conditionalFormatting sqref="M96:T96">
    <cfRule type="containsBlanks" dxfId="1947" priority="1878">
      <formula>LEN(TRIM(M96))=0</formula>
    </cfRule>
  </conditionalFormatting>
  <conditionalFormatting sqref="M102:T102">
    <cfRule type="containsBlanks" dxfId="1946" priority="1877">
      <formula>LEN(TRIM(M102))=0</formula>
    </cfRule>
  </conditionalFormatting>
  <conditionalFormatting sqref="O103:S103">
    <cfRule type="containsBlanks" dxfId="1945" priority="1876">
      <formula>LEN(TRIM(O103))=0</formula>
    </cfRule>
  </conditionalFormatting>
  <conditionalFormatting sqref="M103:N103">
    <cfRule type="containsBlanks" dxfId="1944" priority="1875">
      <formula>LEN(TRIM(M103))=0</formula>
    </cfRule>
  </conditionalFormatting>
  <conditionalFormatting sqref="M66:T66">
    <cfRule type="containsBlanks" dxfId="1943" priority="1874">
      <formula>LEN(TRIM(M66))=0</formula>
    </cfRule>
  </conditionalFormatting>
  <conditionalFormatting sqref="M67:S67">
    <cfRule type="containsBlanks" dxfId="1942" priority="1873">
      <formula>LEN(TRIM(M67))=0</formula>
    </cfRule>
  </conditionalFormatting>
  <conditionalFormatting sqref="O64:Q64">
    <cfRule type="containsBlanks" dxfId="1941" priority="1872">
      <formula>LEN(TRIM(O64))=0</formula>
    </cfRule>
  </conditionalFormatting>
  <conditionalFormatting sqref="O65:Q65">
    <cfRule type="containsBlanks" dxfId="1940" priority="1871">
      <formula>LEN(TRIM(O65))=0</formula>
    </cfRule>
  </conditionalFormatting>
  <conditionalFormatting sqref="O67:Q67">
    <cfRule type="containsBlanks" dxfId="1939" priority="1870">
      <formula>LEN(TRIM(O67))=0</formula>
    </cfRule>
  </conditionalFormatting>
  <conditionalFormatting sqref="N63:T63">
    <cfRule type="containsBlanks" dxfId="1938" priority="1869">
      <formula>LEN(TRIM(N63))=0</formula>
    </cfRule>
  </conditionalFormatting>
  <conditionalFormatting sqref="M80:S80">
    <cfRule type="containsBlanks" dxfId="1937" priority="1868">
      <formula>LEN(TRIM(M80))=0</formula>
    </cfRule>
  </conditionalFormatting>
  <conditionalFormatting sqref="N83:T83">
    <cfRule type="containsBlanks" dxfId="1936" priority="1867">
      <formula>LEN(TRIM(N83))=0</formula>
    </cfRule>
  </conditionalFormatting>
  <conditionalFormatting sqref="O85:Q85">
    <cfRule type="containsBlanks" dxfId="1935" priority="1866">
      <formula>LEN(TRIM(O85))=0</formula>
    </cfRule>
  </conditionalFormatting>
  <conditionalFormatting sqref="M87:T87">
    <cfRule type="containsBlanks" dxfId="1934" priority="1865">
      <formula>LEN(TRIM(M87))=0</formula>
    </cfRule>
  </conditionalFormatting>
  <conditionalFormatting sqref="M93:T93">
    <cfRule type="containsBlanks" dxfId="1933" priority="1864">
      <formula>LEN(TRIM(M93))=0</formula>
    </cfRule>
  </conditionalFormatting>
  <conditionalFormatting sqref="O94:S94">
    <cfRule type="containsBlanks" dxfId="1932" priority="1863">
      <formula>LEN(TRIM(O94))=0</formula>
    </cfRule>
  </conditionalFormatting>
  <conditionalFormatting sqref="M94:N94">
    <cfRule type="containsBlanks" dxfId="1931" priority="1862">
      <formula>LEN(TRIM(M94))=0</formula>
    </cfRule>
  </conditionalFormatting>
  <conditionalFormatting sqref="M57:T57">
    <cfRule type="containsBlanks" dxfId="1930" priority="1861">
      <formula>LEN(TRIM(M57))=0</formula>
    </cfRule>
  </conditionalFormatting>
  <conditionalFormatting sqref="M58:S58">
    <cfRule type="containsBlanks" dxfId="1929" priority="1860">
      <formula>LEN(TRIM(M58))=0</formula>
    </cfRule>
  </conditionalFormatting>
  <conditionalFormatting sqref="O55:Q55">
    <cfRule type="containsBlanks" dxfId="1928" priority="1859">
      <formula>LEN(TRIM(O55))=0</formula>
    </cfRule>
  </conditionalFormatting>
  <conditionalFormatting sqref="O68:Q68">
    <cfRule type="containsBlanks" dxfId="1927" priority="1858">
      <formula>LEN(TRIM(O68))=0</formula>
    </cfRule>
  </conditionalFormatting>
  <conditionalFormatting sqref="O69:Q69">
    <cfRule type="containsBlanks" dxfId="1926" priority="1857">
      <formula>LEN(TRIM(O69))=0</formula>
    </cfRule>
  </conditionalFormatting>
  <conditionalFormatting sqref="O71:Q71">
    <cfRule type="containsBlanks" dxfId="1925" priority="1856">
      <formula>LEN(TRIM(O71))=0</formula>
    </cfRule>
  </conditionalFormatting>
  <conditionalFormatting sqref="N67:T67">
    <cfRule type="containsBlanks" dxfId="1924" priority="1855">
      <formula>LEN(TRIM(N67))=0</formula>
    </cfRule>
  </conditionalFormatting>
  <conditionalFormatting sqref="M84:S84">
    <cfRule type="containsBlanks" dxfId="1923" priority="1854">
      <formula>LEN(TRIM(M84))=0</formula>
    </cfRule>
  </conditionalFormatting>
  <conditionalFormatting sqref="N87:T87">
    <cfRule type="containsBlanks" dxfId="1922" priority="1853">
      <formula>LEN(TRIM(N87))=0</formula>
    </cfRule>
  </conditionalFormatting>
  <conditionalFormatting sqref="O89:Q89">
    <cfRule type="containsBlanks" dxfId="1921" priority="1852">
      <formula>LEN(TRIM(O89))=0</formula>
    </cfRule>
  </conditionalFormatting>
  <conditionalFormatting sqref="M91:T91">
    <cfRule type="containsBlanks" dxfId="1920" priority="1851">
      <formula>LEN(TRIM(M91))=0</formula>
    </cfRule>
  </conditionalFormatting>
  <conditionalFormatting sqref="M97:T97">
    <cfRule type="containsBlanks" dxfId="1919" priority="1850">
      <formula>LEN(TRIM(M97))=0</formula>
    </cfRule>
  </conditionalFormatting>
  <conditionalFormatting sqref="O98:S98">
    <cfRule type="containsBlanks" dxfId="1918" priority="1849">
      <formula>LEN(TRIM(O98))=0</formula>
    </cfRule>
  </conditionalFormatting>
  <conditionalFormatting sqref="M98:N98">
    <cfRule type="containsBlanks" dxfId="1917" priority="1848">
      <formula>LEN(TRIM(M98))=0</formula>
    </cfRule>
  </conditionalFormatting>
  <conditionalFormatting sqref="M61:T61">
    <cfRule type="containsBlanks" dxfId="1916" priority="1847">
      <formula>LEN(TRIM(M61))=0</formula>
    </cfRule>
  </conditionalFormatting>
  <conditionalFormatting sqref="M62:S62">
    <cfRule type="containsBlanks" dxfId="1915" priority="1846">
      <formula>LEN(TRIM(M62))=0</formula>
    </cfRule>
  </conditionalFormatting>
  <conditionalFormatting sqref="O59:Q59">
    <cfRule type="containsBlanks" dxfId="1914" priority="1845">
      <formula>LEN(TRIM(O59))=0</formula>
    </cfRule>
  </conditionalFormatting>
  <conditionalFormatting sqref="O60:Q60">
    <cfRule type="containsBlanks" dxfId="1913" priority="1844">
      <formula>LEN(TRIM(O60))=0</formula>
    </cfRule>
  </conditionalFormatting>
  <conditionalFormatting sqref="O62:Q62">
    <cfRule type="containsBlanks" dxfId="1912" priority="1843">
      <formula>LEN(TRIM(O62))=0</formula>
    </cfRule>
  </conditionalFormatting>
  <conditionalFormatting sqref="N58:T58">
    <cfRule type="containsBlanks" dxfId="1911" priority="1842">
      <formula>LEN(TRIM(N58))=0</formula>
    </cfRule>
  </conditionalFormatting>
  <conditionalFormatting sqref="M75:S75">
    <cfRule type="containsBlanks" dxfId="1910" priority="1841">
      <formula>LEN(TRIM(M75))=0</formula>
    </cfRule>
  </conditionalFormatting>
  <conditionalFormatting sqref="N78:T78">
    <cfRule type="containsBlanks" dxfId="1909" priority="1840">
      <formula>LEN(TRIM(N78))=0</formula>
    </cfRule>
  </conditionalFormatting>
  <conditionalFormatting sqref="O80:Q80">
    <cfRule type="containsBlanks" dxfId="1908" priority="1839">
      <formula>LEN(TRIM(O80))=0</formula>
    </cfRule>
  </conditionalFormatting>
  <conditionalFormatting sqref="M82:T82">
    <cfRule type="containsBlanks" dxfId="1907" priority="1838">
      <formula>LEN(TRIM(M82))=0</formula>
    </cfRule>
  </conditionalFormatting>
  <conditionalFormatting sqref="M88:T88">
    <cfRule type="containsBlanks" dxfId="1906" priority="1837">
      <formula>LEN(TRIM(M88))=0</formula>
    </cfRule>
  </conditionalFormatting>
  <conditionalFormatting sqref="O89:S89">
    <cfRule type="containsBlanks" dxfId="1905" priority="1836">
      <formula>LEN(TRIM(O89))=0</formula>
    </cfRule>
  </conditionalFormatting>
  <conditionalFormatting sqref="M89:N89">
    <cfRule type="containsBlanks" dxfId="1904" priority="1835">
      <formula>LEN(TRIM(M89))=0</formula>
    </cfRule>
  </conditionalFormatting>
  <conditionalFormatting sqref="O55:Q55">
    <cfRule type="containsBlanks" dxfId="1903" priority="1834">
      <formula>LEN(TRIM(O55))=0</formula>
    </cfRule>
  </conditionalFormatting>
  <conditionalFormatting sqref="O57:Q57">
    <cfRule type="containsBlanks" dxfId="1902" priority="1833">
      <formula>LEN(TRIM(O57))=0</formula>
    </cfRule>
  </conditionalFormatting>
  <conditionalFormatting sqref="O70:Q70">
    <cfRule type="containsBlanks" dxfId="1901" priority="1832">
      <formula>LEN(TRIM(O70))=0</formula>
    </cfRule>
  </conditionalFormatting>
  <conditionalFormatting sqref="O71:Q71">
    <cfRule type="containsBlanks" dxfId="1900" priority="1831">
      <formula>LEN(TRIM(O71))=0</formula>
    </cfRule>
  </conditionalFormatting>
  <conditionalFormatting sqref="O73:Q73">
    <cfRule type="containsBlanks" dxfId="1899" priority="1830">
      <formula>LEN(TRIM(O73))=0</formula>
    </cfRule>
  </conditionalFormatting>
  <conditionalFormatting sqref="N69:T69">
    <cfRule type="containsBlanks" dxfId="1898" priority="1829">
      <formula>LEN(TRIM(N69))=0</formula>
    </cfRule>
  </conditionalFormatting>
  <conditionalFormatting sqref="M86:S86">
    <cfRule type="containsBlanks" dxfId="1897" priority="1828">
      <formula>LEN(TRIM(M86))=0</formula>
    </cfRule>
  </conditionalFormatting>
  <conditionalFormatting sqref="N89:T89">
    <cfRule type="containsBlanks" dxfId="1896" priority="1827">
      <formula>LEN(TRIM(N89))=0</formula>
    </cfRule>
  </conditionalFormatting>
  <conditionalFormatting sqref="O91:Q91">
    <cfRule type="containsBlanks" dxfId="1895" priority="1826">
      <formula>LEN(TRIM(O91))=0</formula>
    </cfRule>
  </conditionalFormatting>
  <conditionalFormatting sqref="M93:T93">
    <cfRule type="containsBlanks" dxfId="1894" priority="1825">
      <formula>LEN(TRIM(M93))=0</formula>
    </cfRule>
  </conditionalFormatting>
  <conditionalFormatting sqref="O100:S100">
    <cfRule type="containsBlanks" dxfId="1893" priority="1823">
      <formula>LEN(TRIM(O100))=0</formula>
    </cfRule>
  </conditionalFormatting>
  <conditionalFormatting sqref="M100:N100">
    <cfRule type="containsBlanks" dxfId="1892" priority="1822">
      <formula>LEN(TRIM(M100))=0</formula>
    </cfRule>
  </conditionalFormatting>
  <conditionalFormatting sqref="M63:T63">
    <cfRule type="containsBlanks" dxfId="1891" priority="1821">
      <formula>LEN(TRIM(M63))=0</formula>
    </cfRule>
  </conditionalFormatting>
  <conditionalFormatting sqref="M64:S64">
    <cfRule type="containsBlanks" dxfId="1890" priority="1820">
      <formula>LEN(TRIM(M64))=0</formula>
    </cfRule>
  </conditionalFormatting>
  <conditionalFormatting sqref="O61:Q61">
    <cfRule type="containsBlanks" dxfId="1889" priority="1819">
      <formula>LEN(TRIM(O61))=0</formula>
    </cfRule>
  </conditionalFormatting>
  <conditionalFormatting sqref="O62:Q62">
    <cfRule type="containsBlanks" dxfId="1888" priority="1818">
      <formula>LEN(TRIM(O62))=0</formula>
    </cfRule>
  </conditionalFormatting>
  <conditionalFormatting sqref="O64:Q64">
    <cfRule type="containsBlanks" dxfId="1887" priority="1817">
      <formula>LEN(TRIM(O64))=0</formula>
    </cfRule>
  </conditionalFormatting>
  <conditionalFormatting sqref="N60:T60">
    <cfRule type="containsBlanks" dxfId="1886" priority="1816">
      <formula>LEN(TRIM(N60))=0</formula>
    </cfRule>
  </conditionalFormatting>
  <conditionalFormatting sqref="M77:S77">
    <cfRule type="containsBlanks" dxfId="1885" priority="1815">
      <formula>LEN(TRIM(M77))=0</formula>
    </cfRule>
  </conditionalFormatting>
  <conditionalFormatting sqref="N80:T80">
    <cfRule type="containsBlanks" dxfId="1884" priority="1814">
      <formula>LEN(TRIM(N80))=0</formula>
    </cfRule>
  </conditionalFormatting>
  <conditionalFormatting sqref="O82:Q82">
    <cfRule type="containsBlanks" dxfId="1883" priority="1813">
      <formula>LEN(TRIM(O82))=0</formula>
    </cfRule>
  </conditionalFormatting>
  <conditionalFormatting sqref="M84:T84">
    <cfRule type="containsBlanks" dxfId="1882" priority="1812">
      <formula>LEN(TRIM(M84))=0</formula>
    </cfRule>
  </conditionalFormatting>
  <conditionalFormatting sqref="M90:T90">
    <cfRule type="containsBlanks" dxfId="1881" priority="1811">
      <formula>LEN(TRIM(M90))=0</formula>
    </cfRule>
  </conditionalFormatting>
  <conditionalFormatting sqref="O91:S91">
    <cfRule type="containsBlanks" dxfId="1880" priority="1810">
      <formula>LEN(TRIM(O91))=0</formula>
    </cfRule>
  </conditionalFormatting>
  <conditionalFormatting sqref="M91:N91">
    <cfRule type="containsBlanks" dxfId="1879" priority="1809">
      <formula>LEN(TRIM(M91))=0</formula>
    </cfRule>
  </conditionalFormatting>
  <conditionalFormatting sqref="M54:T54">
    <cfRule type="containsBlanks" dxfId="1878" priority="1808">
      <formula>LEN(TRIM(M54))=0</formula>
    </cfRule>
  </conditionalFormatting>
  <conditionalFormatting sqref="M55:S55">
    <cfRule type="containsBlanks" dxfId="1877" priority="1807">
      <formula>LEN(TRIM(M55))=0</formula>
    </cfRule>
  </conditionalFormatting>
  <conditionalFormatting sqref="O65:Q65">
    <cfRule type="containsBlanks" dxfId="1876" priority="1806">
      <formula>LEN(TRIM(O65))=0</formula>
    </cfRule>
  </conditionalFormatting>
  <conditionalFormatting sqref="O66:Q66">
    <cfRule type="containsBlanks" dxfId="1875" priority="1805">
      <formula>LEN(TRIM(O66))=0</formula>
    </cfRule>
  </conditionalFormatting>
  <conditionalFormatting sqref="O68:Q68">
    <cfRule type="containsBlanks" dxfId="1874" priority="1804">
      <formula>LEN(TRIM(O68))=0</formula>
    </cfRule>
  </conditionalFormatting>
  <conditionalFormatting sqref="N64:T64">
    <cfRule type="containsBlanks" dxfId="1873" priority="1803">
      <formula>LEN(TRIM(N64))=0</formula>
    </cfRule>
  </conditionalFormatting>
  <conditionalFormatting sqref="M81:S81">
    <cfRule type="containsBlanks" dxfId="1872" priority="1802">
      <formula>LEN(TRIM(M81))=0</formula>
    </cfRule>
  </conditionalFormatting>
  <conditionalFormatting sqref="N84:T84">
    <cfRule type="containsBlanks" dxfId="1871" priority="1801">
      <formula>LEN(TRIM(N84))=0</formula>
    </cfRule>
  </conditionalFormatting>
  <conditionalFormatting sqref="O86:Q86">
    <cfRule type="containsBlanks" dxfId="1870" priority="1800">
      <formula>LEN(TRIM(O86))=0</formula>
    </cfRule>
  </conditionalFormatting>
  <conditionalFormatting sqref="M88:T88">
    <cfRule type="containsBlanks" dxfId="1869" priority="1799">
      <formula>LEN(TRIM(M88))=0</formula>
    </cfRule>
  </conditionalFormatting>
  <conditionalFormatting sqref="M94:T94">
    <cfRule type="containsBlanks" dxfId="1868" priority="1798">
      <formula>LEN(TRIM(M94))=0</formula>
    </cfRule>
  </conditionalFormatting>
  <conditionalFormatting sqref="O95:S95">
    <cfRule type="containsBlanks" dxfId="1867" priority="1797">
      <formula>LEN(TRIM(O95))=0</formula>
    </cfRule>
  </conditionalFormatting>
  <conditionalFormatting sqref="M95:N95">
    <cfRule type="containsBlanks" dxfId="1866" priority="1796">
      <formula>LEN(TRIM(M95))=0</formula>
    </cfRule>
  </conditionalFormatting>
  <conditionalFormatting sqref="M58:T58">
    <cfRule type="containsBlanks" dxfId="1865" priority="1795">
      <formula>LEN(TRIM(M58))=0</formula>
    </cfRule>
  </conditionalFormatting>
  <conditionalFormatting sqref="M59:S59">
    <cfRule type="containsBlanks" dxfId="1864" priority="1794">
      <formula>LEN(TRIM(M59))=0</formula>
    </cfRule>
  </conditionalFormatting>
  <conditionalFormatting sqref="O56:Q56">
    <cfRule type="containsBlanks" dxfId="1863" priority="1793">
      <formula>LEN(TRIM(O56))=0</formula>
    </cfRule>
  </conditionalFormatting>
  <conditionalFormatting sqref="O57:Q57">
    <cfRule type="containsBlanks" dxfId="1862" priority="1792">
      <formula>LEN(TRIM(O57))=0</formula>
    </cfRule>
  </conditionalFormatting>
  <conditionalFormatting sqref="O59:Q59">
    <cfRule type="containsBlanks" dxfId="1861" priority="1791">
      <formula>LEN(TRIM(O59))=0</formula>
    </cfRule>
  </conditionalFormatting>
  <conditionalFormatting sqref="N55:T55">
    <cfRule type="containsBlanks" dxfId="1860" priority="1790">
      <formula>LEN(TRIM(N55))=0</formula>
    </cfRule>
  </conditionalFormatting>
  <conditionalFormatting sqref="M72:S72">
    <cfRule type="containsBlanks" dxfId="1859" priority="1789">
      <formula>LEN(TRIM(M72))=0</formula>
    </cfRule>
  </conditionalFormatting>
  <conditionalFormatting sqref="N75:T75">
    <cfRule type="containsBlanks" dxfId="1858" priority="1788">
      <formula>LEN(TRIM(N75))=0</formula>
    </cfRule>
  </conditionalFormatting>
  <conditionalFormatting sqref="O77:Q77">
    <cfRule type="containsBlanks" dxfId="1857" priority="1787">
      <formula>LEN(TRIM(O77))=0</formula>
    </cfRule>
  </conditionalFormatting>
  <conditionalFormatting sqref="M79:T79">
    <cfRule type="containsBlanks" dxfId="1856" priority="1786">
      <formula>LEN(TRIM(M79))=0</formula>
    </cfRule>
  </conditionalFormatting>
  <conditionalFormatting sqref="M85:T85">
    <cfRule type="containsBlanks" dxfId="1855" priority="1785">
      <formula>LEN(TRIM(M85))=0</formula>
    </cfRule>
  </conditionalFormatting>
  <conditionalFormatting sqref="O86:S86">
    <cfRule type="containsBlanks" dxfId="1854" priority="1784">
      <formula>LEN(TRIM(O86))=0</formula>
    </cfRule>
  </conditionalFormatting>
  <conditionalFormatting sqref="M86:N86">
    <cfRule type="containsBlanks" dxfId="1853" priority="1783">
      <formula>LEN(TRIM(M86))=0</formula>
    </cfRule>
  </conditionalFormatting>
  <conditionalFormatting sqref="O55:Q55">
    <cfRule type="containsBlanks" dxfId="1852" priority="1782">
      <formula>LEN(TRIM(O55))=0</formula>
    </cfRule>
  </conditionalFormatting>
  <conditionalFormatting sqref="O57:Q57">
    <cfRule type="containsBlanks" dxfId="1851" priority="1781">
      <formula>LEN(TRIM(O57))=0</formula>
    </cfRule>
  </conditionalFormatting>
  <conditionalFormatting sqref="O70:Q70">
    <cfRule type="containsBlanks" dxfId="1850" priority="1780">
      <formula>LEN(TRIM(O70))=0</formula>
    </cfRule>
  </conditionalFormatting>
  <conditionalFormatting sqref="O71:Q71">
    <cfRule type="containsBlanks" dxfId="1849" priority="1779">
      <formula>LEN(TRIM(O71))=0</formula>
    </cfRule>
  </conditionalFormatting>
  <conditionalFormatting sqref="O73:Q73">
    <cfRule type="containsBlanks" dxfId="1848" priority="1778">
      <formula>LEN(TRIM(O73))=0</formula>
    </cfRule>
  </conditionalFormatting>
  <conditionalFormatting sqref="N69:T69">
    <cfRule type="containsBlanks" dxfId="1847" priority="1777">
      <formula>LEN(TRIM(N69))=0</formula>
    </cfRule>
  </conditionalFormatting>
  <conditionalFormatting sqref="M86:S86">
    <cfRule type="containsBlanks" dxfId="1846" priority="1776">
      <formula>LEN(TRIM(M86))=0</formula>
    </cfRule>
  </conditionalFormatting>
  <conditionalFormatting sqref="N89:T89">
    <cfRule type="containsBlanks" dxfId="1845" priority="1775">
      <formula>LEN(TRIM(N89))=0</formula>
    </cfRule>
  </conditionalFormatting>
  <conditionalFormatting sqref="O91:Q91">
    <cfRule type="containsBlanks" dxfId="1844" priority="1774">
      <formula>LEN(TRIM(O91))=0</formula>
    </cfRule>
  </conditionalFormatting>
  <conditionalFormatting sqref="M93:T93">
    <cfRule type="containsBlanks" dxfId="1843" priority="1773">
      <formula>LEN(TRIM(M93))=0</formula>
    </cfRule>
  </conditionalFormatting>
  <conditionalFormatting sqref="O100:S100">
    <cfRule type="containsBlanks" dxfId="1842" priority="1771">
      <formula>LEN(TRIM(O100))=0</formula>
    </cfRule>
  </conditionalFormatting>
  <conditionalFormatting sqref="M100:N100">
    <cfRule type="containsBlanks" dxfId="1841" priority="1770">
      <formula>LEN(TRIM(M100))=0</formula>
    </cfRule>
  </conditionalFormatting>
  <conditionalFormatting sqref="M63:T63">
    <cfRule type="containsBlanks" dxfId="1840" priority="1769">
      <formula>LEN(TRIM(M63))=0</formula>
    </cfRule>
  </conditionalFormatting>
  <conditionalFormatting sqref="M64:S64">
    <cfRule type="containsBlanks" dxfId="1839" priority="1768">
      <formula>LEN(TRIM(M64))=0</formula>
    </cfRule>
  </conditionalFormatting>
  <conditionalFormatting sqref="O61:Q61">
    <cfRule type="containsBlanks" dxfId="1838" priority="1767">
      <formula>LEN(TRIM(O61))=0</formula>
    </cfRule>
  </conditionalFormatting>
  <conditionalFormatting sqref="O62:Q62">
    <cfRule type="containsBlanks" dxfId="1837" priority="1766">
      <formula>LEN(TRIM(O62))=0</formula>
    </cfRule>
  </conditionalFormatting>
  <conditionalFormatting sqref="O64:Q64">
    <cfRule type="containsBlanks" dxfId="1836" priority="1765">
      <formula>LEN(TRIM(O64))=0</formula>
    </cfRule>
  </conditionalFormatting>
  <conditionalFormatting sqref="N60:T60">
    <cfRule type="containsBlanks" dxfId="1835" priority="1764">
      <formula>LEN(TRIM(N60))=0</formula>
    </cfRule>
  </conditionalFormatting>
  <conditionalFormatting sqref="M77:S77">
    <cfRule type="containsBlanks" dxfId="1834" priority="1763">
      <formula>LEN(TRIM(M77))=0</formula>
    </cfRule>
  </conditionalFormatting>
  <conditionalFormatting sqref="N80:T80">
    <cfRule type="containsBlanks" dxfId="1833" priority="1762">
      <formula>LEN(TRIM(N80))=0</formula>
    </cfRule>
  </conditionalFormatting>
  <conditionalFormatting sqref="O82:Q82">
    <cfRule type="containsBlanks" dxfId="1832" priority="1761">
      <formula>LEN(TRIM(O82))=0</formula>
    </cfRule>
  </conditionalFormatting>
  <conditionalFormatting sqref="M84:T84">
    <cfRule type="containsBlanks" dxfId="1831" priority="1760">
      <formula>LEN(TRIM(M84))=0</formula>
    </cfRule>
  </conditionalFormatting>
  <conditionalFormatting sqref="M90:T90">
    <cfRule type="containsBlanks" dxfId="1830" priority="1759">
      <formula>LEN(TRIM(M90))=0</formula>
    </cfRule>
  </conditionalFormatting>
  <conditionalFormatting sqref="O91:S91">
    <cfRule type="containsBlanks" dxfId="1829" priority="1758">
      <formula>LEN(TRIM(O91))=0</formula>
    </cfRule>
  </conditionalFormatting>
  <conditionalFormatting sqref="M91:N91">
    <cfRule type="containsBlanks" dxfId="1828" priority="1757">
      <formula>LEN(TRIM(M91))=0</formula>
    </cfRule>
  </conditionalFormatting>
  <conditionalFormatting sqref="M54:T54">
    <cfRule type="containsBlanks" dxfId="1827" priority="1756">
      <formula>LEN(TRIM(M54))=0</formula>
    </cfRule>
  </conditionalFormatting>
  <conditionalFormatting sqref="M55:S55">
    <cfRule type="containsBlanks" dxfId="1826" priority="1755">
      <formula>LEN(TRIM(M55))=0</formula>
    </cfRule>
  </conditionalFormatting>
  <conditionalFormatting sqref="O65:Q65">
    <cfRule type="containsBlanks" dxfId="1825" priority="1754">
      <formula>LEN(TRIM(O65))=0</formula>
    </cfRule>
  </conditionalFormatting>
  <conditionalFormatting sqref="O66:Q66">
    <cfRule type="containsBlanks" dxfId="1824" priority="1753">
      <formula>LEN(TRIM(O66))=0</formula>
    </cfRule>
  </conditionalFormatting>
  <conditionalFormatting sqref="O68:Q68">
    <cfRule type="containsBlanks" dxfId="1823" priority="1752">
      <formula>LEN(TRIM(O68))=0</formula>
    </cfRule>
  </conditionalFormatting>
  <conditionalFormatting sqref="N64:T64">
    <cfRule type="containsBlanks" dxfId="1822" priority="1751">
      <formula>LEN(TRIM(N64))=0</formula>
    </cfRule>
  </conditionalFormatting>
  <conditionalFormatting sqref="M81:S81">
    <cfRule type="containsBlanks" dxfId="1821" priority="1750">
      <formula>LEN(TRIM(M81))=0</formula>
    </cfRule>
  </conditionalFormatting>
  <conditionalFormatting sqref="N84:T84">
    <cfRule type="containsBlanks" dxfId="1820" priority="1749">
      <formula>LEN(TRIM(N84))=0</formula>
    </cfRule>
  </conditionalFormatting>
  <conditionalFormatting sqref="O86:Q86">
    <cfRule type="containsBlanks" dxfId="1819" priority="1748">
      <formula>LEN(TRIM(O86))=0</formula>
    </cfRule>
  </conditionalFormatting>
  <conditionalFormatting sqref="M88:T88">
    <cfRule type="containsBlanks" dxfId="1818" priority="1747">
      <formula>LEN(TRIM(M88))=0</formula>
    </cfRule>
  </conditionalFormatting>
  <conditionalFormatting sqref="M94:T94">
    <cfRule type="containsBlanks" dxfId="1817" priority="1746">
      <formula>LEN(TRIM(M94))=0</formula>
    </cfRule>
  </conditionalFormatting>
  <conditionalFormatting sqref="O95:S95">
    <cfRule type="containsBlanks" dxfId="1816" priority="1745">
      <formula>LEN(TRIM(O95))=0</formula>
    </cfRule>
  </conditionalFormatting>
  <conditionalFormatting sqref="M95:N95">
    <cfRule type="containsBlanks" dxfId="1815" priority="1744">
      <formula>LEN(TRIM(M95))=0</formula>
    </cfRule>
  </conditionalFormatting>
  <conditionalFormatting sqref="M58:T58">
    <cfRule type="containsBlanks" dxfId="1814" priority="1743">
      <formula>LEN(TRIM(M58))=0</formula>
    </cfRule>
  </conditionalFormatting>
  <conditionalFormatting sqref="M59:S59">
    <cfRule type="containsBlanks" dxfId="1813" priority="1742">
      <formula>LEN(TRIM(M59))=0</formula>
    </cfRule>
  </conditionalFormatting>
  <conditionalFormatting sqref="O56:Q56">
    <cfRule type="containsBlanks" dxfId="1812" priority="1741">
      <formula>LEN(TRIM(O56))=0</formula>
    </cfRule>
  </conditionalFormatting>
  <conditionalFormatting sqref="O57:Q57">
    <cfRule type="containsBlanks" dxfId="1811" priority="1740">
      <formula>LEN(TRIM(O57))=0</formula>
    </cfRule>
  </conditionalFormatting>
  <conditionalFormatting sqref="O59:Q59">
    <cfRule type="containsBlanks" dxfId="1810" priority="1739">
      <formula>LEN(TRIM(O59))=0</formula>
    </cfRule>
  </conditionalFormatting>
  <conditionalFormatting sqref="N55:T55">
    <cfRule type="containsBlanks" dxfId="1809" priority="1738">
      <formula>LEN(TRIM(N55))=0</formula>
    </cfRule>
  </conditionalFormatting>
  <conditionalFormatting sqref="M72:S72">
    <cfRule type="containsBlanks" dxfId="1808" priority="1737">
      <formula>LEN(TRIM(M72))=0</formula>
    </cfRule>
  </conditionalFormatting>
  <conditionalFormatting sqref="N75:T75">
    <cfRule type="containsBlanks" dxfId="1807" priority="1736">
      <formula>LEN(TRIM(N75))=0</formula>
    </cfRule>
  </conditionalFormatting>
  <conditionalFormatting sqref="O77:Q77">
    <cfRule type="containsBlanks" dxfId="1806" priority="1735">
      <formula>LEN(TRIM(O77))=0</formula>
    </cfRule>
  </conditionalFormatting>
  <conditionalFormatting sqref="M79:T79">
    <cfRule type="containsBlanks" dxfId="1805" priority="1734">
      <formula>LEN(TRIM(M79))=0</formula>
    </cfRule>
  </conditionalFormatting>
  <conditionalFormatting sqref="M85:T85">
    <cfRule type="containsBlanks" dxfId="1804" priority="1733">
      <formula>LEN(TRIM(M85))=0</formula>
    </cfRule>
  </conditionalFormatting>
  <conditionalFormatting sqref="O86:S86">
    <cfRule type="containsBlanks" dxfId="1803" priority="1732">
      <formula>LEN(TRIM(O86))=0</formula>
    </cfRule>
  </conditionalFormatting>
  <conditionalFormatting sqref="M86:N86">
    <cfRule type="containsBlanks" dxfId="1802" priority="1731">
      <formula>LEN(TRIM(M86))=0</formula>
    </cfRule>
  </conditionalFormatting>
  <conditionalFormatting sqref="O54:Q54">
    <cfRule type="containsBlanks" dxfId="1801" priority="1730">
      <formula>LEN(TRIM(O54))=0</formula>
    </cfRule>
  </conditionalFormatting>
  <conditionalFormatting sqref="O67:Q67">
    <cfRule type="containsBlanks" dxfId="1800" priority="1729">
      <formula>LEN(TRIM(O67))=0</formula>
    </cfRule>
  </conditionalFormatting>
  <conditionalFormatting sqref="O68:Q68">
    <cfRule type="containsBlanks" dxfId="1799" priority="1728">
      <formula>LEN(TRIM(O68))=0</formula>
    </cfRule>
  </conditionalFormatting>
  <conditionalFormatting sqref="O70:Q70">
    <cfRule type="containsBlanks" dxfId="1798" priority="1727">
      <formula>LEN(TRIM(O70))=0</formula>
    </cfRule>
  </conditionalFormatting>
  <conditionalFormatting sqref="N66:T66">
    <cfRule type="containsBlanks" dxfId="1797" priority="1726">
      <formula>LEN(TRIM(N66))=0</formula>
    </cfRule>
  </conditionalFormatting>
  <conditionalFormatting sqref="M83:S83">
    <cfRule type="containsBlanks" dxfId="1796" priority="1725">
      <formula>LEN(TRIM(M83))=0</formula>
    </cfRule>
  </conditionalFormatting>
  <conditionalFormatting sqref="N86:T86">
    <cfRule type="containsBlanks" dxfId="1795" priority="1724">
      <formula>LEN(TRIM(N86))=0</formula>
    </cfRule>
  </conditionalFormatting>
  <conditionalFormatting sqref="O88:Q88">
    <cfRule type="containsBlanks" dxfId="1794" priority="1723">
      <formula>LEN(TRIM(O88))=0</formula>
    </cfRule>
  </conditionalFormatting>
  <conditionalFormatting sqref="M90:T90">
    <cfRule type="containsBlanks" dxfId="1793" priority="1722">
      <formula>LEN(TRIM(M90))=0</formula>
    </cfRule>
  </conditionalFormatting>
  <conditionalFormatting sqref="M96:T96">
    <cfRule type="containsBlanks" dxfId="1792" priority="1721">
      <formula>LEN(TRIM(M96))=0</formula>
    </cfRule>
  </conditionalFormatting>
  <conditionalFormatting sqref="O97:S97">
    <cfRule type="containsBlanks" dxfId="1791" priority="1720">
      <formula>LEN(TRIM(O97))=0</formula>
    </cfRule>
  </conditionalFormatting>
  <conditionalFormatting sqref="M97:N97">
    <cfRule type="containsBlanks" dxfId="1790" priority="1719">
      <formula>LEN(TRIM(M97))=0</formula>
    </cfRule>
  </conditionalFormatting>
  <conditionalFormatting sqref="M60:T60">
    <cfRule type="containsBlanks" dxfId="1789" priority="1718">
      <formula>LEN(TRIM(M60))=0</formula>
    </cfRule>
  </conditionalFormatting>
  <conditionalFormatting sqref="M61:S61">
    <cfRule type="containsBlanks" dxfId="1788" priority="1717">
      <formula>LEN(TRIM(M61))=0</formula>
    </cfRule>
  </conditionalFormatting>
  <conditionalFormatting sqref="O58:Q58">
    <cfRule type="containsBlanks" dxfId="1787" priority="1716">
      <formula>LEN(TRIM(O58))=0</formula>
    </cfRule>
  </conditionalFormatting>
  <conditionalFormatting sqref="O59:Q59">
    <cfRule type="containsBlanks" dxfId="1786" priority="1715">
      <formula>LEN(TRIM(O59))=0</formula>
    </cfRule>
  </conditionalFormatting>
  <conditionalFormatting sqref="O61:Q61">
    <cfRule type="containsBlanks" dxfId="1785" priority="1714">
      <formula>LEN(TRIM(O61))=0</formula>
    </cfRule>
  </conditionalFormatting>
  <conditionalFormatting sqref="N57:T57">
    <cfRule type="containsBlanks" dxfId="1784" priority="1713">
      <formula>LEN(TRIM(N57))=0</formula>
    </cfRule>
  </conditionalFormatting>
  <conditionalFormatting sqref="M74:S74">
    <cfRule type="containsBlanks" dxfId="1783" priority="1712">
      <formula>LEN(TRIM(M74))=0</formula>
    </cfRule>
  </conditionalFormatting>
  <conditionalFormatting sqref="N77:T77">
    <cfRule type="containsBlanks" dxfId="1782" priority="1711">
      <formula>LEN(TRIM(N77))=0</formula>
    </cfRule>
  </conditionalFormatting>
  <conditionalFormatting sqref="O79:Q79">
    <cfRule type="containsBlanks" dxfId="1781" priority="1710">
      <formula>LEN(TRIM(O79))=0</formula>
    </cfRule>
  </conditionalFormatting>
  <conditionalFormatting sqref="M81:T81">
    <cfRule type="containsBlanks" dxfId="1780" priority="1709">
      <formula>LEN(TRIM(M81))=0</formula>
    </cfRule>
  </conditionalFormatting>
  <conditionalFormatting sqref="M87:T87">
    <cfRule type="containsBlanks" dxfId="1779" priority="1708">
      <formula>LEN(TRIM(M87))=0</formula>
    </cfRule>
  </conditionalFormatting>
  <conditionalFormatting sqref="O88:S88">
    <cfRule type="containsBlanks" dxfId="1778" priority="1707">
      <formula>LEN(TRIM(O88))=0</formula>
    </cfRule>
  </conditionalFormatting>
  <conditionalFormatting sqref="M88:N88">
    <cfRule type="containsBlanks" dxfId="1777" priority="1706">
      <formula>LEN(TRIM(M88))=0</formula>
    </cfRule>
  </conditionalFormatting>
  <conditionalFormatting sqref="O62:Q62">
    <cfRule type="containsBlanks" dxfId="1776" priority="1705">
      <formula>LEN(TRIM(O62))=0</formula>
    </cfRule>
  </conditionalFormatting>
  <conditionalFormatting sqref="O63:Q63">
    <cfRule type="containsBlanks" dxfId="1775" priority="1704">
      <formula>LEN(TRIM(O63))=0</formula>
    </cfRule>
  </conditionalFormatting>
  <conditionalFormatting sqref="O65:Q65">
    <cfRule type="containsBlanks" dxfId="1774" priority="1703">
      <formula>LEN(TRIM(O65))=0</formula>
    </cfRule>
  </conditionalFormatting>
  <conditionalFormatting sqref="N61:T61">
    <cfRule type="containsBlanks" dxfId="1773" priority="1702">
      <formula>LEN(TRIM(N61))=0</formula>
    </cfRule>
  </conditionalFormatting>
  <conditionalFormatting sqref="M78:S78">
    <cfRule type="containsBlanks" dxfId="1772" priority="1701">
      <formula>LEN(TRIM(M78))=0</formula>
    </cfRule>
  </conditionalFormatting>
  <conditionalFormatting sqref="N81:T81">
    <cfRule type="containsBlanks" dxfId="1771" priority="1700">
      <formula>LEN(TRIM(N81))=0</formula>
    </cfRule>
  </conditionalFormatting>
  <conditionalFormatting sqref="O83:Q83">
    <cfRule type="containsBlanks" dxfId="1770" priority="1699">
      <formula>LEN(TRIM(O83))=0</formula>
    </cfRule>
  </conditionalFormatting>
  <conditionalFormatting sqref="M85:T85">
    <cfRule type="containsBlanks" dxfId="1769" priority="1698">
      <formula>LEN(TRIM(M85))=0</formula>
    </cfRule>
  </conditionalFormatting>
  <conditionalFormatting sqref="M91:T91">
    <cfRule type="containsBlanks" dxfId="1768" priority="1697">
      <formula>LEN(TRIM(M91))=0</formula>
    </cfRule>
  </conditionalFormatting>
  <conditionalFormatting sqref="O92:S92">
    <cfRule type="containsBlanks" dxfId="1767" priority="1696">
      <formula>LEN(TRIM(O92))=0</formula>
    </cfRule>
  </conditionalFormatting>
  <conditionalFormatting sqref="M92:N92">
    <cfRule type="containsBlanks" dxfId="1766" priority="1695">
      <formula>LEN(TRIM(M92))=0</formula>
    </cfRule>
  </conditionalFormatting>
  <conditionalFormatting sqref="M55:T55">
    <cfRule type="containsBlanks" dxfId="1765" priority="1694">
      <formula>LEN(TRIM(M55))=0</formula>
    </cfRule>
  </conditionalFormatting>
  <conditionalFormatting sqref="M56:S56">
    <cfRule type="containsBlanks" dxfId="1764" priority="1693">
      <formula>LEN(TRIM(M56))=0</formula>
    </cfRule>
  </conditionalFormatting>
  <conditionalFormatting sqref="O54:Q54">
    <cfRule type="containsBlanks" dxfId="1763" priority="1692">
      <formula>LEN(TRIM(O54))=0</formula>
    </cfRule>
  </conditionalFormatting>
  <conditionalFormatting sqref="O56:Q56">
    <cfRule type="containsBlanks" dxfId="1762" priority="1691">
      <formula>LEN(TRIM(O56))=0</formula>
    </cfRule>
  </conditionalFormatting>
  <conditionalFormatting sqref="M69:S69">
    <cfRule type="containsBlanks" dxfId="1761" priority="1690">
      <formula>LEN(TRIM(M69))=0</formula>
    </cfRule>
  </conditionalFormatting>
  <conditionalFormatting sqref="N72:T72">
    <cfRule type="containsBlanks" dxfId="1760" priority="1689">
      <formula>LEN(TRIM(N72))=0</formula>
    </cfRule>
  </conditionalFormatting>
  <conditionalFormatting sqref="O74:Q74">
    <cfRule type="containsBlanks" dxfId="1759" priority="1688">
      <formula>LEN(TRIM(O74))=0</formula>
    </cfRule>
  </conditionalFormatting>
  <conditionalFormatting sqref="M76:T76">
    <cfRule type="containsBlanks" dxfId="1758" priority="1687">
      <formula>LEN(TRIM(M76))=0</formula>
    </cfRule>
  </conditionalFormatting>
  <conditionalFormatting sqref="M82:T82">
    <cfRule type="containsBlanks" dxfId="1757" priority="1686">
      <formula>LEN(TRIM(M82))=0</formula>
    </cfRule>
  </conditionalFormatting>
  <conditionalFormatting sqref="O83:S83">
    <cfRule type="containsBlanks" dxfId="1756" priority="1685">
      <formula>LEN(TRIM(O83))=0</formula>
    </cfRule>
  </conditionalFormatting>
  <conditionalFormatting sqref="M83:N83">
    <cfRule type="containsBlanks" dxfId="1755" priority="1684">
      <formula>LEN(TRIM(M83))=0</formula>
    </cfRule>
  </conditionalFormatting>
  <conditionalFormatting sqref="O56:Q56">
    <cfRule type="containsBlanks" dxfId="1754" priority="1683">
      <formula>LEN(TRIM(O56))=0</formula>
    </cfRule>
  </conditionalFormatting>
  <conditionalFormatting sqref="O54:Q54">
    <cfRule type="containsBlanks" dxfId="1753" priority="1682">
      <formula>LEN(TRIM(O54))=0</formula>
    </cfRule>
  </conditionalFormatting>
  <conditionalFormatting sqref="O58:Q58">
    <cfRule type="containsBlanks" dxfId="1752" priority="1681">
      <formula>LEN(TRIM(O58))=0</formula>
    </cfRule>
  </conditionalFormatting>
  <conditionalFormatting sqref="O60:Q60">
    <cfRule type="containsBlanks" dxfId="1751" priority="1680">
      <formula>LEN(TRIM(O60))=0</formula>
    </cfRule>
  </conditionalFormatting>
  <conditionalFormatting sqref="O62:Q62">
    <cfRule type="containsBlanks" dxfId="1750" priority="1679">
      <formula>LEN(TRIM(O62))=0</formula>
    </cfRule>
  </conditionalFormatting>
  <conditionalFormatting sqref="O75:Q75">
    <cfRule type="containsBlanks" dxfId="1749" priority="1678">
      <formula>LEN(TRIM(O75))=0</formula>
    </cfRule>
  </conditionalFormatting>
  <conditionalFormatting sqref="O76:Q76">
    <cfRule type="containsBlanks" dxfId="1748" priority="1677">
      <formula>LEN(TRIM(O76))=0</formula>
    </cfRule>
  </conditionalFormatting>
  <conditionalFormatting sqref="O78:Q78">
    <cfRule type="containsBlanks" dxfId="1747" priority="1676">
      <formula>LEN(TRIM(O78))=0</formula>
    </cfRule>
  </conditionalFormatting>
  <conditionalFormatting sqref="N74:T74">
    <cfRule type="containsBlanks" dxfId="1746" priority="1675">
      <formula>LEN(TRIM(N74))=0</formula>
    </cfRule>
  </conditionalFormatting>
  <conditionalFormatting sqref="M91:S91">
    <cfRule type="containsBlanks" dxfId="1745" priority="1674">
      <formula>LEN(TRIM(M91))=0</formula>
    </cfRule>
  </conditionalFormatting>
  <conditionalFormatting sqref="N94:T94">
    <cfRule type="containsBlanks" dxfId="1744" priority="1673">
      <formula>LEN(TRIM(N94))=0</formula>
    </cfRule>
  </conditionalFormatting>
  <conditionalFormatting sqref="O96:Q96">
    <cfRule type="containsBlanks" dxfId="1743" priority="1672">
      <formula>LEN(TRIM(O96))=0</formula>
    </cfRule>
  </conditionalFormatting>
  <conditionalFormatting sqref="M98:T98">
    <cfRule type="containsBlanks" dxfId="1742" priority="1671">
      <formula>LEN(TRIM(M98))=0</formula>
    </cfRule>
  </conditionalFormatting>
  <conditionalFormatting sqref="M104:T104">
    <cfRule type="containsBlanks" dxfId="1741" priority="1670">
      <formula>LEN(TRIM(M104))=0</formula>
    </cfRule>
  </conditionalFormatting>
  <conditionalFormatting sqref="O105:S105">
    <cfRule type="containsBlanks" dxfId="1740" priority="1669">
      <formula>LEN(TRIM(O105))=0</formula>
    </cfRule>
  </conditionalFormatting>
  <conditionalFormatting sqref="M105:N105">
    <cfRule type="containsBlanks" dxfId="1739" priority="1668">
      <formula>LEN(TRIM(M105))=0</formula>
    </cfRule>
  </conditionalFormatting>
  <conditionalFormatting sqref="M68:T68">
    <cfRule type="containsBlanks" dxfId="1738" priority="1667">
      <formula>LEN(TRIM(M68))=0</formula>
    </cfRule>
  </conditionalFormatting>
  <conditionalFormatting sqref="M69:S69">
    <cfRule type="containsBlanks" dxfId="1737" priority="1666">
      <formula>LEN(TRIM(M69))=0</formula>
    </cfRule>
  </conditionalFormatting>
  <conditionalFormatting sqref="O66:Q66">
    <cfRule type="containsBlanks" dxfId="1736" priority="1665">
      <formula>LEN(TRIM(O66))=0</formula>
    </cfRule>
  </conditionalFormatting>
  <conditionalFormatting sqref="O67:Q67">
    <cfRule type="containsBlanks" dxfId="1735" priority="1664">
      <formula>LEN(TRIM(O67))=0</formula>
    </cfRule>
  </conditionalFormatting>
  <conditionalFormatting sqref="O69:Q69">
    <cfRule type="containsBlanks" dxfId="1734" priority="1663">
      <formula>LEN(TRIM(O69))=0</formula>
    </cfRule>
  </conditionalFormatting>
  <conditionalFormatting sqref="N65:T65">
    <cfRule type="containsBlanks" dxfId="1733" priority="1662">
      <formula>LEN(TRIM(N65))=0</formula>
    </cfRule>
  </conditionalFormatting>
  <conditionalFormatting sqref="M82:S82">
    <cfRule type="containsBlanks" dxfId="1732" priority="1661">
      <formula>LEN(TRIM(M82))=0</formula>
    </cfRule>
  </conditionalFormatting>
  <conditionalFormatting sqref="N85:T85">
    <cfRule type="containsBlanks" dxfId="1731" priority="1660">
      <formula>LEN(TRIM(N85))=0</formula>
    </cfRule>
  </conditionalFormatting>
  <conditionalFormatting sqref="O87:Q87">
    <cfRule type="containsBlanks" dxfId="1730" priority="1659">
      <formula>LEN(TRIM(O87))=0</formula>
    </cfRule>
  </conditionalFormatting>
  <conditionalFormatting sqref="M89:T89">
    <cfRule type="containsBlanks" dxfId="1729" priority="1658">
      <formula>LEN(TRIM(M89))=0</formula>
    </cfRule>
  </conditionalFormatting>
  <conditionalFormatting sqref="M95:T95">
    <cfRule type="containsBlanks" dxfId="1728" priority="1657">
      <formula>LEN(TRIM(M95))=0</formula>
    </cfRule>
  </conditionalFormatting>
  <conditionalFormatting sqref="O96:S96">
    <cfRule type="containsBlanks" dxfId="1727" priority="1656">
      <formula>LEN(TRIM(O96))=0</formula>
    </cfRule>
  </conditionalFormatting>
  <conditionalFormatting sqref="M96:N96">
    <cfRule type="containsBlanks" dxfId="1726" priority="1655">
      <formula>LEN(TRIM(M96))=0</formula>
    </cfRule>
  </conditionalFormatting>
  <conditionalFormatting sqref="M59:T59">
    <cfRule type="containsBlanks" dxfId="1725" priority="1654">
      <formula>LEN(TRIM(M59))=0</formula>
    </cfRule>
  </conditionalFormatting>
  <conditionalFormatting sqref="M60:S60">
    <cfRule type="containsBlanks" dxfId="1724" priority="1653">
      <formula>LEN(TRIM(M60))=0</formula>
    </cfRule>
  </conditionalFormatting>
  <conditionalFormatting sqref="O55:Q55">
    <cfRule type="containsBlanks" dxfId="1723" priority="1652">
      <formula>LEN(TRIM(O55))=0</formula>
    </cfRule>
  </conditionalFormatting>
  <conditionalFormatting sqref="O57:Q57">
    <cfRule type="containsBlanks" dxfId="1722" priority="1651">
      <formula>LEN(TRIM(O57))=0</formula>
    </cfRule>
  </conditionalFormatting>
  <conditionalFormatting sqref="O70:Q70">
    <cfRule type="containsBlanks" dxfId="1721" priority="1650">
      <formula>LEN(TRIM(O70))=0</formula>
    </cfRule>
  </conditionalFormatting>
  <conditionalFormatting sqref="O71:Q71">
    <cfRule type="containsBlanks" dxfId="1720" priority="1649">
      <formula>LEN(TRIM(O71))=0</formula>
    </cfRule>
  </conditionalFormatting>
  <conditionalFormatting sqref="O73:Q73">
    <cfRule type="containsBlanks" dxfId="1719" priority="1648">
      <formula>LEN(TRIM(O73))=0</formula>
    </cfRule>
  </conditionalFormatting>
  <conditionalFormatting sqref="N69:T69">
    <cfRule type="containsBlanks" dxfId="1718" priority="1647">
      <formula>LEN(TRIM(N69))=0</formula>
    </cfRule>
  </conditionalFormatting>
  <conditionalFormatting sqref="M86:S86">
    <cfRule type="containsBlanks" dxfId="1717" priority="1646">
      <formula>LEN(TRIM(M86))=0</formula>
    </cfRule>
  </conditionalFormatting>
  <conditionalFormatting sqref="N89:T89">
    <cfRule type="containsBlanks" dxfId="1716" priority="1645">
      <formula>LEN(TRIM(N89))=0</formula>
    </cfRule>
  </conditionalFormatting>
  <conditionalFormatting sqref="O91:Q91">
    <cfRule type="containsBlanks" dxfId="1715" priority="1644">
      <formula>LEN(TRIM(O91))=0</formula>
    </cfRule>
  </conditionalFormatting>
  <conditionalFormatting sqref="M93:T93">
    <cfRule type="containsBlanks" dxfId="1714" priority="1643">
      <formula>LEN(TRIM(M93))=0</formula>
    </cfRule>
  </conditionalFormatting>
  <conditionalFormatting sqref="O100:S100">
    <cfRule type="containsBlanks" dxfId="1713" priority="1641">
      <formula>LEN(TRIM(O100))=0</formula>
    </cfRule>
  </conditionalFormatting>
  <conditionalFormatting sqref="M100:N100">
    <cfRule type="containsBlanks" dxfId="1712" priority="1640">
      <formula>LEN(TRIM(M100))=0</formula>
    </cfRule>
  </conditionalFormatting>
  <conditionalFormatting sqref="M63:T63">
    <cfRule type="containsBlanks" dxfId="1711" priority="1639">
      <formula>LEN(TRIM(M63))=0</formula>
    </cfRule>
  </conditionalFormatting>
  <conditionalFormatting sqref="M64:S64">
    <cfRule type="containsBlanks" dxfId="1710" priority="1638">
      <formula>LEN(TRIM(M64))=0</formula>
    </cfRule>
  </conditionalFormatting>
  <conditionalFormatting sqref="O61:Q61">
    <cfRule type="containsBlanks" dxfId="1709" priority="1637">
      <formula>LEN(TRIM(O61))=0</formula>
    </cfRule>
  </conditionalFormatting>
  <conditionalFormatting sqref="O62:Q62">
    <cfRule type="containsBlanks" dxfId="1708" priority="1636">
      <formula>LEN(TRIM(O62))=0</formula>
    </cfRule>
  </conditionalFormatting>
  <conditionalFormatting sqref="O64:Q64">
    <cfRule type="containsBlanks" dxfId="1707" priority="1635">
      <formula>LEN(TRIM(O64))=0</formula>
    </cfRule>
  </conditionalFormatting>
  <conditionalFormatting sqref="N60:T60">
    <cfRule type="containsBlanks" dxfId="1706" priority="1634">
      <formula>LEN(TRIM(N60))=0</formula>
    </cfRule>
  </conditionalFormatting>
  <conditionalFormatting sqref="M77:S77">
    <cfRule type="containsBlanks" dxfId="1705" priority="1633">
      <formula>LEN(TRIM(M77))=0</formula>
    </cfRule>
  </conditionalFormatting>
  <conditionalFormatting sqref="N80:T80">
    <cfRule type="containsBlanks" dxfId="1704" priority="1632">
      <formula>LEN(TRIM(N80))=0</formula>
    </cfRule>
  </conditionalFormatting>
  <conditionalFormatting sqref="O82:Q82">
    <cfRule type="containsBlanks" dxfId="1703" priority="1631">
      <formula>LEN(TRIM(O82))=0</formula>
    </cfRule>
  </conditionalFormatting>
  <conditionalFormatting sqref="M84:T84">
    <cfRule type="containsBlanks" dxfId="1702" priority="1630">
      <formula>LEN(TRIM(M84))=0</formula>
    </cfRule>
  </conditionalFormatting>
  <conditionalFormatting sqref="M90:T90">
    <cfRule type="containsBlanks" dxfId="1701" priority="1629">
      <formula>LEN(TRIM(M90))=0</formula>
    </cfRule>
  </conditionalFormatting>
  <conditionalFormatting sqref="O91:S91">
    <cfRule type="containsBlanks" dxfId="1700" priority="1628">
      <formula>LEN(TRIM(O91))=0</formula>
    </cfRule>
  </conditionalFormatting>
  <conditionalFormatting sqref="M91:N91">
    <cfRule type="containsBlanks" dxfId="1699" priority="1627">
      <formula>LEN(TRIM(M91))=0</formula>
    </cfRule>
  </conditionalFormatting>
  <conditionalFormatting sqref="M54:T54">
    <cfRule type="containsBlanks" dxfId="1698" priority="1626">
      <formula>LEN(TRIM(M54))=0</formula>
    </cfRule>
  </conditionalFormatting>
  <conditionalFormatting sqref="M55:S55">
    <cfRule type="containsBlanks" dxfId="1697" priority="1625">
      <formula>LEN(TRIM(M55))=0</formula>
    </cfRule>
  </conditionalFormatting>
  <conditionalFormatting sqref="O55:Q55">
    <cfRule type="containsBlanks" dxfId="1696" priority="1624">
      <formula>LEN(TRIM(O55))=0</formula>
    </cfRule>
  </conditionalFormatting>
  <conditionalFormatting sqref="O57:Q57">
    <cfRule type="containsBlanks" dxfId="1695" priority="1623">
      <formula>LEN(TRIM(O57))=0</formula>
    </cfRule>
  </conditionalFormatting>
  <conditionalFormatting sqref="O59:Q59">
    <cfRule type="containsBlanks" dxfId="1694" priority="1622">
      <formula>LEN(TRIM(O59))=0</formula>
    </cfRule>
  </conditionalFormatting>
  <conditionalFormatting sqref="O72:Q72">
    <cfRule type="containsBlanks" dxfId="1693" priority="1621">
      <formula>LEN(TRIM(O72))=0</formula>
    </cfRule>
  </conditionalFormatting>
  <conditionalFormatting sqref="O73:Q73">
    <cfRule type="containsBlanks" dxfId="1692" priority="1620">
      <formula>LEN(TRIM(O73))=0</formula>
    </cfRule>
  </conditionalFormatting>
  <conditionalFormatting sqref="O75:Q75">
    <cfRule type="containsBlanks" dxfId="1691" priority="1619">
      <formula>LEN(TRIM(O75))=0</formula>
    </cfRule>
  </conditionalFormatting>
  <conditionalFormatting sqref="N71:T71">
    <cfRule type="containsBlanks" dxfId="1690" priority="1618">
      <formula>LEN(TRIM(N71))=0</formula>
    </cfRule>
  </conditionalFormatting>
  <conditionalFormatting sqref="M88:S88">
    <cfRule type="containsBlanks" dxfId="1689" priority="1617">
      <formula>LEN(TRIM(M88))=0</formula>
    </cfRule>
  </conditionalFormatting>
  <conditionalFormatting sqref="N91:T91">
    <cfRule type="containsBlanks" dxfId="1688" priority="1616">
      <formula>LEN(TRIM(N91))=0</formula>
    </cfRule>
  </conditionalFormatting>
  <conditionalFormatting sqref="O93:Q93">
    <cfRule type="containsBlanks" dxfId="1687" priority="1615">
      <formula>LEN(TRIM(O93))=0</formula>
    </cfRule>
  </conditionalFormatting>
  <conditionalFormatting sqref="M95:T95">
    <cfRule type="containsBlanks" dxfId="1686" priority="1614">
      <formula>LEN(TRIM(M95))=0</formula>
    </cfRule>
  </conditionalFormatting>
  <conditionalFormatting sqref="M101:T101">
    <cfRule type="containsBlanks" dxfId="1685" priority="1613">
      <formula>LEN(TRIM(M101))=0</formula>
    </cfRule>
  </conditionalFormatting>
  <conditionalFormatting sqref="O102:S102">
    <cfRule type="containsBlanks" dxfId="1684" priority="1612">
      <formula>LEN(TRIM(O102))=0</formula>
    </cfRule>
  </conditionalFormatting>
  <conditionalFormatting sqref="M102:N102">
    <cfRule type="containsBlanks" dxfId="1683" priority="1611">
      <formula>LEN(TRIM(M102))=0</formula>
    </cfRule>
  </conditionalFormatting>
  <conditionalFormatting sqref="M65:T65">
    <cfRule type="containsBlanks" dxfId="1682" priority="1610">
      <formula>LEN(TRIM(M65))=0</formula>
    </cfRule>
  </conditionalFormatting>
  <conditionalFormatting sqref="M66:S66">
    <cfRule type="containsBlanks" dxfId="1681" priority="1609">
      <formula>LEN(TRIM(M66))=0</formula>
    </cfRule>
  </conditionalFormatting>
  <conditionalFormatting sqref="O63:Q63">
    <cfRule type="containsBlanks" dxfId="1680" priority="1608">
      <formula>LEN(TRIM(O63))=0</formula>
    </cfRule>
  </conditionalFormatting>
  <conditionalFormatting sqref="O64:Q64">
    <cfRule type="containsBlanks" dxfId="1679" priority="1607">
      <formula>LEN(TRIM(O64))=0</formula>
    </cfRule>
  </conditionalFormatting>
  <conditionalFormatting sqref="O66:Q66">
    <cfRule type="containsBlanks" dxfId="1678" priority="1606">
      <formula>LEN(TRIM(O66))=0</formula>
    </cfRule>
  </conditionalFormatting>
  <conditionalFormatting sqref="N62:T62">
    <cfRule type="containsBlanks" dxfId="1677" priority="1605">
      <formula>LEN(TRIM(N62))=0</formula>
    </cfRule>
  </conditionalFormatting>
  <conditionalFormatting sqref="M79:S79">
    <cfRule type="containsBlanks" dxfId="1676" priority="1604">
      <formula>LEN(TRIM(M79))=0</formula>
    </cfRule>
  </conditionalFormatting>
  <conditionalFormatting sqref="N82:T82">
    <cfRule type="containsBlanks" dxfId="1675" priority="1603">
      <formula>LEN(TRIM(N82))=0</formula>
    </cfRule>
  </conditionalFormatting>
  <conditionalFormatting sqref="O84:Q84">
    <cfRule type="containsBlanks" dxfId="1674" priority="1602">
      <formula>LEN(TRIM(O84))=0</formula>
    </cfRule>
  </conditionalFormatting>
  <conditionalFormatting sqref="M86:T86">
    <cfRule type="containsBlanks" dxfId="1673" priority="1601">
      <formula>LEN(TRIM(M86))=0</formula>
    </cfRule>
  </conditionalFormatting>
  <conditionalFormatting sqref="M92:T92">
    <cfRule type="containsBlanks" dxfId="1672" priority="1600">
      <formula>LEN(TRIM(M92))=0</formula>
    </cfRule>
  </conditionalFormatting>
  <conditionalFormatting sqref="O93:S93">
    <cfRule type="containsBlanks" dxfId="1671" priority="1599">
      <formula>LEN(TRIM(O93))=0</formula>
    </cfRule>
  </conditionalFormatting>
  <conditionalFormatting sqref="M93:N93">
    <cfRule type="containsBlanks" dxfId="1670" priority="1598">
      <formula>LEN(TRIM(M93))=0</formula>
    </cfRule>
  </conditionalFormatting>
  <conditionalFormatting sqref="M56:T56">
    <cfRule type="containsBlanks" dxfId="1669" priority="1597">
      <formula>LEN(TRIM(M56))=0</formula>
    </cfRule>
  </conditionalFormatting>
  <conditionalFormatting sqref="M57:S57">
    <cfRule type="containsBlanks" dxfId="1668" priority="1596">
      <formula>LEN(TRIM(M57))=0</formula>
    </cfRule>
  </conditionalFormatting>
  <conditionalFormatting sqref="O54:Q54">
    <cfRule type="containsBlanks" dxfId="1667" priority="1595">
      <formula>LEN(TRIM(O54))=0</formula>
    </cfRule>
  </conditionalFormatting>
  <conditionalFormatting sqref="O67:Q67">
    <cfRule type="containsBlanks" dxfId="1666" priority="1594">
      <formula>LEN(TRIM(O67))=0</formula>
    </cfRule>
  </conditionalFormatting>
  <conditionalFormatting sqref="O68:Q68">
    <cfRule type="containsBlanks" dxfId="1665" priority="1593">
      <formula>LEN(TRIM(O68))=0</formula>
    </cfRule>
  </conditionalFormatting>
  <conditionalFormatting sqref="O70:Q70">
    <cfRule type="containsBlanks" dxfId="1664" priority="1592">
      <formula>LEN(TRIM(O70))=0</formula>
    </cfRule>
  </conditionalFormatting>
  <conditionalFormatting sqref="N66:T66">
    <cfRule type="containsBlanks" dxfId="1663" priority="1591">
      <formula>LEN(TRIM(N66))=0</formula>
    </cfRule>
  </conditionalFormatting>
  <conditionalFormatting sqref="M83:S83">
    <cfRule type="containsBlanks" dxfId="1662" priority="1590">
      <formula>LEN(TRIM(M83))=0</formula>
    </cfRule>
  </conditionalFormatting>
  <conditionalFormatting sqref="N86:T86">
    <cfRule type="containsBlanks" dxfId="1661" priority="1589">
      <formula>LEN(TRIM(N86))=0</formula>
    </cfRule>
  </conditionalFormatting>
  <conditionalFormatting sqref="O88:Q88">
    <cfRule type="containsBlanks" dxfId="1660" priority="1588">
      <formula>LEN(TRIM(O88))=0</formula>
    </cfRule>
  </conditionalFormatting>
  <conditionalFormatting sqref="M90:T90">
    <cfRule type="containsBlanks" dxfId="1659" priority="1587">
      <formula>LEN(TRIM(M90))=0</formula>
    </cfRule>
  </conditionalFormatting>
  <conditionalFormatting sqref="M96:T96">
    <cfRule type="containsBlanks" dxfId="1658" priority="1586">
      <formula>LEN(TRIM(M96))=0</formula>
    </cfRule>
  </conditionalFormatting>
  <conditionalFormatting sqref="O97:S97">
    <cfRule type="containsBlanks" dxfId="1657" priority="1585">
      <formula>LEN(TRIM(O97))=0</formula>
    </cfRule>
  </conditionalFormatting>
  <conditionalFormatting sqref="M97:N97">
    <cfRule type="containsBlanks" dxfId="1656" priority="1584">
      <formula>LEN(TRIM(M97))=0</formula>
    </cfRule>
  </conditionalFormatting>
  <conditionalFormatting sqref="M60:T60">
    <cfRule type="containsBlanks" dxfId="1655" priority="1583">
      <formula>LEN(TRIM(M60))=0</formula>
    </cfRule>
  </conditionalFormatting>
  <conditionalFormatting sqref="M61:S61">
    <cfRule type="containsBlanks" dxfId="1654" priority="1582">
      <formula>LEN(TRIM(M61))=0</formula>
    </cfRule>
  </conditionalFormatting>
  <conditionalFormatting sqref="O58:Q58">
    <cfRule type="containsBlanks" dxfId="1653" priority="1581">
      <formula>LEN(TRIM(O58))=0</formula>
    </cfRule>
  </conditionalFormatting>
  <conditionalFormatting sqref="O59:Q59">
    <cfRule type="containsBlanks" dxfId="1652" priority="1580">
      <formula>LEN(TRIM(O59))=0</formula>
    </cfRule>
  </conditionalFormatting>
  <conditionalFormatting sqref="O61:Q61">
    <cfRule type="containsBlanks" dxfId="1651" priority="1579">
      <formula>LEN(TRIM(O61))=0</formula>
    </cfRule>
  </conditionalFormatting>
  <conditionalFormatting sqref="N57:T57">
    <cfRule type="containsBlanks" dxfId="1650" priority="1578">
      <formula>LEN(TRIM(N57))=0</formula>
    </cfRule>
  </conditionalFormatting>
  <conditionalFormatting sqref="M74:S74">
    <cfRule type="containsBlanks" dxfId="1649" priority="1577">
      <formula>LEN(TRIM(M74))=0</formula>
    </cfRule>
  </conditionalFormatting>
  <conditionalFormatting sqref="N77:T77">
    <cfRule type="containsBlanks" dxfId="1648" priority="1576">
      <formula>LEN(TRIM(N77))=0</formula>
    </cfRule>
  </conditionalFormatting>
  <conditionalFormatting sqref="O79:Q79">
    <cfRule type="containsBlanks" dxfId="1647" priority="1575">
      <formula>LEN(TRIM(O79))=0</formula>
    </cfRule>
  </conditionalFormatting>
  <conditionalFormatting sqref="M81:T81">
    <cfRule type="containsBlanks" dxfId="1646" priority="1574">
      <formula>LEN(TRIM(M81))=0</formula>
    </cfRule>
  </conditionalFormatting>
  <conditionalFormatting sqref="M87:T87">
    <cfRule type="containsBlanks" dxfId="1645" priority="1573">
      <formula>LEN(TRIM(M87))=0</formula>
    </cfRule>
  </conditionalFormatting>
  <conditionalFormatting sqref="O88:S88">
    <cfRule type="containsBlanks" dxfId="1644" priority="1572">
      <formula>LEN(TRIM(O88))=0</formula>
    </cfRule>
  </conditionalFormatting>
  <conditionalFormatting sqref="M88:N88">
    <cfRule type="containsBlanks" dxfId="1643" priority="1571">
      <formula>LEN(TRIM(M88))=0</formula>
    </cfRule>
  </conditionalFormatting>
  <conditionalFormatting sqref="O55:Q55">
    <cfRule type="containsBlanks" dxfId="1642" priority="1570">
      <formula>LEN(TRIM(O55))=0</formula>
    </cfRule>
  </conditionalFormatting>
  <conditionalFormatting sqref="O57:Q57">
    <cfRule type="containsBlanks" dxfId="1641" priority="1569">
      <formula>LEN(TRIM(O57))=0</formula>
    </cfRule>
  </conditionalFormatting>
  <conditionalFormatting sqref="O59:Q59">
    <cfRule type="containsBlanks" dxfId="1640" priority="1568">
      <formula>LEN(TRIM(O59))=0</formula>
    </cfRule>
  </conditionalFormatting>
  <conditionalFormatting sqref="O72:Q72">
    <cfRule type="containsBlanks" dxfId="1639" priority="1567">
      <formula>LEN(TRIM(O72))=0</formula>
    </cfRule>
  </conditionalFormatting>
  <conditionalFormatting sqref="O73:Q73">
    <cfRule type="containsBlanks" dxfId="1638" priority="1566">
      <formula>LEN(TRIM(O73))=0</formula>
    </cfRule>
  </conditionalFormatting>
  <conditionalFormatting sqref="O75:Q75">
    <cfRule type="containsBlanks" dxfId="1637" priority="1565">
      <formula>LEN(TRIM(O75))=0</formula>
    </cfRule>
  </conditionalFormatting>
  <conditionalFormatting sqref="N71:T71">
    <cfRule type="containsBlanks" dxfId="1636" priority="1564">
      <formula>LEN(TRIM(N71))=0</formula>
    </cfRule>
  </conditionalFormatting>
  <conditionalFormatting sqref="M88:S88">
    <cfRule type="containsBlanks" dxfId="1635" priority="1563">
      <formula>LEN(TRIM(M88))=0</formula>
    </cfRule>
  </conditionalFormatting>
  <conditionalFormatting sqref="N91:T91">
    <cfRule type="containsBlanks" dxfId="1634" priority="1562">
      <formula>LEN(TRIM(N91))=0</formula>
    </cfRule>
  </conditionalFormatting>
  <conditionalFormatting sqref="O93:Q93">
    <cfRule type="containsBlanks" dxfId="1633" priority="1561">
      <formula>LEN(TRIM(O93))=0</formula>
    </cfRule>
  </conditionalFormatting>
  <conditionalFormatting sqref="M95:T95">
    <cfRule type="containsBlanks" dxfId="1632" priority="1560">
      <formula>LEN(TRIM(M95))=0</formula>
    </cfRule>
  </conditionalFormatting>
  <conditionalFormatting sqref="M101:T101">
    <cfRule type="containsBlanks" dxfId="1631" priority="1559">
      <formula>LEN(TRIM(M101))=0</formula>
    </cfRule>
  </conditionalFormatting>
  <conditionalFormatting sqref="O102:S102">
    <cfRule type="containsBlanks" dxfId="1630" priority="1558">
      <formula>LEN(TRIM(O102))=0</formula>
    </cfRule>
  </conditionalFormatting>
  <conditionalFormatting sqref="M102:N102">
    <cfRule type="containsBlanks" dxfId="1629" priority="1557">
      <formula>LEN(TRIM(M102))=0</formula>
    </cfRule>
  </conditionalFormatting>
  <conditionalFormatting sqref="M65:T65">
    <cfRule type="containsBlanks" dxfId="1628" priority="1556">
      <formula>LEN(TRIM(M65))=0</formula>
    </cfRule>
  </conditionalFormatting>
  <conditionalFormatting sqref="M66:S66">
    <cfRule type="containsBlanks" dxfId="1627" priority="1555">
      <formula>LEN(TRIM(M66))=0</formula>
    </cfRule>
  </conditionalFormatting>
  <conditionalFormatting sqref="O63:Q63">
    <cfRule type="containsBlanks" dxfId="1626" priority="1554">
      <formula>LEN(TRIM(O63))=0</formula>
    </cfRule>
  </conditionalFormatting>
  <conditionalFormatting sqref="O64:Q64">
    <cfRule type="containsBlanks" dxfId="1625" priority="1553">
      <formula>LEN(TRIM(O64))=0</formula>
    </cfRule>
  </conditionalFormatting>
  <conditionalFormatting sqref="O66:Q66">
    <cfRule type="containsBlanks" dxfId="1624" priority="1552">
      <formula>LEN(TRIM(O66))=0</formula>
    </cfRule>
  </conditionalFormatting>
  <conditionalFormatting sqref="N62:T62">
    <cfRule type="containsBlanks" dxfId="1623" priority="1551">
      <formula>LEN(TRIM(N62))=0</formula>
    </cfRule>
  </conditionalFormatting>
  <conditionalFormatting sqref="M79:S79">
    <cfRule type="containsBlanks" dxfId="1622" priority="1550">
      <formula>LEN(TRIM(M79))=0</formula>
    </cfRule>
  </conditionalFormatting>
  <conditionalFormatting sqref="N82:T82">
    <cfRule type="containsBlanks" dxfId="1621" priority="1549">
      <formula>LEN(TRIM(N82))=0</formula>
    </cfRule>
  </conditionalFormatting>
  <conditionalFormatting sqref="O84:Q84">
    <cfRule type="containsBlanks" dxfId="1620" priority="1548">
      <formula>LEN(TRIM(O84))=0</formula>
    </cfRule>
  </conditionalFormatting>
  <conditionalFormatting sqref="M86:T86">
    <cfRule type="containsBlanks" dxfId="1619" priority="1547">
      <formula>LEN(TRIM(M86))=0</formula>
    </cfRule>
  </conditionalFormatting>
  <conditionalFormatting sqref="M92:T92">
    <cfRule type="containsBlanks" dxfId="1618" priority="1546">
      <formula>LEN(TRIM(M92))=0</formula>
    </cfRule>
  </conditionalFormatting>
  <conditionalFormatting sqref="O93:S93">
    <cfRule type="containsBlanks" dxfId="1617" priority="1545">
      <formula>LEN(TRIM(O93))=0</formula>
    </cfRule>
  </conditionalFormatting>
  <conditionalFormatting sqref="M93:N93">
    <cfRule type="containsBlanks" dxfId="1616" priority="1544">
      <formula>LEN(TRIM(M93))=0</formula>
    </cfRule>
  </conditionalFormatting>
  <conditionalFormatting sqref="M56:T56">
    <cfRule type="containsBlanks" dxfId="1615" priority="1543">
      <formula>LEN(TRIM(M56))=0</formula>
    </cfRule>
  </conditionalFormatting>
  <conditionalFormatting sqref="M57:S57">
    <cfRule type="containsBlanks" dxfId="1614" priority="1542">
      <formula>LEN(TRIM(M57))=0</formula>
    </cfRule>
  </conditionalFormatting>
  <conditionalFormatting sqref="O54:Q54">
    <cfRule type="containsBlanks" dxfId="1613" priority="1541">
      <formula>LEN(TRIM(O54))=0</formula>
    </cfRule>
  </conditionalFormatting>
  <conditionalFormatting sqref="O67:Q67">
    <cfRule type="containsBlanks" dxfId="1612" priority="1540">
      <formula>LEN(TRIM(O67))=0</formula>
    </cfRule>
  </conditionalFormatting>
  <conditionalFormatting sqref="O68:Q68">
    <cfRule type="containsBlanks" dxfId="1611" priority="1539">
      <formula>LEN(TRIM(O68))=0</formula>
    </cfRule>
  </conditionalFormatting>
  <conditionalFormatting sqref="O70:Q70">
    <cfRule type="containsBlanks" dxfId="1610" priority="1538">
      <formula>LEN(TRIM(O70))=0</formula>
    </cfRule>
  </conditionalFormatting>
  <conditionalFormatting sqref="N66:T66">
    <cfRule type="containsBlanks" dxfId="1609" priority="1537">
      <formula>LEN(TRIM(N66))=0</formula>
    </cfRule>
  </conditionalFormatting>
  <conditionalFormatting sqref="M83:S83">
    <cfRule type="containsBlanks" dxfId="1608" priority="1536">
      <formula>LEN(TRIM(M83))=0</formula>
    </cfRule>
  </conditionalFormatting>
  <conditionalFormatting sqref="N86:T86">
    <cfRule type="containsBlanks" dxfId="1607" priority="1535">
      <formula>LEN(TRIM(N86))=0</formula>
    </cfRule>
  </conditionalFormatting>
  <conditionalFormatting sqref="O88:Q88">
    <cfRule type="containsBlanks" dxfId="1606" priority="1534">
      <formula>LEN(TRIM(O88))=0</formula>
    </cfRule>
  </conditionalFormatting>
  <conditionalFormatting sqref="M90:T90">
    <cfRule type="containsBlanks" dxfId="1605" priority="1533">
      <formula>LEN(TRIM(M90))=0</formula>
    </cfRule>
  </conditionalFormatting>
  <conditionalFormatting sqref="M96:T96">
    <cfRule type="containsBlanks" dxfId="1604" priority="1532">
      <formula>LEN(TRIM(M96))=0</formula>
    </cfRule>
  </conditionalFormatting>
  <conditionalFormatting sqref="O97:S97">
    <cfRule type="containsBlanks" dxfId="1603" priority="1531">
      <formula>LEN(TRIM(O97))=0</formula>
    </cfRule>
  </conditionalFormatting>
  <conditionalFormatting sqref="M97:N97">
    <cfRule type="containsBlanks" dxfId="1602" priority="1530">
      <formula>LEN(TRIM(M97))=0</formula>
    </cfRule>
  </conditionalFormatting>
  <conditionalFormatting sqref="M60:T60">
    <cfRule type="containsBlanks" dxfId="1601" priority="1529">
      <formula>LEN(TRIM(M60))=0</formula>
    </cfRule>
  </conditionalFormatting>
  <conditionalFormatting sqref="M61:S61">
    <cfRule type="containsBlanks" dxfId="1600" priority="1528">
      <formula>LEN(TRIM(M61))=0</formula>
    </cfRule>
  </conditionalFormatting>
  <conditionalFormatting sqref="O58:Q58">
    <cfRule type="containsBlanks" dxfId="1599" priority="1527">
      <formula>LEN(TRIM(O58))=0</formula>
    </cfRule>
  </conditionalFormatting>
  <conditionalFormatting sqref="O59:Q59">
    <cfRule type="containsBlanks" dxfId="1598" priority="1526">
      <formula>LEN(TRIM(O59))=0</formula>
    </cfRule>
  </conditionalFormatting>
  <conditionalFormatting sqref="O61:Q61">
    <cfRule type="containsBlanks" dxfId="1597" priority="1525">
      <formula>LEN(TRIM(O61))=0</formula>
    </cfRule>
  </conditionalFormatting>
  <conditionalFormatting sqref="N57:T57">
    <cfRule type="containsBlanks" dxfId="1596" priority="1524">
      <formula>LEN(TRIM(N57))=0</formula>
    </cfRule>
  </conditionalFormatting>
  <conditionalFormatting sqref="M74:S74">
    <cfRule type="containsBlanks" dxfId="1595" priority="1523">
      <formula>LEN(TRIM(M74))=0</formula>
    </cfRule>
  </conditionalFormatting>
  <conditionalFormatting sqref="N77:T77">
    <cfRule type="containsBlanks" dxfId="1594" priority="1522">
      <formula>LEN(TRIM(N77))=0</formula>
    </cfRule>
  </conditionalFormatting>
  <conditionalFormatting sqref="O79:Q79">
    <cfRule type="containsBlanks" dxfId="1593" priority="1521">
      <formula>LEN(TRIM(O79))=0</formula>
    </cfRule>
  </conditionalFormatting>
  <conditionalFormatting sqref="M81:T81">
    <cfRule type="containsBlanks" dxfId="1592" priority="1520">
      <formula>LEN(TRIM(M81))=0</formula>
    </cfRule>
  </conditionalFormatting>
  <conditionalFormatting sqref="M87:T87">
    <cfRule type="containsBlanks" dxfId="1591" priority="1519">
      <formula>LEN(TRIM(M87))=0</formula>
    </cfRule>
  </conditionalFormatting>
  <conditionalFormatting sqref="O88:S88">
    <cfRule type="containsBlanks" dxfId="1590" priority="1518">
      <formula>LEN(TRIM(O88))=0</formula>
    </cfRule>
  </conditionalFormatting>
  <conditionalFormatting sqref="M88:N88">
    <cfRule type="containsBlanks" dxfId="1589" priority="1517">
      <formula>LEN(TRIM(M88))=0</formula>
    </cfRule>
  </conditionalFormatting>
  <conditionalFormatting sqref="O54:Q54">
    <cfRule type="containsBlanks" dxfId="1588" priority="1516">
      <formula>LEN(TRIM(O54))=0</formula>
    </cfRule>
  </conditionalFormatting>
  <conditionalFormatting sqref="O56:Q56">
    <cfRule type="containsBlanks" dxfId="1587" priority="1515">
      <formula>LEN(TRIM(O56))=0</formula>
    </cfRule>
  </conditionalFormatting>
  <conditionalFormatting sqref="O69:Q69">
    <cfRule type="containsBlanks" dxfId="1586" priority="1514">
      <formula>LEN(TRIM(O69))=0</formula>
    </cfRule>
  </conditionalFormatting>
  <conditionalFormatting sqref="O70:Q70">
    <cfRule type="containsBlanks" dxfId="1585" priority="1513">
      <formula>LEN(TRIM(O70))=0</formula>
    </cfRule>
  </conditionalFormatting>
  <conditionalFormatting sqref="O72:Q72">
    <cfRule type="containsBlanks" dxfId="1584" priority="1512">
      <formula>LEN(TRIM(O72))=0</formula>
    </cfRule>
  </conditionalFormatting>
  <conditionalFormatting sqref="N68:T68">
    <cfRule type="containsBlanks" dxfId="1583" priority="1511">
      <formula>LEN(TRIM(N68))=0</formula>
    </cfRule>
  </conditionalFormatting>
  <conditionalFormatting sqref="M85:S85">
    <cfRule type="containsBlanks" dxfId="1582" priority="1510">
      <formula>LEN(TRIM(M85))=0</formula>
    </cfRule>
  </conditionalFormatting>
  <conditionalFormatting sqref="N88:T88">
    <cfRule type="containsBlanks" dxfId="1581" priority="1509">
      <formula>LEN(TRIM(N88))=0</formula>
    </cfRule>
  </conditionalFormatting>
  <conditionalFormatting sqref="O90:Q90">
    <cfRule type="containsBlanks" dxfId="1580" priority="1508">
      <formula>LEN(TRIM(O90))=0</formula>
    </cfRule>
  </conditionalFormatting>
  <conditionalFormatting sqref="M92:T92">
    <cfRule type="containsBlanks" dxfId="1579" priority="1507">
      <formula>LEN(TRIM(M92))=0</formula>
    </cfRule>
  </conditionalFormatting>
  <conditionalFormatting sqref="M98:T98">
    <cfRule type="containsBlanks" dxfId="1578" priority="1506">
      <formula>LEN(TRIM(M98))=0</formula>
    </cfRule>
  </conditionalFormatting>
  <conditionalFormatting sqref="M62:T62">
    <cfRule type="containsBlanks" dxfId="1577" priority="1503">
      <formula>LEN(TRIM(M62))=0</formula>
    </cfRule>
  </conditionalFormatting>
  <conditionalFormatting sqref="M63:S63">
    <cfRule type="containsBlanks" dxfId="1576" priority="1502">
      <formula>LEN(TRIM(M63))=0</formula>
    </cfRule>
  </conditionalFormatting>
  <conditionalFormatting sqref="O60:Q60">
    <cfRule type="containsBlanks" dxfId="1575" priority="1501">
      <formula>LEN(TRIM(O60))=0</formula>
    </cfRule>
  </conditionalFormatting>
  <conditionalFormatting sqref="O61:Q61">
    <cfRule type="containsBlanks" dxfId="1574" priority="1500">
      <formula>LEN(TRIM(O61))=0</formula>
    </cfRule>
  </conditionalFormatting>
  <conditionalFormatting sqref="O63:Q63">
    <cfRule type="containsBlanks" dxfId="1573" priority="1499">
      <formula>LEN(TRIM(O63))=0</formula>
    </cfRule>
  </conditionalFormatting>
  <conditionalFormatting sqref="N59:T59">
    <cfRule type="containsBlanks" dxfId="1572" priority="1498">
      <formula>LEN(TRIM(N59))=0</formula>
    </cfRule>
  </conditionalFormatting>
  <conditionalFormatting sqref="M76:S76">
    <cfRule type="containsBlanks" dxfId="1571" priority="1497">
      <formula>LEN(TRIM(M76))=0</formula>
    </cfRule>
  </conditionalFormatting>
  <conditionalFormatting sqref="N79:T79">
    <cfRule type="containsBlanks" dxfId="1570" priority="1496">
      <formula>LEN(TRIM(N79))=0</formula>
    </cfRule>
  </conditionalFormatting>
  <conditionalFormatting sqref="O81:Q81">
    <cfRule type="containsBlanks" dxfId="1569" priority="1495">
      <formula>LEN(TRIM(O81))=0</formula>
    </cfRule>
  </conditionalFormatting>
  <conditionalFormatting sqref="M83:T83">
    <cfRule type="containsBlanks" dxfId="1568" priority="1494">
      <formula>LEN(TRIM(M83))=0</formula>
    </cfRule>
  </conditionalFormatting>
  <conditionalFormatting sqref="M89:T89">
    <cfRule type="containsBlanks" dxfId="1567" priority="1493">
      <formula>LEN(TRIM(M89))=0</formula>
    </cfRule>
  </conditionalFormatting>
  <conditionalFormatting sqref="O90:S90">
    <cfRule type="containsBlanks" dxfId="1566" priority="1492">
      <formula>LEN(TRIM(O90))=0</formula>
    </cfRule>
  </conditionalFormatting>
  <conditionalFormatting sqref="M90:N90">
    <cfRule type="containsBlanks" dxfId="1565" priority="1491">
      <formula>LEN(TRIM(M90))=0</formula>
    </cfRule>
  </conditionalFormatting>
  <conditionalFormatting sqref="M54:S54">
    <cfRule type="containsBlanks" dxfId="1564" priority="1490">
      <formula>LEN(TRIM(M54))=0</formula>
    </cfRule>
  </conditionalFormatting>
  <conditionalFormatting sqref="O64:Q64">
    <cfRule type="containsBlanks" dxfId="1563" priority="1489">
      <formula>LEN(TRIM(O64))=0</formula>
    </cfRule>
  </conditionalFormatting>
  <conditionalFormatting sqref="O65:Q65">
    <cfRule type="containsBlanks" dxfId="1562" priority="1488">
      <formula>LEN(TRIM(O65))=0</formula>
    </cfRule>
  </conditionalFormatting>
  <conditionalFormatting sqref="O67:Q67">
    <cfRule type="containsBlanks" dxfId="1561" priority="1487">
      <formula>LEN(TRIM(O67))=0</formula>
    </cfRule>
  </conditionalFormatting>
  <conditionalFormatting sqref="N63:T63">
    <cfRule type="containsBlanks" dxfId="1560" priority="1486">
      <formula>LEN(TRIM(N63))=0</formula>
    </cfRule>
  </conditionalFormatting>
  <conditionalFormatting sqref="M80:S80">
    <cfRule type="containsBlanks" dxfId="1559" priority="1485">
      <formula>LEN(TRIM(M80))=0</formula>
    </cfRule>
  </conditionalFormatting>
  <conditionalFormatting sqref="N83:T83">
    <cfRule type="containsBlanks" dxfId="1558" priority="1484">
      <formula>LEN(TRIM(N83))=0</formula>
    </cfRule>
  </conditionalFormatting>
  <conditionalFormatting sqref="O85:Q85">
    <cfRule type="containsBlanks" dxfId="1557" priority="1483">
      <formula>LEN(TRIM(O85))=0</formula>
    </cfRule>
  </conditionalFormatting>
  <conditionalFormatting sqref="M87:T87">
    <cfRule type="containsBlanks" dxfId="1556" priority="1482">
      <formula>LEN(TRIM(M87))=0</formula>
    </cfRule>
  </conditionalFormatting>
  <conditionalFormatting sqref="M93:T93">
    <cfRule type="containsBlanks" dxfId="1555" priority="1481">
      <formula>LEN(TRIM(M93))=0</formula>
    </cfRule>
  </conditionalFormatting>
  <conditionalFormatting sqref="O94:S94">
    <cfRule type="containsBlanks" dxfId="1554" priority="1480">
      <formula>LEN(TRIM(O94))=0</formula>
    </cfRule>
  </conditionalFormatting>
  <conditionalFormatting sqref="M94:N94">
    <cfRule type="containsBlanks" dxfId="1553" priority="1479">
      <formula>LEN(TRIM(M94))=0</formula>
    </cfRule>
  </conditionalFormatting>
  <conditionalFormatting sqref="M57:T57">
    <cfRule type="containsBlanks" dxfId="1552" priority="1478">
      <formula>LEN(TRIM(M57))=0</formula>
    </cfRule>
  </conditionalFormatting>
  <conditionalFormatting sqref="M58:S58">
    <cfRule type="containsBlanks" dxfId="1551" priority="1477">
      <formula>LEN(TRIM(M58))=0</formula>
    </cfRule>
  </conditionalFormatting>
  <conditionalFormatting sqref="O55:Q55">
    <cfRule type="containsBlanks" dxfId="1550" priority="1476">
      <formula>LEN(TRIM(O55))=0</formula>
    </cfRule>
  </conditionalFormatting>
  <conditionalFormatting sqref="O56:Q56">
    <cfRule type="containsBlanks" dxfId="1549" priority="1475">
      <formula>LEN(TRIM(O56))=0</formula>
    </cfRule>
  </conditionalFormatting>
  <conditionalFormatting sqref="O58:Q58">
    <cfRule type="containsBlanks" dxfId="1548" priority="1474">
      <formula>LEN(TRIM(O58))=0</formula>
    </cfRule>
  </conditionalFormatting>
  <conditionalFormatting sqref="N54:T54">
    <cfRule type="containsBlanks" dxfId="1547" priority="1473">
      <formula>LEN(TRIM(N54))=0</formula>
    </cfRule>
  </conditionalFormatting>
  <conditionalFormatting sqref="M71:S71">
    <cfRule type="containsBlanks" dxfId="1546" priority="1472">
      <formula>LEN(TRIM(M71))=0</formula>
    </cfRule>
  </conditionalFormatting>
  <conditionalFormatting sqref="N74:T74">
    <cfRule type="containsBlanks" dxfId="1545" priority="1471">
      <formula>LEN(TRIM(N74))=0</formula>
    </cfRule>
  </conditionalFormatting>
  <conditionalFormatting sqref="O76:Q76">
    <cfRule type="containsBlanks" dxfId="1544" priority="1470">
      <formula>LEN(TRIM(O76))=0</formula>
    </cfRule>
  </conditionalFormatting>
  <conditionalFormatting sqref="M78:T78">
    <cfRule type="containsBlanks" dxfId="1543" priority="1469">
      <formula>LEN(TRIM(M78))=0</formula>
    </cfRule>
  </conditionalFormatting>
  <conditionalFormatting sqref="M84:T84">
    <cfRule type="containsBlanks" dxfId="1542" priority="1468">
      <formula>LEN(TRIM(M84))=0</formula>
    </cfRule>
  </conditionalFormatting>
  <conditionalFormatting sqref="O85:S85">
    <cfRule type="containsBlanks" dxfId="1541" priority="1467">
      <formula>LEN(TRIM(O85))=0</formula>
    </cfRule>
  </conditionalFormatting>
  <conditionalFormatting sqref="M85:N85">
    <cfRule type="containsBlanks" dxfId="1540" priority="1466">
      <formula>LEN(TRIM(M85))=0</formula>
    </cfRule>
  </conditionalFormatting>
  <conditionalFormatting sqref="O55:Q55">
    <cfRule type="containsBlanks" dxfId="1539" priority="1465">
      <formula>LEN(TRIM(O55))=0</formula>
    </cfRule>
  </conditionalFormatting>
  <conditionalFormatting sqref="O57:Q57">
    <cfRule type="containsBlanks" dxfId="1538" priority="1464">
      <formula>LEN(TRIM(O57))=0</formula>
    </cfRule>
  </conditionalFormatting>
  <conditionalFormatting sqref="O59:Q59">
    <cfRule type="containsBlanks" dxfId="1537" priority="1463">
      <formula>LEN(TRIM(O59))=0</formula>
    </cfRule>
  </conditionalFormatting>
  <conditionalFormatting sqref="O61:Q61">
    <cfRule type="containsBlanks" dxfId="1536" priority="1462">
      <formula>LEN(TRIM(O61))=0</formula>
    </cfRule>
  </conditionalFormatting>
  <conditionalFormatting sqref="O74:Q74">
    <cfRule type="containsBlanks" dxfId="1535" priority="1461">
      <formula>LEN(TRIM(O74))=0</formula>
    </cfRule>
  </conditionalFormatting>
  <conditionalFormatting sqref="O75:Q75">
    <cfRule type="containsBlanks" dxfId="1534" priority="1460">
      <formula>LEN(TRIM(O75))=0</formula>
    </cfRule>
  </conditionalFormatting>
  <conditionalFormatting sqref="O77:Q77">
    <cfRule type="containsBlanks" dxfId="1533" priority="1459">
      <formula>LEN(TRIM(O77))=0</formula>
    </cfRule>
  </conditionalFormatting>
  <conditionalFormatting sqref="N73:T73">
    <cfRule type="containsBlanks" dxfId="1532" priority="1458">
      <formula>LEN(TRIM(N73))=0</formula>
    </cfRule>
  </conditionalFormatting>
  <conditionalFormatting sqref="M90:S90">
    <cfRule type="containsBlanks" dxfId="1531" priority="1457">
      <formula>LEN(TRIM(M90))=0</formula>
    </cfRule>
  </conditionalFormatting>
  <conditionalFormatting sqref="N93:T93">
    <cfRule type="containsBlanks" dxfId="1530" priority="1456">
      <formula>LEN(TRIM(N93))=0</formula>
    </cfRule>
  </conditionalFormatting>
  <conditionalFormatting sqref="O95:Q95">
    <cfRule type="containsBlanks" dxfId="1529" priority="1455">
      <formula>LEN(TRIM(O95))=0</formula>
    </cfRule>
  </conditionalFormatting>
  <conditionalFormatting sqref="M97:T97">
    <cfRule type="containsBlanks" dxfId="1528" priority="1454">
      <formula>LEN(TRIM(M97))=0</formula>
    </cfRule>
  </conditionalFormatting>
  <conditionalFormatting sqref="M103:T103">
    <cfRule type="containsBlanks" dxfId="1527" priority="1453">
      <formula>LEN(TRIM(M103))=0</formula>
    </cfRule>
  </conditionalFormatting>
  <conditionalFormatting sqref="O104:S104">
    <cfRule type="containsBlanks" dxfId="1526" priority="1452">
      <formula>LEN(TRIM(O104))=0</formula>
    </cfRule>
  </conditionalFormatting>
  <conditionalFormatting sqref="M104:N104">
    <cfRule type="containsBlanks" dxfId="1525" priority="1451">
      <formula>LEN(TRIM(M104))=0</formula>
    </cfRule>
  </conditionalFormatting>
  <conditionalFormatting sqref="M67:T67">
    <cfRule type="containsBlanks" dxfId="1524" priority="1450">
      <formula>LEN(TRIM(M67))=0</formula>
    </cfRule>
  </conditionalFormatting>
  <conditionalFormatting sqref="M68:S68">
    <cfRule type="containsBlanks" dxfId="1523" priority="1449">
      <formula>LEN(TRIM(M68))=0</formula>
    </cfRule>
  </conditionalFormatting>
  <conditionalFormatting sqref="O65:Q65">
    <cfRule type="containsBlanks" dxfId="1522" priority="1448">
      <formula>LEN(TRIM(O65))=0</formula>
    </cfRule>
  </conditionalFormatting>
  <conditionalFormatting sqref="O66:Q66">
    <cfRule type="containsBlanks" dxfId="1521" priority="1447">
      <formula>LEN(TRIM(O66))=0</formula>
    </cfRule>
  </conditionalFormatting>
  <conditionalFormatting sqref="O68:Q68">
    <cfRule type="containsBlanks" dxfId="1520" priority="1446">
      <formula>LEN(TRIM(O68))=0</formula>
    </cfRule>
  </conditionalFormatting>
  <conditionalFormatting sqref="N64:T64">
    <cfRule type="containsBlanks" dxfId="1519" priority="1445">
      <formula>LEN(TRIM(N64))=0</formula>
    </cfRule>
  </conditionalFormatting>
  <conditionalFormatting sqref="M81:S81">
    <cfRule type="containsBlanks" dxfId="1518" priority="1444">
      <formula>LEN(TRIM(M81))=0</formula>
    </cfRule>
  </conditionalFormatting>
  <conditionalFormatting sqref="N84:T84">
    <cfRule type="containsBlanks" dxfId="1517" priority="1443">
      <formula>LEN(TRIM(N84))=0</formula>
    </cfRule>
  </conditionalFormatting>
  <conditionalFormatting sqref="O86:Q86">
    <cfRule type="containsBlanks" dxfId="1516" priority="1442">
      <formula>LEN(TRIM(O86))=0</formula>
    </cfRule>
  </conditionalFormatting>
  <conditionalFormatting sqref="M88:T88">
    <cfRule type="containsBlanks" dxfId="1515" priority="1441">
      <formula>LEN(TRIM(M88))=0</formula>
    </cfRule>
  </conditionalFormatting>
  <conditionalFormatting sqref="M94:T94">
    <cfRule type="containsBlanks" dxfId="1514" priority="1440">
      <formula>LEN(TRIM(M94))=0</formula>
    </cfRule>
  </conditionalFormatting>
  <conditionalFormatting sqref="O95:S95">
    <cfRule type="containsBlanks" dxfId="1513" priority="1439">
      <formula>LEN(TRIM(O95))=0</formula>
    </cfRule>
  </conditionalFormatting>
  <conditionalFormatting sqref="M95:N95">
    <cfRule type="containsBlanks" dxfId="1512" priority="1438">
      <formula>LEN(TRIM(M95))=0</formula>
    </cfRule>
  </conditionalFormatting>
  <conditionalFormatting sqref="M58:T58">
    <cfRule type="containsBlanks" dxfId="1511" priority="1437">
      <formula>LEN(TRIM(M58))=0</formula>
    </cfRule>
  </conditionalFormatting>
  <conditionalFormatting sqref="M59:S59">
    <cfRule type="containsBlanks" dxfId="1510" priority="1436">
      <formula>LEN(TRIM(M59))=0</formula>
    </cfRule>
  </conditionalFormatting>
  <conditionalFormatting sqref="O54:Q54">
    <cfRule type="containsBlanks" dxfId="1509" priority="1435">
      <formula>LEN(TRIM(O54))=0</formula>
    </cfRule>
  </conditionalFormatting>
  <conditionalFormatting sqref="O56:Q56">
    <cfRule type="containsBlanks" dxfId="1508" priority="1434">
      <formula>LEN(TRIM(O56))=0</formula>
    </cfRule>
  </conditionalFormatting>
  <conditionalFormatting sqref="O69:Q69">
    <cfRule type="containsBlanks" dxfId="1507" priority="1433">
      <formula>LEN(TRIM(O69))=0</formula>
    </cfRule>
  </conditionalFormatting>
  <conditionalFormatting sqref="O70:Q70">
    <cfRule type="containsBlanks" dxfId="1506" priority="1432">
      <formula>LEN(TRIM(O70))=0</formula>
    </cfRule>
  </conditionalFormatting>
  <conditionalFormatting sqref="O72:Q72">
    <cfRule type="containsBlanks" dxfId="1505" priority="1431">
      <formula>LEN(TRIM(O72))=0</formula>
    </cfRule>
  </conditionalFormatting>
  <conditionalFormatting sqref="N68:T68">
    <cfRule type="containsBlanks" dxfId="1504" priority="1430">
      <formula>LEN(TRIM(N68))=0</formula>
    </cfRule>
  </conditionalFormatting>
  <conditionalFormatting sqref="M85:S85">
    <cfRule type="containsBlanks" dxfId="1503" priority="1429">
      <formula>LEN(TRIM(M85))=0</formula>
    </cfRule>
  </conditionalFormatting>
  <conditionalFormatting sqref="N88:T88">
    <cfRule type="containsBlanks" dxfId="1502" priority="1428">
      <formula>LEN(TRIM(N88))=0</formula>
    </cfRule>
  </conditionalFormatting>
  <conditionalFormatting sqref="O90:Q90">
    <cfRule type="containsBlanks" dxfId="1501" priority="1427">
      <formula>LEN(TRIM(O90))=0</formula>
    </cfRule>
  </conditionalFormatting>
  <conditionalFormatting sqref="M92:T92">
    <cfRule type="containsBlanks" dxfId="1500" priority="1426">
      <formula>LEN(TRIM(M92))=0</formula>
    </cfRule>
  </conditionalFormatting>
  <conditionalFormatting sqref="M98:T98">
    <cfRule type="containsBlanks" dxfId="1499" priority="1425">
      <formula>LEN(TRIM(M98))=0</formula>
    </cfRule>
  </conditionalFormatting>
  <conditionalFormatting sqref="M62:T62">
    <cfRule type="containsBlanks" dxfId="1498" priority="1422">
      <formula>LEN(TRIM(M62))=0</formula>
    </cfRule>
  </conditionalFormatting>
  <conditionalFormatting sqref="M63:S63">
    <cfRule type="containsBlanks" dxfId="1497" priority="1421">
      <formula>LEN(TRIM(M63))=0</formula>
    </cfRule>
  </conditionalFormatting>
  <conditionalFormatting sqref="O60:Q60">
    <cfRule type="containsBlanks" dxfId="1496" priority="1420">
      <formula>LEN(TRIM(O60))=0</formula>
    </cfRule>
  </conditionalFormatting>
  <conditionalFormatting sqref="O61:Q61">
    <cfRule type="containsBlanks" dxfId="1495" priority="1419">
      <formula>LEN(TRIM(O61))=0</formula>
    </cfRule>
  </conditionalFormatting>
  <conditionalFormatting sqref="O63:Q63">
    <cfRule type="containsBlanks" dxfId="1494" priority="1418">
      <formula>LEN(TRIM(O63))=0</formula>
    </cfRule>
  </conditionalFormatting>
  <conditionalFormatting sqref="N59:T59">
    <cfRule type="containsBlanks" dxfId="1493" priority="1417">
      <formula>LEN(TRIM(N59))=0</formula>
    </cfRule>
  </conditionalFormatting>
  <conditionalFormatting sqref="M76:S76">
    <cfRule type="containsBlanks" dxfId="1492" priority="1416">
      <formula>LEN(TRIM(M76))=0</formula>
    </cfRule>
  </conditionalFormatting>
  <conditionalFormatting sqref="N79:T79">
    <cfRule type="containsBlanks" dxfId="1491" priority="1415">
      <formula>LEN(TRIM(N79))=0</formula>
    </cfRule>
  </conditionalFormatting>
  <conditionalFormatting sqref="O81:Q81">
    <cfRule type="containsBlanks" dxfId="1490" priority="1414">
      <formula>LEN(TRIM(O81))=0</formula>
    </cfRule>
  </conditionalFormatting>
  <conditionalFormatting sqref="M83:T83">
    <cfRule type="containsBlanks" dxfId="1489" priority="1413">
      <formula>LEN(TRIM(M83))=0</formula>
    </cfRule>
  </conditionalFormatting>
  <conditionalFormatting sqref="M89:T89">
    <cfRule type="containsBlanks" dxfId="1488" priority="1412">
      <formula>LEN(TRIM(M89))=0</formula>
    </cfRule>
  </conditionalFormatting>
  <conditionalFormatting sqref="O90:S90">
    <cfRule type="containsBlanks" dxfId="1487" priority="1411">
      <formula>LEN(TRIM(O90))=0</formula>
    </cfRule>
  </conditionalFormatting>
  <conditionalFormatting sqref="M90:N90">
    <cfRule type="containsBlanks" dxfId="1486" priority="1410">
      <formula>LEN(TRIM(M90))=0</formula>
    </cfRule>
  </conditionalFormatting>
  <conditionalFormatting sqref="M54:S54">
    <cfRule type="containsBlanks" dxfId="1485" priority="1409">
      <formula>LEN(TRIM(M54))=0</formula>
    </cfRule>
  </conditionalFormatting>
  <conditionalFormatting sqref="O54:Q54">
    <cfRule type="containsBlanks" dxfId="1484" priority="1408">
      <formula>LEN(TRIM(O54))=0</formula>
    </cfRule>
  </conditionalFormatting>
  <conditionalFormatting sqref="O56:Q56">
    <cfRule type="containsBlanks" dxfId="1483" priority="1407">
      <formula>LEN(TRIM(O56))=0</formula>
    </cfRule>
  </conditionalFormatting>
  <conditionalFormatting sqref="O58:Q58">
    <cfRule type="containsBlanks" dxfId="1482" priority="1406">
      <formula>LEN(TRIM(O58))=0</formula>
    </cfRule>
  </conditionalFormatting>
  <conditionalFormatting sqref="O71:Q71">
    <cfRule type="containsBlanks" dxfId="1481" priority="1405">
      <formula>LEN(TRIM(O71))=0</formula>
    </cfRule>
  </conditionalFormatting>
  <conditionalFormatting sqref="O72:Q72">
    <cfRule type="containsBlanks" dxfId="1480" priority="1404">
      <formula>LEN(TRIM(O72))=0</formula>
    </cfRule>
  </conditionalFormatting>
  <conditionalFormatting sqref="O74:Q74">
    <cfRule type="containsBlanks" dxfId="1479" priority="1403">
      <formula>LEN(TRIM(O74))=0</formula>
    </cfRule>
  </conditionalFormatting>
  <conditionalFormatting sqref="N70:T70">
    <cfRule type="containsBlanks" dxfId="1478" priority="1402">
      <formula>LEN(TRIM(N70))=0</formula>
    </cfRule>
  </conditionalFormatting>
  <conditionalFormatting sqref="M87:S87">
    <cfRule type="containsBlanks" dxfId="1477" priority="1401">
      <formula>LEN(TRIM(M87))=0</formula>
    </cfRule>
  </conditionalFormatting>
  <conditionalFormatting sqref="N90:T90">
    <cfRule type="containsBlanks" dxfId="1476" priority="1400">
      <formula>LEN(TRIM(N90))=0</formula>
    </cfRule>
  </conditionalFormatting>
  <conditionalFormatting sqref="O92:Q92">
    <cfRule type="containsBlanks" dxfId="1475" priority="1399">
      <formula>LEN(TRIM(O92))=0</formula>
    </cfRule>
  </conditionalFormatting>
  <conditionalFormatting sqref="M94:T94">
    <cfRule type="containsBlanks" dxfId="1474" priority="1398">
      <formula>LEN(TRIM(M94))=0</formula>
    </cfRule>
  </conditionalFormatting>
  <conditionalFormatting sqref="M100:T100">
    <cfRule type="containsBlanks" dxfId="1473" priority="1397">
      <formula>LEN(TRIM(M100))=0</formula>
    </cfRule>
  </conditionalFormatting>
  <conditionalFormatting sqref="O101:S101">
    <cfRule type="containsBlanks" dxfId="1472" priority="1396">
      <formula>LEN(TRIM(O101))=0</formula>
    </cfRule>
  </conditionalFormatting>
  <conditionalFormatting sqref="M101:N101">
    <cfRule type="containsBlanks" dxfId="1471" priority="1395">
      <formula>LEN(TRIM(M101))=0</formula>
    </cfRule>
  </conditionalFormatting>
  <conditionalFormatting sqref="M64:T64">
    <cfRule type="containsBlanks" dxfId="1470" priority="1394">
      <formula>LEN(TRIM(M64))=0</formula>
    </cfRule>
  </conditionalFormatting>
  <conditionalFormatting sqref="M65:S65">
    <cfRule type="containsBlanks" dxfId="1469" priority="1393">
      <formula>LEN(TRIM(M65))=0</formula>
    </cfRule>
  </conditionalFormatting>
  <conditionalFormatting sqref="O62:Q62">
    <cfRule type="containsBlanks" dxfId="1468" priority="1392">
      <formula>LEN(TRIM(O62))=0</formula>
    </cfRule>
  </conditionalFormatting>
  <conditionalFormatting sqref="O63:Q63">
    <cfRule type="containsBlanks" dxfId="1467" priority="1391">
      <formula>LEN(TRIM(O63))=0</formula>
    </cfRule>
  </conditionalFormatting>
  <conditionalFormatting sqref="O65:Q65">
    <cfRule type="containsBlanks" dxfId="1466" priority="1390">
      <formula>LEN(TRIM(O65))=0</formula>
    </cfRule>
  </conditionalFormatting>
  <conditionalFormatting sqref="N61:T61">
    <cfRule type="containsBlanks" dxfId="1465" priority="1389">
      <formula>LEN(TRIM(N61))=0</formula>
    </cfRule>
  </conditionalFormatting>
  <conditionalFormatting sqref="M78:S78">
    <cfRule type="containsBlanks" dxfId="1464" priority="1388">
      <formula>LEN(TRIM(M78))=0</formula>
    </cfRule>
  </conditionalFormatting>
  <conditionalFormatting sqref="N81:T81">
    <cfRule type="containsBlanks" dxfId="1463" priority="1387">
      <formula>LEN(TRIM(N81))=0</formula>
    </cfRule>
  </conditionalFormatting>
  <conditionalFormatting sqref="O83:Q83">
    <cfRule type="containsBlanks" dxfId="1462" priority="1386">
      <formula>LEN(TRIM(O83))=0</formula>
    </cfRule>
  </conditionalFormatting>
  <conditionalFormatting sqref="M85:T85">
    <cfRule type="containsBlanks" dxfId="1461" priority="1385">
      <formula>LEN(TRIM(M85))=0</formula>
    </cfRule>
  </conditionalFormatting>
  <conditionalFormatting sqref="M91:T91">
    <cfRule type="containsBlanks" dxfId="1460" priority="1384">
      <formula>LEN(TRIM(M91))=0</formula>
    </cfRule>
  </conditionalFormatting>
  <conditionalFormatting sqref="O92:S92">
    <cfRule type="containsBlanks" dxfId="1459" priority="1383">
      <formula>LEN(TRIM(O92))=0</formula>
    </cfRule>
  </conditionalFormatting>
  <conditionalFormatting sqref="M92:N92">
    <cfRule type="containsBlanks" dxfId="1458" priority="1382">
      <formula>LEN(TRIM(M92))=0</formula>
    </cfRule>
  </conditionalFormatting>
  <conditionalFormatting sqref="M55:T55">
    <cfRule type="containsBlanks" dxfId="1457" priority="1381">
      <formula>LEN(TRIM(M55))=0</formula>
    </cfRule>
  </conditionalFormatting>
  <conditionalFormatting sqref="M56:S56">
    <cfRule type="containsBlanks" dxfId="1456" priority="1380">
      <formula>LEN(TRIM(M56))=0</formula>
    </cfRule>
  </conditionalFormatting>
  <conditionalFormatting sqref="O66:Q66">
    <cfRule type="containsBlanks" dxfId="1455" priority="1379">
      <formula>LEN(TRIM(O66))=0</formula>
    </cfRule>
  </conditionalFormatting>
  <conditionalFormatting sqref="O67:Q67">
    <cfRule type="containsBlanks" dxfId="1454" priority="1378">
      <formula>LEN(TRIM(O67))=0</formula>
    </cfRule>
  </conditionalFormatting>
  <conditionalFormatting sqref="O69:Q69">
    <cfRule type="containsBlanks" dxfId="1453" priority="1377">
      <formula>LEN(TRIM(O69))=0</formula>
    </cfRule>
  </conditionalFormatting>
  <conditionalFormatting sqref="N65:T65">
    <cfRule type="containsBlanks" dxfId="1452" priority="1376">
      <formula>LEN(TRIM(N65))=0</formula>
    </cfRule>
  </conditionalFormatting>
  <conditionalFormatting sqref="M82:S82">
    <cfRule type="containsBlanks" dxfId="1451" priority="1375">
      <formula>LEN(TRIM(M82))=0</formula>
    </cfRule>
  </conditionalFormatting>
  <conditionalFormatting sqref="N85:T85">
    <cfRule type="containsBlanks" dxfId="1450" priority="1374">
      <formula>LEN(TRIM(N85))=0</formula>
    </cfRule>
  </conditionalFormatting>
  <conditionalFormatting sqref="O87:Q87">
    <cfRule type="containsBlanks" dxfId="1449" priority="1373">
      <formula>LEN(TRIM(O87))=0</formula>
    </cfRule>
  </conditionalFormatting>
  <conditionalFormatting sqref="M89:T89">
    <cfRule type="containsBlanks" dxfId="1448" priority="1372">
      <formula>LEN(TRIM(M89))=0</formula>
    </cfRule>
  </conditionalFormatting>
  <conditionalFormatting sqref="M95:T95">
    <cfRule type="containsBlanks" dxfId="1447" priority="1371">
      <formula>LEN(TRIM(M95))=0</formula>
    </cfRule>
  </conditionalFormatting>
  <conditionalFormatting sqref="O96:S96">
    <cfRule type="containsBlanks" dxfId="1446" priority="1370">
      <formula>LEN(TRIM(O96))=0</formula>
    </cfRule>
  </conditionalFormatting>
  <conditionalFormatting sqref="M96:N96">
    <cfRule type="containsBlanks" dxfId="1445" priority="1369">
      <formula>LEN(TRIM(M96))=0</formula>
    </cfRule>
  </conditionalFormatting>
  <conditionalFormatting sqref="M59:T59">
    <cfRule type="containsBlanks" dxfId="1444" priority="1368">
      <formula>LEN(TRIM(M59))=0</formula>
    </cfRule>
  </conditionalFormatting>
  <conditionalFormatting sqref="M60:S60">
    <cfRule type="containsBlanks" dxfId="1443" priority="1367">
      <formula>LEN(TRIM(M60))=0</formula>
    </cfRule>
  </conditionalFormatting>
  <conditionalFormatting sqref="O57:Q57">
    <cfRule type="containsBlanks" dxfId="1442" priority="1366">
      <formula>LEN(TRIM(O57))=0</formula>
    </cfRule>
  </conditionalFormatting>
  <conditionalFormatting sqref="O58:Q58">
    <cfRule type="containsBlanks" dxfId="1441" priority="1365">
      <formula>LEN(TRIM(O58))=0</formula>
    </cfRule>
  </conditionalFormatting>
  <conditionalFormatting sqref="O60:Q60">
    <cfRule type="containsBlanks" dxfId="1440" priority="1364">
      <formula>LEN(TRIM(O60))=0</formula>
    </cfRule>
  </conditionalFormatting>
  <conditionalFormatting sqref="N56:T56">
    <cfRule type="containsBlanks" dxfId="1439" priority="1363">
      <formula>LEN(TRIM(N56))=0</formula>
    </cfRule>
  </conditionalFormatting>
  <conditionalFormatting sqref="M73:S73">
    <cfRule type="containsBlanks" dxfId="1438" priority="1362">
      <formula>LEN(TRIM(M73))=0</formula>
    </cfRule>
  </conditionalFormatting>
  <conditionalFormatting sqref="N76:T76">
    <cfRule type="containsBlanks" dxfId="1437" priority="1361">
      <formula>LEN(TRIM(N76))=0</formula>
    </cfRule>
  </conditionalFormatting>
  <conditionalFormatting sqref="O78:Q78">
    <cfRule type="containsBlanks" dxfId="1436" priority="1360">
      <formula>LEN(TRIM(O78))=0</formula>
    </cfRule>
  </conditionalFormatting>
  <conditionalFormatting sqref="M80:T80">
    <cfRule type="containsBlanks" dxfId="1435" priority="1359">
      <formula>LEN(TRIM(M80))=0</formula>
    </cfRule>
  </conditionalFormatting>
  <conditionalFormatting sqref="M86:T86">
    <cfRule type="containsBlanks" dxfId="1434" priority="1358">
      <formula>LEN(TRIM(M86))=0</formula>
    </cfRule>
  </conditionalFormatting>
  <conditionalFormatting sqref="O87:S87">
    <cfRule type="containsBlanks" dxfId="1433" priority="1357">
      <formula>LEN(TRIM(O87))=0</formula>
    </cfRule>
  </conditionalFormatting>
  <conditionalFormatting sqref="M87:N87">
    <cfRule type="containsBlanks" dxfId="1432" priority="1356">
      <formula>LEN(TRIM(M87))=0</formula>
    </cfRule>
  </conditionalFormatting>
  <conditionalFormatting sqref="O54:Q54">
    <cfRule type="containsBlanks" dxfId="1431" priority="1355">
      <formula>LEN(TRIM(O54))=0</formula>
    </cfRule>
  </conditionalFormatting>
  <conditionalFormatting sqref="O56:Q56">
    <cfRule type="containsBlanks" dxfId="1430" priority="1354">
      <formula>LEN(TRIM(O56))=0</formula>
    </cfRule>
  </conditionalFormatting>
  <conditionalFormatting sqref="O58:Q58">
    <cfRule type="containsBlanks" dxfId="1429" priority="1353">
      <formula>LEN(TRIM(O58))=0</formula>
    </cfRule>
  </conditionalFormatting>
  <conditionalFormatting sqref="O71:Q71">
    <cfRule type="containsBlanks" dxfId="1428" priority="1352">
      <formula>LEN(TRIM(O71))=0</formula>
    </cfRule>
  </conditionalFormatting>
  <conditionalFormatting sqref="O72:Q72">
    <cfRule type="containsBlanks" dxfId="1427" priority="1351">
      <formula>LEN(TRIM(O72))=0</formula>
    </cfRule>
  </conditionalFormatting>
  <conditionalFormatting sqref="O74:Q74">
    <cfRule type="containsBlanks" dxfId="1426" priority="1350">
      <formula>LEN(TRIM(O74))=0</formula>
    </cfRule>
  </conditionalFormatting>
  <conditionalFormatting sqref="N70:T70">
    <cfRule type="containsBlanks" dxfId="1425" priority="1349">
      <formula>LEN(TRIM(N70))=0</formula>
    </cfRule>
  </conditionalFormatting>
  <conditionalFormatting sqref="M87:S87">
    <cfRule type="containsBlanks" dxfId="1424" priority="1348">
      <formula>LEN(TRIM(M87))=0</formula>
    </cfRule>
  </conditionalFormatting>
  <conditionalFormatting sqref="N90:T90">
    <cfRule type="containsBlanks" dxfId="1423" priority="1347">
      <formula>LEN(TRIM(N90))=0</formula>
    </cfRule>
  </conditionalFormatting>
  <conditionalFormatting sqref="O92:Q92">
    <cfRule type="containsBlanks" dxfId="1422" priority="1346">
      <formula>LEN(TRIM(O92))=0</formula>
    </cfRule>
  </conditionalFormatting>
  <conditionalFormatting sqref="M94:T94">
    <cfRule type="containsBlanks" dxfId="1421" priority="1345">
      <formula>LEN(TRIM(M94))=0</formula>
    </cfRule>
  </conditionalFormatting>
  <conditionalFormatting sqref="M100:T100">
    <cfRule type="containsBlanks" dxfId="1420" priority="1344">
      <formula>LEN(TRIM(M100))=0</formula>
    </cfRule>
  </conditionalFormatting>
  <conditionalFormatting sqref="O101:S101">
    <cfRule type="containsBlanks" dxfId="1419" priority="1343">
      <formula>LEN(TRIM(O101))=0</formula>
    </cfRule>
  </conditionalFormatting>
  <conditionalFormatting sqref="M101:N101">
    <cfRule type="containsBlanks" dxfId="1418" priority="1342">
      <formula>LEN(TRIM(M101))=0</formula>
    </cfRule>
  </conditionalFormatting>
  <conditionalFormatting sqref="M64:T64">
    <cfRule type="containsBlanks" dxfId="1417" priority="1341">
      <formula>LEN(TRIM(M64))=0</formula>
    </cfRule>
  </conditionalFormatting>
  <conditionalFormatting sqref="M65:S65">
    <cfRule type="containsBlanks" dxfId="1416" priority="1340">
      <formula>LEN(TRIM(M65))=0</formula>
    </cfRule>
  </conditionalFormatting>
  <conditionalFormatting sqref="O62:Q62">
    <cfRule type="containsBlanks" dxfId="1415" priority="1339">
      <formula>LEN(TRIM(O62))=0</formula>
    </cfRule>
  </conditionalFormatting>
  <conditionalFormatting sqref="O63:Q63">
    <cfRule type="containsBlanks" dxfId="1414" priority="1338">
      <formula>LEN(TRIM(O63))=0</formula>
    </cfRule>
  </conditionalFormatting>
  <conditionalFormatting sqref="O65:Q65">
    <cfRule type="containsBlanks" dxfId="1413" priority="1337">
      <formula>LEN(TRIM(O65))=0</formula>
    </cfRule>
  </conditionalFormatting>
  <conditionalFormatting sqref="N61:T61">
    <cfRule type="containsBlanks" dxfId="1412" priority="1336">
      <formula>LEN(TRIM(N61))=0</formula>
    </cfRule>
  </conditionalFormatting>
  <conditionalFormatting sqref="M78:S78">
    <cfRule type="containsBlanks" dxfId="1411" priority="1335">
      <formula>LEN(TRIM(M78))=0</formula>
    </cfRule>
  </conditionalFormatting>
  <conditionalFormatting sqref="N81:T81">
    <cfRule type="containsBlanks" dxfId="1410" priority="1334">
      <formula>LEN(TRIM(N81))=0</formula>
    </cfRule>
  </conditionalFormatting>
  <conditionalFormatting sqref="O83:Q83">
    <cfRule type="containsBlanks" dxfId="1409" priority="1333">
      <formula>LEN(TRIM(O83))=0</formula>
    </cfRule>
  </conditionalFormatting>
  <conditionalFormatting sqref="M85:T85">
    <cfRule type="containsBlanks" dxfId="1408" priority="1332">
      <formula>LEN(TRIM(M85))=0</formula>
    </cfRule>
  </conditionalFormatting>
  <conditionalFormatting sqref="M91:T91">
    <cfRule type="containsBlanks" dxfId="1407" priority="1331">
      <formula>LEN(TRIM(M91))=0</formula>
    </cfRule>
  </conditionalFormatting>
  <conditionalFormatting sqref="O92:S92">
    <cfRule type="containsBlanks" dxfId="1406" priority="1330">
      <formula>LEN(TRIM(O92))=0</formula>
    </cfRule>
  </conditionalFormatting>
  <conditionalFormatting sqref="M92:N92">
    <cfRule type="containsBlanks" dxfId="1405" priority="1329">
      <formula>LEN(TRIM(M92))=0</formula>
    </cfRule>
  </conditionalFormatting>
  <conditionalFormatting sqref="M55:T55">
    <cfRule type="containsBlanks" dxfId="1404" priority="1328">
      <formula>LEN(TRIM(M55))=0</formula>
    </cfRule>
  </conditionalFormatting>
  <conditionalFormatting sqref="M56:S56">
    <cfRule type="containsBlanks" dxfId="1403" priority="1327">
      <formula>LEN(TRIM(M56))=0</formula>
    </cfRule>
  </conditionalFormatting>
  <conditionalFormatting sqref="O66:Q66">
    <cfRule type="containsBlanks" dxfId="1402" priority="1326">
      <formula>LEN(TRIM(O66))=0</formula>
    </cfRule>
  </conditionalFormatting>
  <conditionalFormatting sqref="O67:Q67">
    <cfRule type="containsBlanks" dxfId="1401" priority="1325">
      <formula>LEN(TRIM(O67))=0</formula>
    </cfRule>
  </conditionalFormatting>
  <conditionalFormatting sqref="O69:Q69">
    <cfRule type="containsBlanks" dxfId="1400" priority="1324">
      <formula>LEN(TRIM(O69))=0</formula>
    </cfRule>
  </conditionalFormatting>
  <conditionalFormatting sqref="N65:T65">
    <cfRule type="containsBlanks" dxfId="1399" priority="1323">
      <formula>LEN(TRIM(N65))=0</formula>
    </cfRule>
  </conditionalFormatting>
  <conditionalFormatting sqref="M82:S82">
    <cfRule type="containsBlanks" dxfId="1398" priority="1322">
      <formula>LEN(TRIM(M82))=0</formula>
    </cfRule>
  </conditionalFormatting>
  <conditionalFormatting sqref="N85:T85">
    <cfRule type="containsBlanks" dxfId="1397" priority="1321">
      <formula>LEN(TRIM(N85))=0</formula>
    </cfRule>
  </conditionalFormatting>
  <conditionalFormatting sqref="O87:Q87">
    <cfRule type="containsBlanks" dxfId="1396" priority="1320">
      <formula>LEN(TRIM(O87))=0</formula>
    </cfRule>
  </conditionalFormatting>
  <conditionalFormatting sqref="M89:T89">
    <cfRule type="containsBlanks" dxfId="1395" priority="1319">
      <formula>LEN(TRIM(M89))=0</formula>
    </cfRule>
  </conditionalFormatting>
  <conditionalFormatting sqref="M95:T95">
    <cfRule type="containsBlanks" dxfId="1394" priority="1318">
      <formula>LEN(TRIM(M95))=0</formula>
    </cfRule>
  </conditionalFormatting>
  <conditionalFormatting sqref="O96:S96">
    <cfRule type="containsBlanks" dxfId="1393" priority="1317">
      <formula>LEN(TRIM(O96))=0</formula>
    </cfRule>
  </conditionalFormatting>
  <conditionalFormatting sqref="M96:N96">
    <cfRule type="containsBlanks" dxfId="1392" priority="1316">
      <formula>LEN(TRIM(M96))=0</formula>
    </cfRule>
  </conditionalFormatting>
  <conditionalFormatting sqref="M59:T59">
    <cfRule type="containsBlanks" dxfId="1391" priority="1315">
      <formula>LEN(TRIM(M59))=0</formula>
    </cfRule>
  </conditionalFormatting>
  <conditionalFormatting sqref="M60:S60">
    <cfRule type="containsBlanks" dxfId="1390" priority="1314">
      <formula>LEN(TRIM(M60))=0</formula>
    </cfRule>
  </conditionalFormatting>
  <conditionalFormatting sqref="O57:Q57">
    <cfRule type="containsBlanks" dxfId="1389" priority="1313">
      <formula>LEN(TRIM(O57))=0</formula>
    </cfRule>
  </conditionalFormatting>
  <conditionalFormatting sqref="O58:Q58">
    <cfRule type="containsBlanks" dxfId="1388" priority="1312">
      <formula>LEN(TRIM(O58))=0</formula>
    </cfRule>
  </conditionalFormatting>
  <conditionalFormatting sqref="O60:Q60">
    <cfRule type="containsBlanks" dxfId="1387" priority="1311">
      <formula>LEN(TRIM(O60))=0</formula>
    </cfRule>
  </conditionalFormatting>
  <conditionalFormatting sqref="N56:T56">
    <cfRule type="containsBlanks" dxfId="1386" priority="1310">
      <formula>LEN(TRIM(N56))=0</formula>
    </cfRule>
  </conditionalFormatting>
  <conditionalFormatting sqref="M73:S73">
    <cfRule type="containsBlanks" dxfId="1385" priority="1309">
      <formula>LEN(TRIM(M73))=0</formula>
    </cfRule>
  </conditionalFormatting>
  <conditionalFormatting sqref="N76:T76">
    <cfRule type="containsBlanks" dxfId="1384" priority="1308">
      <formula>LEN(TRIM(N76))=0</formula>
    </cfRule>
  </conditionalFormatting>
  <conditionalFormatting sqref="O78:Q78">
    <cfRule type="containsBlanks" dxfId="1383" priority="1307">
      <formula>LEN(TRIM(O78))=0</formula>
    </cfRule>
  </conditionalFormatting>
  <conditionalFormatting sqref="M80:T80">
    <cfRule type="containsBlanks" dxfId="1382" priority="1306">
      <formula>LEN(TRIM(M80))=0</formula>
    </cfRule>
  </conditionalFormatting>
  <conditionalFormatting sqref="M86:T86">
    <cfRule type="containsBlanks" dxfId="1381" priority="1305">
      <formula>LEN(TRIM(M86))=0</formula>
    </cfRule>
  </conditionalFormatting>
  <conditionalFormatting sqref="O87:S87">
    <cfRule type="containsBlanks" dxfId="1380" priority="1304">
      <formula>LEN(TRIM(O87))=0</formula>
    </cfRule>
  </conditionalFormatting>
  <conditionalFormatting sqref="M87:N87">
    <cfRule type="containsBlanks" dxfId="1379" priority="1303">
      <formula>LEN(TRIM(M87))=0</formula>
    </cfRule>
  </conditionalFormatting>
  <conditionalFormatting sqref="O55:Q55">
    <cfRule type="containsBlanks" dxfId="1378" priority="1302">
      <formula>LEN(TRIM(O55))=0</formula>
    </cfRule>
  </conditionalFormatting>
  <conditionalFormatting sqref="O68:Q68">
    <cfRule type="containsBlanks" dxfId="1377" priority="1301">
      <formula>LEN(TRIM(O68))=0</formula>
    </cfRule>
  </conditionalFormatting>
  <conditionalFormatting sqref="O69:Q69">
    <cfRule type="containsBlanks" dxfId="1376" priority="1300">
      <formula>LEN(TRIM(O69))=0</formula>
    </cfRule>
  </conditionalFormatting>
  <conditionalFormatting sqref="O71:Q71">
    <cfRule type="containsBlanks" dxfId="1375" priority="1299">
      <formula>LEN(TRIM(O71))=0</formula>
    </cfRule>
  </conditionalFormatting>
  <conditionalFormatting sqref="N67:T67">
    <cfRule type="containsBlanks" dxfId="1374" priority="1298">
      <formula>LEN(TRIM(N67))=0</formula>
    </cfRule>
  </conditionalFormatting>
  <conditionalFormatting sqref="M84:S84">
    <cfRule type="containsBlanks" dxfId="1373" priority="1297">
      <formula>LEN(TRIM(M84))=0</formula>
    </cfRule>
  </conditionalFormatting>
  <conditionalFormatting sqref="N87:T87">
    <cfRule type="containsBlanks" dxfId="1372" priority="1296">
      <formula>LEN(TRIM(N87))=0</formula>
    </cfRule>
  </conditionalFormatting>
  <conditionalFormatting sqref="O89:Q89">
    <cfRule type="containsBlanks" dxfId="1371" priority="1295">
      <formula>LEN(TRIM(O89))=0</formula>
    </cfRule>
  </conditionalFormatting>
  <conditionalFormatting sqref="M91:T91">
    <cfRule type="containsBlanks" dxfId="1370" priority="1294">
      <formula>LEN(TRIM(M91))=0</formula>
    </cfRule>
  </conditionalFormatting>
  <conditionalFormatting sqref="M97:T97">
    <cfRule type="containsBlanks" dxfId="1369" priority="1293">
      <formula>LEN(TRIM(M97))=0</formula>
    </cfRule>
  </conditionalFormatting>
  <conditionalFormatting sqref="O98:S98">
    <cfRule type="containsBlanks" dxfId="1368" priority="1292">
      <formula>LEN(TRIM(O98))=0</formula>
    </cfRule>
  </conditionalFormatting>
  <conditionalFormatting sqref="M98:N98">
    <cfRule type="containsBlanks" dxfId="1367" priority="1291">
      <formula>LEN(TRIM(M98))=0</formula>
    </cfRule>
  </conditionalFormatting>
  <conditionalFormatting sqref="M61:T61">
    <cfRule type="containsBlanks" dxfId="1366" priority="1290">
      <formula>LEN(TRIM(M61))=0</formula>
    </cfRule>
  </conditionalFormatting>
  <conditionalFormatting sqref="M62:S62">
    <cfRule type="containsBlanks" dxfId="1365" priority="1289">
      <formula>LEN(TRIM(M62))=0</formula>
    </cfRule>
  </conditionalFormatting>
  <conditionalFormatting sqref="O59:Q59">
    <cfRule type="containsBlanks" dxfId="1364" priority="1288">
      <formula>LEN(TRIM(O59))=0</formula>
    </cfRule>
  </conditionalFormatting>
  <conditionalFormatting sqref="O60:Q60">
    <cfRule type="containsBlanks" dxfId="1363" priority="1287">
      <formula>LEN(TRIM(O60))=0</formula>
    </cfRule>
  </conditionalFormatting>
  <conditionalFormatting sqref="O62:Q62">
    <cfRule type="containsBlanks" dxfId="1362" priority="1286">
      <formula>LEN(TRIM(O62))=0</formula>
    </cfRule>
  </conditionalFormatting>
  <conditionalFormatting sqref="N58:T58">
    <cfRule type="containsBlanks" dxfId="1361" priority="1285">
      <formula>LEN(TRIM(N58))=0</formula>
    </cfRule>
  </conditionalFormatting>
  <conditionalFormatting sqref="M75:S75">
    <cfRule type="containsBlanks" dxfId="1360" priority="1284">
      <formula>LEN(TRIM(M75))=0</formula>
    </cfRule>
  </conditionalFormatting>
  <conditionalFormatting sqref="N78:T78">
    <cfRule type="containsBlanks" dxfId="1359" priority="1283">
      <formula>LEN(TRIM(N78))=0</formula>
    </cfRule>
  </conditionalFormatting>
  <conditionalFormatting sqref="O80:Q80">
    <cfRule type="containsBlanks" dxfId="1358" priority="1282">
      <formula>LEN(TRIM(O80))=0</formula>
    </cfRule>
  </conditionalFormatting>
  <conditionalFormatting sqref="M82:T82">
    <cfRule type="containsBlanks" dxfId="1357" priority="1281">
      <formula>LEN(TRIM(M82))=0</formula>
    </cfRule>
  </conditionalFormatting>
  <conditionalFormatting sqref="M88:T88">
    <cfRule type="containsBlanks" dxfId="1356" priority="1280">
      <formula>LEN(TRIM(M88))=0</formula>
    </cfRule>
  </conditionalFormatting>
  <conditionalFormatting sqref="O89:S89">
    <cfRule type="containsBlanks" dxfId="1355" priority="1279">
      <formula>LEN(TRIM(O89))=0</formula>
    </cfRule>
  </conditionalFormatting>
  <conditionalFormatting sqref="M89:N89">
    <cfRule type="containsBlanks" dxfId="1354" priority="1278">
      <formula>LEN(TRIM(M89))=0</formula>
    </cfRule>
  </conditionalFormatting>
  <conditionalFormatting sqref="O63:Q63">
    <cfRule type="containsBlanks" dxfId="1353" priority="1277">
      <formula>LEN(TRIM(O63))=0</formula>
    </cfRule>
  </conditionalFormatting>
  <conditionalFormatting sqref="O64:Q64">
    <cfRule type="containsBlanks" dxfId="1352" priority="1276">
      <formula>LEN(TRIM(O64))=0</formula>
    </cfRule>
  </conditionalFormatting>
  <conditionalFormatting sqref="O66:Q66">
    <cfRule type="containsBlanks" dxfId="1351" priority="1275">
      <formula>LEN(TRIM(O66))=0</formula>
    </cfRule>
  </conditionalFormatting>
  <conditionalFormatting sqref="N62:T62">
    <cfRule type="containsBlanks" dxfId="1350" priority="1274">
      <formula>LEN(TRIM(N62))=0</formula>
    </cfRule>
  </conditionalFormatting>
  <conditionalFormatting sqref="M79:S79">
    <cfRule type="containsBlanks" dxfId="1349" priority="1273">
      <formula>LEN(TRIM(M79))=0</formula>
    </cfRule>
  </conditionalFormatting>
  <conditionalFormatting sqref="N82:T82">
    <cfRule type="containsBlanks" dxfId="1348" priority="1272">
      <formula>LEN(TRIM(N82))=0</formula>
    </cfRule>
  </conditionalFormatting>
  <conditionalFormatting sqref="O84:Q84">
    <cfRule type="containsBlanks" dxfId="1347" priority="1271">
      <formula>LEN(TRIM(O84))=0</formula>
    </cfRule>
  </conditionalFormatting>
  <conditionalFormatting sqref="M86:T86">
    <cfRule type="containsBlanks" dxfId="1346" priority="1270">
      <formula>LEN(TRIM(M86))=0</formula>
    </cfRule>
  </conditionalFormatting>
  <conditionalFormatting sqref="M92:T92">
    <cfRule type="containsBlanks" dxfId="1345" priority="1269">
      <formula>LEN(TRIM(M92))=0</formula>
    </cfRule>
  </conditionalFormatting>
  <conditionalFormatting sqref="O93:S93">
    <cfRule type="containsBlanks" dxfId="1344" priority="1268">
      <formula>LEN(TRIM(O93))=0</formula>
    </cfRule>
  </conditionalFormatting>
  <conditionalFormatting sqref="M93:N93">
    <cfRule type="containsBlanks" dxfId="1343" priority="1267">
      <formula>LEN(TRIM(M93))=0</formula>
    </cfRule>
  </conditionalFormatting>
  <conditionalFormatting sqref="M56:T56">
    <cfRule type="containsBlanks" dxfId="1342" priority="1266">
      <formula>LEN(TRIM(M56))=0</formula>
    </cfRule>
  </conditionalFormatting>
  <conditionalFormatting sqref="M57:S57">
    <cfRule type="containsBlanks" dxfId="1341" priority="1265">
      <formula>LEN(TRIM(M57))=0</formula>
    </cfRule>
  </conditionalFormatting>
  <conditionalFormatting sqref="O54:Q54">
    <cfRule type="containsBlanks" dxfId="1340" priority="1264">
      <formula>LEN(TRIM(O54))=0</formula>
    </cfRule>
  </conditionalFormatting>
  <conditionalFormatting sqref="O55:Q55">
    <cfRule type="containsBlanks" dxfId="1339" priority="1263">
      <formula>LEN(TRIM(O55))=0</formula>
    </cfRule>
  </conditionalFormatting>
  <conditionalFormatting sqref="O57:Q57">
    <cfRule type="containsBlanks" dxfId="1338" priority="1262">
      <formula>LEN(TRIM(O57))=0</formula>
    </cfRule>
  </conditionalFormatting>
  <conditionalFormatting sqref="M70:S70">
    <cfRule type="containsBlanks" dxfId="1337" priority="1261">
      <formula>LEN(TRIM(M70))=0</formula>
    </cfRule>
  </conditionalFormatting>
  <conditionalFormatting sqref="N73:T73">
    <cfRule type="containsBlanks" dxfId="1336" priority="1260">
      <formula>LEN(TRIM(N73))=0</formula>
    </cfRule>
  </conditionalFormatting>
  <conditionalFormatting sqref="O75:Q75">
    <cfRule type="containsBlanks" dxfId="1335" priority="1259">
      <formula>LEN(TRIM(O75))=0</formula>
    </cfRule>
  </conditionalFormatting>
  <conditionalFormatting sqref="M77:T77">
    <cfRule type="containsBlanks" dxfId="1334" priority="1258">
      <formula>LEN(TRIM(M77))=0</formula>
    </cfRule>
  </conditionalFormatting>
  <conditionalFormatting sqref="M83:T83">
    <cfRule type="containsBlanks" dxfId="1333" priority="1257">
      <formula>LEN(TRIM(M83))=0</formula>
    </cfRule>
  </conditionalFormatting>
  <conditionalFormatting sqref="O84:S84">
    <cfRule type="containsBlanks" dxfId="1332" priority="1256">
      <formula>LEN(TRIM(O84))=0</formula>
    </cfRule>
  </conditionalFormatting>
  <conditionalFormatting sqref="M84:N84">
    <cfRule type="containsBlanks" dxfId="1331" priority="1255">
      <formula>LEN(TRIM(M84))=0</formula>
    </cfRule>
  </conditionalFormatting>
  <conditionalFormatting sqref="O55:Q55">
    <cfRule type="containsBlanks" dxfId="1330" priority="1254">
      <formula>LEN(TRIM(O55))=0</formula>
    </cfRule>
  </conditionalFormatting>
  <conditionalFormatting sqref="O57:Q57">
    <cfRule type="containsBlanks" dxfId="1329" priority="1253">
      <formula>LEN(TRIM(O57))=0</formula>
    </cfRule>
  </conditionalFormatting>
  <conditionalFormatting sqref="O59:Q59">
    <cfRule type="containsBlanks" dxfId="1328" priority="1252">
      <formula>LEN(TRIM(O59))=0</formula>
    </cfRule>
  </conditionalFormatting>
  <conditionalFormatting sqref="O61:Q61">
    <cfRule type="containsBlanks" dxfId="1327" priority="1251">
      <formula>LEN(TRIM(O61))=0</formula>
    </cfRule>
  </conditionalFormatting>
  <conditionalFormatting sqref="O74:Q74">
    <cfRule type="containsBlanks" dxfId="1326" priority="1250">
      <formula>LEN(TRIM(O74))=0</formula>
    </cfRule>
  </conditionalFormatting>
  <conditionalFormatting sqref="O75:Q75">
    <cfRule type="containsBlanks" dxfId="1325" priority="1249">
      <formula>LEN(TRIM(O75))=0</formula>
    </cfRule>
  </conditionalFormatting>
  <conditionalFormatting sqref="O77:Q77">
    <cfRule type="containsBlanks" dxfId="1324" priority="1248">
      <formula>LEN(TRIM(O77))=0</formula>
    </cfRule>
  </conditionalFormatting>
  <conditionalFormatting sqref="N73:T73">
    <cfRule type="containsBlanks" dxfId="1323" priority="1247">
      <formula>LEN(TRIM(N73))=0</formula>
    </cfRule>
  </conditionalFormatting>
  <conditionalFormatting sqref="M90:S90">
    <cfRule type="containsBlanks" dxfId="1322" priority="1246">
      <formula>LEN(TRIM(M90))=0</formula>
    </cfRule>
  </conditionalFormatting>
  <conditionalFormatting sqref="N93:T93">
    <cfRule type="containsBlanks" dxfId="1321" priority="1245">
      <formula>LEN(TRIM(N93))=0</formula>
    </cfRule>
  </conditionalFormatting>
  <conditionalFormatting sqref="O95:Q95">
    <cfRule type="containsBlanks" dxfId="1320" priority="1244">
      <formula>LEN(TRIM(O95))=0</formula>
    </cfRule>
  </conditionalFormatting>
  <conditionalFormatting sqref="M97:T97">
    <cfRule type="containsBlanks" dxfId="1319" priority="1243">
      <formula>LEN(TRIM(M97))=0</formula>
    </cfRule>
  </conditionalFormatting>
  <conditionalFormatting sqref="M103:T103">
    <cfRule type="containsBlanks" dxfId="1318" priority="1242">
      <formula>LEN(TRIM(M103))=0</formula>
    </cfRule>
  </conditionalFormatting>
  <conditionalFormatting sqref="O104:S104">
    <cfRule type="containsBlanks" dxfId="1317" priority="1241">
      <formula>LEN(TRIM(O104))=0</formula>
    </cfRule>
  </conditionalFormatting>
  <conditionalFormatting sqref="M104:N104">
    <cfRule type="containsBlanks" dxfId="1316" priority="1240">
      <formula>LEN(TRIM(M104))=0</formula>
    </cfRule>
  </conditionalFormatting>
  <conditionalFormatting sqref="M67:T67">
    <cfRule type="containsBlanks" dxfId="1315" priority="1239">
      <formula>LEN(TRIM(M67))=0</formula>
    </cfRule>
  </conditionalFormatting>
  <conditionalFormatting sqref="M68:S68">
    <cfRule type="containsBlanks" dxfId="1314" priority="1238">
      <formula>LEN(TRIM(M68))=0</formula>
    </cfRule>
  </conditionalFormatting>
  <conditionalFormatting sqref="O65:Q65">
    <cfRule type="containsBlanks" dxfId="1313" priority="1237">
      <formula>LEN(TRIM(O65))=0</formula>
    </cfRule>
  </conditionalFormatting>
  <conditionalFormatting sqref="O66:Q66">
    <cfRule type="containsBlanks" dxfId="1312" priority="1236">
      <formula>LEN(TRIM(O66))=0</formula>
    </cfRule>
  </conditionalFormatting>
  <conditionalFormatting sqref="O68:Q68">
    <cfRule type="containsBlanks" dxfId="1311" priority="1235">
      <formula>LEN(TRIM(O68))=0</formula>
    </cfRule>
  </conditionalFormatting>
  <conditionalFormatting sqref="N64:T64">
    <cfRule type="containsBlanks" dxfId="1310" priority="1234">
      <formula>LEN(TRIM(N64))=0</formula>
    </cfRule>
  </conditionalFormatting>
  <conditionalFormatting sqref="M81:S81">
    <cfRule type="containsBlanks" dxfId="1309" priority="1233">
      <formula>LEN(TRIM(M81))=0</formula>
    </cfRule>
  </conditionalFormatting>
  <conditionalFormatting sqref="N84:T84">
    <cfRule type="containsBlanks" dxfId="1308" priority="1232">
      <formula>LEN(TRIM(N84))=0</formula>
    </cfRule>
  </conditionalFormatting>
  <conditionalFormatting sqref="O86:Q86">
    <cfRule type="containsBlanks" dxfId="1307" priority="1231">
      <formula>LEN(TRIM(O86))=0</formula>
    </cfRule>
  </conditionalFormatting>
  <conditionalFormatting sqref="M88:T88">
    <cfRule type="containsBlanks" dxfId="1306" priority="1230">
      <formula>LEN(TRIM(M88))=0</formula>
    </cfRule>
  </conditionalFormatting>
  <conditionalFormatting sqref="M94:T94">
    <cfRule type="containsBlanks" dxfId="1305" priority="1229">
      <formula>LEN(TRIM(M94))=0</formula>
    </cfRule>
  </conditionalFormatting>
  <conditionalFormatting sqref="O95:S95">
    <cfRule type="containsBlanks" dxfId="1304" priority="1228">
      <formula>LEN(TRIM(O95))=0</formula>
    </cfRule>
  </conditionalFormatting>
  <conditionalFormatting sqref="M95:N95">
    <cfRule type="containsBlanks" dxfId="1303" priority="1227">
      <formula>LEN(TRIM(M95))=0</formula>
    </cfRule>
  </conditionalFormatting>
  <conditionalFormatting sqref="M58:T58">
    <cfRule type="containsBlanks" dxfId="1302" priority="1226">
      <formula>LEN(TRIM(M58))=0</formula>
    </cfRule>
  </conditionalFormatting>
  <conditionalFormatting sqref="M59:S59">
    <cfRule type="containsBlanks" dxfId="1301" priority="1225">
      <formula>LEN(TRIM(M59))=0</formula>
    </cfRule>
  </conditionalFormatting>
  <conditionalFormatting sqref="O54:Q54">
    <cfRule type="containsBlanks" dxfId="1300" priority="1224">
      <formula>LEN(TRIM(O54))=0</formula>
    </cfRule>
  </conditionalFormatting>
  <conditionalFormatting sqref="O56:Q56">
    <cfRule type="containsBlanks" dxfId="1299" priority="1223">
      <formula>LEN(TRIM(O56))=0</formula>
    </cfRule>
  </conditionalFormatting>
  <conditionalFormatting sqref="O69:Q69">
    <cfRule type="containsBlanks" dxfId="1298" priority="1222">
      <formula>LEN(TRIM(O69))=0</formula>
    </cfRule>
  </conditionalFormatting>
  <conditionalFormatting sqref="O70:Q70">
    <cfRule type="containsBlanks" dxfId="1297" priority="1221">
      <formula>LEN(TRIM(O70))=0</formula>
    </cfRule>
  </conditionalFormatting>
  <conditionalFormatting sqref="O72:Q72">
    <cfRule type="containsBlanks" dxfId="1296" priority="1220">
      <formula>LEN(TRIM(O72))=0</formula>
    </cfRule>
  </conditionalFormatting>
  <conditionalFormatting sqref="N68:T68">
    <cfRule type="containsBlanks" dxfId="1295" priority="1219">
      <formula>LEN(TRIM(N68))=0</formula>
    </cfRule>
  </conditionalFormatting>
  <conditionalFormatting sqref="M85:S85">
    <cfRule type="containsBlanks" dxfId="1294" priority="1218">
      <formula>LEN(TRIM(M85))=0</formula>
    </cfRule>
  </conditionalFormatting>
  <conditionalFormatting sqref="N88:T88">
    <cfRule type="containsBlanks" dxfId="1293" priority="1217">
      <formula>LEN(TRIM(N88))=0</formula>
    </cfRule>
  </conditionalFormatting>
  <conditionalFormatting sqref="O90:Q90">
    <cfRule type="containsBlanks" dxfId="1292" priority="1216">
      <formula>LEN(TRIM(O90))=0</formula>
    </cfRule>
  </conditionalFormatting>
  <conditionalFormatting sqref="M92:T92">
    <cfRule type="containsBlanks" dxfId="1291" priority="1215">
      <formula>LEN(TRIM(M92))=0</formula>
    </cfRule>
  </conditionalFormatting>
  <conditionalFormatting sqref="M98:T98">
    <cfRule type="containsBlanks" dxfId="1290" priority="1214">
      <formula>LEN(TRIM(M98))=0</formula>
    </cfRule>
  </conditionalFormatting>
  <conditionalFormatting sqref="M62:T62">
    <cfRule type="containsBlanks" dxfId="1289" priority="1211">
      <formula>LEN(TRIM(M62))=0</formula>
    </cfRule>
  </conditionalFormatting>
  <conditionalFormatting sqref="M63:S63">
    <cfRule type="containsBlanks" dxfId="1288" priority="1210">
      <formula>LEN(TRIM(M63))=0</formula>
    </cfRule>
  </conditionalFormatting>
  <conditionalFormatting sqref="O60:Q60">
    <cfRule type="containsBlanks" dxfId="1287" priority="1209">
      <formula>LEN(TRIM(O60))=0</formula>
    </cfRule>
  </conditionalFormatting>
  <conditionalFormatting sqref="O61:Q61">
    <cfRule type="containsBlanks" dxfId="1286" priority="1208">
      <formula>LEN(TRIM(O61))=0</formula>
    </cfRule>
  </conditionalFormatting>
  <conditionalFormatting sqref="O63:Q63">
    <cfRule type="containsBlanks" dxfId="1285" priority="1207">
      <formula>LEN(TRIM(O63))=0</formula>
    </cfRule>
  </conditionalFormatting>
  <conditionalFormatting sqref="N59:T59">
    <cfRule type="containsBlanks" dxfId="1284" priority="1206">
      <formula>LEN(TRIM(N59))=0</formula>
    </cfRule>
  </conditionalFormatting>
  <conditionalFormatting sqref="M76:S76">
    <cfRule type="containsBlanks" dxfId="1283" priority="1205">
      <formula>LEN(TRIM(M76))=0</formula>
    </cfRule>
  </conditionalFormatting>
  <conditionalFormatting sqref="N79:T79">
    <cfRule type="containsBlanks" dxfId="1282" priority="1204">
      <formula>LEN(TRIM(N79))=0</formula>
    </cfRule>
  </conditionalFormatting>
  <conditionalFormatting sqref="O81:Q81">
    <cfRule type="containsBlanks" dxfId="1281" priority="1203">
      <formula>LEN(TRIM(O81))=0</formula>
    </cfRule>
  </conditionalFormatting>
  <conditionalFormatting sqref="M83:T83">
    <cfRule type="containsBlanks" dxfId="1280" priority="1202">
      <formula>LEN(TRIM(M83))=0</formula>
    </cfRule>
  </conditionalFormatting>
  <conditionalFormatting sqref="M89:T89">
    <cfRule type="containsBlanks" dxfId="1279" priority="1201">
      <formula>LEN(TRIM(M89))=0</formula>
    </cfRule>
  </conditionalFormatting>
  <conditionalFormatting sqref="O90:S90">
    <cfRule type="containsBlanks" dxfId="1278" priority="1200">
      <formula>LEN(TRIM(O90))=0</formula>
    </cfRule>
  </conditionalFormatting>
  <conditionalFormatting sqref="M90:N90">
    <cfRule type="containsBlanks" dxfId="1277" priority="1199">
      <formula>LEN(TRIM(M90))=0</formula>
    </cfRule>
  </conditionalFormatting>
  <conditionalFormatting sqref="M54:S54">
    <cfRule type="containsBlanks" dxfId="1276" priority="1198">
      <formula>LEN(TRIM(M54))=0</formula>
    </cfRule>
  </conditionalFormatting>
  <conditionalFormatting sqref="O54:Q54">
    <cfRule type="containsBlanks" dxfId="1275" priority="1197">
      <formula>LEN(TRIM(O54))=0</formula>
    </cfRule>
  </conditionalFormatting>
  <conditionalFormatting sqref="O56:Q56">
    <cfRule type="containsBlanks" dxfId="1274" priority="1196">
      <formula>LEN(TRIM(O56))=0</formula>
    </cfRule>
  </conditionalFormatting>
  <conditionalFormatting sqref="O58:Q58">
    <cfRule type="containsBlanks" dxfId="1273" priority="1195">
      <formula>LEN(TRIM(O58))=0</formula>
    </cfRule>
  </conditionalFormatting>
  <conditionalFormatting sqref="O71:Q71">
    <cfRule type="containsBlanks" dxfId="1272" priority="1194">
      <formula>LEN(TRIM(O71))=0</formula>
    </cfRule>
  </conditionalFormatting>
  <conditionalFormatting sqref="O72:Q72">
    <cfRule type="containsBlanks" dxfId="1271" priority="1193">
      <formula>LEN(TRIM(O72))=0</formula>
    </cfRule>
  </conditionalFormatting>
  <conditionalFormatting sqref="O74:Q74">
    <cfRule type="containsBlanks" dxfId="1270" priority="1192">
      <formula>LEN(TRIM(O74))=0</formula>
    </cfRule>
  </conditionalFormatting>
  <conditionalFormatting sqref="N70:T70">
    <cfRule type="containsBlanks" dxfId="1269" priority="1191">
      <formula>LEN(TRIM(N70))=0</formula>
    </cfRule>
  </conditionalFormatting>
  <conditionalFormatting sqref="M87:S87">
    <cfRule type="containsBlanks" dxfId="1268" priority="1190">
      <formula>LEN(TRIM(M87))=0</formula>
    </cfRule>
  </conditionalFormatting>
  <conditionalFormatting sqref="N90:T90">
    <cfRule type="containsBlanks" dxfId="1267" priority="1189">
      <formula>LEN(TRIM(N90))=0</formula>
    </cfRule>
  </conditionalFormatting>
  <conditionalFormatting sqref="O92:Q92">
    <cfRule type="containsBlanks" dxfId="1266" priority="1188">
      <formula>LEN(TRIM(O92))=0</formula>
    </cfRule>
  </conditionalFormatting>
  <conditionalFormatting sqref="M94:T94">
    <cfRule type="containsBlanks" dxfId="1265" priority="1187">
      <formula>LEN(TRIM(M94))=0</formula>
    </cfRule>
  </conditionalFormatting>
  <conditionalFormatting sqref="M100:T100">
    <cfRule type="containsBlanks" dxfId="1264" priority="1186">
      <formula>LEN(TRIM(M100))=0</formula>
    </cfRule>
  </conditionalFormatting>
  <conditionalFormatting sqref="O101:S101">
    <cfRule type="containsBlanks" dxfId="1263" priority="1185">
      <formula>LEN(TRIM(O101))=0</formula>
    </cfRule>
  </conditionalFormatting>
  <conditionalFormatting sqref="M101:N101">
    <cfRule type="containsBlanks" dxfId="1262" priority="1184">
      <formula>LEN(TRIM(M101))=0</formula>
    </cfRule>
  </conditionalFormatting>
  <conditionalFormatting sqref="M64:T64">
    <cfRule type="containsBlanks" dxfId="1261" priority="1183">
      <formula>LEN(TRIM(M64))=0</formula>
    </cfRule>
  </conditionalFormatting>
  <conditionalFormatting sqref="M65:S65">
    <cfRule type="containsBlanks" dxfId="1260" priority="1182">
      <formula>LEN(TRIM(M65))=0</formula>
    </cfRule>
  </conditionalFormatting>
  <conditionalFormatting sqref="O62:Q62">
    <cfRule type="containsBlanks" dxfId="1259" priority="1181">
      <formula>LEN(TRIM(O62))=0</formula>
    </cfRule>
  </conditionalFormatting>
  <conditionalFormatting sqref="O63:Q63">
    <cfRule type="containsBlanks" dxfId="1258" priority="1180">
      <formula>LEN(TRIM(O63))=0</formula>
    </cfRule>
  </conditionalFormatting>
  <conditionalFormatting sqref="O65:Q65">
    <cfRule type="containsBlanks" dxfId="1257" priority="1179">
      <formula>LEN(TRIM(O65))=0</formula>
    </cfRule>
  </conditionalFormatting>
  <conditionalFormatting sqref="N61:T61">
    <cfRule type="containsBlanks" dxfId="1256" priority="1178">
      <formula>LEN(TRIM(N61))=0</formula>
    </cfRule>
  </conditionalFormatting>
  <conditionalFormatting sqref="M78:S78">
    <cfRule type="containsBlanks" dxfId="1255" priority="1177">
      <formula>LEN(TRIM(M78))=0</formula>
    </cfRule>
  </conditionalFormatting>
  <conditionalFormatting sqref="N81:T81">
    <cfRule type="containsBlanks" dxfId="1254" priority="1176">
      <formula>LEN(TRIM(N81))=0</formula>
    </cfRule>
  </conditionalFormatting>
  <conditionalFormatting sqref="O83:Q83">
    <cfRule type="containsBlanks" dxfId="1253" priority="1175">
      <formula>LEN(TRIM(O83))=0</formula>
    </cfRule>
  </conditionalFormatting>
  <conditionalFormatting sqref="M85:T85">
    <cfRule type="containsBlanks" dxfId="1252" priority="1174">
      <formula>LEN(TRIM(M85))=0</formula>
    </cfRule>
  </conditionalFormatting>
  <conditionalFormatting sqref="M91:T91">
    <cfRule type="containsBlanks" dxfId="1251" priority="1173">
      <formula>LEN(TRIM(M91))=0</formula>
    </cfRule>
  </conditionalFormatting>
  <conditionalFormatting sqref="O92:S92">
    <cfRule type="containsBlanks" dxfId="1250" priority="1172">
      <formula>LEN(TRIM(O92))=0</formula>
    </cfRule>
  </conditionalFormatting>
  <conditionalFormatting sqref="M92:N92">
    <cfRule type="containsBlanks" dxfId="1249" priority="1171">
      <formula>LEN(TRIM(M92))=0</formula>
    </cfRule>
  </conditionalFormatting>
  <conditionalFormatting sqref="M55:T55">
    <cfRule type="containsBlanks" dxfId="1248" priority="1170">
      <formula>LEN(TRIM(M55))=0</formula>
    </cfRule>
  </conditionalFormatting>
  <conditionalFormatting sqref="M56:S56">
    <cfRule type="containsBlanks" dxfId="1247" priority="1169">
      <formula>LEN(TRIM(M56))=0</formula>
    </cfRule>
  </conditionalFormatting>
  <conditionalFormatting sqref="O66:Q66">
    <cfRule type="containsBlanks" dxfId="1246" priority="1168">
      <formula>LEN(TRIM(O66))=0</formula>
    </cfRule>
  </conditionalFormatting>
  <conditionalFormatting sqref="O67:Q67">
    <cfRule type="containsBlanks" dxfId="1245" priority="1167">
      <formula>LEN(TRIM(O67))=0</formula>
    </cfRule>
  </conditionalFormatting>
  <conditionalFormatting sqref="O69:Q69">
    <cfRule type="containsBlanks" dxfId="1244" priority="1166">
      <formula>LEN(TRIM(O69))=0</formula>
    </cfRule>
  </conditionalFormatting>
  <conditionalFormatting sqref="N65:T65">
    <cfRule type="containsBlanks" dxfId="1243" priority="1165">
      <formula>LEN(TRIM(N65))=0</formula>
    </cfRule>
  </conditionalFormatting>
  <conditionalFormatting sqref="M82:S82">
    <cfRule type="containsBlanks" dxfId="1242" priority="1164">
      <formula>LEN(TRIM(M82))=0</formula>
    </cfRule>
  </conditionalFormatting>
  <conditionalFormatting sqref="N85:T85">
    <cfRule type="containsBlanks" dxfId="1241" priority="1163">
      <formula>LEN(TRIM(N85))=0</formula>
    </cfRule>
  </conditionalFormatting>
  <conditionalFormatting sqref="O87:Q87">
    <cfRule type="containsBlanks" dxfId="1240" priority="1162">
      <formula>LEN(TRIM(O87))=0</formula>
    </cfRule>
  </conditionalFormatting>
  <conditionalFormatting sqref="M89:T89">
    <cfRule type="containsBlanks" dxfId="1239" priority="1161">
      <formula>LEN(TRIM(M89))=0</formula>
    </cfRule>
  </conditionalFormatting>
  <conditionalFormatting sqref="M95:T95">
    <cfRule type="containsBlanks" dxfId="1238" priority="1160">
      <formula>LEN(TRIM(M95))=0</formula>
    </cfRule>
  </conditionalFormatting>
  <conditionalFormatting sqref="O96:S96">
    <cfRule type="containsBlanks" dxfId="1237" priority="1159">
      <formula>LEN(TRIM(O96))=0</formula>
    </cfRule>
  </conditionalFormatting>
  <conditionalFormatting sqref="M96:N96">
    <cfRule type="containsBlanks" dxfId="1236" priority="1158">
      <formula>LEN(TRIM(M96))=0</formula>
    </cfRule>
  </conditionalFormatting>
  <conditionalFormatting sqref="M59:T59">
    <cfRule type="containsBlanks" dxfId="1235" priority="1157">
      <formula>LEN(TRIM(M59))=0</formula>
    </cfRule>
  </conditionalFormatting>
  <conditionalFormatting sqref="M60:S60">
    <cfRule type="containsBlanks" dxfId="1234" priority="1156">
      <formula>LEN(TRIM(M60))=0</formula>
    </cfRule>
  </conditionalFormatting>
  <conditionalFormatting sqref="O57:Q57">
    <cfRule type="containsBlanks" dxfId="1233" priority="1155">
      <formula>LEN(TRIM(O57))=0</formula>
    </cfRule>
  </conditionalFormatting>
  <conditionalFormatting sqref="O58:Q58">
    <cfRule type="containsBlanks" dxfId="1232" priority="1154">
      <formula>LEN(TRIM(O58))=0</formula>
    </cfRule>
  </conditionalFormatting>
  <conditionalFormatting sqref="O60:Q60">
    <cfRule type="containsBlanks" dxfId="1231" priority="1153">
      <formula>LEN(TRIM(O60))=0</formula>
    </cfRule>
  </conditionalFormatting>
  <conditionalFormatting sqref="N56:T56">
    <cfRule type="containsBlanks" dxfId="1230" priority="1152">
      <formula>LEN(TRIM(N56))=0</formula>
    </cfRule>
  </conditionalFormatting>
  <conditionalFormatting sqref="M73:S73">
    <cfRule type="containsBlanks" dxfId="1229" priority="1151">
      <formula>LEN(TRIM(M73))=0</formula>
    </cfRule>
  </conditionalFormatting>
  <conditionalFormatting sqref="N76:T76">
    <cfRule type="containsBlanks" dxfId="1228" priority="1150">
      <formula>LEN(TRIM(N76))=0</formula>
    </cfRule>
  </conditionalFormatting>
  <conditionalFormatting sqref="O78:Q78">
    <cfRule type="containsBlanks" dxfId="1227" priority="1149">
      <formula>LEN(TRIM(O78))=0</formula>
    </cfRule>
  </conditionalFormatting>
  <conditionalFormatting sqref="M80:T80">
    <cfRule type="containsBlanks" dxfId="1226" priority="1148">
      <formula>LEN(TRIM(M80))=0</formula>
    </cfRule>
  </conditionalFormatting>
  <conditionalFormatting sqref="M86:T86">
    <cfRule type="containsBlanks" dxfId="1225" priority="1147">
      <formula>LEN(TRIM(M86))=0</formula>
    </cfRule>
  </conditionalFormatting>
  <conditionalFormatting sqref="O87:S87">
    <cfRule type="containsBlanks" dxfId="1224" priority="1146">
      <formula>LEN(TRIM(O87))=0</formula>
    </cfRule>
  </conditionalFormatting>
  <conditionalFormatting sqref="M87:N87">
    <cfRule type="containsBlanks" dxfId="1223" priority="1145">
      <formula>LEN(TRIM(M87))=0</formula>
    </cfRule>
  </conditionalFormatting>
  <conditionalFormatting sqref="O54:Q54">
    <cfRule type="containsBlanks" dxfId="1222" priority="1144">
      <formula>LEN(TRIM(O54))=0</formula>
    </cfRule>
  </conditionalFormatting>
  <conditionalFormatting sqref="O56:Q56">
    <cfRule type="containsBlanks" dxfId="1221" priority="1143">
      <formula>LEN(TRIM(O56))=0</formula>
    </cfRule>
  </conditionalFormatting>
  <conditionalFormatting sqref="O58:Q58">
    <cfRule type="containsBlanks" dxfId="1220" priority="1142">
      <formula>LEN(TRIM(O58))=0</formula>
    </cfRule>
  </conditionalFormatting>
  <conditionalFormatting sqref="O71:Q71">
    <cfRule type="containsBlanks" dxfId="1219" priority="1141">
      <formula>LEN(TRIM(O71))=0</formula>
    </cfRule>
  </conditionalFormatting>
  <conditionalFormatting sqref="O72:Q72">
    <cfRule type="containsBlanks" dxfId="1218" priority="1140">
      <formula>LEN(TRIM(O72))=0</formula>
    </cfRule>
  </conditionalFormatting>
  <conditionalFormatting sqref="O74:Q74">
    <cfRule type="containsBlanks" dxfId="1217" priority="1139">
      <formula>LEN(TRIM(O74))=0</formula>
    </cfRule>
  </conditionalFormatting>
  <conditionalFormatting sqref="N70:T70">
    <cfRule type="containsBlanks" dxfId="1216" priority="1138">
      <formula>LEN(TRIM(N70))=0</formula>
    </cfRule>
  </conditionalFormatting>
  <conditionalFormatting sqref="M87:S87">
    <cfRule type="containsBlanks" dxfId="1215" priority="1137">
      <formula>LEN(TRIM(M87))=0</formula>
    </cfRule>
  </conditionalFormatting>
  <conditionalFormatting sqref="N90:T90">
    <cfRule type="containsBlanks" dxfId="1214" priority="1136">
      <formula>LEN(TRIM(N90))=0</formula>
    </cfRule>
  </conditionalFormatting>
  <conditionalFormatting sqref="O92:Q92">
    <cfRule type="containsBlanks" dxfId="1213" priority="1135">
      <formula>LEN(TRIM(O92))=0</formula>
    </cfRule>
  </conditionalFormatting>
  <conditionalFormatting sqref="M94:T94">
    <cfRule type="containsBlanks" dxfId="1212" priority="1134">
      <formula>LEN(TRIM(M94))=0</formula>
    </cfRule>
  </conditionalFormatting>
  <conditionalFormatting sqref="M100:T100">
    <cfRule type="containsBlanks" dxfId="1211" priority="1133">
      <formula>LEN(TRIM(M100))=0</formula>
    </cfRule>
  </conditionalFormatting>
  <conditionalFormatting sqref="O101:S101">
    <cfRule type="containsBlanks" dxfId="1210" priority="1132">
      <formula>LEN(TRIM(O101))=0</formula>
    </cfRule>
  </conditionalFormatting>
  <conditionalFormatting sqref="M101:N101">
    <cfRule type="containsBlanks" dxfId="1209" priority="1131">
      <formula>LEN(TRIM(M101))=0</formula>
    </cfRule>
  </conditionalFormatting>
  <conditionalFormatting sqref="M64:T64">
    <cfRule type="containsBlanks" dxfId="1208" priority="1130">
      <formula>LEN(TRIM(M64))=0</formula>
    </cfRule>
  </conditionalFormatting>
  <conditionalFormatting sqref="M65:S65">
    <cfRule type="containsBlanks" dxfId="1207" priority="1129">
      <formula>LEN(TRIM(M65))=0</formula>
    </cfRule>
  </conditionalFormatting>
  <conditionalFormatting sqref="O62:Q62">
    <cfRule type="containsBlanks" dxfId="1206" priority="1128">
      <formula>LEN(TRIM(O62))=0</formula>
    </cfRule>
  </conditionalFormatting>
  <conditionalFormatting sqref="O63:Q63">
    <cfRule type="containsBlanks" dxfId="1205" priority="1127">
      <formula>LEN(TRIM(O63))=0</formula>
    </cfRule>
  </conditionalFormatting>
  <conditionalFormatting sqref="O65:Q65">
    <cfRule type="containsBlanks" dxfId="1204" priority="1126">
      <formula>LEN(TRIM(O65))=0</formula>
    </cfRule>
  </conditionalFormatting>
  <conditionalFormatting sqref="N61:T61">
    <cfRule type="containsBlanks" dxfId="1203" priority="1125">
      <formula>LEN(TRIM(N61))=0</formula>
    </cfRule>
  </conditionalFormatting>
  <conditionalFormatting sqref="M78:S78">
    <cfRule type="containsBlanks" dxfId="1202" priority="1124">
      <formula>LEN(TRIM(M78))=0</formula>
    </cfRule>
  </conditionalFormatting>
  <conditionalFormatting sqref="N81:T81">
    <cfRule type="containsBlanks" dxfId="1201" priority="1123">
      <formula>LEN(TRIM(N81))=0</formula>
    </cfRule>
  </conditionalFormatting>
  <conditionalFormatting sqref="O83:Q83">
    <cfRule type="containsBlanks" dxfId="1200" priority="1122">
      <formula>LEN(TRIM(O83))=0</formula>
    </cfRule>
  </conditionalFormatting>
  <conditionalFormatting sqref="M85:T85">
    <cfRule type="containsBlanks" dxfId="1199" priority="1121">
      <formula>LEN(TRIM(M85))=0</formula>
    </cfRule>
  </conditionalFormatting>
  <conditionalFormatting sqref="M91:T91">
    <cfRule type="containsBlanks" dxfId="1198" priority="1120">
      <formula>LEN(TRIM(M91))=0</formula>
    </cfRule>
  </conditionalFormatting>
  <conditionalFormatting sqref="O92:S92">
    <cfRule type="containsBlanks" dxfId="1197" priority="1119">
      <formula>LEN(TRIM(O92))=0</formula>
    </cfRule>
  </conditionalFormatting>
  <conditionalFormatting sqref="M92:N92">
    <cfRule type="containsBlanks" dxfId="1196" priority="1118">
      <formula>LEN(TRIM(M92))=0</formula>
    </cfRule>
  </conditionalFormatting>
  <conditionalFormatting sqref="M55:T55">
    <cfRule type="containsBlanks" dxfId="1195" priority="1117">
      <formula>LEN(TRIM(M55))=0</formula>
    </cfRule>
  </conditionalFormatting>
  <conditionalFormatting sqref="M56:S56">
    <cfRule type="containsBlanks" dxfId="1194" priority="1116">
      <formula>LEN(TRIM(M56))=0</formula>
    </cfRule>
  </conditionalFormatting>
  <conditionalFormatting sqref="O66:Q66">
    <cfRule type="containsBlanks" dxfId="1193" priority="1115">
      <formula>LEN(TRIM(O66))=0</formula>
    </cfRule>
  </conditionalFormatting>
  <conditionalFormatting sqref="O67:Q67">
    <cfRule type="containsBlanks" dxfId="1192" priority="1114">
      <formula>LEN(TRIM(O67))=0</formula>
    </cfRule>
  </conditionalFormatting>
  <conditionalFormatting sqref="O69:Q69">
    <cfRule type="containsBlanks" dxfId="1191" priority="1113">
      <formula>LEN(TRIM(O69))=0</formula>
    </cfRule>
  </conditionalFormatting>
  <conditionalFormatting sqref="N65:T65">
    <cfRule type="containsBlanks" dxfId="1190" priority="1112">
      <formula>LEN(TRIM(N65))=0</formula>
    </cfRule>
  </conditionalFormatting>
  <conditionalFormatting sqref="M82:S82">
    <cfRule type="containsBlanks" dxfId="1189" priority="1111">
      <formula>LEN(TRIM(M82))=0</formula>
    </cfRule>
  </conditionalFormatting>
  <conditionalFormatting sqref="N85:T85">
    <cfRule type="containsBlanks" dxfId="1188" priority="1110">
      <formula>LEN(TRIM(N85))=0</formula>
    </cfRule>
  </conditionalFormatting>
  <conditionalFormatting sqref="O87:Q87">
    <cfRule type="containsBlanks" dxfId="1187" priority="1109">
      <formula>LEN(TRIM(O87))=0</formula>
    </cfRule>
  </conditionalFormatting>
  <conditionalFormatting sqref="M89:T89">
    <cfRule type="containsBlanks" dxfId="1186" priority="1108">
      <formula>LEN(TRIM(M89))=0</formula>
    </cfRule>
  </conditionalFormatting>
  <conditionalFormatting sqref="M95:T95">
    <cfRule type="containsBlanks" dxfId="1185" priority="1107">
      <formula>LEN(TRIM(M95))=0</formula>
    </cfRule>
  </conditionalFormatting>
  <conditionalFormatting sqref="O96:S96">
    <cfRule type="containsBlanks" dxfId="1184" priority="1106">
      <formula>LEN(TRIM(O96))=0</formula>
    </cfRule>
  </conditionalFormatting>
  <conditionalFormatting sqref="M96:N96">
    <cfRule type="containsBlanks" dxfId="1183" priority="1105">
      <formula>LEN(TRIM(M96))=0</formula>
    </cfRule>
  </conditionalFormatting>
  <conditionalFormatting sqref="M59:T59">
    <cfRule type="containsBlanks" dxfId="1182" priority="1104">
      <formula>LEN(TRIM(M59))=0</formula>
    </cfRule>
  </conditionalFormatting>
  <conditionalFormatting sqref="M60:S60">
    <cfRule type="containsBlanks" dxfId="1181" priority="1103">
      <formula>LEN(TRIM(M60))=0</formula>
    </cfRule>
  </conditionalFormatting>
  <conditionalFormatting sqref="O57:Q57">
    <cfRule type="containsBlanks" dxfId="1180" priority="1102">
      <formula>LEN(TRIM(O57))=0</formula>
    </cfRule>
  </conditionalFormatting>
  <conditionalFormatting sqref="O58:Q58">
    <cfRule type="containsBlanks" dxfId="1179" priority="1101">
      <formula>LEN(TRIM(O58))=0</formula>
    </cfRule>
  </conditionalFormatting>
  <conditionalFormatting sqref="O60:Q60">
    <cfRule type="containsBlanks" dxfId="1178" priority="1100">
      <formula>LEN(TRIM(O60))=0</formula>
    </cfRule>
  </conditionalFormatting>
  <conditionalFormatting sqref="N56:T56">
    <cfRule type="containsBlanks" dxfId="1177" priority="1099">
      <formula>LEN(TRIM(N56))=0</formula>
    </cfRule>
  </conditionalFormatting>
  <conditionalFormatting sqref="M73:S73">
    <cfRule type="containsBlanks" dxfId="1176" priority="1098">
      <formula>LEN(TRIM(M73))=0</formula>
    </cfRule>
  </conditionalFormatting>
  <conditionalFormatting sqref="N76:T76">
    <cfRule type="containsBlanks" dxfId="1175" priority="1097">
      <formula>LEN(TRIM(N76))=0</formula>
    </cfRule>
  </conditionalFormatting>
  <conditionalFormatting sqref="O78:Q78">
    <cfRule type="containsBlanks" dxfId="1174" priority="1096">
      <formula>LEN(TRIM(O78))=0</formula>
    </cfRule>
  </conditionalFormatting>
  <conditionalFormatting sqref="M80:T80">
    <cfRule type="containsBlanks" dxfId="1173" priority="1095">
      <formula>LEN(TRIM(M80))=0</formula>
    </cfRule>
  </conditionalFormatting>
  <conditionalFormatting sqref="M86:T86">
    <cfRule type="containsBlanks" dxfId="1172" priority="1094">
      <formula>LEN(TRIM(M86))=0</formula>
    </cfRule>
  </conditionalFormatting>
  <conditionalFormatting sqref="O87:S87">
    <cfRule type="containsBlanks" dxfId="1171" priority="1093">
      <formula>LEN(TRIM(O87))=0</formula>
    </cfRule>
  </conditionalFormatting>
  <conditionalFormatting sqref="M87:N87">
    <cfRule type="containsBlanks" dxfId="1170" priority="1092">
      <formula>LEN(TRIM(M87))=0</formula>
    </cfRule>
  </conditionalFormatting>
  <conditionalFormatting sqref="O55:Q55">
    <cfRule type="containsBlanks" dxfId="1169" priority="1091">
      <formula>LEN(TRIM(O55))=0</formula>
    </cfRule>
  </conditionalFormatting>
  <conditionalFormatting sqref="O68:Q68">
    <cfRule type="containsBlanks" dxfId="1168" priority="1090">
      <formula>LEN(TRIM(O68))=0</formula>
    </cfRule>
  </conditionalFormatting>
  <conditionalFormatting sqref="O69:Q69">
    <cfRule type="containsBlanks" dxfId="1167" priority="1089">
      <formula>LEN(TRIM(O69))=0</formula>
    </cfRule>
  </conditionalFormatting>
  <conditionalFormatting sqref="O71:Q71">
    <cfRule type="containsBlanks" dxfId="1166" priority="1088">
      <formula>LEN(TRIM(O71))=0</formula>
    </cfRule>
  </conditionalFormatting>
  <conditionalFormatting sqref="N67:T67">
    <cfRule type="containsBlanks" dxfId="1165" priority="1087">
      <formula>LEN(TRIM(N67))=0</formula>
    </cfRule>
  </conditionalFormatting>
  <conditionalFormatting sqref="M84:S84">
    <cfRule type="containsBlanks" dxfId="1164" priority="1086">
      <formula>LEN(TRIM(M84))=0</formula>
    </cfRule>
  </conditionalFormatting>
  <conditionalFormatting sqref="N87:T87">
    <cfRule type="containsBlanks" dxfId="1163" priority="1085">
      <formula>LEN(TRIM(N87))=0</formula>
    </cfRule>
  </conditionalFormatting>
  <conditionalFormatting sqref="O89:Q89">
    <cfRule type="containsBlanks" dxfId="1162" priority="1084">
      <formula>LEN(TRIM(O89))=0</formula>
    </cfRule>
  </conditionalFormatting>
  <conditionalFormatting sqref="M91:T91">
    <cfRule type="containsBlanks" dxfId="1161" priority="1083">
      <formula>LEN(TRIM(M91))=0</formula>
    </cfRule>
  </conditionalFormatting>
  <conditionalFormatting sqref="M97:T97">
    <cfRule type="containsBlanks" dxfId="1160" priority="1082">
      <formula>LEN(TRIM(M97))=0</formula>
    </cfRule>
  </conditionalFormatting>
  <conditionalFormatting sqref="O98:S98">
    <cfRule type="containsBlanks" dxfId="1159" priority="1081">
      <formula>LEN(TRIM(O98))=0</formula>
    </cfRule>
  </conditionalFormatting>
  <conditionalFormatting sqref="M98:N98">
    <cfRule type="containsBlanks" dxfId="1158" priority="1080">
      <formula>LEN(TRIM(M98))=0</formula>
    </cfRule>
  </conditionalFormatting>
  <conditionalFormatting sqref="M61:T61">
    <cfRule type="containsBlanks" dxfId="1157" priority="1079">
      <formula>LEN(TRIM(M61))=0</formula>
    </cfRule>
  </conditionalFormatting>
  <conditionalFormatting sqref="M62:S62">
    <cfRule type="containsBlanks" dxfId="1156" priority="1078">
      <formula>LEN(TRIM(M62))=0</formula>
    </cfRule>
  </conditionalFormatting>
  <conditionalFormatting sqref="O59:Q59">
    <cfRule type="containsBlanks" dxfId="1155" priority="1077">
      <formula>LEN(TRIM(O59))=0</formula>
    </cfRule>
  </conditionalFormatting>
  <conditionalFormatting sqref="O60:Q60">
    <cfRule type="containsBlanks" dxfId="1154" priority="1076">
      <formula>LEN(TRIM(O60))=0</formula>
    </cfRule>
  </conditionalFormatting>
  <conditionalFormatting sqref="O62:Q62">
    <cfRule type="containsBlanks" dxfId="1153" priority="1075">
      <formula>LEN(TRIM(O62))=0</formula>
    </cfRule>
  </conditionalFormatting>
  <conditionalFormatting sqref="N58:T58">
    <cfRule type="containsBlanks" dxfId="1152" priority="1074">
      <formula>LEN(TRIM(N58))=0</formula>
    </cfRule>
  </conditionalFormatting>
  <conditionalFormatting sqref="M75:S75">
    <cfRule type="containsBlanks" dxfId="1151" priority="1073">
      <formula>LEN(TRIM(M75))=0</formula>
    </cfRule>
  </conditionalFormatting>
  <conditionalFormatting sqref="N78:T78">
    <cfRule type="containsBlanks" dxfId="1150" priority="1072">
      <formula>LEN(TRIM(N78))=0</formula>
    </cfRule>
  </conditionalFormatting>
  <conditionalFormatting sqref="O80:Q80">
    <cfRule type="containsBlanks" dxfId="1149" priority="1071">
      <formula>LEN(TRIM(O80))=0</formula>
    </cfRule>
  </conditionalFormatting>
  <conditionalFormatting sqref="M82:T82">
    <cfRule type="containsBlanks" dxfId="1148" priority="1070">
      <formula>LEN(TRIM(M82))=0</formula>
    </cfRule>
  </conditionalFormatting>
  <conditionalFormatting sqref="M88:T88">
    <cfRule type="containsBlanks" dxfId="1147" priority="1069">
      <formula>LEN(TRIM(M88))=0</formula>
    </cfRule>
  </conditionalFormatting>
  <conditionalFormatting sqref="O89:S89">
    <cfRule type="containsBlanks" dxfId="1146" priority="1068">
      <formula>LEN(TRIM(O89))=0</formula>
    </cfRule>
  </conditionalFormatting>
  <conditionalFormatting sqref="M89:N89">
    <cfRule type="containsBlanks" dxfId="1145" priority="1067">
      <formula>LEN(TRIM(M89))=0</formula>
    </cfRule>
  </conditionalFormatting>
  <conditionalFormatting sqref="O63:Q63">
    <cfRule type="containsBlanks" dxfId="1144" priority="1066">
      <formula>LEN(TRIM(O63))=0</formula>
    </cfRule>
  </conditionalFormatting>
  <conditionalFormatting sqref="O64:Q64">
    <cfRule type="containsBlanks" dxfId="1143" priority="1065">
      <formula>LEN(TRIM(O64))=0</formula>
    </cfRule>
  </conditionalFormatting>
  <conditionalFormatting sqref="O66:Q66">
    <cfRule type="containsBlanks" dxfId="1142" priority="1064">
      <formula>LEN(TRIM(O66))=0</formula>
    </cfRule>
  </conditionalFormatting>
  <conditionalFormatting sqref="N62:T62">
    <cfRule type="containsBlanks" dxfId="1141" priority="1063">
      <formula>LEN(TRIM(N62))=0</formula>
    </cfRule>
  </conditionalFormatting>
  <conditionalFormatting sqref="M79:S79">
    <cfRule type="containsBlanks" dxfId="1140" priority="1062">
      <formula>LEN(TRIM(M79))=0</formula>
    </cfRule>
  </conditionalFormatting>
  <conditionalFormatting sqref="N82:T82">
    <cfRule type="containsBlanks" dxfId="1139" priority="1061">
      <formula>LEN(TRIM(N82))=0</formula>
    </cfRule>
  </conditionalFormatting>
  <conditionalFormatting sqref="O84:Q84">
    <cfRule type="containsBlanks" dxfId="1138" priority="1060">
      <formula>LEN(TRIM(O84))=0</formula>
    </cfRule>
  </conditionalFormatting>
  <conditionalFormatting sqref="M86:T86">
    <cfRule type="containsBlanks" dxfId="1137" priority="1059">
      <formula>LEN(TRIM(M86))=0</formula>
    </cfRule>
  </conditionalFormatting>
  <conditionalFormatting sqref="M92:T92">
    <cfRule type="containsBlanks" dxfId="1136" priority="1058">
      <formula>LEN(TRIM(M92))=0</formula>
    </cfRule>
  </conditionalFormatting>
  <conditionalFormatting sqref="O93:S93">
    <cfRule type="containsBlanks" dxfId="1135" priority="1057">
      <formula>LEN(TRIM(O93))=0</formula>
    </cfRule>
  </conditionalFormatting>
  <conditionalFormatting sqref="M93:N93">
    <cfRule type="containsBlanks" dxfId="1134" priority="1056">
      <formula>LEN(TRIM(M93))=0</formula>
    </cfRule>
  </conditionalFormatting>
  <conditionalFormatting sqref="M56:T56">
    <cfRule type="containsBlanks" dxfId="1133" priority="1055">
      <formula>LEN(TRIM(M56))=0</formula>
    </cfRule>
  </conditionalFormatting>
  <conditionalFormatting sqref="M57:S57">
    <cfRule type="containsBlanks" dxfId="1132" priority="1054">
      <formula>LEN(TRIM(M57))=0</formula>
    </cfRule>
  </conditionalFormatting>
  <conditionalFormatting sqref="O54:Q54">
    <cfRule type="containsBlanks" dxfId="1131" priority="1053">
      <formula>LEN(TRIM(O54))=0</formula>
    </cfRule>
  </conditionalFormatting>
  <conditionalFormatting sqref="O55:Q55">
    <cfRule type="containsBlanks" dxfId="1130" priority="1052">
      <formula>LEN(TRIM(O55))=0</formula>
    </cfRule>
  </conditionalFormatting>
  <conditionalFormatting sqref="O57:Q57">
    <cfRule type="containsBlanks" dxfId="1129" priority="1051">
      <formula>LEN(TRIM(O57))=0</formula>
    </cfRule>
  </conditionalFormatting>
  <conditionalFormatting sqref="M70:S70">
    <cfRule type="containsBlanks" dxfId="1128" priority="1050">
      <formula>LEN(TRIM(M70))=0</formula>
    </cfRule>
  </conditionalFormatting>
  <conditionalFormatting sqref="N73:T73">
    <cfRule type="containsBlanks" dxfId="1127" priority="1049">
      <formula>LEN(TRIM(N73))=0</formula>
    </cfRule>
  </conditionalFormatting>
  <conditionalFormatting sqref="O75:Q75">
    <cfRule type="containsBlanks" dxfId="1126" priority="1048">
      <formula>LEN(TRIM(O75))=0</formula>
    </cfRule>
  </conditionalFormatting>
  <conditionalFormatting sqref="M77:T77">
    <cfRule type="containsBlanks" dxfId="1125" priority="1047">
      <formula>LEN(TRIM(M77))=0</formula>
    </cfRule>
  </conditionalFormatting>
  <conditionalFormatting sqref="M83:T83">
    <cfRule type="containsBlanks" dxfId="1124" priority="1046">
      <formula>LEN(TRIM(M83))=0</formula>
    </cfRule>
  </conditionalFormatting>
  <conditionalFormatting sqref="O84:S84">
    <cfRule type="containsBlanks" dxfId="1123" priority="1045">
      <formula>LEN(TRIM(O84))=0</formula>
    </cfRule>
  </conditionalFormatting>
  <conditionalFormatting sqref="M84:N84">
    <cfRule type="containsBlanks" dxfId="1122" priority="1044">
      <formula>LEN(TRIM(M84))=0</formula>
    </cfRule>
  </conditionalFormatting>
  <conditionalFormatting sqref="O54:Q54">
    <cfRule type="containsBlanks" dxfId="1121" priority="1043">
      <formula>LEN(TRIM(O54))=0</formula>
    </cfRule>
  </conditionalFormatting>
  <conditionalFormatting sqref="O56:Q56">
    <cfRule type="containsBlanks" dxfId="1120" priority="1042">
      <formula>LEN(TRIM(O56))=0</formula>
    </cfRule>
  </conditionalFormatting>
  <conditionalFormatting sqref="O58:Q58">
    <cfRule type="containsBlanks" dxfId="1119" priority="1041">
      <formula>LEN(TRIM(O58))=0</formula>
    </cfRule>
  </conditionalFormatting>
  <conditionalFormatting sqref="O60:Q60">
    <cfRule type="containsBlanks" dxfId="1118" priority="1040">
      <formula>LEN(TRIM(O60))=0</formula>
    </cfRule>
  </conditionalFormatting>
  <conditionalFormatting sqref="O73:Q73">
    <cfRule type="containsBlanks" dxfId="1117" priority="1039">
      <formula>LEN(TRIM(O73))=0</formula>
    </cfRule>
  </conditionalFormatting>
  <conditionalFormatting sqref="O74:Q74">
    <cfRule type="containsBlanks" dxfId="1116" priority="1038">
      <formula>LEN(TRIM(O74))=0</formula>
    </cfRule>
  </conditionalFormatting>
  <conditionalFormatting sqref="O76:Q76">
    <cfRule type="containsBlanks" dxfId="1115" priority="1037">
      <formula>LEN(TRIM(O76))=0</formula>
    </cfRule>
  </conditionalFormatting>
  <conditionalFormatting sqref="N72:T72">
    <cfRule type="containsBlanks" dxfId="1114" priority="1036">
      <formula>LEN(TRIM(N72))=0</formula>
    </cfRule>
  </conditionalFormatting>
  <conditionalFormatting sqref="M89:S89">
    <cfRule type="containsBlanks" dxfId="1113" priority="1035">
      <formula>LEN(TRIM(M89))=0</formula>
    </cfRule>
  </conditionalFormatting>
  <conditionalFormatting sqref="N92:T92">
    <cfRule type="containsBlanks" dxfId="1112" priority="1034">
      <formula>LEN(TRIM(N92))=0</formula>
    </cfRule>
  </conditionalFormatting>
  <conditionalFormatting sqref="O94:Q94">
    <cfRule type="containsBlanks" dxfId="1111" priority="1033">
      <formula>LEN(TRIM(O94))=0</formula>
    </cfRule>
  </conditionalFormatting>
  <conditionalFormatting sqref="M96:T96">
    <cfRule type="containsBlanks" dxfId="1110" priority="1032">
      <formula>LEN(TRIM(M96))=0</formula>
    </cfRule>
  </conditionalFormatting>
  <conditionalFormatting sqref="M102:T102">
    <cfRule type="containsBlanks" dxfId="1109" priority="1031">
      <formula>LEN(TRIM(M102))=0</formula>
    </cfRule>
  </conditionalFormatting>
  <conditionalFormatting sqref="O103:S103">
    <cfRule type="containsBlanks" dxfId="1108" priority="1030">
      <formula>LEN(TRIM(O103))=0</formula>
    </cfRule>
  </conditionalFormatting>
  <conditionalFormatting sqref="M103:N103">
    <cfRule type="containsBlanks" dxfId="1107" priority="1029">
      <formula>LEN(TRIM(M103))=0</formula>
    </cfRule>
  </conditionalFormatting>
  <conditionalFormatting sqref="M66:T66">
    <cfRule type="containsBlanks" dxfId="1106" priority="1028">
      <formula>LEN(TRIM(M66))=0</formula>
    </cfRule>
  </conditionalFormatting>
  <conditionalFormatting sqref="M67:S67">
    <cfRule type="containsBlanks" dxfId="1105" priority="1027">
      <formula>LEN(TRIM(M67))=0</formula>
    </cfRule>
  </conditionalFormatting>
  <conditionalFormatting sqref="O64:Q64">
    <cfRule type="containsBlanks" dxfId="1104" priority="1026">
      <formula>LEN(TRIM(O64))=0</formula>
    </cfRule>
  </conditionalFormatting>
  <conditionalFormatting sqref="O65:Q65">
    <cfRule type="containsBlanks" dxfId="1103" priority="1025">
      <formula>LEN(TRIM(O65))=0</formula>
    </cfRule>
  </conditionalFormatting>
  <conditionalFormatting sqref="O67:Q67">
    <cfRule type="containsBlanks" dxfId="1102" priority="1024">
      <formula>LEN(TRIM(O67))=0</formula>
    </cfRule>
  </conditionalFormatting>
  <conditionalFormatting sqref="N63:T63">
    <cfRule type="containsBlanks" dxfId="1101" priority="1023">
      <formula>LEN(TRIM(N63))=0</formula>
    </cfRule>
  </conditionalFormatting>
  <conditionalFormatting sqref="M80:S80">
    <cfRule type="containsBlanks" dxfId="1100" priority="1022">
      <formula>LEN(TRIM(M80))=0</formula>
    </cfRule>
  </conditionalFormatting>
  <conditionalFormatting sqref="N83:T83">
    <cfRule type="containsBlanks" dxfId="1099" priority="1021">
      <formula>LEN(TRIM(N83))=0</formula>
    </cfRule>
  </conditionalFormatting>
  <conditionalFormatting sqref="O85:Q85">
    <cfRule type="containsBlanks" dxfId="1098" priority="1020">
      <formula>LEN(TRIM(O85))=0</formula>
    </cfRule>
  </conditionalFormatting>
  <conditionalFormatting sqref="M87:T87">
    <cfRule type="containsBlanks" dxfId="1097" priority="1019">
      <formula>LEN(TRIM(M87))=0</formula>
    </cfRule>
  </conditionalFormatting>
  <conditionalFormatting sqref="M93:T93">
    <cfRule type="containsBlanks" dxfId="1096" priority="1018">
      <formula>LEN(TRIM(M93))=0</formula>
    </cfRule>
  </conditionalFormatting>
  <conditionalFormatting sqref="O94:S94">
    <cfRule type="containsBlanks" dxfId="1095" priority="1017">
      <formula>LEN(TRIM(O94))=0</formula>
    </cfRule>
  </conditionalFormatting>
  <conditionalFormatting sqref="M94:N94">
    <cfRule type="containsBlanks" dxfId="1094" priority="1016">
      <formula>LEN(TRIM(M94))=0</formula>
    </cfRule>
  </conditionalFormatting>
  <conditionalFormatting sqref="M57:T57">
    <cfRule type="containsBlanks" dxfId="1093" priority="1015">
      <formula>LEN(TRIM(M57))=0</formula>
    </cfRule>
  </conditionalFormatting>
  <conditionalFormatting sqref="M58:S58">
    <cfRule type="containsBlanks" dxfId="1092" priority="1014">
      <formula>LEN(TRIM(M58))=0</formula>
    </cfRule>
  </conditionalFormatting>
  <conditionalFormatting sqref="O55:Q55">
    <cfRule type="containsBlanks" dxfId="1091" priority="1013">
      <formula>LEN(TRIM(O55))=0</formula>
    </cfRule>
  </conditionalFormatting>
  <conditionalFormatting sqref="O68:Q68">
    <cfRule type="containsBlanks" dxfId="1090" priority="1012">
      <formula>LEN(TRIM(O68))=0</formula>
    </cfRule>
  </conditionalFormatting>
  <conditionalFormatting sqref="O69:Q69">
    <cfRule type="containsBlanks" dxfId="1089" priority="1011">
      <formula>LEN(TRIM(O69))=0</formula>
    </cfRule>
  </conditionalFormatting>
  <conditionalFormatting sqref="O71:Q71">
    <cfRule type="containsBlanks" dxfId="1088" priority="1010">
      <formula>LEN(TRIM(O71))=0</formula>
    </cfRule>
  </conditionalFormatting>
  <conditionalFormatting sqref="N67:T67">
    <cfRule type="containsBlanks" dxfId="1087" priority="1009">
      <formula>LEN(TRIM(N67))=0</formula>
    </cfRule>
  </conditionalFormatting>
  <conditionalFormatting sqref="M84:S84">
    <cfRule type="containsBlanks" dxfId="1086" priority="1008">
      <formula>LEN(TRIM(M84))=0</formula>
    </cfRule>
  </conditionalFormatting>
  <conditionalFormatting sqref="N87:T87">
    <cfRule type="containsBlanks" dxfId="1085" priority="1007">
      <formula>LEN(TRIM(N87))=0</formula>
    </cfRule>
  </conditionalFormatting>
  <conditionalFormatting sqref="O89:Q89">
    <cfRule type="containsBlanks" dxfId="1084" priority="1006">
      <formula>LEN(TRIM(O89))=0</formula>
    </cfRule>
  </conditionalFormatting>
  <conditionalFormatting sqref="M91:T91">
    <cfRule type="containsBlanks" dxfId="1083" priority="1005">
      <formula>LEN(TRIM(M91))=0</formula>
    </cfRule>
  </conditionalFormatting>
  <conditionalFormatting sqref="M97:T97">
    <cfRule type="containsBlanks" dxfId="1082" priority="1004">
      <formula>LEN(TRIM(M97))=0</formula>
    </cfRule>
  </conditionalFormatting>
  <conditionalFormatting sqref="O98:S98">
    <cfRule type="containsBlanks" dxfId="1081" priority="1003">
      <formula>LEN(TRIM(O98))=0</formula>
    </cfRule>
  </conditionalFormatting>
  <conditionalFormatting sqref="M98:N98">
    <cfRule type="containsBlanks" dxfId="1080" priority="1002">
      <formula>LEN(TRIM(M98))=0</formula>
    </cfRule>
  </conditionalFormatting>
  <conditionalFormatting sqref="M61:T61">
    <cfRule type="containsBlanks" dxfId="1079" priority="1001">
      <formula>LEN(TRIM(M61))=0</formula>
    </cfRule>
  </conditionalFormatting>
  <conditionalFormatting sqref="M62:S62">
    <cfRule type="containsBlanks" dxfId="1078" priority="1000">
      <formula>LEN(TRIM(M62))=0</formula>
    </cfRule>
  </conditionalFormatting>
  <conditionalFormatting sqref="O59:Q59">
    <cfRule type="containsBlanks" dxfId="1077" priority="999">
      <formula>LEN(TRIM(O59))=0</formula>
    </cfRule>
  </conditionalFormatting>
  <conditionalFormatting sqref="O60:Q60">
    <cfRule type="containsBlanks" dxfId="1076" priority="998">
      <formula>LEN(TRIM(O60))=0</formula>
    </cfRule>
  </conditionalFormatting>
  <conditionalFormatting sqref="O62:Q62">
    <cfRule type="containsBlanks" dxfId="1075" priority="997">
      <formula>LEN(TRIM(O62))=0</formula>
    </cfRule>
  </conditionalFormatting>
  <conditionalFormatting sqref="N58:T58">
    <cfRule type="containsBlanks" dxfId="1074" priority="996">
      <formula>LEN(TRIM(N58))=0</formula>
    </cfRule>
  </conditionalFormatting>
  <conditionalFormatting sqref="M75:S75">
    <cfRule type="containsBlanks" dxfId="1073" priority="995">
      <formula>LEN(TRIM(M75))=0</formula>
    </cfRule>
  </conditionalFormatting>
  <conditionalFormatting sqref="N78:T78">
    <cfRule type="containsBlanks" dxfId="1072" priority="994">
      <formula>LEN(TRIM(N78))=0</formula>
    </cfRule>
  </conditionalFormatting>
  <conditionalFormatting sqref="O80:Q80">
    <cfRule type="containsBlanks" dxfId="1071" priority="993">
      <formula>LEN(TRIM(O80))=0</formula>
    </cfRule>
  </conditionalFormatting>
  <conditionalFormatting sqref="M82:T82">
    <cfRule type="containsBlanks" dxfId="1070" priority="992">
      <formula>LEN(TRIM(M82))=0</formula>
    </cfRule>
  </conditionalFormatting>
  <conditionalFormatting sqref="M88:T88">
    <cfRule type="containsBlanks" dxfId="1069" priority="991">
      <formula>LEN(TRIM(M88))=0</formula>
    </cfRule>
  </conditionalFormatting>
  <conditionalFormatting sqref="O89:S89">
    <cfRule type="containsBlanks" dxfId="1068" priority="990">
      <formula>LEN(TRIM(O89))=0</formula>
    </cfRule>
  </conditionalFormatting>
  <conditionalFormatting sqref="M89:N89">
    <cfRule type="containsBlanks" dxfId="1067" priority="989">
      <formula>LEN(TRIM(M89))=0</formula>
    </cfRule>
  </conditionalFormatting>
  <conditionalFormatting sqref="O55:Q55">
    <cfRule type="containsBlanks" dxfId="1066" priority="988">
      <formula>LEN(TRIM(O55))=0</formula>
    </cfRule>
  </conditionalFormatting>
  <conditionalFormatting sqref="O57:Q57">
    <cfRule type="containsBlanks" dxfId="1065" priority="987">
      <formula>LEN(TRIM(O57))=0</formula>
    </cfRule>
  </conditionalFormatting>
  <conditionalFormatting sqref="O70:Q70">
    <cfRule type="containsBlanks" dxfId="1064" priority="986">
      <formula>LEN(TRIM(O70))=0</formula>
    </cfRule>
  </conditionalFormatting>
  <conditionalFormatting sqref="O71:Q71">
    <cfRule type="containsBlanks" dxfId="1063" priority="985">
      <formula>LEN(TRIM(O71))=0</formula>
    </cfRule>
  </conditionalFormatting>
  <conditionalFormatting sqref="O73:Q73">
    <cfRule type="containsBlanks" dxfId="1062" priority="984">
      <formula>LEN(TRIM(O73))=0</formula>
    </cfRule>
  </conditionalFormatting>
  <conditionalFormatting sqref="N69:T69">
    <cfRule type="containsBlanks" dxfId="1061" priority="983">
      <formula>LEN(TRIM(N69))=0</formula>
    </cfRule>
  </conditionalFormatting>
  <conditionalFormatting sqref="M86:S86">
    <cfRule type="containsBlanks" dxfId="1060" priority="982">
      <formula>LEN(TRIM(M86))=0</formula>
    </cfRule>
  </conditionalFormatting>
  <conditionalFormatting sqref="N89:T89">
    <cfRule type="containsBlanks" dxfId="1059" priority="981">
      <formula>LEN(TRIM(N89))=0</formula>
    </cfRule>
  </conditionalFormatting>
  <conditionalFormatting sqref="O91:Q91">
    <cfRule type="containsBlanks" dxfId="1058" priority="980">
      <formula>LEN(TRIM(O91))=0</formula>
    </cfRule>
  </conditionalFormatting>
  <conditionalFormatting sqref="M93:T93">
    <cfRule type="containsBlanks" dxfId="1057" priority="979">
      <formula>LEN(TRIM(M93))=0</formula>
    </cfRule>
  </conditionalFormatting>
  <conditionalFormatting sqref="O100:S100">
    <cfRule type="containsBlanks" dxfId="1056" priority="977">
      <formula>LEN(TRIM(O100))=0</formula>
    </cfRule>
  </conditionalFormatting>
  <conditionalFormatting sqref="M100:N100">
    <cfRule type="containsBlanks" dxfId="1055" priority="976">
      <formula>LEN(TRIM(M100))=0</formula>
    </cfRule>
  </conditionalFormatting>
  <conditionalFormatting sqref="M63:T63">
    <cfRule type="containsBlanks" dxfId="1054" priority="975">
      <formula>LEN(TRIM(M63))=0</formula>
    </cfRule>
  </conditionalFormatting>
  <conditionalFormatting sqref="M64:S64">
    <cfRule type="containsBlanks" dxfId="1053" priority="974">
      <formula>LEN(TRIM(M64))=0</formula>
    </cfRule>
  </conditionalFormatting>
  <conditionalFormatting sqref="O61:Q61">
    <cfRule type="containsBlanks" dxfId="1052" priority="973">
      <formula>LEN(TRIM(O61))=0</formula>
    </cfRule>
  </conditionalFormatting>
  <conditionalFormatting sqref="O62:Q62">
    <cfRule type="containsBlanks" dxfId="1051" priority="972">
      <formula>LEN(TRIM(O62))=0</formula>
    </cfRule>
  </conditionalFormatting>
  <conditionalFormatting sqref="O64:Q64">
    <cfRule type="containsBlanks" dxfId="1050" priority="971">
      <formula>LEN(TRIM(O64))=0</formula>
    </cfRule>
  </conditionalFormatting>
  <conditionalFormatting sqref="N60:T60">
    <cfRule type="containsBlanks" dxfId="1049" priority="970">
      <formula>LEN(TRIM(N60))=0</formula>
    </cfRule>
  </conditionalFormatting>
  <conditionalFormatting sqref="M77:S77">
    <cfRule type="containsBlanks" dxfId="1048" priority="969">
      <formula>LEN(TRIM(M77))=0</formula>
    </cfRule>
  </conditionalFormatting>
  <conditionalFormatting sqref="N80:T80">
    <cfRule type="containsBlanks" dxfId="1047" priority="968">
      <formula>LEN(TRIM(N80))=0</formula>
    </cfRule>
  </conditionalFormatting>
  <conditionalFormatting sqref="O82:Q82">
    <cfRule type="containsBlanks" dxfId="1046" priority="967">
      <formula>LEN(TRIM(O82))=0</formula>
    </cfRule>
  </conditionalFormatting>
  <conditionalFormatting sqref="M84:T84">
    <cfRule type="containsBlanks" dxfId="1045" priority="966">
      <formula>LEN(TRIM(M84))=0</formula>
    </cfRule>
  </conditionalFormatting>
  <conditionalFormatting sqref="M90:T90">
    <cfRule type="containsBlanks" dxfId="1044" priority="965">
      <formula>LEN(TRIM(M90))=0</formula>
    </cfRule>
  </conditionalFormatting>
  <conditionalFormatting sqref="O91:S91">
    <cfRule type="containsBlanks" dxfId="1043" priority="964">
      <formula>LEN(TRIM(O91))=0</formula>
    </cfRule>
  </conditionalFormatting>
  <conditionalFormatting sqref="M91:N91">
    <cfRule type="containsBlanks" dxfId="1042" priority="963">
      <formula>LEN(TRIM(M91))=0</formula>
    </cfRule>
  </conditionalFormatting>
  <conditionalFormatting sqref="M54:T54">
    <cfRule type="containsBlanks" dxfId="1041" priority="962">
      <formula>LEN(TRIM(M54))=0</formula>
    </cfRule>
  </conditionalFormatting>
  <conditionalFormatting sqref="M55:S55">
    <cfRule type="containsBlanks" dxfId="1040" priority="961">
      <formula>LEN(TRIM(M55))=0</formula>
    </cfRule>
  </conditionalFormatting>
  <conditionalFormatting sqref="O65:Q65">
    <cfRule type="containsBlanks" dxfId="1039" priority="960">
      <formula>LEN(TRIM(O65))=0</formula>
    </cfRule>
  </conditionalFormatting>
  <conditionalFormatting sqref="O66:Q66">
    <cfRule type="containsBlanks" dxfId="1038" priority="959">
      <formula>LEN(TRIM(O66))=0</formula>
    </cfRule>
  </conditionalFormatting>
  <conditionalFormatting sqref="O68:Q68">
    <cfRule type="containsBlanks" dxfId="1037" priority="958">
      <formula>LEN(TRIM(O68))=0</formula>
    </cfRule>
  </conditionalFormatting>
  <conditionalFormatting sqref="N64:T64">
    <cfRule type="containsBlanks" dxfId="1036" priority="957">
      <formula>LEN(TRIM(N64))=0</formula>
    </cfRule>
  </conditionalFormatting>
  <conditionalFormatting sqref="M81:S81">
    <cfRule type="containsBlanks" dxfId="1035" priority="956">
      <formula>LEN(TRIM(M81))=0</formula>
    </cfRule>
  </conditionalFormatting>
  <conditionalFormatting sqref="N84:T84">
    <cfRule type="containsBlanks" dxfId="1034" priority="955">
      <formula>LEN(TRIM(N84))=0</formula>
    </cfRule>
  </conditionalFormatting>
  <conditionalFormatting sqref="O86:Q86">
    <cfRule type="containsBlanks" dxfId="1033" priority="954">
      <formula>LEN(TRIM(O86))=0</formula>
    </cfRule>
  </conditionalFormatting>
  <conditionalFormatting sqref="M88:T88">
    <cfRule type="containsBlanks" dxfId="1032" priority="953">
      <formula>LEN(TRIM(M88))=0</formula>
    </cfRule>
  </conditionalFormatting>
  <conditionalFormatting sqref="M94:T94">
    <cfRule type="containsBlanks" dxfId="1031" priority="952">
      <formula>LEN(TRIM(M94))=0</formula>
    </cfRule>
  </conditionalFormatting>
  <conditionalFormatting sqref="O95:S95">
    <cfRule type="containsBlanks" dxfId="1030" priority="951">
      <formula>LEN(TRIM(O95))=0</formula>
    </cfRule>
  </conditionalFormatting>
  <conditionalFormatting sqref="M95:N95">
    <cfRule type="containsBlanks" dxfId="1029" priority="950">
      <formula>LEN(TRIM(M95))=0</formula>
    </cfRule>
  </conditionalFormatting>
  <conditionalFormatting sqref="M58:T58">
    <cfRule type="containsBlanks" dxfId="1028" priority="949">
      <formula>LEN(TRIM(M58))=0</formula>
    </cfRule>
  </conditionalFormatting>
  <conditionalFormatting sqref="M59:S59">
    <cfRule type="containsBlanks" dxfId="1027" priority="948">
      <formula>LEN(TRIM(M59))=0</formula>
    </cfRule>
  </conditionalFormatting>
  <conditionalFormatting sqref="O56:Q56">
    <cfRule type="containsBlanks" dxfId="1026" priority="947">
      <formula>LEN(TRIM(O56))=0</formula>
    </cfRule>
  </conditionalFormatting>
  <conditionalFormatting sqref="O57:Q57">
    <cfRule type="containsBlanks" dxfId="1025" priority="946">
      <formula>LEN(TRIM(O57))=0</formula>
    </cfRule>
  </conditionalFormatting>
  <conditionalFormatting sqref="O59:Q59">
    <cfRule type="containsBlanks" dxfId="1024" priority="945">
      <formula>LEN(TRIM(O59))=0</formula>
    </cfRule>
  </conditionalFormatting>
  <conditionalFormatting sqref="N55:T55">
    <cfRule type="containsBlanks" dxfId="1023" priority="944">
      <formula>LEN(TRIM(N55))=0</formula>
    </cfRule>
  </conditionalFormatting>
  <conditionalFormatting sqref="M72:S72">
    <cfRule type="containsBlanks" dxfId="1022" priority="943">
      <formula>LEN(TRIM(M72))=0</formula>
    </cfRule>
  </conditionalFormatting>
  <conditionalFormatting sqref="N75:T75">
    <cfRule type="containsBlanks" dxfId="1021" priority="942">
      <formula>LEN(TRIM(N75))=0</formula>
    </cfRule>
  </conditionalFormatting>
  <conditionalFormatting sqref="O77:Q77">
    <cfRule type="containsBlanks" dxfId="1020" priority="941">
      <formula>LEN(TRIM(O77))=0</formula>
    </cfRule>
  </conditionalFormatting>
  <conditionalFormatting sqref="M79:T79">
    <cfRule type="containsBlanks" dxfId="1019" priority="940">
      <formula>LEN(TRIM(M79))=0</formula>
    </cfRule>
  </conditionalFormatting>
  <conditionalFormatting sqref="M85:T85">
    <cfRule type="containsBlanks" dxfId="1018" priority="939">
      <formula>LEN(TRIM(M85))=0</formula>
    </cfRule>
  </conditionalFormatting>
  <conditionalFormatting sqref="O86:S86">
    <cfRule type="containsBlanks" dxfId="1017" priority="938">
      <formula>LEN(TRIM(O86))=0</formula>
    </cfRule>
  </conditionalFormatting>
  <conditionalFormatting sqref="M86:N86">
    <cfRule type="containsBlanks" dxfId="1016" priority="937">
      <formula>LEN(TRIM(M86))=0</formula>
    </cfRule>
  </conditionalFormatting>
  <conditionalFormatting sqref="O55:Q55">
    <cfRule type="containsBlanks" dxfId="1015" priority="936">
      <formula>LEN(TRIM(O55))=0</formula>
    </cfRule>
  </conditionalFormatting>
  <conditionalFormatting sqref="O57:Q57">
    <cfRule type="containsBlanks" dxfId="1014" priority="935">
      <formula>LEN(TRIM(O57))=0</formula>
    </cfRule>
  </conditionalFormatting>
  <conditionalFormatting sqref="O70:Q70">
    <cfRule type="containsBlanks" dxfId="1013" priority="934">
      <formula>LEN(TRIM(O70))=0</formula>
    </cfRule>
  </conditionalFormatting>
  <conditionalFormatting sqref="O71:Q71">
    <cfRule type="containsBlanks" dxfId="1012" priority="933">
      <formula>LEN(TRIM(O71))=0</formula>
    </cfRule>
  </conditionalFormatting>
  <conditionalFormatting sqref="O73:Q73">
    <cfRule type="containsBlanks" dxfId="1011" priority="932">
      <formula>LEN(TRIM(O73))=0</formula>
    </cfRule>
  </conditionalFormatting>
  <conditionalFormatting sqref="N69:T69">
    <cfRule type="containsBlanks" dxfId="1010" priority="931">
      <formula>LEN(TRIM(N69))=0</formula>
    </cfRule>
  </conditionalFormatting>
  <conditionalFormatting sqref="M86:S86">
    <cfRule type="containsBlanks" dxfId="1009" priority="930">
      <formula>LEN(TRIM(M86))=0</formula>
    </cfRule>
  </conditionalFormatting>
  <conditionalFormatting sqref="N89:T89">
    <cfRule type="containsBlanks" dxfId="1008" priority="929">
      <formula>LEN(TRIM(N89))=0</formula>
    </cfRule>
  </conditionalFormatting>
  <conditionalFormatting sqref="O91:Q91">
    <cfRule type="containsBlanks" dxfId="1007" priority="928">
      <formula>LEN(TRIM(O91))=0</formula>
    </cfRule>
  </conditionalFormatting>
  <conditionalFormatting sqref="M93:T93">
    <cfRule type="containsBlanks" dxfId="1006" priority="927">
      <formula>LEN(TRIM(M93))=0</formula>
    </cfRule>
  </conditionalFormatting>
  <conditionalFormatting sqref="O100:S100">
    <cfRule type="containsBlanks" dxfId="1005" priority="925">
      <formula>LEN(TRIM(O100))=0</formula>
    </cfRule>
  </conditionalFormatting>
  <conditionalFormatting sqref="M100:N100">
    <cfRule type="containsBlanks" dxfId="1004" priority="924">
      <formula>LEN(TRIM(M100))=0</formula>
    </cfRule>
  </conditionalFormatting>
  <conditionalFormatting sqref="M63:T63">
    <cfRule type="containsBlanks" dxfId="1003" priority="923">
      <formula>LEN(TRIM(M63))=0</formula>
    </cfRule>
  </conditionalFormatting>
  <conditionalFormatting sqref="M64:S64">
    <cfRule type="containsBlanks" dxfId="1002" priority="922">
      <formula>LEN(TRIM(M64))=0</formula>
    </cfRule>
  </conditionalFormatting>
  <conditionalFormatting sqref="O61:Q61">
    <cfRule type="containsBlanks" dxfId="1001" priority="921">
      <formula>LEN(TRIM(O61))=0</formula>
    </cfRule>
  </conditionalFormatting>
  <conditionalFormatting sqref="O62:Q62">
    <cfRule type="containsBlanks" dxfId="1000" priority="920">
      <formula>LEN(TRIM(O62))=0</formula>
    </cfRule>
  </conditionalFormatting>
  <conditionalFormatting sqref="O64:Q64">
    <cfRule type="containsBlanks" dxfId="999" priority="919">
      <formula>LEN(TRIM(O64))=0</formula>
    </cfRule>
  </conditionalFormatting>
  <conditionalFormatting sqref="N60:T60">
    <cfRule type="containsBlanks" dxfId="998" priority="918">
      <formula>LEN(TRIM(N60))=0</formula>
    </cfRule>
  </conditionalFormatting>
  <conditionalFormatting sqref="M77:S77">
    <cfRule type="containsBlanks" dxfId="997" priority="917">
      <formula>LEN(TRIM(M77))=0</formula>
    </cfRule>
  </conditionalFormatting>
  <conditionalFormatting sqref="N80:T80">
    <cfRule type="containsBlanks" dxfId="996" priority="916">
      <formula>LEN(TRIM(N80))=0</formula>
    </cfRule>
  </conditionalFormatting>
  <conditionalFormatting sqref="O82:Q82">
    <cfRule type="containsBlanks" dxfId="995" priority="915">
      <formula>LEN(TRIM(O82))=0</formula>
    </cfRule>
  </conditionalFormatting>
  <conditionalFormatting sqref="M84:T84">
    <cfRule type="containsBlanks" dxfId="994" priority="914">
      <formula>LEN(TRIM(M84))=0</formula>
    </cfRule>
  </conditionalFormatting>
  <conditionalFormatting sqref="M90:T90">
    <cfRule type="containsBlanks" dxfId="993" priority="913">
      <formula>LEN(TRIM(M90))=0</formula>
    </cfRule>
  </conditionalFormatting>
  <conditionalFormatting sqref="O91:S91">
    <cfRule type="containsBlanks" dxfId="992" priority="912">
      <formula>LEN(TRIM(O91))=0</formula>
    </cfRule>
  </conditionalFormatting>
  <conditionalFormatting sqref="M91:N91">
    <cfRule type="containsBlanks" dxfId="991" priority="911">
      <formula>LEN(TRIM(M91))=0</formula>
    </cfRule>
  </conditionalFormatting>
  <conditionalFormatting sqref="M54:T54">
    <cfRule type="containsBlanks" dxfId="990" priority="910">
      <formula>LEN(TRIM(M54))=0</formula>
    </cfRule>
  </conditionalFormatting>
  <conditionalFormatting sqref="M55:S55">
    <cfRule type="containsBlanks" dxfId="989" priority="909">
      <formula>LEN(TRIM(M55))=0</formula>
    </cfRule>
  </conditionalFormatting>
  <conditionalFormatting sqref="O65:Q65">
    <cfRule type="containsBlanks" dxfId="988" priority="908">
      <formula>LEN(TRIM(O65))=0</formula>
    </cfRule>
  </conditionalFormatting>
  <conditionalFormatting sqref="O66:Q66">
    <cfRule type="containsBlanks" dxfId="987" priority="907">
      <formula>LEN(TRIM(O66))=0</formula>
    </cfRule>
  </conditionalFormatting>
  <conditionalFormatting sqref="O68:Q68">
    <cfRule type="containsBlanks" dxfId="986" priority="906">
      <formula>LEN(TRIM(O68))=0</formula>
    </cfRule>
  </conditionalFormatting>
  <conditionalFormatting sqref="N64:T64">
    <cfRule type="containsBlanks" dxfId="985" priority="905">
      <formula>LEN(TRIM(N64))=0</formula>
    </cfRule>
  </conditionalFormatting>
  <conditionalFormatting sqref="M81:S81">
    <cfRule type="containsBlanks" dxfId="984" priority="904">
      <formula>LEN(TRIM(M81))=0</formula>
    </cfRule>
  </conditionalFormatting>
  <conditionalFormatting sqref="N84:T84">
    <cfRule type="containsBlanks" dxfId="983" priority="903">
      <formula>LEN(TRIM(N84))=0</formula>
    </cfRule>
  </conditionalFormatting>
  <conditionalFormatting sqref="O86:Q86">
    <cfRule type="containsBlanks" dxfId="982" priority="902">
      <formula>LEN(TRIM(O86))=0</formula>
    </cfRule>
  </conditionalFormatting>
  <conditionalFormatting sqref="M88:T88">
    <cfRule type="containsBlanks" dxfId="981" priority="901">
      <formula>LEN(TRIM(M88))=0</formula>
    </cfRule>
  </conditionalFormatting>
  <conditionalFormatting sqref="M94:T94">
    <cfRule type="containsBlanks" dxfId="980" priority="900">
      <formula>LEN(TRIM(M94))=0</formula>
    </cfRule>
  </conditionalFormatting>
  <conditionalFormatting sqref="O95:S95">
    <cfRule type="containsBlanks" dxfId="979" priority="899">
      <formula>LEN(TRIM(O95))=0</formula>
    </cfRule>
  </conditionalFormatting>
  <conditionalFormatting sqref="M95:N95">
    <cfRule type="containsBlanks" dxfId="978" priority="898">
      <formula>LEN(TRIM(M95))=0</formula>
    </cfRule>
  </conditionalFormatting>
  <conditionalFormatting sqref="M58:T58">
    <cfRule type="containsBlanks" dxfId="977" priority="897">
      <formula>LEN(TRIM(M58))=0</formula>
    </cfRule>
  </conditionalFormatting>
  <conditionalFormatting sqref="M59:S59">
    <cfRule type="containsBlanks" dxfId="976" priority="896">
      <formula>LEN(TRIM(M59))=0</formula>
    </cfRule>
  </conditionalFormatting>
  <conditionalFormatting sqref="O56:Q56">
    <cfRule type="containsBlanks" dxfId="975" priority="895">
      <formula>LEN(TRIM(O56))=0</formula>
    </cfRule>
  </conditionalFormatting>
  <conditionalFormatting sqref="O57:Q57">
    <cfRule type="containsBlanks" dxfId="974" priority="894">
      <formula>LEN(TRIM(O57))=0</formula>
    </cfRule>
  </conditionalFormatting>
  <conditionalFormatting sqref="O59:Q59">
    <cfRule type="containsBlanks" dxfId="973" priority="893">
      <formula>LEN(TRIM(O59))=0</formula>
    </cfRule>
  </conditionalFormatting>
  <conditionalFormatting sqref="N55:T55">
    <cfRule type="containsBlanks" dxfId="972" priority="892">
      <formula>LEN(TRIM(N55))=0</formula>
    </cfRule>
  </conditionalFormatting>
  <conditionalFormatting sqref="M72:S72">
    <cfRule type="containsBlanks" dxfId="971" priority="891">
      <formula>LEN(TRIM(M72))=0</formula>
    </cfRule>
  </conditionalFormatting>
  <conditionalFormatting sqref="N75:T75">
    <cfRule type="containsBlanks" dxfId="970" priority="890">
      <formula>LEN(TRIM(N75))=0</formula>
    </cfRule>
  </conditionalFormatting>
  <conditionalFormatting sqref="O77:Q77">
    <cfRule type="containsBlanks" dxfId="969" priority="889">
      <formula>LEN(TRIM(O77))=0</formula>
    </cfRule>
  </conditionalFormatting>
  <conditionalFormatting sqref="M79:T79">
    <cfRule type="containsBlanks" dxfId="968" priority="888">
      <formula>LEN(TRIM(M79))=0</formula>
    </cfRule>
  </conditionalFormatting>
  <conditionalFormatting sqref="M85:T85">
    <cfRule type="containsBlanks" dxfId="967" priority="887">
      <formula>LEN(TRIM(M85))=0</formula>
    </cfRule>
  </conditionalFormatting>
  <conditionalFormatting sqref="O86:S86">
    <cfRule type="containsBlanks" dxfId="966" priority="886">
      <formula>LEN(TRIM(O86))=0</formula>
    </cfRule>
  </conditionalFormatting>
  <conditionalFormatting sqref="M86:N86">
    <cfRule type="containsBlanks" dxfId="965" priority="885">
      <formula>LEN(TRIM(M86))=0</formula>
    </cfRule>
  </conditionalFormatting>
  <conditionalFormatting sqref="O54:Q54">
    <cfRule type="containsBlanks" dxfId="964" priority="884">
      <formula>LEN(TRIM(O54))=0</formula>
    </cfRule>
  </conditionalFormatting>
  <conditionalFormatting sqref="O67:Q67">
    <cfRule type="containsBlanks" dxfId="963" priority="883">
      <formula>LEN(TRIM(O67))=0</formula>
    </cfRule>
  </conditionalFormatting>
  <conditionalFormatting sqref="O68:Q68">
    <cfRule type="containsBlanks" dxfId="962" priority="882">
      <formula>LEN(TRIM(O68))=0</formula>
    </cfRule>
  </conditionalFormatting>
  <conditionalFormatting sqref="O70:Q70">
    <cfRule type="containsBlanks" dxfId="961" priority="881">
      <formula>LEN(TRIM(O70))=0</formula>
    </cfRule>
  </conditionalFormatting>
  <conditionalFormatting sqref="N66:T66">
    <cfRule type="containsBlanks" dxfId="960" priority="880">
      <formula>LEN(TRIM(N66))=0</formula>
    </cfRule>
  </conditionalFormatting>
  <conditionalFormatting sqref="M83:S83">
    <cfRule type="containsBlanks" dxfId="959" priority="879">
      <formula>LEN(TRIM(M83))=0</formula>
    </cfRule>
  </conditionalFormatting>
  <conditionalFormatting sqref="N86:T86">
    <cfRule type="containsBlanks" dxfId="958" priority="878">
      <formula>LEN(TRIM(N86))=0</formula>
    </cfRule>
  </conditionalFormatting>
  <conditionalFormatting sqref="O88:Q88">
    <cfRule type="containsBlanks" dxfId="957" priority="877">
      <formula>LEN(TRIM(O88))=0</formula>
    </cfRule>
  </conditionalFormatting>
  <conditionalFormatting sqref="M90:T90">
    <cfRule type="containsBlanks" dxfId="956" priority="876">
      <formula>LEN(TRIM(M90))=0</formula>
    </cfRule>
  </conditionalFormatting>
  <conditionalFormatting sqref="M96:T96">
    <cfRule type="containsBlanks" dxfId="955" priority="875">
      <formula>LEN(TRIM(M96))=0</formula>
    </cfRule>
  </conditionalFormatting>
  <conditionalFormatting sqref="O97:S97">
    <cfRule type="containsBlanks" dxfId="954" priority="874">
      <formula>LEN(TRIM(O97))=0</formula>
    </cfRule>
  </conditionalFormatting>
  <conditionalFormatting sqref="M97:N97">
    <cfRule type="containsBlanks" dxfId="953" priority="873">
      <formula>LEN(TRIM(M97))=0</formula>
    </cfRule>
  </conditionalFormatting>
  <conditionalFormatting sqref="M60:T60">
    <cfRule type="containsBlanks" dxfId="952" priority="872">
      <formula>LEN(TRIM(M60))=0</formula>
    </cfRule>
  </conditionalFormatting>
  <conditionalFormatting sqref="M61:S61">
    <cfRule type="containsBlanks" dxfId="951" priority="871">
      <formula>LEN(TRIM(M61))=0</formula>
    </cfRule>
  </conditionalFormatting>
  <conditionalFormatting sqref="O58:Q58">
    <cfRule type="containsBlanks" dxfId="950" priority="870">
      <formula>LEN(TRIM(O58))=0</formula>
    </cfRule>
  </conditionalFormatting>
  <conditionalFormatting sqref="O59:Q59">
    <cfRule type="containsBlanks" dxfId="949" priority="869">
      <formula>LEN(TRIM(O59))=0</formula>
    </cfRule>
  </conditionalFormatting>
  <conditionalFormatting sqref="O61:Q61">
    <cfRule type="containsBlanks" dxfId="948" priority="868">
      <formula>LEN(TRIM(O61))=0</formula>
    </cfRule>
  </conditionalFormatting>
  <conditionalFormatting sqref="N57:T57">
    <cfRule type="containsBlanks" dxfId="947" priority="867">
      <formula>LEN(TRIM(N57))=0</formula>
    </cfRule>
  </conditionalFormatting>
  <conditionalFormatting sqref="M74:S74">
    <cfRule type="containsBlanks" dxfId="946" priority="866">
      <formula>LEN(TRIM(M74))=0</formula>
    </cfRule>
  </conditionalFormatting>
  <conditionalFormatting sqref="N77:T77">
    <cfRule type="containsBlanks" dxfId="945" priority="865">
      <formula>LEN(TRIM(N77))=0</formula>
    </cfRule>
  </conditionalFormatting>
  <conditionalFormatting sqref="O79:Q79">
    <cfRule type="containsBlanks" dxfId="944" priority="864">
      <formula>LEN(TRIM(O79))=0</formula>
    </cfRule>
  </conditionalFormatting>
  <conditionalFormatting sqref="M81:T81">
    <cfRule type="containsBlanks" dxfId="943" priority="863">
      <formula>LEN(TRIM(M81))=0</formula>
    </cfRule>
  </conditionalFormatting>
  <conditionalFormatting sqref="M87:T87">
    <cfRule type="containsBlanks" dxfId="942" priority="862">
      <formula>LEN(TRIM(M87))=0</formula>
    </cfRule>
  </conditionalFormatting>
  <conditionalFormatting sqref="O88:S88">
    <cfRule type="containsBlanks" dxfId="941" priority="861">
      <formula>LEN(TRIM(O88))=0</formula>
    </cfRule>
  </conditionalFormatting>
  <conditionalFormatting sqref="M88:N88">
    <cfRule type="containsBlanks" dxfId="940" priority="860">
      <formula>LEN(TRIM(M88))=0</formula>
    </cfRule>
  </conditionalFormatting>
  <conditionalFormatting sqref="O62:Q62">
    <cfRule type="containsBlanks" dxfId="939" priority="859">
      <formula>LEN(TRIM(O62))=0</formula>
    </cfRule>
  </conditionalFormatting>
  <conditionalFormatting sqref="O63:Q63">
    <cfRule type="containsBlanks" dxfId="938" priority="858">
      <formula>LEN(TRIM(O63))=0</formula>
    </cfRule>
  </conditionalFormatting>
  <conditionalFormatting sqref="O65:Q65">
    <cfRule type="containsBlanks" dxfId="937" priority="857">
      <formula>LEN(TRIM(O65))=0</formula>
    </cfRule>
  </conditionalFormatting>
  <conditionalFormatting sqref="N61:T61">
    <cfRule type="containsBlanks" dxfId="936" priority="856">
      <formula>LEN(TRIM(N61))=0</formula>
    </cfRule>
  </conditionalFormatting>
  <conditionalFormatting sqref="M78:S78">
    <cfRule type="containsBlanks" dxfId="935" priority="855">
      <formula>LEN(TRIM(M78))=0</formula>
    </cfRule>
  </conditionalFormatting>
  <conditionalFormatting sqref="N81:T81">
    <cfRule type="containsBlanks" dxfId="934" priority="854">
      <formula>LEN(TRIM(N81))=0</formula>
    </cfRule>
  </conditionalFormatting>
  <conditionalFormatting sqref="O83:Q83">
    <cfRule type="containsBlanks" dxfId="933" priority="853">
      <formula>LEN(TRIM(O83))=0</formula>
    </cfRule>
  </conditionalFormatting>
  <conditionalFormatting sqref="M85:T85">
    <cfRule type="containsBlanks" dxfId="932" priority="852">
      <formula>LEN(TRIM(M85))=0</formula>
    </cfRule>
  </conditionalFormatting>
  <conditionalFormatting sqref="M91:T91">
    <cfRule type="containsBlanks" dxfId="931" priority="851">
      <formula>LEN(TRIM(M91))=0</formula>
    </cfRule>
  </conditionalFormatting>
  <conditionalFormatting sqref="O92:S92">
    <cfRule type="containsBlanks" dxfId="930" priority="850">
      <formula>LEN(TRIM(O92))=0</formula>
    </cfRule>
  </conditionalFormatting>
  <conditionalFormatting sqref="M92:N92">
    <cfRule type="containsBlanks" dxfId="929" priority="849">
      <formula>LEN(TRIM(M92))=0</formula>
    </cfRule>
  </conditionalFormatting>
  <conditionalFormatting sqref="M55:T55">
    <cfRule type="containsBlanks" dxfId="928" priority="848">
      <formula>LEN(TRIM(M55))=0</formula>
    </cfRule>
  </conditionalFormatting>
  <conditionalFormatting sqref="M56:S56">
    <cfRule type="containsBlanks" dxfId="927" priority="847">
      <formula>LEN(TRIM(M56))=0</formula>
    </cfRule>
  </conditionalFormatting>
  <conditionalFormatting sqref="O54:Q54">
    <cfRule type="containsBlanks" dxfId="926" priority="846">
      <formula>LEN(TRIM(O54))=0</formula>
    </cfRule>
  </conditionalFormatting>
  <conditionalFormatting sqref="O56:Q56">
    <cfRule type="containsBlanks" dxfId="925" priority="845">
      <formula>LEN(TRIM(O56))=0</formula>
    </cfRule>
  </conditionalFormatting>
  <conditionalFormatting sqref="M69:S69">
    <cfRule type="containsBlanks" dxfId="924" priority="844">
      <formula>LEN(TRIM(M69))=0</formula>
    </cfRule>
  </conditionalFormatting>
  <conditionalFormatting sqref="N72:T72">
    <cfRule type="containsBlanks" dxfId="923" priority="843">
      <formula>LEN(TRIM(N72))=0</formula>
    </cfRule>
  </conditionalFormatting>
  <conditionalFormatting sqref="O74:Q74">
    <cfRule type="containsBlanks" dxfId="922" priority="842">
      <formula>LEN(TRIM(O74))=0</formula>
    </cfRule>
  </conditionalFormatting>
  <conditionalFormatting sqref="M76:T76">
    <cfRule type="containsBlanks" dxfId="921" priority="841">
      <formula>LEN(TRIM(M76))=0</formula>
    </cfRule>
  </conditionalFormatting>
  <conditionalFormatting sqref="M82:T82">
    <cfRule type="containsBlanks" dxfId="920" priority="840">
      <formula>LEN(TRIM(M82))=0</formula>
    </cfRule>
  </conditionalFormatting>
  <conditionalFormatting sqref="O83:S83">
    <cfRule type="containsBlanks" dxfId="919" priority="839">
      <formula>LEN(TRIM(O83))=0</formula>
    </cfRule>
  </conditionalFormatting>
  <conditionalFormatting sqref="M83:N83">
    <cfRule type="containsBlanks" dxfId="918" priority="838">
      <formula>LEN(TRIM(M83))=0</formula>
    </cfRule>
  </conditionalFormatting>
  <conditionalFormatting sqref="O55:Q55">
    <cfRule type="containsBlanks" dxfId="917" priority="837">
      <formula>LEN(TRIM(O55))=0</formula>
    </cfRule>
  </conditionalFormatting>
  <conditionalFormatting sqref="O57:Q57">
    <cfRule type="containsBlanks" dxfId="916" priority="836">
      <formula>LEN(TRIM(O57))=0</formula>
    </cfRule>
  </conditionalFormatting>
  <conditionalFormatting sqref="O59:Q59">
    <cfRule type="containsBlanks" dxfId="915" priority="835">
      <formula>LEN(TRIM(O59))=0</formula>
    </cfRule>
  </conditionalFormatting>
  <conditionalFormatting sqref="O61:Q61">
    <cfRule type="containsBlanks" dxfId="914" priority="834">
      <formula>LEN(TRIM(O61))=0</formula>
    </cfRule>
  </conditionalFormatting>
  <conditionalFormatting sqref="O74:Q74">
    <cfRule type="containsBlanks" dxfId="913" priority="833">
      <formula>LEN(TRIM(O74))=0</formula>
    </cfRule>
  </conditionalFormatting>
  <conditionalFormatting sqref="O75:Q75">
    <cfRule type="containsBlanks" dxfId="912" priority="832">
      <formula>LEN(TRIM(O75))=0</formula>
    </cfRule>
  </conditionalFormatting>
  <conditionalFormatting sqref="O77:Q77">
    <cfRule type="containsBlanks" dxfId="911" priority="831">
      <formula>LEN(TRIM(O77))=0</formula>
    </cfRule>
  </conditionalFormatting>
  <conditionalFormatting sqref="N73:T73">
    <cfRule type="containsBlanks" dxfId="910" priority="830">
      <formula>LEN(TRIM(N73))=0</formula>
    </cfRule>
  </conditionalFormatting>
  <conditionalFormatting sqref="M90:S90">
    <cfRule type="containsBlanks" dxfId="909" priority="829">
      <formula>LEN(TRIM(M90))=0</formula>
    </cfRule>
  </conditionalFormatting>
  <conditionalFormatting sqref="N93:T93">
    <cfRule type="containsBlanks" dxfId="908" priority="828">
      <formula>LEN(TRIM(N93))=0</formula>
    </cfRule>
  </conditionalFormatting>
  <conditionalFormatting sqref="O95:Q95">
    <cfRule type="containsBlanks" dxfId="907" priority="827">
      <formula>LEN(TRIM(O95))=0</formula>
    </cfRule>
  </conditionalFormatting>
  <conditionalFormatting sqref="M97:T97">
    <cfRule type="containsBlanks" dxfId="906" priority="826">
      <formula>LEN(TRIM(M97))=0</formula>
    </cfRule>
  </conditionalFormatting>
  <conditionalFormatting sqref="M103:T103">
    <cfRule type="containsBlanks" dxfId="905" priority="825">
      <formula>LEN(TRIM(M103))=0</formula>
    </cfRule>
  </conditionalFormatting>
  <conditionalFormatting sqref="O104:S104">
    <cfRule type="containsBlanks" dxfId="904" priority="824">
      <formula>LEN(TRIM(O104))=0</formula>
    </cfRule>
  </conditionalFormatting>
  <conditionalFormatting sqref="M104:N104">
    <cfRule type="containsBlanks" dxfId="903" priority="823">
      <formula>LEN(TRIM(M104))=0</formula>
    </cfRule>
  </conditionalFormatting>
  <conditionalFormatting sqref="M67:T67">
    <cfRule type="containsBlanks" dxfId="902" priority="822">
      <formula>LEN(TRIM(M67))=0</formula>
    </cfRule>
  </conditionalFormatting>
  <conditionalFormatting sqref="M68:S68">
    <cfRule type="containsBlanks" dxfId="901" priority="821">
      <formula>LEN(TRIM(M68))=0</formula>
    </cfRule>
  </conditionalFormatting>
  <conditionalFormatting sqref="O65:Q65">
    <cfRule type="containsBlanks" dxfId="900" priority="820">
      <formula>LEN(TRIM(O65))=0</formula>
    </cfRule>
  </conditionalFormatting>
  <conditionalFormatting sqref="O66:Q66">
    <cfRule type="containsBlanks" dxfId="899" priority="819">
      <formula>LEN(TRIM(O66))=0</formula>
    </cfRule>
  </conditionalFormatting>
  <conditionalFormatting sqref="O68:Q68">
    <cfRule type="containsBlanks" dxfId="898" priority="818">
      <formula>LEN(TRIM(O68))=0</formula>
    </cfRule>
  </conditionalFormatting>
  <conditionalFormatting sqref="N64:T64">
    <cfRule type="containsBlanks" dxfId="897" priority="817">
      <formula>LEN(TRIM(N64))=0</formula>
    </cfRule>
  </conditionalFormatting>
  <conditionalFormatting sqref="M81:S81">
    <cfRule type="containsBlanks" dxfId="896" priority="816">
      <formula>LEN(TRIM(M81))=0</formula>
    </cfRule>
  </conditionalFormatting>
  <conditionalFormatting sqref="N84:T84">
    <cfRule type="containsBlanks" dxfId="895" priority="815">
      <formula>LEN(TRIM(N84))=0</formula>
    </cfRule>
  </conditionalFormatting>
  <conditionalFormatting sqref="O86:Q86">
    <cfRule type="containsBlanks" dxfId="894" priority="814">
      <formula>LEN(TRIM(O86))=0</formula>
    </cfRule>
  </conditionalFormatting>
  <conditionalFormatting sqref="M88:T88">
    <cfRule type="containsBlanks" dxfId="893" priority="813">
      <formula>LEN(TRIM(M88))=0</formula>
    </cfRule>
  </conditionalFormatting>
  <conditionalFormatting sqref="M94:T94">
    <cfRule type="containsBlanks" dxfId="892" priority="812">
      <formula>LEN(TRIM(M94))=0</formula>
    </cfRule>
  </conditionalFormatting>
  <conditionalFormatting sqref="O95:S95">
    <cfRule type="containsBlanks" dxfId="891" priority="811">
      <formula>LEN(TRIM(O95))=0</formula>
    </cfRule>
  </conditionalFormatting>
  <conditionalFormatting sqref="M95:N95">
    <cfRule type="containsBlanks" dxfId="890" priority="810">
      <formula>LEN(TRIM(M95))=0</formula>
    </cfRule>
  </conditionalFormatting>
  <conditionalFormatting sqref="M58:T58">
    <cfRule type="containsBlanks" dxfId="889" priority="809">
      <formula>LEN(TRIM(M58))=0</formula>
    </cfRule>
  </conditionalFormatting>
  <conditionalFormatting sqref="M59:S59">
    <cfRule type="containsBlanks" dxfId="888" priority="808">
      <formula>LEN(TRIM(M59))=0</formula>
    </cfRule>
  </conditionalFormatting>
  <conditionalFormatting sqref="O54:Q54">
    <cfRule type="containsBlanks" dxfId="887" priority="807">
      <formula>LEN(TRIM(O54))=0</formula>
    </cfRule>
  </conditionalFormatting>
  <conditionalFormatting sqref="O56:Q56">
    <cfRule type="containsBlanks" dxfId="886" priority="806">
      <formula>LEN(TRIM(O56))=0</formula>
    </cfRule>
  </conditionalFormatting>
  <conditionalFormatting sqref="O69:Q69">
    <cfRule type="containsBlanks" dxfId="885" priority="805">
      <formula>LEN(TRIM(O69))=0</formula>
    </cfRule>
  </conditionalFormatting>
  <conditionalFormatting sqref="O70:Q70">
    <cfRule type="containsBlanks" dxfId="884" priority="804">
      <formula>LEN(TRIM(O70))=0</formula>
    </cfRule>
  </conditionalFormatting>
  <conditionalFormatting sqref="O72:Q72">
    <cfRule type="containsBlanks" dxfId="883" priority="803">
      <formula>LEN(TRIM(O72))=0</formula>
    </cfRule>
  </conditionalFormatting>
  <conditionalFormatting sqref="N68:T68">
    <cfRule type="containsBlanks" dxfId="882" priority="802">
      <formula>LEN(TRIM(N68))=0</formula>
    </cfRule>
  </conditionalFormatting>
  <conditionalFormatting sqref="M85:S85">
    <cfRule type="containsBlanks" dxfId="881" priority="801">
      <formula>LEN(TRIM(M85))=0</formula>
    </cfRule>
  </conditionalFormatting>
  <conditionalFormatting sqref="N88:T88">
    <cfRule type="containsBlanks" dxfId="880" priority="800">
      <formula>LEN(TRIM(N88))=0</formula>
    </cfRule>
  </conditionalFormatting>
  <conditionalFormatting sqref="O90:Q90">
    <cfRule type="containsBlanks" dxfId="879" priority="799">
      <formula>LEN(TRIM(O90))=0</formula>
    </cfRule>
  </conditionalFormatting>
  <conditionalFormatting sqref="M92:T92">
    <cfRule type="containsBlanks" dxfId="878" priority="798">
      <formula>LEN(TRIM(M92))=0</formula>
    </cfRule>
  </conditionalFormatting>
  <conditionalFormatting sqref="M98:T98">
    <cfRule type="containsBlanks" dxfId="877" priority="797">
      <formula>LEN(TRIM(M98))=0</formula>
    </cfRule>
  </conditionalFormatting>
  <conditionalFormatting sqref="M62:T62">
    <cfRule type="containsBlanks" dxfId="876" priority="794">
      <formula>LEN(TRIM(M62))=0</formula>
    </cfRule>
  </conditionalFormatting>
  <conditionalFormatting sqref="M63:S63">
    <cfRule type="containsBlanks" dxfId="875" priority="793">
      <formula>LEN(TRIM(M63))=0</formula>
    </cfRule>
  </conditionalFormatting>
  <conditionalFormatting sqref="O60:Q60">
    <cfRule type="containsBlanks" dxfId="874" priority="792">
      <formula>LEN(TRIM(O60))=0</formula>
    </cfRule>
  </conditionalFormatting>
  <conditionalFormatting sqref="O61:Q61">
    <cfRule type="containsBlanks" dxfId="873" priority="791">
      <formula>LEN(TRIM(O61))=0</formula>
    </cfRule>
  </conditionalFormatting>
  <conditionalFormatting sqref="O63:Q63">
    <cfRule type="containsBlanks" dxfId="872" priority="790">
      <formula>LEN(TRIM(O63))=0</formula>
    </cfRule>
  </conditionalFormatting>
  <conditionalFormatting sqref="N59:T59">
    <cfRule type="containsBlanks" dxfId="871" priority="789">
      <formula>LEN(TRIM(N59))=0</formula>
    </cfRule>
  </conditionalFormatting>
  <conditionalFormatting sqref="M76:S76">
    <cfRule type="containsBlanks" dxfId="870" priority="788">
      <formula>LEN(TRIM(M76))=0</formula>
    </cfRule>
  </conditionalFormatting>
  <conditionalFormatting sqref="N79:T79">
    <cfRule type="containsBlanks" dxfId="869" priority="787">
      <formula>LEN(TRIM(N79))=0</formula>
    </cfRule>
  </conditionalFormatting>
  <conditionalFormatting sqref="O81:Q81">
    <cfRule type="containsBlanks" dxfId="868" priority="786">
      <formula>LEN(TRIM(O81))=0</formula>
    </cfRule>
  </conditionalFormatting>
  <conditionalFormatting sqref="M83:T83">
    <cfRule type="containsBlanks" dxfId="867" priority="785">
      <formula>LEN(TRIM(M83))=0</formula>
    </cfRule>
  </conditionalFormatting>
  <conditionalFormatting sqref="M89:T89">
    <cfRule type="containsBlanks" dxfId="866" priority="784">
      <formula>LEN(TRIM(M89))=0</formula>
    </cfRule>
  </conditionalFormatting>
  <conditionalFormatting sqref="O90:S90">
    <cfRule type="containsBlanks" dxfId="865" priority="783">
      <formula>LEN(TRIM(O90))=0</formula>
    </cfRule>
  </conditionalFormatting>
  <conditionalFormatting sqref="M90:N90">
    <cfRule type="containsBlanks" dxfId="864" priority="782">
      <formula>LEN(TRIM(M90))=0</formula>
    </cfRule>
  </conditionalFormatting>
  <conditionalFormatting sqref="M54:S54">
    <cfRule type="containsBlanks" dxfId="863" priority="781">
      <formula>LEN(TRIM(M54))=0</formula>
    </cfRule>
  </conditionalFormatting>
  <conditionalFormatting sqref="O54:Q54">
    <cfRule type="containsBlanks" dxfId="862" priority="780">
      <formula>LEN(TRIM(O54))=0</formula>
    </cfRule>
  </conditionalFormatting>
  <conditionalFormatting sqref="O56:Q56">
    <cfRule type="containsBlanks" dxfId="861" priority="779">
      <formula>LEN(TRIM(O56))=0</formula>
    </cfRule>
  </conditionalFormatting>
  <conditionalFormatting sqref="O58:Q58">
    <cfRule type="containsBlanks" dxfId="860" priority="778">
      <formula>LEN(TRIM(O58))=0</formula>
    </cfRule>
  </conditionalFormatting>
  <conditionalFormatting sqref="O71:Q71">
    <cfRule type="containsBlanks" dxfId="859" priority="777">
      <formula>LEN(TRIM(O71))=0</formula>
    </cfRule>
  </conditionalFormatting>
  <conditionalFormatting sqref="O72:Q72">
    <cfRule type="containsBlanks" dxfId="858" priority="776">
      <formula>LEN(TRIM(O72))=0</formula>
    </cfRule>
  </conditionalFormatting>
  <conditionalFormatting sqref="O74:Q74">
    <cfRule type="containsBlanks" dxfId="857" priority="775">
      <formula>LEN(TRIM(O74))=0</formula>
    </cfRule>
  </conditionalFormatting>
  <conditionalFormatting sqref="N70:T70">
    <cfRule type="containsBlanks" dxfId="856" priority="774">
      <formula>LEN(TRIM(N70))=0</formula>
    </cfRule>
  </conditionalFormatting>
  <conditionalFormatting sqref="M87:S87">
    <cfRule type="containsBlanks" dxfId="855" priority="773">
      <formula>LEN(TRIM(M87))=0</formula>
    </cfRule>
  </conditionalFormatting>
  <conditionalFormatting sqref="N90:T90">
    <cfRule type="containsBlanks" dxfId="854" priority="772">
      <formula>LEN(TRIM(N90))=0</formula>
    </cfRule>
  </conditionalFormatting>
  <conditionalFormatting sqref="O92:Q92">
    <cfRule type="containsBlanks" dxfId="853" priority="771">
      <formula>LEN(TRIM(O92))=0</formula>
    </cfRule>
  </conditionalFormatting>
  <conditionalFormatting sqref="M94:T94">
    <cfRule type="containsBlanks" dxfId="852" priority="770">
      <formula>LEN(TRIM(M94))=0</formula>
    </cfRule>
  </conditionalFormatting>
  <conditionalFormatting sqref="M100:T100">
    <cfRule type="containsBlanks" dxfId="851" priority="769">
      <formula>LEN(TRIM(M100))=0</formula>
    </cfRule>
  </conditionalFormatting>
  <conditionalFormatting sqref="O101:S101">
    <cfRule type="containsBlanks" dxfId="850" priority="768">
      <formula>LEN(TRIM(O101))=0</formula>
    </cfRule>
  </conditionalFormatting>
  <conditionalFormatting sqref="M101:N101">
    <cfRule type="containsBlanks" dxfId="849" priority="767">
      <formula>LEN(TRIM(M101))=0</formula>
    </cfRule>
  </conditionalFormatting>
  <conditionalFormatting sqref="M64:T64">
    <cfRule type="containsBlanks" dxfId="848" priority="766">
      <formula>LEN(TRIM(M64))=0</formula>
    </cfRule>
  </conditionalFormatting>
  <conditionalFormatting sqref="M65:S65">
    <cfRule type="containsBlanks" dxfId="847" priority="765">
      <formula>LEN(TRIM(M65))=0</formula>
    </cfRule>
  </conditionalFormatting>
  <conditionalFormatting sqref="O62:Q62">
    <cfRule type="containsBlanks" dxfId="846" priority="764">
      <formula>LEN(TRIM(O62))=0</formula>
    </cfRule>
  </conditionalFormatting>
  <conditionalFormatting sqref="O63:Q63">
    <cfRule type="containsBlanks" dxfId="845" priority="763">
      <formula>LEN(TRIM(O63))=0</formula>
    </cfRule>
  </conditionalFormatting>
  <conditionalFormatting sqref="O65:Q65">
    <cfRule type="containsBlanks" dxfId="844" priority="762">
      <formula>LEN(TRIM(O65))=0</formula>
    </cfRule>
  </conditionalFormatting>
  <conditionalFormatting sqref="N61:T61">
    <cfRule type="containsBlanks" dxfId="843" priority="761">
      <formula>LEN(TRIM(N61))=0</formula>
    </cfRule>
  </conditionalFormatting>
  <conditionalFormatting sqref="M78:S78">
    <cfRule type="containsBlanks" dxfId="842" priority="760">
      <formula>LEN(TRIM(M78))=0</formula>
    </cfRule>
  </conditionalFormatting>
  <conditionalFormatting sqref="N81:T81">
    <cfRule type="containsBlanks" dxfId="841" priority="759">
      <formula>LEN(TRIM(N81))=0</formula>
    </cfRule>
  </conditionalFormatting>
  <conditionalFormatting sqref="O83:Q83">
    <cfRule type="containsBlanks" dxfId="840" priority="758">
      <formula>LEN(TRIM(O83))=0</formula>
    </cfRule>
  </conditionalFormatting>
  <conditionalFormatting sqref="M85:T85">
    <cfRule type="containsBlanks" dxfId="839" priority="757">
      <formula>LEN(TRIM(M85))=0</formula>
    </cfRule>
  </conditionalFormatting>
  <conditionalFormatting sqref="M91:T91">
    <cfRule type="containsBlanks" dxfId="838" priority="756">
      <formula>LEN(TRIM(M91))=0</formula>
    </cfRule>
  </conditionalFormatting>
  <conditionalFormatting sqref="O92:S92">
    <cfRule type="containsBlanks" dxfId="837" priority="755">
      <formula>LEN(TRIM(O92))=0</formula>
    </cfRule>
  </conditionalFormatting>
  <conditionalFormatting sqref="M92:N92">
    <cfRule type="containsBlanks" dxfId="836" priority="754">
      <formula>LEN(TRIM(M92))=0</formula>
    </cfRule>
  </conditionalFormatting>
  <conditionalFormatting sqref="M55:T55">
    <cfRule type="containsBlanks" dxfId="835" priority="753">
      <formula>LEN(TRIM(M55))=0</formula>
    </cfRule>
  </conditionalFormatting>
  <conditionalFormatting sqref="M56:S56">
    <cfRule type="containsBlanks" dxfId="834" priority="752">
      <formula>LEN(TRIM(M56))=0</formula>
    </cfRule>
  </conditionalFormatting>
  <conditionalFormatting sqref="O66:Q66">
    <cfRule type="containsBlanks" dxfId="833" priority="751">
      <formula>LEN(TRIM(O66))=0</formula>
    </cfRule>
  </conditionalFormatting>
  <conditionalFormatting sqref="O67:Q67">
    <cfRule type="containsBlanks" dxfId="832" priority="750">
      <formula>LEN(TRIM(O67))=0</formula>
    </cfRule>
  </conditionalFormatting>
  <conditionalFormatting sqref="O69:Q69">
    <cfRule type="containsBlanks" dxfId="831" priority="749">
      <formula>LEN(TRIM(O69))=0</formula>
    </cfRule>
  </conditionalFormatting>
  <conditionalFormatting sqref="N65:T65">
    <cfRule type="containsBlanks" dxfId="830" priority="748">
      <formula>LEN(TRIM(N65))=0</formula>
    </cfRule>
  </conditionalFormatting>
  <conditionalFormatting sqref="M82:S82">
    <cfRule type="containsBlanks" dxfId="829" priority="747">
      <formula>LEN(TRIM(M82))=0</formula>
    </cfRule>
  </conditionalFormatting>
  <conditionalFormatting sqref="N85:T85">
    <cfRule type="containsBlanks" dxfId="828" priority="746">
      <formula>LEN(TRIM(N85))=0</formula>
    </cfRule>
  </conditionalFormatting>
  <conditionalFormatting sqref="O87:Q87">
    <cfRule type="containsBlanks" dxfId="827" priority="745">
      <formula>LEN(TRIM(O87))=0</formula>
    </cfRule>
  </conditionalFormatting>
  <conditionalFormatting sqref="M89:T89">
    <cfRule type="containsBlanks" dxfId="826" priority="744">
      <formula>LEN(TRIM(M89))=0</formula>
    </cfRule>
  </conditionalFormatting>
  <conditionalFormatting sqref="M95:T95">
    <cfRule type="containsBlanks" dxfId="825" priority="743">
      <formula>LEN(TRIM(M95))=0</formula>
    </cfRule>
  </conditionalFormatting>
  <conditionalFormatting sqref="O96:S96">
    <cfRule type="containsBlanks" dxfId="824" priority="742">
      <formula>LEN(TRIM(O96))=0</formula>
    </cfRule>
  </conditionalFormatting>
  <conditionalFormatting sqref="M96:N96">
    <cfRule type="containsBlanks" dxfId="823" priority="741">
      <formula>LEN(TRIM(M96))=0</formula>
    </cfRule>
  </conditionalFormatting>
  <conditionalFormatting sqref="M59:T59">
    <cfRule type="containsBlanks" dxfId="822" priority="740">
      <formula>LEN(TRIM(M59))=0</formula>
    </cfRule>
  </conditionalFormatting>
  <conditionalFormatting sqref="M60:S60">
    <cfRule type="containsBlanks" dxfId="821" priority="739">
      <formula>LEN(TRIM(M60))=0</formula>
    </cfRule>
  </conditionalFormatting>
  <conditionalFormatting sqref="O57:Q57">
    <cfRule type="containsBlanks" dxfId="820" priority="738">
      <formula>LEN(TRIM(O57))=0</formula>
    </cfRule>
  </conditionalFormatting>
  <conditionalFormatting sqref="O58:Q58">
    <cfRule type="containsBlanks" dxfId="819" priority="737">
      <formula>LEN(TRIM(O58))=0</formula>
    </cfRule>
  </conditionalFormatting>
  <conditionalFormatting sqref="O60:Q60">
    <cfRule type="containsBlanks" dxfId="818" priority="736">
      <formula>LEN(TRIM(O60))=0</formula>
    </cfRule>
  </conditionalFormatting>
  <conditionalFormatting sqref="N56:T56">
    <cfRule type="containsBlanks" dxfId="817" priority="735">
      <formula>LEN(TRIM(N56))=0</formula>
    </cfRule>
  </conditionalFormatting>
  <conditionalFormatting sqref="M73:S73">
    <cfRule type="containsBlanks" dxfId="816" priority="734">
      <formula>LEN(TRIM(M73))=0</formula>
    </cfRule>
  </conditionalFormatting>
  <conditionalFormatting sqref="N76:T76">
    <cfRule type="containsBlanks" dxfId="815" priority="733">
      <formula>LEN(TRIM(N76))=0</formula>
    </cfRule>
  </conditionalFormatting>
  <conditionalFormatting sqref="O78:Q78">
    <cfRule type="containsBlanks" dxfId="814" priority="732">
      <formula>LEN(TRIM(O78))=0</formula>
    </cfRule>
  </conditionalFormatting>
  <conditionalFormatting sqref="M80:T80">
    <cfRule type="containsBlanks" dxfId="813" priority="731">
      <formula>LEN(TRIM(M80))=0</formula>
    </cfRule>
  </conditionalFormatting>
  <conditionalFormatting sqref="M86:T86">
    <cfRule type="containsBlanks" dxfId="812" priority="730">
      <formula>LEN(TRIM(M86))=0</formula>
    </cfRule>
  </conditionalFormatting>
  <conditionalFormatting sqref="O87:S87">
    <cfRule type="containsBlanks" dxfId="811" priority="729">
      <formula>LEN(TRIM(O87))=0</formula>
    </cfRule>
  </conditionalFormatting>
  <conditionalFormatting sqref="M87:N87">
    <cfRule type="containsBlanks" dxfId="810" priority="728">
      <formula>LEN(TRIM(M87))=0</formula>
    </cfRule>
  </conditionalFormatting>
  <conditionalFormatting sqref="O54:Q54">
    <cfRule type="containsBlanks" dxfId="809" priority="727">
      <formula>LEN(TRIM(O54))=0</formula>
    </cfRule>
  </conditionalFormatting>
  <conditionalFormatting sqref="O56:Q56">
    <cfRule type="containsBlanks" dxfId="808" priority="726">
      <formula>LEN(TRIM(O56))=0</formula>
    </cfRule>
  </conditionalFormatting>
  <conditionalFormatting sqref="O58:Q58">
    <cfRule type="containsBlanks" dxfId="807" priority="725">
      <formula>LEN(TRIM(O58))=0</formula>
    </cfRule>
  </conditionalFormatting>
  <conditionalFormatting sqref="O71:Q71">
    <cfRule type="containsBlanks" dxfId="806" priority="724">
      <formula>LEN(TRIM(O71))=0</formula>
    </cfRule>
  </conditionalFormatting>
  <conditionalFormatting sqref="O72:Q72">
    <cfRule type="containsBlanks" dxfId="805" priority="723">
      <formula>LEN(TRIM(O72))=0</formula>
    </cfRule>
  </conditionalFormatting>
  <conditionalFormatting sqref="O74:Q74">
    <cfRule type="containsBlanks" dxfId="804" priority="722">
      <formula>LEN(TRIM(O74))=0</formula>
    </cfRule>
  </conditionalFormatting>
  <conditionalFormatting sqref="N70:T70">
    <cfRule type="containsBlanks" dxfId="803" priority="721">
      <formula>LEN(TRIM(N70))=0</formula>
    </cfRule>
  </conditionalFormatting>
  <conditionalFormatting sqref="M87:S87">
    <cfRule type="containsBlanks" dxfId="802" priority="720">
      <formula>LEN(TRIM(M87))=0</formula>
    </cfRule>
  </conditionalFormatting>
  <conditionalFormatting sqref="N90:T90">
    <cfRule type="containsBlanks" dxfId="801" priority="719">
      <formula>LEN(TRIM(N90))=0</formula>
    </cfRule>
  </conditionalFormatting>
  <conditionalFormatting sqref="O92:Q92">
    <cfRule type="containsBlanks" dxfId="800" priority="718">
      <formula>LEN(TRIM(O92))=0</formula>
    </cfRule>
  </conditionalFormatting>
  <conditionalFormatting sqref="M94:T94">
    <cfRule type="containsBlanks" dxfId="799" priority="717">
      <formula>LEN(TRIM(M94))=0</formula>
    </cfRule>
  </conditionalFormatting>
  <conditionalFormatting sqref="M100:T100">
    <cfRule type="containsBlanks" dxfId="798" priority="716">
      <formula>LEN(TRIM(M100))=0</formula>
    </cfRule>
  </conditionalFormatting>
  <conditionalFormatting sqref="O101:S101">
    <cfRule type="containsBlanks" dxfId="797" priority="715">
      <formula>LEN(TRIM(O101))=0</formula>
    </cfRule>
  </conditionalFormatting>
  <conditionalFormatting sqref="M101:N101">
    <cfRule type="containsBlanks" dxfId="796" priority="714">
      <formula>LEN(TRIM(M101))=0</formula>
    </cfRule>
  </conditionalFormatting>
  <conditionalFormatting sqref="M64:T64">
    <cfRule type="containsBlanks" dxfId="795" priority="713">
      <formula>LEN(TRIM(M64))=0</formula>
    </cfRule>
  </conditionalFormatting>
  <conditionalFormatting sqref="M65:S65">
    <cfRule type="containsBlanks" dxfId="794" priority="712">
      <formula>LEN(TRIM(M65))=0</formula>
    </cfRule>
  </conditionalFormatting>
  <conditionalFormatting sqref="O62:Q62">
    <cfRule type="containsBlanks" dxfId="793" priority="711">
      <formula>LEN(TRIM(O62))=0</formula>
    </cfRule>
  </conditionalFormatting>
  <conditionalFormatting sqref="O63:Q63">
    <cfRule type="containsBlanks" dxfId="792" priority="710">
      <formula>LEN(TRIM(O63))=0</formula>
    </cfRule>
  </conditionalFormatting>
  <conditionalFormatting sqref="O65:Q65">
    <cfRule type="containsBlanks" dxfId="791" priority="709">
      <formula>LEN(TRIM(O65))=0</formula>
    </cfRule>
  </conditionalFormatting>
  <conditionalFormatting sqref="N61:T61">
    <cfRule type="containsBlanks" dxfId="790" priority="708">
      <formula>LEN(TRIM(N61))=0</formula>
    </cfRule>
  </conditionalFormatting>
  <conditionalFormatting sqref="M78:S78">
    <cfRule type="containsBlanks" dxfId="789" priority="707">
      <formula>LEN(TRIM(M78))=0</formula>
    </cfRule>
  </conditionalFormatting>
  <conditionalFormatting sqref="N81:T81">
    <cfRule type="containsBlanks" dxfId="788" priority="706">
      <formula>LEN(TRIM(N81))=0</formula>
    </cfRule>
  </conditionalFormatting>
  <conditionalFormatting sqref="O83:Q83">
    <cfRule type="containsBlanks" dxfId="787" priority="705">
      <formula>LEN(TRIM(O83))=0</formula>
    </cfRule>
  </conditionalFormatting>
  <conditionalFormatting sqref="M85:T85">
    <cfRule type="containsBlanks" dxfId="786" priority="704">
      <formula>LEN(TRIM(M85))=0</formula>
    </cfRule>
  </conditionalFormatting>
  <conditionalFormatting sqref="M91:T91">
    <cfRule type="containsBlanks" dxfId="785" priority="703">
      <formula>LEN(TRIM(M91))=0</formula>
    </cfRule>
  </conditionalFormatting>
  <conditionalFormatting sqref="O92:S92">
    <cfRule type="containsBlanks" dxfId="784" priority="702">
      <formula>LEN(TRIM(O92))=0</formula>
    </cfRule>
  </conditionalFormatting>
  <conditionalFormatting sqref="M92:N92">
    <cfRule type="containsBlanks" dxfId="783" priority="701">
      <formula>LEN(TRIM(M92))=0</formula>
    </cfRule>
  </conditionalFormatting>
  <conditionalFormatting sqref="M55:T55">
    <cfRule type="containsBlanks" dxfId="782" priority="700">
      <formula>LEN(TRIM(M55))=0</formula>
    </cfRule>
  </conditionalFormatting>
  <conditionalFormatting sqref="M56:S56">
    <cfRule type="containsBlanks" dxfId="781" priority="699">
      <formula>LEN(TRIM(M56))=0</formula>
    </cfRule>
  </conditionalFormatting>
  <conditionalFormatting sqref="O66:Q66">
    <cfRule type="containsBlanks" dxfId="780" priority="698">
      <formula>LEN(TRIM(O66))=0</formula>
    </cfRule>
  </conditionalFormatting>
  <conditionalFormatting sqref="O67:Q67">
    <cfRule type="containsBlanks" dxfId="779" priority="697">
      <formula>LEN(TRIM(O67))=0</formula>
    </cfRule>
  </conditionalFormatting>
  <conditionalFormatting sqref="O69:Q69">
    <cfRule type="containsBlanks" dxfId="778" priority="696">
      <formula>LEN(TRIM(O69))=0</formula>
    </cfRule>
  </conditionalFormatting>
  <conditionalFormatting sqref="N65:T65">
    <cfRule type="containsBlanks" dxfId="777" priority="695">
      <formula>LEN(TRIM(N65))=0</formula>
    </cfRule>
  </conditionalFormatting>
  <conditionalFormatting sqref="M82:S82">
    <cfRule type="containsBlanks" dxfId="776" priority="694">
      <formula>LEN(TRIM(M82))=0</formula>
    </cfRule>
  </conditionalFormatting>
  <conditionalFormatting sqref="N85:T85">
    <cfRule type="containsBlanks" dxfId="775" priority="693">
      <formula>LEN(TRIM(N85))=0</formula>
    </cfRule>
  </conditionalFormatting>
  <conditionalFormatting sqref="O87:Q87">
    <cfRule type="containsBlanks" dxfId="774" priority="692">
      <formula>LEN(TRIM(O87))=0</formula>
    </cfRule>
  </conditionalFormatting>
  <conditionalFormatting sqref="M89:T89">
    <cfRule type="containsBlanks" dxfId="773" priority="691">
      <formula>LEN(TRIM(M89))=0</formula>
    </cfRule>
  </conditionalFormatting>
  <conditionalFormatting sqref="M95:T95">
    <cfRule type="containsBlanks" dxfId="772" priority="690">
      <formula>LEN(TRIM(M95))=0</formula>
    </cfRule>
  </conditionalFormatting>
  <conditionalFormatting sqref="O96:S96">
    <cfRule type="containsBlanks" dxfId="771" priority="689">
      <formula>LEN(TRIM(O96))=0</formula>
    </cfRule>
  </conditionalFormatting>
  <conditionalFormatting sqref="M96:N96">
    <cfRule type="containsBlanks" dxfId="770" priority="688">
      <formula>LEN(TRIM(M96))=0</formula>
    </cfRule>
  </conditionalFormatting>
  <conditionalFormatting sqref="M59:T59">
    <cfRule type="containsBlanks" dxfId="769" priority="687">
      <formula>LEN(TRIM(M59))=0</formula>
    </cfRule>
  </conditionalFormatting>
  <conditionalFormatting sqref="M60:S60">
    <cfRule type="containsBlanks" dxfId="768" priority="686">
      <formula>LEN(TRIM(M60))=0</formula>
    </cfRule>
  </conditionalFormatting>
  <conditionalFormatting sqref="O57:Q57">
    <cfRule type="containsBlanks" dxfId="767" priority="685">
      <formula>LEN(TRIM(O57))=0</formula>
    </cfRule>
  </conditionalFormatting>
  <conditionalFormatting sqref="O58:Q58">
    <cfRule type="containsBlanks" dxfId="766" priority="684">
      <formula>LEN(TRIM(O58))=0</formula>
    </cfRule>
  </conditionalFormatting>
  <conditionalFormatting sqref="O60:Q60">
    <cfRule type="containsBlanks" dxfId="765" priority="683">
      <formula>LEN(TRIM(O60))=0</formula>
    </cfRule>
  </conditionalFormatting>
  <conditionalFormatting sqref="N56:T56">
    <cfRule type="containsBlanks" dxfId="764" priority="682">
      <formula>LEN(TRIM(N56))=0</formula>
    </cfRule>
  </conditionalFormatting>
  <conditionalFormatting sqref="M73:S73">
    <cfRule type="containsBlanks" dxfId="763" priority="681">
      <formula>LEN(TRIM(M73))=0</formula>
    </cfRule>
  </conditionalFormatting>
  <conditionalFormatting sqref="N76:T76">
    <cfRule type="containsBlanks" dxfId="762" priority="680">
      <formula>LEN(TRIM(N76))=0</formula>
    </cfRule>
  </conditionalFormatting>
  <conditionalFormatting sqref="O78:Q78">
    <cfRule type="containsBlanks" dxfId="761" priority="679">
      <formula>LEN(TRIM(O78))=0</formula>
    </cfRule>
  </conditionalFormatting>
  <conditionalFormatting sqref="M80:T80">
    <cfRule type="containsBlanks" dxfId="760" priority="678">
      <formula>LEN(TRIM(M80))=0</formula>
    </cfRule>
  </conditionalFormatting>
  <conditionalFormatting sqref="M86:T86">
    <cfRule type="containsBlanks" dxfId="759" priority="677">
      <formula>LEN(TRIM(M86))=0</formula>
    </cfRule>
  </conditionalFormatting>
  <conditionalFormatting sqref="O87:S87">
    <cfRule type="containsBlanks" dxfId="758" priority="676">
      <formula>LEN(TRIM(O87))=0</formula>
    </cfRule>
  </conditionalFormatting>
  <conditionalFormatting sqref="M87:N87">
    <cfRule type="containsBlanks" dxfId="757" priority="675">
      <formula>LEN(TRIM(M87))=0</formula>
    </cfRule>
  </conditionalFormatting>
  <conditionalFormatting sqref="O55:Q55">
    <cfRule type="containsBlanks" dxfId="756" priority="674">
      <formula>LEN(TRIM(O55))=0</formula>
    </cfRule>
  </conditionalFormatting>
  <conditionalFormatting sqref="O68:Q68">
    <cfRule type="containsBlanks" dxfId="755" priority="673">
      <formula>LEN(TRIM(O68))=0</formula>
    </cfRule>
  </conditionalFormatting>
  <conditionalFormatting sqref="O69:Q69">
    <cfRule type="containsBlanks" dxfId="754" priority="672">
      <formula>LEN(TRIM(O69))=0</formula>
    </cfRule>
  </conditionalFormatting>
  <conditionalFormatting sqref="O71:Q71">
    <cfRule type="containsBlanks" dxfId="753" priority="671">
      <formula>LEN(TRIM(O71))=0</formula>
    </cfRule>
  </conditionalFormatting>
  <conditionalFormatting sqref="N67:T67">
    <cfRule type="containsBlanks" dxfId="752" priority="670">
      <formula>LEN(TRIM(N67))=0</formula>
    </cfRule>
  </conditionalFormatting>
  <conditionalFormatting sqref="M84:S84">
    <cfRule type="containsBlanks" dxfId="751" priority="669">
      <formula>LEN(TRIM(M84))=0</formula>
    </cfRule>
  </conditionalFormatting>
  <conditionalFormatting sqref="N87:T87">
    <cfRule type="containsBlanks" dxfId="750" priority="668">
      <formula>LEN(TRIM(N87))=0</formula>
    </cfRule>
  </conditionalFormatting>
  <conditionalFormatting sqref="O89:Q89">
    <cfRule type="containsBlanks" dxfId="749" priority="667">
      <formula>LEN(TRIM(O89))=0</formula>
    </cfRule>
  </conditionalFormatting>
  <conditionalFormatting sqref="M91:T91">
    <cfRule type="containsBlanks" dxfId="748" priority="666">
      <formula>LEN(TRIM(M91))=0</formula>
    </cfRule>
  </conditionalFormatting>
  <conditionalFormatting sqref="M97:T97">
    <cfRule type="containsBlanks" dxfId="747" priority="665">
      <formula>LEN(TRIM(M97))=0</formula>
    </cfRule>
  </conditionalFormatting>
  <conditionalFormatting sqref="O98:S98">
    <cfRule type="containsBlanks" dxfId="746" priority="664">
      <formula>LEN(TRIM(O98))=0</formula>
    </cfRule>
  </conditionalFormatting>
  <conditionalFormatting sqref="M98:N98">
    <cfRule type="containsBlanks" dxfId="745" priority="663">
      <formula>LEN(TRIM(M98))=0</formula>
    </cfRule>
  </conditionalFormatting>
  <conditionalFormatting sqref="M61:T61">
    <cfRule type="containsBlanks" dxfId="744" priority="662">
      <formula>LEN(TRIM(M61))=0</formula>
    </cfRule>
  </conditionalFormatting>
  <conditionalFormatting sqref="M62:S62">
    <cfRule type="containsBlanks" dxfId="743" priority="661">
      <formula>LEN(TRIM(M62))=0</formula>
    </cfRule>
  </conditionalFormatting>
  <conditionalFormatting sqref="O59:Q59">
    <cfRule type="containsBlanks" dxfId="742" priority="660">
      <formula>LEN(TRIM(O59))=0</formula>
    </cfRule>
  </conditionalFormatting>
  <conditionalFormatting sqref="O60:Q60">
    <cfRule type="containsBlanks" dxfId="741" priority="659">
      <formula>LEN(TRIM(O60))=0</formula>
    </cfRule>
  </conditionalFormatting>
  <conditionalFormatting sqref="O62:Q62">
    <cfRule type="containsBlanks" dxfId="740" priority="658">
      <formula>LEN(TRIM(O62))=0</formula>
    </cfRule>
  </conditionalFormatting>
  <conditionalFormatting sqref="N58:T58">
    <cfRule type="containsBlanks" dxfId="739" priority="657">
      <formula>LEN(TRIM(N58))=0</formula>
    </cfRule>
  </conditionalFormatting>
  <conditionalFormatting sqref="M75:S75">
    <cfRule type="containsBlanks" dxfId="738" priority="656">
      <formula>LEN(TRIM(M75))=0</formula>
    </cfRule>
  </conditionalFormatting>
  <conditionalFormatting sqref="N78:T78">
    <cfRule type="containsBlanks" dxfId="737" priority="655">
      <formula>LEN(TRIM(N78))=0</formula>
    </cfRule>
  </conditionalFormatting>
  <conditionalFormatting sqref="O80:Q80">
    <cfRule type="containsBlanks" dxfId="736" priority="654">
      <formula>LEN(TRIM(O80))=0</formula>
    </cfRule>
  </conditionalFormatting>
  <conditionalFormatting sqref="M82:T82">
    <cfRule type="containsBlanks" dxfId="735" priority="653">
      <formula>LEN(TRIM(M82))=0</formula>
    </cfRule>
  </conditionalFormatting>
  <conditionalFormatting sqref="M88:T88">
    <cfRule type="containsBlanks" dxfId="734" priority="652">
      <formula>LEN(TRIM(M88))=0</formula>
    </cfRule>
  </conditionalFormatting>
  <conditionalFormatting sqref="O89:S89">
    <cfRule type="containsBlanks" dxfId="733" priority="651">
      <formula>LEN(TRIM(O89))=0</formula>
    </cfRule>
  </conditionalFormatting>
  <conditionalFormatting sqref="M89:N89">
    <cfRule type="containsBlanks" dxfId="732" priority="650">
      <formula>LEN(TRIM(M89))=0</formula>
    </cfRule>
  </conditionalFormatting>
  <conditionalFormatting sqref="O63:Q63">
    <cfRule type="containsBlanks" dxfId="731" priority="649">
      <formula>LEN(TRIM(O63))=0</formula>
    </cfRule>
  </conditionalFormatting>
  <conditionalFormatting sqref="O64:Q64">
    <cfRule type="containsBlanks" dxfId="730" priority="648">
      <formula>LEN(TRIM(O64))=0</formula>
    </cfRule>
  </conditionalFormatting>
  <conditionalFormatting sqref="O66:Q66">
    <cfRule type="containsBlanks" dxfId="729" priority="647">
      <formula>LEN(TRIM(O66))=0</formula>
    </cfRule>
  </conditionalFormatting>
  <conditionalFormatting sqref="N62:T62">
    <cfRule type="containsBlanks" dxfId="728" priority="646">
      <formula>LEN(TRIM(N62))=0</formula>
    </cfRule>
  </conditionalFormatting>
  <conditionalFormatting sqref="M79:S79">
    <cfRule type="containsBlanks" dxfId="727" priority="645">
      <formula>LEN(TRIM(M79))=0</formula>
    </cfRule>
  </conditionalFormatting>
  <conditionalFormatting sqref="N82:T82">
    <cfRule type="containsBlanks" dxfId="726" priority="644">
      <formula>LEN(TRIM(N82))=0</formula>
    </cfRule>
  </conditionalFormatting>
  <conditionalFormatting sqref="O84:Q84">
    <cfRule type="containsBlanks" dxfId="725" priority="643">
      <formula>LEN(TRIM(O84))=0</formula>
    </cfRule>
  </conditionalFormatting>
  <conditionalFormatting sqref="M86:T86">
    <cfRule type="containsBlanks" dxfId="724" priority="642">
      <formula>LEN(TRIM(M86))=0</formula>
    </cfRule>
  </conditionalFormatting>
  <conditionalFormatting sqref="M92:T92">
    <cfRule type="containsBlanks" dxfId="723" priority="641">
      <formula>LEN(TRIM(M92))=0</formula>
    </cfRule>
  </conditionalFormatting>
  <conditionalFormatting sqref="O93:S93">
    <cfRule type="containsBlanks" dxfId="722" priority="640">
      <formula>LEN(TRIM(O93))=0</formula>
    </cfRule>
  </conditionalFormatting>
  <conditionalFormatting sqref="M93:N93">
    <cfRule type="containsBlanks" dxfId="721" priority="639">
      <formula>LEN(TRIM(M93))=0</formula>
    </cfRule>
  </conditionalFormatting>
  <conditionalFormatting sqref="M56:T56">
    <cfRule type="containsBlanks" dxfId="720" priority="638">
      <formula>LEN(TRIM(M56))=0</formula>
    </cfRule>
  </conditionalFormatting>
  <conditionalFormatting sqref="M57:S57">
    <cfRule type="containsBlanks" dxfId="719" priority="637">
      <formula>LEN(TRIM(M57))=0</formula>
    </cfRule>
  </conditionalFormatting>
  <conditionalFormatting sqref="O54:Q54">
    <cfRule type="containsBlanks" dxfId="718" priority="636">
      <formula>LEN(TRIM(O54))=0</formula>
    </cfRule>
  </conditionalFormatting>
  <conditionalFormatting sqref="O55:Q55">
    <cfRule type="containsBlanks" dxfId="717" priority="635">
      <formula>LEN(TRIM(O55))=0</formula>
    </cfRule>
  </conditionalFormatting>
  <conditionalFormatting sqref="O57:Q57">
    <cfRule type="containsBlanks" dxfId="716" priority="634">
      <formula>LEN(TRIM(O57))=0</formula>
    </cfRule>
  </conditionalFormatting>
  <conditionalFormatting sqref="M70:S70">
    <cfRule type="containsBlanks" dxfId="715" priority="633">
      <formula>LEN(TRIM(M70))=0</formula>
    </cfRule>
  </conditionalFormatting>
  <conditionalFormatting sqref="N73:T73">
    <cfRule type="containsBlanks" dxfId="714" priority="632">
      <formula>LEN(TRIM(N73))=0</formula>
    </cfRule>
  </conditionalFormatting>
  <conditionalFormatting sqref="O75:Q75">
    <cfRule type="containsBlanks" dxfId="713" priority="631">
      <formula>LEN(TRIM(O75))=0</formula>
    </cfRule>
  </conditionalFormatting>
  <conditionalFormatting sqref="M77:T77">
    <cfRule type="containsBlanks" dxfId="712" priority="630">
      <formula>LEN(TRIM(M77))=0</formula>
    </cfRule>
  </conditionalFormatting>
  <conditionalFormatting sqref="M83:T83">
    <cfRule type="containsBlanks" dxfId="711" priority="629">
      <formula>LEN(TRIM(M83))=0</formula>
    </cfRule>
  </conditionalFormatting>
  <conditionalFormatting sqref="O84:S84">
    <cfRule type="containsBlanks" dxfId="710" priority="628">
      <formula>LEN(TRIM(O84))=0</formula>
    </cfRule>
  </conditionalFormatting>
  <conditionalFormatting sqref="M84:N84">
    <cfRule type="containsBlanks" dxfId="709" priority="627">
      <formula>LEN(TRIM(M84))=0</formula>
    </cfRule>
  </conditionalFormatting>
  <conditionalFormatting sqref="O54:Q54">
    <cfRule type="containsBlanks" dxfId="708" priority="626">
      <formula>LEN(TRIM(O54))=0</formula>
    </cfRule>
  </conditionalFormatting>
  <conditionalFormatting sqref="O56:Q56">
    <cfRule type="containsBlanks" dxfId="707" priority="625">
      <formula>LEN(TRIM(O56))=0</formula>
    </cfRule>
  </conditionalFormatting>
  <conditionalFormatting sqref="O58:Q58">
    <cfRule type="containsBlanks" dxfId="706" priority="624">
      <formula>LEN(TRIM(O58))=0</formula>
    </cfRule>
  </conditionalFormatting>
  <conditionalFormatting sqref="O60:Q60">
    <cfRule type="containsBlanks" dxfId="705" priority="623">
      <formula>LEN(TRIM(O60))=0</formula>
    </cfRule>
  </conditionalFormatting>
  <conditionalFormatting sqref="O73:Q73">
    <cfRule type="containsBlanks" dxfId="704" priority="622">
      <formula>LEN(TRIM(O73))=0</formula>
    </cfRule>
  </conditionalFormatting>
  <conditionalFormatting sqref="O74:Q74">
    <cfRule type="containsBlanks" dxfId="703" priority="621">
      <formula>LEN(TRIM(O74))=0</formula>
    </cfRule>
  </conditionalFormatting>
  <conditionalFormatting sqref="O76:Q76">
    <cfRule type="containsBlanks" dxfId="702" priority="620">
      <formula>LEN(TRIM(O76))=0</formula>
    </cfRule>
  </conditionalFormatting>
  <conditionalFormatting sqref="N72:T72">
    <cfRule type="containsBlanks" dxfId="701" priority="619">
      <formula>LEN(TRIM(N72))=0</formula>
    </cfRule>
  </conditionalFormatting>
  <conditionalFormatting sqref="M89:S89">
    <cfRule type="containsBlanks" dxfId="700" priority="618">
      <formula>LEN(TRIM(M89))=0</formula>
    </cfRule>
  </conditionalFormatting>
  <conditionalFormatting sqref="N92:T92">
    <cfRule type="containsBlanks" dxfId="699" priority="617">
      <formula>LEN(TRIM(N92))=0</formula>
    </cfRule>
  </conditionalFormatting>
  <conditionalFormatting sqref="O94:Q94">
    <cfRule type="containsBlanks" dxfId="698" priority="616">
      <formula>LEN(TRIM(O94))=0</formula>
    </cfRule>
  </conditionalFormatting>
  <conditionalFormatting sqref="M96:T96">
    <cfRule type="containsBlanks" dxfId="697" priority="615">
      <formula>LEN(TRIM(M96))=0</formula>
    </cfRule>
  </conditionalFormatting>
  <conditionalFormatting sqref="M102:T102">
    <cfRule type="containsBlanks" dxfId="696" priority="614">
      <formula>LEN(TRIM(M102))=0</formula>
    </cfRule>
  </conditionalFormatting>
  <conditionalFormatting sqref="O103:S103">
    <cfRule type="containsBlanks" dxfId="695" priority="613">
      <formula>LEN(TRIM(O103))=0</formula>
    </cfRule>
  </conditionalFormatting>
  <conditionalFormatting sqref="M103:N103">
    <cfRule type="containsBlanks" dxfId="694" priority="612">
      <formula>LEN(TRIM(M103))=0</formula>
    </cfRule>
  </conditionalFormatting>
  <conditionalFormatting sqref="M66:T66">
    <cfRule type="containsBlanks" dxfId="693" priority="611">
      <formula>LEN(TRIM(M66))=0</formula>
    </cfRule>
  </conditionalFormatting>
  <conditionalFormatting sqref="M67:S67">
    <cfRule type="containsBlanks" dxfId="692" priority="610">
      <formula>LEN(TRIM(M67))=0</formula>
    </cfRule>
  </conditionalFormatting>
  <conditionalFormatting sqref="O64:Q64">
    <cfRule type="containsBlanks" dxfId="691" priority="609">
      <formula>LEN(TRIM(O64))=0</formula>
    </cfRule>
  </conditionalFormatting>
  <conditionalFormatting sqref="O65:Q65">
    <cfRule type="containsBlanks" dxfId="690" priority="608">
      <formula>LEN(TRIM(O65))=0</formula>
    </cfRule>
  </conditionalFormatting>
  <conditionalFormatting sqref="O67:Q67">
    <cfRule type="containsBlanks" dxfId="689" priority="607">
      <formula>LEN(TRIM(O67))=0</formula>
    </cfRule>
  </conditionalFormatting>
  <conditionalFormatting sqref="N63:T63">
    <cfRule type="containsBlanks" dxfId="688" priority="606">
      <formula>LEN(TRIM(N63))=0</formula>
    </cfRule>
  </conditionalFormatting>
  <conditionalFormatting sqref="M80:S80">
    <cfRule type="containsBlanks" dxfId="687" priority="605">
      <formula>LEN(TRIM(M80))=0</formula>
    </cfRule>
  </conditionalFormatting>
  <conditionalFormatting sqref="N83:T83">
    <cfRule type="containsBlanks" dxfId="686" priority="604">
      <formula>LEN(TRIM(N83))=0</formula>
    </cfRule>
  </conditionalFormatting>
  <conditionalFormatting sqref="O85:Q85">
    <cfRule type="containsBlanks" dxfId="685" priority="603">
      <formula>LEN(TRIM(O85))=0</formula>
    </cfRule>
  </conditionalFormatting>
  <conditionalFormatting sqref="M87:T87">
    <cfRule type="containsBlanks" dxfId="684" priority="602">
      <formula>LEN(TRIM(M87))=0</formula>
    </cfRule>
  </conditionalFormatting>
  <conditionalFormatting sqref="M93:T93">
    <cfRule type="containsBlanks" dxfId="683" priority="601">
      <formula>LEN(TRIM(M93))=0</formula>
    </cfRule>
  </conditionalFormatting>
  <conditionalFormatting sqref="O94:S94">
    <cfRule type="containsBlanks" dxfId="682" priority="600">
      <formula>LEN(TRIM(O94))=0</formula>
    </cfRule>
  </conditionalFormatting>
  <conditionalFormatting sqref="M94:N94">
    <cfRule type="containsBlanks" dxfId="681" priority="599">
      <formula>LEN(TRIM(M94))=0</formula>
    </cfRule>
  </conditionalFormatting>
  <conditionalFormatting sqref="M57:T57">
    <cfRule type="containsBlanks" dxfId="680" priority="598">
      <formula>LEN(TRIM(M57))=0</formula>
    </cfRule>
  </conditionalFormatting>
  <conditionalFormatting sqref="M58:S58">
    <cfRule type="containsBlanks" dxfId="679" priority="597">
      <formula>LEN(TRIM(M58))=0</formula>
    </cfRule>
  </conditionalFormatting>
  <conditionalFormatting sqref="O55:Q55">
    <cfRule type="containsBlanks" dxfId="678" priority="596">
      <formula>LEN(TRIM(O55))=0</formula>
    </cfRule>
  </conditionalFormatting>
  <conditionalFormatting sqref="O68:Q68">
    <cfRule type="containsBlanks" dxfId="677" priority="595">
      <formula>LEN(TRIM(O68))=0</formula>
    </cfRule>
  </conditionalFormatting>
  <conditionalFormatting sqref="O69:Q69">
    <cfRule type="containsBlanks" dxfId="676" priority="594">
      <formula>LEN(TRIM(O69))=0</formula>
    </cfRule>
  </conditionalFormatting>
  <conditionalFormatting sqref="O71:Q71">
    <cfRule type="containsBlanks" dxfId="675" priority="593">
      <formula>LEN(TRIM(O71))=0</formula>
    </cfRule>
  </conditionalFormatting>
  <conditionalFormatting sqref="N67:T67">
    <cfRule type="containsBlanks" dxfId="674" priority="592">
      <formula>LEN(TRIM(N67))=0</formula>
    </cfRule>
  </conditionalFormatting>
  <conditionalFormatting sqref="M84:S84">
    <cfRule type="containsBlanks" dxfId="673" priority="591">
      <formula>LEN(TRIM(M84))=0</formula>
    </cfRule>
  </conditionalFormatting>
  <conditionalFormatting sqref="N87:T87">
    <cfRule type="containsBlanks" dxfId="672" priority="590">
      <formula>LEN(TRIM(N87))=0</formula>
    </cfRule>
  </conditionalFormatting>
  <conditionalFormatting sqref="O89:Q89">
    <cfRule type="containsBlanks" dxfId="671" priority="589">
      <formula>LEN(TRIM(O89))=0</formula>
    </cfRule>
  </conditionalFormatting>
  <conditionalFormatting sqref="M91:T91">
    <cfRule type="containsBlanks" dxfId="670" priority="588">
      <formula>LEN(TRIM(M91))=0</formula>
    </cfRule>
  </conditionalFormatting>
  <conditionalFormatting sqref="M97:T97">
    <cfRule type="containsBlanks" dxfId="669" priority="587">
      <formula>LEN(TRIM(M97))=0</formula>
    </cfRule>
  </conditionalFormatting>
  <conditionalFormatting sqref="O98:S98">
    <cfRule type="containsBlanks" dxfId="668" priority="586">
      <formula>LEN(TRIM(O98))=0</formula>
    </cfRule>
  </conditionalFormatting>
  <conditionalFormatting sqref="M98:N98">
    <cfRule type="containsBlanks" dxfId="667" priority="585">
      <formula>LEN(TRIM(M98))=0</formula>
    </cfRule>
  </conditionalFormatting>
  <conditionalFormatting sqref="M61:T61">
    <cfRule type="containsBlanks" dxfId="666" priority="584">
      <formula>LEN(TRIM(M61))=0</formula>
    </cfRule>
  </conditionalFormatting>
  <conditionalFormatting sqref="M62:S62">
    <cfRule type="containsBlanks" dxfId="665" priority="583">
      <formula>LEN(TRIM(M62))=0</formula>
    </cfRule>
  </conditionalFormatting>
  <conditionalFormatting sqref="O59:Q59">
    <cfRule type="containsBlanks" dxfId="664" priority="582">
      <formula>LEN(TRIM(O59))=0</formula>
    </cfRule>
  </conditionalFormatting>
  <conditionalFormatting sqref="O60:Q60">
    <cfRule type="containsBlanks" dxfId="663" priority="581">
      <formula>LEN(TRIM(O60))=0</formula>
    </cfRule>
  </conditionalFormatting>
  <conditionalFormatting sqref="O62:Q62">
    <cfRule type="containsBlanks" dxfId="662" priority="580">
      <formula>LEN(TRIM(O62))=0</formula>
    </cfRule>
  </conditionalFormatting>
  <conditionalFormatting sqref="N58:T58">
    <cfRule type="containsBlanks" dxfId="661" priority="579">
      <formula>LEN(TRIM(N58))=0</formula>
    </cfRule>
  </conditionalFormatting>
  <conditionalFormatting sqref="M75:S75">
    <cfRule type="containsBlanks" dxfId="660" priority="578">
      <formula>LEN(TRIM(M75))=0</formula>
    </cfRule>
  </conditionalFormatting>
  <conditionalFormatting sqref="N78:T78">
    <cfRule type="containsBlanks" dxfId="659" priority="577">
      <formula>LEN(TRIM(N78))=0</formula>
    </cfRule>
  </conditionalFormatting>
  <conditionalFormatting sqref="O80:Q80">
    <cfRule type="containsBlanks" dxfId="658" priority="576">
      <formula>LEN(TRIM(O80))=0</formula>
    </cfRule>
  </conditionalFormatting>
  <conditionalFormatting sqref="M82:T82">
    <cfRule type="containsBlanks" dxfId="657" priority="575">
      <formula>LEN(TRIM(M82))=0</formula>
    </cfRule>
  </conditionalFormatting>
  <conditionalFormatting sqref="M88:T88">
    <cfRule type="containsBlanks" dxfId="656" priority="574">
      <formula>LEN(TRIM(M88))=0</formula>
    </cfRule>
  </conditionalFormatting>
  <conditionalFormatting sqref="O89:S89">
    <cfRule type="containsBlanks" dxfId="655" priority="573">
      <formula>LEN(TRIM(O89))=0</formula>
    </cfRule>
  </conditionalFormatting>
  <conditionalFormatting sqref="M89:N89">
    <cfRule type="containsBlanks" dxfId="654" priority="572">
      <formula>LEN(TRIM(M89))=0</formula>
    </cfRule>
  </conditionalFormatting>
  <conditionalFormatting sqref="O55:Q55">
    <cfRule type="containsBlanks" dxfId="653" priority="571">
      <formula>LEN(TRIM(O55))=0</formula>
    </cfRule>
  </conditionalFormatting>
  <conditionalFormatting sqref="O57:Q57">
    <cfRule type="containsBlanks" dxfId="652" priority="570">
      <formula>LEN(TRIM(O57))=0</formula>
    </cfRule>
  </conditionalFormatting>
  <conditionalFormatting sqref="O70:Q70">
    <cfRule type="containsBlanks" dxfId="651" priority="569">
      <formula>LEN(TRIM(O70))=0</formula>
    </cfRule>
  </conditionalFormatting>
  <conditionalFormatting sqref="O71:Q71">
    <cfRule type="containsBlanks" dxfId="650" priority="568">
      <formula>LEN(TRIM(O71))=0</formula>
    </cfRule>
  </conditionalFormatting>
  <conditionalFormatting sqref="O73:Q73">
    <cfRule type="containsBlanks" dxfId="649" priority="567">
      <formula>LEN(TRIM(O73))=0</formula>
    </cfRule>
  </conditionalFormatting>
  <conditionalFormatting sqref="N69:T69">
    <cfRule type="containsBlanks" dxfId="648" priority="566">
      <formula>LEN(TRIM(N69))=0</formula>
    </cfRule>
  </conditionalFormatting>
  <conditionalFormatting sqref="M86:S86">
    <cfRule type="containsBlanks" dxfId="647" priority="565">
      <formula>LEN(TRIM(M86))=0</formula>
    </cfRule>
  </conditionalFormatting>
  <conditionalFormatting sqref="N89:T89">
    <cfRule type="containsBlanks" dxfId="646" priority="564">
      <formula>LEN(TRIM(N89))=0</formula>
    </cfRule>
  </conditionalFormatting>
  <conditionalFormatting sqref="O91:Q91">
    <cfRule type="containsBlanks" dxfId="645" priority="563">
      <formula>LEN(TRIM(O91))=0</formula>
    </cfRule>
  </conditionalFormatting>
  <conditionalFormatting sqref="M93:T93">
    <cfRule type="containsBlanks" dxfId="644" priority="562">
      <formula>LEN(TRIM(M93))=0</formula>
    </cfRule>
  </conditionalFormatting>
  <conditionalFormatting sqref="O100:S100">
    <cfRule type="containsBlanks" dxfId="643" priority="560">
      <formula>LEN(TRIM(O100))=0</formula>
    </cfRule>
  </conditionalFormatting>
  <conditionalFormatting sqref="M100:N100">
    <cfRule type="containsBlanks" dxfId="642" priority="559">
      <formula>LEN(TRIM(M100))=0</formula>
    </cfRule>
  </conditionalFormatting>
  <conditionalFormatting sqref="M63:T63">
    <cfRule type="containsBlanks" dxfId="641" priority="558">
      <formula>LEN(TRIM(M63))=0</formula>
    </cfRule>
  </conditionalFormatting>
  <conditionalFormatting sqref="M64:S64">
    <cfRule type="containsBlanks" dxfId="640" priority="557">
      <formula>LEN(TRIM(M64))=0</formula>
    </cfRule>
  </conditionalFormatting>
  <conditionalFormatting sqref="O61:Q61">
    <cfRule type="containsBlanks" dxfId="639" priority="556">
      <formula>LEN(TRIM(O61))=0</formula>
    </cfRule>
  </conditionalFormatting>
  <conditionalFormatting sqref="O62:Q62">
    <cfRule type="containsBlanks" dxfId="638" priority="555">
      <formula>LEN(TRIM(O62))=0</formula>
    </cfRule>
  </conditionalFormatting>
  <conditionalFormatting sqref="O64:Q64">
    <cfRule type="containsBlanks" dxfId="637" priority="554">
      <formula>LEN(TRIM(O64))=0</formula>
    </cfRule>
  </conditionalFormatting>
  <conditionalFormatting sqref="N60:T60">
    <cfRule type="containsBlanks" dxfId="636" priority="553">
      <formula>LEN(TRIM(N60))=0</formula>
    </cfRule>
  </conditionalFormatting>
  <conditionalFormatting sqref="M77:S77">
    <cfRule type="containsBlanks" dxfId="635" priority="552">
      <formula>LEN(TRIM(M77))=0</formula>
    </cfRule>
  </conditionalFormatting>
  <conditionalFormatting sqref="N80:T80">
    <cfRule type="containsBlanks" dxfId="634" priority="551">
      <formula>LEN(TRIM(N80))=0</formula>
    </cfRule>
  </conditionalFormatting>
  <conditionalFormatting sqref="O82:Q82">
    <cfRule type="containsBlanks" dxfId="633" priority="550">
      <formula>LEN(TRIM(O82))=0</formula>
    </cfRule>
  </conditionalFormatting>
  <conditionalFormatting sqref="M84:T84">
    <cfRule type="containsBlanks" dxfId="632" priority="549">
      <formula>LEN(TRIM(M84))=0</formula>
    </cfRule>
  </conditionalFormatting>
  <conditionalFormatting sqref="M90:T90">
    <cfRule type="containsBlanks" dxfId="631" priority="548">
      <formula>LEN(TRIM(M90))=0</formula>
    </cfRule>
  </conditionalFormatting>
  <conditionalFormatting sqref="O91:S91">
    <cfRule type="containsBlanks" dxfId="630" priority="547">
      <formula>LEN(TRIM(O91))=0</formula>
    </cfRule>
  </conditionalFormatting>
  <conditionalFormatting sqref="M91:N91">
    <cfRule type="containsBlanks" dxfId="629" priority="546">
      <formula>LEN(TRIM(M91))=0</formula>
    </cfRule>
  </conditionalFormatting>
  <conditionalFormatting sqref="M54:T54">
    <cfRule type="containsBlanks" dxfId="628" priority="545">
      <formula>LEN(TRIM(M54))=0</formula>
    </cfRule>
  </conditionalFormatting>
  <conditionalFormatting sqref="M55:S55">
    <cfRule type="containsBlanks" dxfId="627" priority="544">
      <formula>LEN(TRIM(M55))=0</formula>
    </cfRule>
  </conditionalFormatting>
  <conditionalFormatting sqref="O65:Q65">
    <cfRule type="containsBlanks" dxfId="626" priority="543">
      <formula>LEN(TRIM(O65))=0</formula>
    </cfRule>
  </conditionalFormatting>
  <conditionalFormatting sqref="O66:Q66">
    <cfRule type="containsBlanks" dxfId="625" priority="542">
      <formula>LEN(TRIM(O66))=0</formula>
    </cfRule>
  </conditionalFormatting>
  <conditionalFormatting sqref="O68:Q68">
    <cfRule type="containsBlanks" dxfId="624" priority="541">
      <formula>LEN(TRIM(O68))=0</formula>
    </cfRule>
  </conditionalFormatting>
  <conditionalFormatting sqref="N64:T64">
    <cfRule type="containsBlanks" dxfId="623" priority="540">
      <formula>LEN(TRIM(N64))=0</formula>
    </cfRule>
  </conditionalFormatting>
  <conditionalFormatting sqref="M81:S81">
    <cfRule type="containsBlanks" dxfId="622" priority="539">
      <formula>LEN(TRIM(M81))=0</formula>
    </cfRule>
  </conditionalFormatting>
  <conditionalFormatting sqref="N84:T84">
    <cfRule type="containsBlanks" dxfId="621" priority="538">
      <formula>LEN(TRIM(N84))=0</formula>
    </cfRule>
  </conditionalFormatting>
  <conditionalFormatting sqref="O86:Q86">
    <cfRule type="containsBlanks" dxfId="620" priority="537">
      <formula>LEN(TRIM(O86))=0</formula>
    </cfRule>
  </conditionalFormatting>
  <conditionalFormatting sqref="M88:T88">
    <cfRule type="containsBlanks" dxfId="619" priority="536">
      <formula>LEN(TRIM(M88))=0</formula>
    </cfRule>
  </conditionalFormatting>
  <conditionalFormatting sqref="M94:T94">
    <cfRule type="containsBlanks" dxfId="618" priority="535">
      <formula>LEN(TRIM(M94))=0</formula>
    </cfRule>
  </conditionalFormatting>
  <conditionalFormatting sqref="O95:S95">
    <cfRule type="containsBlanks" dxfId="617" priority="534">
      <formula>LEN(TRIM(O95))=0</formula>
    </cfRule>
  </conditionalFormatting>
  <conditionalFormatting sqref="M95:N95">
    <cfRule type="containsBlanks" dxfId="616" priority="533">
      <formula>LEN(TRIM(M95))=0</formula>
    </cfRule>
  </conditionalFormatting>
  <conditionalFormatting sqref="M58:T58">
    <cfRule type="containsBlanks" dxfId="615" priority="532">
      <formula>LEN(TRIM(M58))=0</formula>
    </cfRule>
  </conditionalFormatting>
  <conditionalFormatting sqref="M59:S59">
    <cfRule type="containsBlanks" dxfId="614" priority="531">
      <formula>LEN(TRIM(M59))=0</formula>
    </cfRule>
  </conditionalFormatting>
  <conditionalFormatting sqref="O56:Q56">
    <cfRule type="containsBlanks" dxfId="613" priority="530">
      <formula>LEN(TRIM(O56))=0</formula>
    </cfRule>
  </conditionalFormatting>
  <conditionalFormatting sqref="O57:Q57">
    <cfRule type="containsBlanks" dxfId="612" priority="529">
      <formula>LEN(TRIM(O57))=0</formula>
    </cfRule>
  </conditionalFormatting>
  <conditionalFormatting sqref="O59:Q59">
    <cfRule type="containsBlanks" dxfId="611" priority="528">
      <formula>LEN(TRIM(O59))=0</formula>
    </cfRule>
  </conditionalFormatting>
  <conditionalFormatting sqref="N55:T55">
    <cfRule type="containsBlanks" dxfId="610" priority="527">
      <formula>LEN(TRIM(N55))=0</formula>
    </cfRule>
  </conditionalFormatting>
  <conditionalFormatting sqref="M72:S72">
    <cfRule type="containsBlanks" dxfId="609" priority="526">
      <formula>LEN(TRIM(M72))=0</formula>
    </cfRule>
  </conditionalFormatting>
  <conditionalFormatting sqref="N75:T75">
    <cfRule type="containsBlanks" dxfId="608" priority="525">
      <formula>LEN(TRIM(N75))=0</formula>
    </cfRule>
  </conditionalFormatting>
  <conditionalFormatting sqref="O77:Q77">
    <cfRule type="containsBlanks" dxfId="607" priority="524">
      <formula>LEN(TRIM(O77))=0</formula>
    </cfRule>
  </conditionalFormatting>
  <conditionalFormatting sqref="M79:T79">
    <cfRule type="containsBlanks" dxfId="606" priority="523">
      <formula>LEN(TRIM(M79))=0</formula>
    </cfRule>
  </conditionalFormatting>
  <conditionalFormatting sqref="M85:T85">
    <cfRule type="containsBlanks" dxfId="605" priority="522">
      <formula>LEN(TRIM(M85))=0</formula>
    </cfRule>
  </conditionalFormatting>
  <conditionalFormatting sqref="O86:S86">
    <cfRule type="containsBlanks" dxfId="604" priority="521">
      <formula>LEN(TRIM(O86))=0</formula>
    </cfRule>
  </conditionalFormatting>
  <conditionalFormatting sqref="M86:N86">
    <cfRule type="containsBlanks" dxfId="603" priority="520">
      <formula>LEN(TRIM(M86))=0</formula>
    </cfRule>
  </conditionalFormatting>
  <conditionalFormatting sqref="O55:Q55">
    <cfRule type="containsBlanks" dxfId="602" priority="519">
      <formula>LEN(TRIM(O55))=0</formula>
    </cfRule>
  </conditionalFormatting>
  <conditionalFormatting sqref="O57:Q57">
    <cfRule type="containsBlanks" dxfId="601" priority="518">
      <formula>LEN(TRIM(O57))=0</formula>
    </cfRule>
  </conditionalFormatting>
  <conditionalFormatting sqref="O70:Q70">
    <cfRule type="containsBlanks" dxfId="600" priority="517">
      <formula>LEN(TRIM(O70))=0</formula>
    </cfRule>
  </conditionalFormatting>
  <conditionalFormatting sqref="O71:Q71">
    <cfRule type="containsBlanks" dxfId="599" priority="516">
      <formula>LEN(TRIM(O71))=0</formula>
    </cfRule>
  </conditionalFormatting>
  <conditionalFormatting sqref="O73:Q73">
    <cfRule type="containsBlanks" dxfId="598" priority="515">
      <formula>LEN(TRIM(O73))=0</formula>
    </cfRule>
  </conditionalFormatting>
  <conditionalFormatting sqref="N69:T69">
    <cfRule type="containsBlanks" dxfId="597" priority="514">
      <formula>LEN(TRIM(N69))=0</formula>
    </cfRule>
  </conditionalFormatting>
  <conditionalFormatting sqref="M86:S86">
    <cfRule type="containsBlanks" dxfId="596" priority="513">
      <formula>LEN(TRIM(M86))=0</formula>
    </cfRule>
  </conditionalFormatting>
  <conditionalFormatting sqref="N89:T89">
    <cfRule type="containsBlanks" dxfId="595" priority="512">
      <formula>LEN(TRIM(N89))=0</formula>
    </cfRule>
  </conditionalFormatting>
  <conditionalFormatting sqref="O91:Q91">
    <cfRule type="containsBlanks" dxfId="594" priority="511">
      <formula>LEN(TRIM(O91))=0</formula>
    </cfRule>
  </conditionalFormatting>
  <conditionalFormatting sqref="M93:T93">
    <cfRule type="containsBlanks" dxfId="593" priority="510">
      <formula>LEN(TRIM(M93))=0</formula>
    </cfRule>
  </conditionalFormatting>
  <conditionalFormatting sqref="O100:S100">
    <cfRule type="containsBlanks" dxfId="592" priority="508">
      <formula>LEN(TRIM(O100))=0</formula>
    </cfRule>
  </conditionalFormatting>
  <conditionalFormatting sqref="M100:N100">
    <cfRule type="containsBlanks" dxfId="591" priority="507">
      <formula>LEN(TRIM(M100))=0</formula>
    </cfRule>
  </conditionalFormatting>
  <conditionalFormatting sqref="M63:T63">
    <cfRule type="containsBlanks" dxfId="590" priority="506">
      <formula>LEN(TRIM(M63))=0</formula>
    </cfRule>
  </conditionalFormatting>
  <conditionalFormatting sqref="M64:S64">
    <cfRule type="containsBlanks" dxfId="589" priority="505">
      <formula>LEN(TRIM(M64))=0</formula>
    </cfRule>
  </conditionalFormatting>
  <conditionalFormatting sqref="O61:Q61">
    <cfRule type="containsBlanks" dxfId="588" priority="504">
      <formula>LEN(TRIM(O61))=0</formula>
    </cfRule>
  </conditionalFormatting>
  <conditionalFormatting sqref="O62:Q62">
    <cfRule type="containsBlanks" dxfId="587" priority="503">
      <formula>LEN(TRIM(O62))=0</formula>
    </cfRule>
  </conditionalFormatting>
  <conditionalFormatting sqref="O64:Q64">
    <cfRule type="containsBlanks" dxfId="586" priority="502">
      <formula>LEN(TRIM(O64))=0</formula>
    </cfRule>
  </conditionalFormatting>
  <conditionalFormatting sqref="N60:T60">
    <cfRule type="containsBlanks" dxfId="585" priority="501">
      <formula>LEN(TRIM(N60))=0</formula>
    </cfRule>
  </conditionalFormatting>
  <conditionalFormatting sqref="M77:S77">
    <cfRule type="containsBlanks" dxfId="584" priority="500">
      <formula>LEN(TRIM(M77))=0</formula>
    </cfRule>
  </conditionalFormatting>
  <conditionalFormatting sqref="N80:T80">
    <cfRule type="containsBlanks" dxfId="583" priority="499">
      <formula>LEN(TRIM(N80))=0</formula>
    </cfRule>
  </conditionalFormatting>
  <conditionalFormatting sqref="O82:Q82">
    <cfRule type="containsBlanks" dxfId="582" priority="498">
      <formula>LEN(TRIM(O82))=0</formula>
    </cfRule>
  </conditionalFormatting>
  <conditionalFormatting sqref="M84:T84">
    <cfRule type="containsBlanks" dxfId="581" priority="497">
      <formula>LEN(TRIM(M84))=0</formula>
    </cfRule>
  </conditionalFormatting>
  <conditionalFormatting sqref="M90:T90">
    <cfRule type="containsBlanks" dxfId="580" priority="496">
      <formula>LEN(TRIM(M90))=0</formula>
    </cfRule>
  </conditionalFormatting>
  <conditionalFormatting sqref="O91:S91">
    <cfRule type="containsBlanks" dxfId="579" priority="495">
      <formula>LEN(TRIM(O91))=0</formula>
    </cfRule>
  </conditionalFormatting>
  <conditionalFormatting sqref="M91:N91">
    <cfRule type="containsBlanks" dxfId="578" priority="494">
      <formula>LEN(TRIM(M91))=0</formula>
    </cfRule>
  </conditionalFormatting>
  <conditionalFormatting sqref="M54:T54">
    <cfRule type="containsBlanks" dxfId="577" priority="493">
      <formula>LEN(TRIM(M54))=0</formula>
    </cfRule>
  </conditionalFormatting>
  <conditionalFormatting sqref="M55:S55">
    <cfRule type="containsBlanks" dxfId="576" priority="492">
      <formula>LEN(TRIM(M55))=0</formula>
    </cfRule>
  </conditionalFormatting>
  <conditionalFormatting sqref="O65:Q65">
    <cfRule type="containsBlanks" dxfId="575" priority="491">
      <formula>LEN(TRIM(O65))=0</formula>
    </cfRule>
  </conditionalFormatting>
  <conditionalFormatting sqref="O66:Q66">
    <cfRule type="containsBlanks" dxfId="574" priority="490">
      <formula>LEN(TRIM(O66))=0</formula>
    </cfRule>
  </conditionalFormatting>
  <conditionalFormatting sqref="O68:Q68">
    <cfRule type="containsBlanks" dxfId="573" priority="489">
      <formula>LEN(TRIM(O68))=0</formula>
    </cfRule>
  </conditionalFormatting>
  <conditionalFormatting sqref="N64:T64">
    <cfRule type="containsBlanks" dxfId="572" priority="488">
      <formula>LEN(TRIM(N64))=0</formula>
    </cfRule>
  </conditionalFormatting>
  <conditionalFormatting sqref="M81:S81">
    <cfRule type="containsBlanks" dxfId="571" priority="487">
      <formula>LEN(TRIM(M81))=0</formula>
    </cfRule>
  </conditionalFormatting>
  <conditionalFormatting sqref="N84:T84">
    <cfRule type="containsBlanks" dxfId="570" priority="486">
      <formula>LEN(TRIM(N84))=0</formula>
    </cfRule>
  </conditionalFormatting>
  <conditionalFormatting sqref="O86:Q86">
    <cfRule type="containsBlanks" dxfId="569" priority="485">
      <formula>LEN(TRIM(O86))=0</formula>
    </cfRule>
  </conditionalFormatting>
  <conditionalFormatting sqref="M88:T88">
    <cfRule type="containsBlanks" dxfId="568" priority="484">
      <formula>LEN(TRIM(M88))=0</formula>
    </cfRule>
  </conditionalFormatting>
  <conditionalFormatting sqref="M94:T94">
    <cfRule type="containsBlanks" dxfId="567" priority="483">
      <formula>LEN(TRIM(M94))=0</formula>
    </cfRule>
  </conditionalFormatting>
  <conditionalFormatting sqref="O95:S95">
    <cfRule type="containsBlanks" dxfId="566" priority="482">
      <formula>LEN(TRIM(O95))=0</formula>
    </cfRule>
  </conditionalFormatting>
  <conditionalFormatting sqref="M95:N95">
    <cfRule type="containsBlanks" dxfId="565" priority="481">
      <formula>LEN(TRIM(M95))=0</formula>
    </cfRule>
  </conditionalFormatting>
  <conditionalFormatting sqref="M58:T58">
    <cfRule type="containsBlanks" dxfId="564" priority="480">
      <formula>LEN(TRIM(M58))=0</formula>
    </cfRule>
  </conditionalFormatting>
  <conditionalFormatting sqref="M59:S59">
    <cfRule type="containsBlanks" dxfId="563" priority="479">
      <formula>LEN(TRIM(M59))=0</formula>
    </cfRule>
  </conditionalFormatting>
  <conditionalFormatting sqref="O56:Q56">
    <cfRule type="containsBlanks" dxfId="562" priority="478">
      <formula>LEN(TRIM(O56))=0</formula>
    </cfRule>
  </conditionalFormatting>
  <conditionalFormatting sqref="O57:Q57">
    <cfRule type="containsBlanks" dxfId="561" priority="477">
      <formula>LEN(TRIM(O57))=0</formula>
    </cfRule>
  </conditionalFormatting>
  <conditionalFormatting sqref="O59:Q59">
    <cfRule type="containsBlanks" dxfId="560" priority="476">
      <formula>LEN(TRIM(O59))=0</formula>
    </cfRule>
  </conditionalFormatting>
  <conditionalFormatting sqref="N55:T55">
    <cfRule type="containsBlanks" dxfId="559" priority="475">
      <formula>LEN(TRIM(N55))=0</formula>
    </cfRule>
  </conditionalFormatting>
  <conditionalFormatting sqref="M72:S72">
    <cfRule type="containsBlanks" dxfId="558" priority="474">
      <formula>LEN(TRIM(M72))=0</formula>
    </cfRule>
  </conditionalFormatting>
  <conditionalFormatting sqref="N75:T75">
    <cfRule type="containsBlanks" dxfId="557" priority="473">
      <formula>LEN(TRIM(N75))=0</formula>
    </cfRule>
  </conditionalFormatting>
  <conditionalFormatting sqref="O77:Q77">
    <cfRule type="containsBlanks" dxfId="556" priority="472">
      <formula>LEN(TRIM(O77))=0</formula>
    </cfRule>
  </conditionalFormatting>
  <conditionalFormatting sqref="M79:T79">
    <cfRule type="containsBlanks" dxfId="555" priority="471">
      <formula>LEN(TRIM(M79))=0</formula>
    </cfRule>
  </conditionalFormatting>
  <conditionalFormatting sqref="M85:T85">
    <cfRule type="containsBlanks" dxfId="554" priority="470">
      <formula>LEN(TRIM(M85))=0</formula>
    </cfRule>
  </conditionalFormatting>
  <conditionalFormatting sqref="O86:S86">
    <cfRule type="containsBlanks" dxfId="553" priority="469">
      <formula>LEN(TRIM(O86))=0</formula>
    </cfRule>
  </conditionalFormatting>
  <conditionalFormatting sqref="M86:N86">
    <cfRule type="containsBlanks" dxfId="552" priority="468">
      <formula>LEN(TRIM(M86))=0</formula>
    </cfRule>
  </conditionalFormatting>
  <conditionalFormatting sqref="O54:Q54">
    <cfRule type="containsBlanks" dxfId="551" priority="467">
      <formula>LEN(TRIM(O54))=0</formula>
    </cfRule>
  </conditionalFormatting>
  <conditionalFormatting sqref="O67:Q67">
    <cfRule type="containsBlanks" dxfId="550" priority="466">
      <formula>LEN(TRIM(O67))=0</formula>
    </cfRule>
  </conditionalFormatting>
  <conditionalFormatting sqref="O68:Q68">
    <cfRule type="containsBlanks" dxfId="549" priority="465">
      <formula>LEN(TRIM(O68))=0</formula>
    </cfRule>
  </conditionalFormatting>
  <conditionalFormatting sqref="O70:Q70">
    <cfRule type="containsBlanks" dxfId="548" priority="464">
      <formula>LEN(TRIM(O70))=0</formula>
    </cfRule>
  </conditionalFormatting>
  <conditionalFormatting sqref="N66:T66">
    <cfRule type="containsBlanks" dxfId="547" priority="463">
      <formula>LEN(TRIM(N66))=0</formula>
    </cfRule>
  </conditionalFormatting>
  <conditionalFormatting sqref="M83:S83">
    <cfRule type="containsBlanks" dxfId="546" priority="462">
      <formula>LEN(TRIM(M83))=0</formula>
    </cfRule>
  </conditionalFormatting>
  <conditionalFormatting sqref="N86:T86">
    <cfRule type="containsBlanks" dxfId="545" priority="461">
      <formula>LEN(TRIM(N86))=0</formula>
    </cfRule>
  </conditionalFormatting>
  <conditionalFormatting sqref="O88:Q88">
    <cfRule type="containsBlanks" dxfId="544" priority="460">
      <formula>LEN(TRIM(O88))=0</formula>
    </cfRule>
  </conditionalFormatting>
  <conditionalFormatting sqref="M90:T90">
    <cfRule type="containsBlanks" dxfId="543" priority="459">
      <formula>LEN(TRIM(M90))=0</formula>
    </cfRule>
  </conditionalFormatting>
  <conditionalFormatting sqref="M96:T96">
    <cfRule type="containsBlanks" dxfId="542" priority="458">
      <formula>LEN(TRIM(M96))=0</formula>
    </cfRule>
  </conditionalFormatting>
  <conditionalFormatting sqref="O97:S97">
    <cfRule type="containsBlanks" dxfId="541" priority="457">
      <formula>LEN(TRIM(O97))=0</formula>
    </cfRule>
  </conditionalFormatting>
  <conditionalFormatting sqref="M97:N97">
    <cfRule type="containsBlanks" dxfId="540" priority="456">
      <formula>LEN(TRIM(M97))=0</formula>
    </cfRule>
  </conditionalFormatting>
  <conditionalFormatting sqref="M60:T60">
    <cfRule type="containsBlanks" dxfId="539" priority="455">
      <formula>LEN(TRIM(M60))=0</formula>
    </cfRule>
  </conditionalFormatting>
  <conditionalFormatting sqref="M61:S61">
    <cfRule type="containsBlanks" dxfId="538" priority="454">
      <formula>LEN(TRIM(M61))=0</formula>
    </cfRule>
  </conditionalFormatting>
  <conditionalFormatting sqref="O58:Q58">
    <cfRule type="containsBlanks" dxfId="537" priority="453">
      <formula>LEN(TRIM(O58))=0</formula>
    </cfRule>
  </conditionalFormatting>
  <conditionalFormatting sqref="O59:Q59">
    <cfRule type="containsBlanks" dxfId="536" priority="452">
      <formula>LEN(TRIM(O59))=0</formula>
    </cfRule>
  </conditionalFormatting>
  <conditionalFormatting sqref="O61:Q61">
    <cfRule type="containsBlanks" dxfId="535" priority="451">
      <formula>LEN(TRIM(O61))=0</formula>
    </cfRule>
  </conditionalFormatting>
  <conditionalFormatting sqref="N57:T57">
    <cfRule type="containsBlanks" dxfId="534" priority="450">
      <formula>LEN(TRIM(N57))=0</formula>
    </cfRule>
  </conditionalFormatting>
  <conditionalFormatting sqref="M74:S74">
    <cfRule type="containsBlanks" dxfId="533" priority="449">
      <formula>LEN(TRIM(M74))=0</formula>
    </cfRule>
  </conditionalFormatting>
  <conditionalFormatting sqref="N77:T77">
    <cfRule type="containsBlanks" dxfId="532" priority="448">
      <formula>LEN(TRIM(N77))=0</formula>
    </cfRule>
  </conditionalFormatting>
  <conditionalFormatting sqref="O79:Q79">
    <cfRule type="containsBlanks" dxfId="531" priority="447">
      <formula>LEN(TRIM(O79))=0</formula>
    </cfRule>
  </conditionalFormatting>
  <conditionalFormatting sqref="M81:T81">
    <cfRule type="containsBlanks" dxfId="530" priority="446">
      <formula>LEN(TRIM(M81))=0</formula>
    </cfRule>
  </conditionalFormatting>
  <conditionalFormatting sqref="M87:T87">
    <cfRule type="containsBlanks" dxfId="529" priority="445">
      <formula>LEN(TRIM(M87))=0</formula>
    </cfRule>
  </conditionalFormatting>
  <conditionalFormatting sqref="O88:S88">
    <cfRule type="containsBlanks" dxfId="528" priority="444">
      <formula>LEN(TRIM(O88))=0</formula>
    </cfRule>
  </conditionalFormatting>
  <conditionalFormatting sqref="M88:N88">
    <cfRule type="containsBlanks" dxfId="527" priority="443">
      <formula>LEN(TRIM(M88))=0</formula>
    </cfRule>
  </conditionalFormatting>
  <conditionalFormatting sqref="O62:Q62">
    <cfRule type="containsBlanks" dxfId="526" priority="442">
      <formula>LEN(TRIM(O62))=0</formula>
    </cfRule>
  </conditionalFormatting>
  <conditionalFormatting sqref="O63:Q63">
    <cfRule type="containsBlanks" dxfId="525" priority="441">
      <formula>LEN(TRIM(O63))=0</formula>
    </cfRule>
  </conditionalFormatting>
  <conditionalFormatting sqref="O65:Q65">
    <cfRule type="containsBlanks" dxfId="524" priority="440">
      <formula>LEN(TRIM(O65))=0</formula>
    </cfRule>
  </conditionalFormatting>
  <conditionalFormatting sqref="N61:T61">
    <cfRule type="containsBlanks" dxfId="523" priority="439">
      <formula>LEN(TRIM(N61))=0</formula>
    </cfRule>
  </conditionalFormatting>
  <conditionalFormatting sqref="M78:S78">
    <cfRule type="containsBlanks" dxfId="522" priority="438">
      <formula>LEN(TRIM(M78))=0</formula>
    </cfRule>
  </conditionalFormatting>
  <conditionalFormatting sqref="N81:T81">
    <cfRule type="containsBlanks" dxfId="521" priority="437">
      <formula>LEN(TRIM(N81))=0</formula>
    </cfRule>
  </conditionalFormatting>
  <conditionalFormatting sqref="O83:Q83">
    <cfRule type="containsBlanks" dxfId="520" priority="436">
      <formula>LEN(TRIM(O83))=0</formula>
    </cfRule>
  </conditionalFormatting>
  <conditionalFormatting sqref="M85:T85">
    <cfRule type="containsBlanks" dxfId="519" priority="435">
      <formula>LEN(TRIM(M85))=0</formula>
    </cfRule>
  </conditionalFormatting>
  <conditionalFormatting sqref="M91:T91">
    <cfRule type="containsBlanks" dxfId="518" priority="434">
      <formula>LEN(TRIM(M91))=0</formula>
    </cfRule>
  </conditionalFormatting>
  <conditionalFormatting sqref="O92:S92">
    <cfRule type="containsBlanks" dxfId="517" priority="433">
      <formula>LEN(TRIM(O92))=0</formula>
    </cfRule>
  </conditionalFormatting>
  <conditionalFormatting sqref="M92:N92">
    <cfRule type="containsBlanks" dxfId="516" priority="432">
      <formula>LEN(TRIM(M92))=0</formula>
    </cfRule>
  </conditionalFormatting>
  <conditionalFormatting sqref="M55:T55">
    <cfRule type="containsBlanks" dxfId="515" priority="431">
      <formula>LEN(TRIM(M55))=0</formula>
    </cfRule>
  </conditionalFormatting>
  <conditionalFormatting sqref="M56:S56">
    <cfRule type="containsBlanks" dxfId="514" priority="430">
      <formula>LEN(TRIM(M56))=0</formula>
    </cfRule>
  </conditionalFormatting>
  <conditionalFormatting sqref="O54:Q54">
    <cfRule type="containsBlanks" dxfId="513" priority="429">
      <formula>LEN(TRIM(O54))=0</formula>
    </cfRule>
  </conditionalFormatting>
  <conditionalFormatting sqref="O56:Q56">
    <cfRule type="containsBlanks" dxfId="512" priority="428">
      <formula>LEN(TRIM(O56))=0</formula>
    </cfRule>
  </conditionalFormatting>
  <conditionalFormatting sqref="M69:S69">
    <cfRule type="containsBlanks" dxfId="511" priority="427">
      <formula>LEN(TRIM(M69))=0</formula>
    </cfRule>
  </conditionalFormatting>
  <conditionalFormatting sqref="N72:T72">
    <cfRule type="containsBlanks" dxfId="510" priority="426">
      <formula>LEN(TRIM(N72))=0</formula>
    </cfRule>
  </conditionalFormatting>
  <conditionalFormatting sqref="O74:Q74">
    <cfRule type="containsBlanks" dxfId="509" priority="425">
      <formula>LEN(TRIM(O74))=0</formula>
    </cfRule>
  </conditionalFormatting>
  <conditionalFormatting sqref="M76:T76">
    <cfRule type="containsBlanks" dxfId="508" priority="424">
      <formula>LEN(TRIM(M76))=0</formula>
    </cfRule>
  </conditionalFormatting>
  <conditionalFormatting sqref="M82:T82">
    <cfRule type="containsBlanks" dxfId="507" priority="423">
      <formula>LEN(TRIM(M82))=0</formula>
    </cfRule>
  </conditionalFormatting>
  <conditionalFormatting sqref="O83:S83">
    <cfRule type="containsBlanks" dxfId="506" priority="422">
      <formula>LEN(TRIM(O83))=0</formula>
    </cfRule>
  </conditionalFormatting>
  <conditionalFormatting sqref="M83:N83">
    <cfRule type="containsBlanks" dxfId="505" priority="421">
      <formula>LEN(TRIM(M83))=0</formula>
    </cfRule>
  </conditionalFormatting>
  <conditionalFormatting sqref="O54:Q54">
    <cfRule type="containsBlanks" dxfId="504" priority="420">
      <formula>LEN(TRIM(O54))=0</formula>
    </cfRule>
  </conditionalFormatting>
  <conditionalFormatting sqref="O56:Q56">
    <cfRule type="containsBlanks" dxfId="503" priority="419">
      <formula>LEN(TRIM(O56))=0</formula>
    </cfRule>
  </conditionalFormatting>
  <conditionalFormatting sqref="O58:Q58">
    <cfRule type="containsBlanks" dxfId="502" priority="418">
      <formula>LEN(TRIM(O58))=0</formula>
    </cfRule>
  </conditionalFormatting>
  <conditionalFormatting sqref="O60:Q60">
    <cfRule type="containsBlanks" dxfId="501" priority="417">
      <formula>LEN(TRIM(O60))=0</formula>
    </cfRule>
  </conditionalFormatting>
  <conditionalFormatting sqref="O73:Q73">
    <cfRule type="containsBlanks" dxfId="500" priority="416">
      <formula>LEN(TRIM(O73))=0</formula>
    </cfRule>
  </conditionalFormatting>
  <conditionalFormatting sqref="O74:Q74">
    <cfRule type="containsBlanks" dxfId="499" priority="415">
      <formula>LEN(TRIM(O74))=0</formula>
    </cfRule>
  </conditionalFormatting>
  <conditionalFormatting sqref="O76:Q76">
    <cfRule type="containsBlanks" dxfId="498" priority="414">
      <formula>LEN(TRIM(O76))=0</formula>
    </cfRule>
  </conditionalFormatting>
  <conditionalFormatting sqref="N72:T72">
    <cfRule type="containsBlanks" dxfId="497" priority="413">
      <formula>LEN(TRIM(N72))=0</formula>
    </cfRule>
  </conditionalFormatting>
  <conditionalFormatting sqref="M89:S89">
    <cfRule type="containsBlanks" dxfId="496" priority="412">
      <formula>LEN(TRIM(M89))=0</formula>
    </cfRule>
  </conditionalFormatting>
  <conditionalFormatting sqref="N92:T92">
    <cfRule type="containsBlanks" dxfId="495" priority="411">
      <formula>LEN(TRIM(N92))=0</formula>
    </cfRule>
  </conditionalFormatting>
  <conditionalFormatting sqref="O94:Q94">
    <cfRule type="containsBlanks" dxfId="494" priority="410">
      <formula>LEN(TRIM(O94))=0</formula>
    </cfRule>
  </conditionalFormatting>
  <conditionalFormatting sqref="M96:T96">
    <cfRule type="containsBlanks" dxfId="493" priority="409">
      <formula>LEN(TRIM(M96))=0</formula>
    </cfRule>
  </conditionalFormatting>
  <conditionalFormatting sqref="M102:T102">
    <cfRule type="containsBlanks" dxfId="492" priority="408">
      <formula>LEN(TRIM(M102))=0</formula>
    </cfRule>
  </conditionalFormatting>
  <conditionalFormatting sqref="O103:S103">
    <cfRule type="containsBlanks" dxfId="491" priority="407">
      <formula>LEN(TRIM(O103))=0</formula>
    </cfRule>
  </conditionalFormatting>
  <conditionalFormatting sqref="M103:N103">
    <cfRule type="containsBlanks" dxfId="490" priority="406">
      <formula>LEN(TRIM(M103))=0</formula>
    </cfRule>
  </conditionalFormatting>
  <conditionalFormatting sqref="M66:T66">
    <cfRule type="containsBlanks" dxfId="489" priority="405">
      <formula>LEN(TRIM(M66))=0</formula>
    </cfRule>
  </conditionalFormatting>
  <conditionalFormatting sqref="M67:S67">
    <cfRule type="containsBlanks" dxfId="488" priority="404">
      <formula>LEN(TRIM(M67))=0</formula>
    </cfRule>
  </conditionalFormatting>
  <conditionalFormatting sqref="O64:Q64">
    <cfRule type="containsBlanks" dxfId="487" priority="403">
      <formula>LEN(TRIM(O64))=0</formula>
    </cfRule>
  </conditionalFormatting>
  <conditionalFormatting sqref="O65:Q65">
    <cfRule type="containsBlanks" dxfId="486" priority="402">
      <formula>LEN(TRIM(O65))=0</formula>
    </cfRule>
  </conditionalFormatting>
  <conditionalFormatting sqref="O67:Q67">
    <cfRule type="containsBlanks" dxfId="485" priority="401">
      <formula>LEN(TRIM(O67))=0</formula>
    </cfRule>
  </conditionalFormatting>
  <conditionalFormatting sqref="N63:T63">
    <cfRule type="containsBlanks" dxfId="484" priority="400">
      <formula>LEN(TRIM(N63))=0</formula>
    </cfRule>
  </conditionalFormatting>
  <conditionalFormatting sqref="M80:S80">
    <cfRule type="containsBlanks" dxfId="483" priority="399">
      <formula>LEN(TRIM(M80))=0</formula>
    </cfRule>
  </conditionalFormatting>
  <conditionalFormatting sqref="N83:T83">
    <cfRule type="containsBlanks" dxfId="482" priority="398">
      <formula>LEN(TRIM(N83))=0</formula>
    </cfRule>
  </conditionalFormatting>
  <conditionalFormatting sqref="O85:Q85">
    <cfRule type="containsBlanks" dxfId="481" priority="397">
      <formula>LEN(TRIM(O85))=0</formula>
    </cfRule>
  </conditionalFormatting>
  <conditionalFormatting sqref="M87:T87">
    <cfRule type="containsBlanks" dxfId="480" priority="396">
      <formula>LEN(TRIM(M87))=0</formula>
    </cfRule>
  </conditionalFormatting>
  <conditionalFormatting sqref="M93:T93">
    <cfRule type="containsBlanks" dxfId="479" priority="395">
      <formula>LEN(TRIM(M93))=0</formula>
    </cfRule>
  </conditionalFormatting>
  <conditionalFormatting sqref="O94:S94">
    <cfRule type="containsBlanks" dxfId="478" priority="394">
      <formula>LEN(TRIM(O94))=0</formula>
    </cfRule>
  </conditionalFormatting>
  <conditionalFormatting sqref="M94:N94">
    <cfRule type="containsBlanks" dxfId="477" priority="393">
      <formula>LEN(TRIM(M94))=0</formula>
    </cfRule>
  </conditionalFormatting>
  <conditionalFormatting sqref="M57:T57">
    <cfRule type="containsBlanks" dxfId="476" priority="392">
      <formula>LEN(TRIM(M57))=0</formula>
    </cfRule>
  </conditionalFormatting>
  <conditionalFormatting sqref="M58:S58">
    <cfRule type="containsBlanks" dxfId="475" priority="391">
      <formula>LEN(TRIM(M58))=0</formula>
    </cfRule>
  </conditionalFormatting>
  <conditionalFormatting sqref="O55:Q55">
    <cfRule type="containsBlanks" dxfId="474" priority="390">
      <formula>LEN(TRIM(O55))=0</formula>
    </cfRule>
  </conditionalFormatting>
  <conditionalFormatting sqref="O68:Q68">
    <cfRule type="containsBlanks" dxfId="473" priority="389">
      <formula>LEN(TRIM(O68))=0</formula>
    </cfRule>
  </conditionalFormatting>
  <conditionalFormatting sqref="O69:Q69">
    <cfRule type="containsBlanks" dxfId="472" priority="388">
      <formula>LEN(TRIM(O69))=0</formula>
    </cfRule>
  </conditionalFormatting>
  <conditionalFormatting sqref="O71:Q71">
    <cfRule type="containsBlanks" dxfId="471" priority="387">
      <formula>LEN(TRIM(O71))=0</formula>
    </cfRule>
  </conditionalFormatting>
  <conditionalFormatting sqref="N67:T67">
    <cfRule type="containsBlanks" dxfId="470" priority="386">
      <formula>LEN(TRIM(N67))=0</formula>
    </cfRule>
  </conditionalFormatting>
  <conditionalFormatting sqref="M84:S84">
    <cfRule type="containsBlanks" dxfId="469" priority="385">
      <formula>LEN(TRIM(M84))=0</formula>
    </cfRule>
  </conditionalFormatting>
  <conditionalFormatting sqref="N87:T87">
    <cfRule type="containsBlanks" dxfId="468" priority="384">
      <formula>LEN(TRIM(N87))=0</formula>
    </cfRule>
  </conditionalFormatting>
  <conditionalFormatting sqref="O89:Q89">
    <cfRule type="containsBlanks" dxfId="467" priority="383">
      <formula>LEN(TRIM(O89))=0</formula>
    </cfRule>
  </conditionalFormatting>
  <conditionalFormatting sqref="M91:T91">
    <cfRule type="containsBlanks" dxfId="466" priority="382">
      <formula>LEN(TRIM(M91))=0</formula>
    </cfRule>
  </conditionalFormatting>
  <conditionalFormatting sqref="M97:T97">
    <cfRule type="containsBlanks" dxfId="465" priority="381">
      <formula>LEN(TRIM(M97))=0</formula>
    </cfRule>
  </conditionalFormatting>
  <conditionalFormatting sqref="O98:S98">
    <cfRule type="containsBlanks" dxfId="464" priority="380">
      <formula>LEN(TRIM(O98))=0</formula>
    </cfRule>
  </conditionalFormatting>
  <conditionalFormatting sqref="M98:N98">
    <cfRule type="containsBlanks" dxfId="463" priority="379">
      <formula>LEN(TRIM(M98))=0</formula>
    </cfRule>
  </conditionalFormatting>
  <conditionalFormatting sqref="M61:T61">
    <cfRule type="containsBlanks" dxfId="462" priority="378">
      <formula>LEN(TRIM(M61))=0</formula>
    </cfRule>
  </conditionalFormatting>
  <conditionalFormatting sqref="M62:S62">
    <cfRule type="containsBlanks" dxfId="461" priority="377">
      <formula>LEN(TRIM(M62))=0</formula>
    </cfRule>
  </conditionalFormatting>
  <conditionalFormatting sqref="O59:Q59">
    <cfRule type="containsBlanks" dxfId="460" priority="376">
      <formula>LEN(TRIM(O59))=0</formula>
    </cfRule>
  </conditionalFormatting>
  <conditionalFormatting sqref="O60:Q60">
    <cfRule type="containsBlanks" dxfId="459" priority="375">
      <formula>LEN(TRIM(O60))=0</formula>
    </cfRule>
  </conditionalFormatting>
  <conditionalFormatting sqref="O62:Q62">
    <cfRule type="containsBlanks" dxfId="458" priority="374">
      <formula>LEN(TRIM(O62))=0</formula>
    </cfRule>
  </conditionalFormatting>
  <conditionalFormatting sqref="N58:T58">
    <cfRule type="containsBlanks" dxfId="457" priority="373">
      <formula>LEN(TRIM(N58))=0</formula>
    </cfRule>
  </conditionalFormatting>
  <conditionalFormatting sqref="M75:S75">
    <cfRule type="containsBlanks" dxfId="456" priority="372">
      <formula>LEN(TRIM(M75))=0</formula>
    </cfRule>
  </conditionalFormatting>
  <conditionalFormatting sqref="N78:T78">
    <cfRule type="containsBlanks" dxfId="455" priority="371">
      <formula>LEN(TRIM(N78))=0</formula>
    </cfRule>
  </conditionalFormatting>
  <conditionalFormatting sqref="O80:Q80">
    <cfRule type="containsBlanks" dxfId="454" priority="370">
      <formula>LEN(TRIM(O80))=0</formula>
    </cfRule>
  </conditionalFormatting>
  <conditionalFormatting sqref="M82:T82">
    <cfRule type="containsBlanks" dxfId="453" priority="369">
      <formula>LEN(TRIM(M82))=0</formula>
    </cfRule>
  </conditionalFormatting>
  <conditionalFormatting sqref="M88:T88">
    <cfRule type="containsBlanks" dxfId="452" priority="368">
      <formula>LEN(TRIM(M88))=0</formula>
    </cfRule>
  </conditionalFormatting>
  <conditionalFormatting sqref="O89:S89">
    <cfRule type="containsBlanks" dxfId="451" priority="367">
      <formula>LEN(TRIM(O89))=0</formula>
    </cfRule>
  </conditionalFormatting>
  <conditionalFormatting sqref="M89:N89">
    <cfRule type="containsBlanks" dxfId="450" priority="366">
      <formula>LEN(TRIM(M89))=0</formula>
    </cfRule>
  </conditionalFormatting>
  <conditionalFormatting sqref="O55:Q55">
    <cfRule type="containsBlanks" dxfId="449" priority="365">
      <formula>LEN(TRIM(O55))=0</formula>
    </cfRule>
  </conditionalFormatting>
  <conditionalFormatting sqref="O57:Q57">
    <cfRule type="containsBlanks" dxfId="448" priority="364">
      <formula>LEN(TRIM(O57))=0</formula>
    </cfRule>
  </conditionalFormatting>
  <conditionalFormatting sqref="O70:Q70">
    <cfRule type="containsBlanks" dxfId="447" priority="363">
      <formula>LEN(TRIM(O70))=0</formula>
    </cfRule>
  </conditionalFormatting>
  <conditionalFormatting sqref="O71:Q71">
    <cfRule type="containsBlanks" dxfId="446" priority="362">
      <formula>LEN(TRIM(O71))=0</formula>
    </cfRule>
  </conditionalFormatting>
  <conditionalFormatting sqref="O73:Q73">
    <cfRule type="containsBlanks" dxfId="445" priority="361">
      <formula>LEN(TRIM(O73))=0</formula>
    </cfRule>
  </conditionalFormatting>
  <conditionalFormatting sqref="N69:T69">
    <cfRule type="containsBlanks" dxfId="444" priority="360">
      <formula>LEN(TRIM(N69))=0</formula>
    </cfRule>
  </conditionalFormatting>
  <conditionalFormatting sqref="M86:S86">
    <cfRule type="containsBlanks" dxfId="443" priority="359">
      <formula>LEN(TRIM(M86))=0</formula>
    </cfRule>
  </conditionalFormatting>
  <conditionalFormatting sqref="N89:T89">
    <cfRule type="containsBlanks" dxfId="442" priority="358">
      <formula>LEN(TRIM(N89))=0</formula>
    </cfRule>
  </conditionalFormatting>
  <conditionalFormatting sqref="O91:Q91">
    <cfRule type="containsBlanks" dxfId="441" priority="357">
      <formula>LEN(TRIM(O91))=0</formula>
    </cfRule>
  </conditionalFormatting>
  <conditionalFormatting sqref="M93:T93">
    <cfRule type="containsBlanks" dxfId="440" priority="356">
      <formula>LEN(TRIM(M93))=0</formula>
    </cfRule>
  </conditionalFormatting>
  <conditionalFormatting sqref="O100:S100">
    <cfRule type="containsBlanks" dxfId="439" priority="354">
      <formula>LEN(TRIM(O100))=0</formula>
    </cfRule>
  </conditionalFormatting>
  <conditionalFormatting sqref="M100:N100">
    <cfRule type="containsBlanks" dxfId="438" priority="353">
      <formula>LEN(TRIM(M100))=0</formula>
    </cfRule>
  </conditionalFormatting>
  <conditionalFormatting sqref="M63:T63">
    <cfRule type="containsBlanks" dxfId="437" priority="352">
      <formula>LEN(TRIM(M63))=0</formula>
    </cfRule>
  </conditionalFormatting>
  <conditionalFormatting sqref="M64:S64">
    <cfRule type="containsBlanks" dxfId="436" priority="351">
      <formula>LEN(TRIM(M64))=0</formula>
    </cfRule>
  </conditionalFormatting>
  <conditionalFormatting sqref="O61:Q61">
    <cfRule type="containsBlanks" dxfId="435" priority="350">
      <formula>LEN(TRIM(O61))=0</formula>
    </cfRule>
  </conditionalFormatting>
  <conditionalFormatting sqref="O62:Q62">
    <cfRule type="containsBlanks" dxfId="434" priority="349">
      <formula>LEN(TRIM(O62))=0</formula>
    </cfRule>
  </conditionalFormatting>
  <conditionalFormatting sqref="O64:Q64">
    <cfRule type="containsBlanks" dxfId="433" priority="348">
      <formula>LEN(TRIM(O64))=0</formula>
    </cfRule>
  </conditionalFormatting>
  <conditionalFormatting sqref="N60:T60">
    <cfRule type="containsBlanks" dxfId="432" priority="347">
      <formula>LEN(TRIM(N60))=0</formula>
    </cfRule>
  </conditionalFormatting>
  <conditionalFormatting sqref="M77:S77">
    <cfRule type="containsBlanks" dxfId="431" priority="346">
      <formula>LEN(TRIM(M77))=0</formula>
    </cfRule>
  </conditionalFormatting>
  <conditionalFormatting sqref="N80:T80">
    <cfRule type="containsBlanks" dxfId="430" priority="345">
      <formula>LEN(TRIM(N80))=0</formula>
    </cfRule>
  </conditionalFormatting>
  <conditionalFormatting sqref="O82:Q82">
    <cfRule type="containsBlanks" dxfId="429" priority="344">
      <formula>LEN(TRIM(O82))=0</formula>
    </cfRule>
  </conditionalFormatting>
  <conditionalFormatting sqref="M84:T84">
    <cfRule type="containsBlanks" dxfId="428" priority="343">
      <formula>LEN(TRIM(M84))=0</formula>
    </cfRule>
  </conditionalFormatting>
  <conditionalFormatting sqref="M90:T90">
    <cfRule type="containsBlanks" dxfId="427" priority="342">
      <formula>LEN(TRIM(M90))=0</formula>
    </cfRule>
  </conditionalFormatting>
  <conditionalFormatting sqref="O91:S91">
    <cfRule type="containsBlanks" dxfId="426" priority="341">
      <formula>LEN(TRIM(O91))=0</formula>
    </cfRule>
  </conditionalFormatting>
  <conditionalFormatting sqref="M91:N91">
    <cfRule type="containsBlanks" dxfId="425" priority="340">
      <formula>LEN(TRIM(M91))=0</formula>
    </cfRule>
  </conditionalFormatting>
  <conditionalFormatting sqref="M54:T54">
    <cfRule type="containsBlanks" dxfId="424" priority="339">
      <formula>LEN(TRIM(M54))=0</formula>
    </cfRule>
  </conditionalFormatting>
  <conditionalFormatting sqref="M55:S55">
    <cfRule type="containsBlanks" dxfId="423" priority="338">
      <formula>LEN(TRIM(M55))=0</formula>
    </cfRule>
  </conditionalFormatting>
  <conditionalFormatting sqref="O65:Q65">
    <cfRule type="containsBlanks" dxfId="422" priority="337">
      <formula>LEN(TRIM(O65))=0</formula>
    </cfRule>
  </conditionalFormatting>
  <conditionalFormatting sqref="O66:Q66">
    <cfRule type="containsBlanks" dxfId="421" priority="336">
      <formula>LEN(TRIM(O66))=0</formula>
    </cfRule>
  </conditionalFormatting>
  <conditionalFormatting sqref="O68:Q68">
    <cfRule type="containsBlanks" dxfId="420" priority="335">
      <formula>LEN(TRIM(O68))=0</formula>
    </cfRule>
  </conditionalFormatting>
  <conditionalFormatting sqref="N64:T64">
    <cfRule type="containsBlanks" dxfId="419" priority="334">
      <formula>LEN(TRIM(N64))=0</formula>
    </cfRule>
  </conditionalFormatting>
  <conditionalFormatting sqref="M81:S81">
    <cfRule type="containsBlanks" dxfId="418" priority="333">
      <formula>LEN(TRIM(M81))=0</formula>
    </cfRule>
  </conditionalFormatting>
  <conditionalFormatting sqref="N84:T84">
    <cfRule type="containsBlanks" dxfId="417" priority="332">
      <formula>LEN(TRIM(N84))=0</formula>
    </cfRule>
  </conditionalFormatting>
  <conditionalFormatting sqref="O86:Q86">
    <cfRule type="containsBlanks" dxfId="416" priority="331">
      <formula>LEN(TRIM(O86))=0</formula>
    </cfRule>
  </conditionalFormatting>
  <conditionalFormatting sqref="M88:T88">
    <cfRule type="containsBlanks" dxfId="415" priority="330">
      <formula>LEN(TRIM(M88))=0</formula>
    </cfRule>
  </conditionalFormatting>
  <conditionalFormatting sqref="M94:T94">
    <cfRule type="containsBlanks" dxfId="414" priority="329">
      <formula>LEN(TRIM(M94))=0</formula>
    </cfRule>
  </conditionalFormatting>
  <conditionalFormatting sqref="O95:S95">
    <cfRule type="containsBlanks" dxfId="413" priority="328">
      <formula>LEN(TRIM(O95))=0</formula>
    </cfRule>
  </conditionalFormatting>
  <conditionalFormatting sqref="M95:N95">
    <cfRule type="containsBlanks" dxfId="412" priority="327">
      <formula>LEN(TRIM(M95))=0</formula>
    </cfRule>
  </conditionalFormatting>
  <conditionalFormatting sqref="M58:T58">
    <cfRule type="containsBlanks" dxfId="411" priority="326">
      <formula>LEN(TRIM(M58))=0</formula>
    </cfRule>
  </conditionalFormatting>
  <conditionalFormatting sqref="M59:S59">
    <cfRule type="containsBlanks" dxfId="410" priority="325">
      <formula>LEN(TRIM(M59))=0</formula>
    </cfRule>
  </conditionalFormatting>
  <conditionalFormatting sqref="O56:Q56">
    <cfRule type="containsBlanks" dxfId="409" priority="324">
      <formula>LEN(TRIM(O56))=0</formula>
    </cfRule>
  </conditionalFormatting>
  <conditionalFormatting sqref="O57:Q57">
    <cfRule type="containsBlanks" dxfId="408" priority="323">
      <formula>LEN(TRIM(O57))=0</formula>
    </cfRule>
  </conditionalFormatting>
  <conditionalFormatting sqref="O59:Q59">
    <cfRule type="containsBlanks" dxfId="407" priority="322">
      <formula>LEN(TRIM(O59))=0</formula>
    </cfRule>
  </conditionalFormatting>
  <conditionalFormatting sqref="N55:T55">
    <cfRule type="containsBlanks" dxfId="406" priority="321">
      <formula>LEN(TRIM(N55))=0</formula>
    </cfRule>
  </conditionalFormatting>
  <conditionalFormatting sqref="M72:S72">
    <cfRule type="containsBlanks" dxfId="405" priority="320">
      <formula>LEN(TRIM(M72))=0</formula>
    </cfRule>
  </conditionalFormatting>
  <conditionalFormatting sqref="N75:T75">
    <cfRule type="containsBlanks" dxfId="404" priority="319">
      <formula>LEN(TRIM(N75))=0</formula>
    </cfRule>
  </conditionalFormatting>
  <conditionalFormatting sqref="O77:Q77">
    <cfRule type="containsBlanks" dxfId="403" priority="318">
      <formula>LEN(TRIM(O77))=0</formula>
    </cfRule>
  </conditionalFormatting>
  <conditionalFormatting sqref="M79:T79">
    <cfRule type="containsBlanks" dxfId="402" priority="317">
      <formula>LEN(TRIM(M79))=0</formula>
    </cfRule>
  </conditionalFormatting>
  <conditionalFormatting sqref="M85:T85">
    <cfRule type="containsBlanks" dxfId="401" priority="316">
      <formula>LEN(TRIM(M85))=0</formula>
    </cfRule>
  </conditionalFormatting>
  <conditionalFormatting sqref="O86:S86">
    <cfRule type="containsBlanks" dxfId="400" priority="315">
      <formula>LEN(TRIM(O86))=0</formula>
    </cfRule>
  </conditionalFormatting>
  <conditionalFormatting sqref="M86:N86">
    <cfRule type="containsBlanks" dxfId="399" priority="314">
      <formula>LEN(TRIM(M86))=0</formula>
    </cfRule>
  </conditionalFormatting>
  <conditionalFormatting sqref="O55:Q55">
    <cfRule type="containsBlanks" dxfId="398" priority="313">
      <formula>LEN(TRIM(O55))=0</formula>
    </cfRule>
  </conditionalFormatting>
  <conditionalFormatting sqref="O57:Q57">
    <cfRule type="containsBlanks" dxfId="397" priority="312">
      <formula>LEN(TRIM(O57))=0</formula>
    </cfRule>
  </conditionalFormatting>
  <conditionalFormatting sqref="O70:Q70">
    <cfRule type="containsBlanks" dxfId="396" priority="311">
      <formula>LEN(TRIM(O70))=0</formula>
    </cfRule>
  </conditionalFormatting>
  <conditionalFormatting sqref="O71:Q71">
    <cfRule type="containsBlanks" dxfId="395" priority="310">
      <formula>LEN(TRIM(O71))=0</formula>
    </cfRule>
  </conditionalFormatting>
  <conditionalFormatting sqref="O73:Q73">
    <cfRule type="containsBlanks" dxfId="394" priority="309">
      <formula>LEN(TRIM(O73))=0</formula>
    </cfRule>
  </conditionalFormatting>
  <conditionalFormatting sqref="N69:T69">
    <cfRule type="containsBlanks" dxfId="393" priority="308">
      <formula>LEN(TRIM(N69))=0</formula>
    </cfRule>
  </conditionalFormatting>
  <conditionalFormatting sqref="M86:S86">
    <cfRule type="containsBlanks" dxfId="392" priority="307">
      <formula>LEN(TRIM(M86))=0</formula>
    </cfRule>
  </conditionalFormatting>
  <conditionalFormatting sqref="N89:T89">
    <cfRule type="containsBlanks" dxfId="391" priority="306">
      <formula>LEN(TRIM(N89))=0</formula>
    </cfRule>
  </conditionalFormatting>
  <conditionalFormatting sqref="O91:Q91">
    <cfRule type="containsBlanks" dxfId="390" priority="305">
      <formula>LEN(TRIM(O91))=0</formula>
    </cfRule>
  </conditionalFormatting>
  <conditionalFormatting sqref="M93:T93">
    <cfRule type="containsBlanks" dxfId="389" priority="304">
      <formula>LEN(TRIM(M93))=0</formula>
    </cfRule>
  </conditionalFormatting>
  <conditionalFormatting sqref="O100:S100">
    <cfRule type="containsBlanks" dxfId="388" priority="302">
      <formula>LEN(TRIM(O100))=0</formula>
    </cfRule>
  </conditionalFormatting>
  <conditionalFormatting sqref="M100:N100">
    <cfRule type="containsBlanks" dxfId="387" priority="301">
      <formula>LEN(TRIM(M100))=0</formula>
    </cfRule>
  </conditionalFormatting>
  <conditionalFormatting sqref="M63:T63">
    <cfRule type="containsBlanks" dxfId="386" priority="300">
      <formula>LEN(TRIM(M63))=0</formula>
    </cfRule>
  </conditionalFormatting>
  <conditionalFormatting sqref="M64:S64">
    <cfRule type="containsBlanks" dxfId="385" priority="299">
      <formula>LEN(TRIM(M64))=0</formula>
    </cfRule>
  </conditionalFormatting>
  <conditionalFormatting sqref="O61:Q61">
    <cfRule type="containsBlanks" dxfId="384" priority="298">
      <formula>LEN(TRIM(O61))=0</formula>
    </cfRule>
  </conditionalFormatting>
  <conditionalFormatting sqref="O62:Q62">
    <cfRule type="containsBlanks" dxfId="383" priority="297">
      <formula>LEN(TRIM(O62))=0</formula>
    </cfRule>
  </conditionalFormatting>
  <conditionalFormatting sqref="O64:Q64">
    <cfRule type="containsBlanks" dxfId="382" priority="296">
      <formula>LEN(TRIM(O64))=0</formula>
    </cfRule>
  </conditionalFormatting>
  <conditionalFormatting sqref="N60:T60">
    <cfRule type="containsBlanks" dxfId="381" priority="295">
      <formula>LEN(TRIM(N60))=0</formula>
    </cfRule>
  </conditionalFormatting>
  <conditionalFormatting sqref="M77:S77">
    <cfRule type="containsBlanks" dxfId="380" priority="294">
      <formula>LEN(TRIM(M77))=0</formula>
    </cfRule>
  </conditionalFormatting>
  <conditionalFormatting sqref="N80:T80">
    <cfRule type="containsBlanks" dxfId="379" priority="293">
      <formula>LEN(TRIM(N80))=0</formula>
    </cfRule>
  </conditionalFormatting>
  <conditionalFormatting sqref="O82:Q82">
    <cfRule type="containsBlanks" dxfId="378" priority="292">
      <formula>LEN(TRIM(O82))=0</formula>
    </cfRule>
  </conditionalFormatting>
  <conditionalFormatting sqref="M84:T84">
    <cfRule type="containsBlanks" dxfId="377" priority="291">
      <formula>LEN(TRIM(M84))=0</formula>
    </cfRule>
  </conditionalFormatting>
  <conditionalFormatting sqref="M90:T90">
    <cfRule type="containsBlanks" dxfId="376" priority="290">
      <formula>LEN(TRIM(M90))=0</formula>
    </cfRule>
  </conditionalFormatting>
  <conditionalFormatting sqref="O91:S91">
    <cfRule type="containsBlanks" dxfId="375" priority="289">
      <formula>LEN(TRIM(O91))=0</formula>
    </cfRule>
  </conditionalFormatting>
  <conditionalFormatting sqref="M91:N91">
    <cfRule type="containsBlanks" dxfId="374" priority="288">
      <formula>LEN(TRIM(M91))=0</formula>
    </cfRule>
  </conditionalFormatting>
  <conditionalFormatting sqref="M54:T54">
    <cfRule type="containsBlanks" dxfId="373" priority="287">
      <formula>LEN(TRIM(M54))=0</formula>
    </cfRule>
  </conditionalFormatting>
  <conditionalFormatting sqref="M55:S55">
    <cfRule type="containsBlanks" dxfId="372" priority="286">
      <formula>LEN(TRIM(M55))=0</formula>
    </cfRule>
  </conditionalFormatting>
  <conditionalFormatting sqref="O65:Q65">
    <cfRule type="containsBlanks" dxfId="371" priority="285">
      <formula>LEN(TRIM(O65))=0</formula>
    </cfRule>
  </conditionalFormatting>
  <conditionalFormatting sqref="O66:Q66">
    <cfRule type="containsBlanks" dxfId="370" priority="284">
      <formula>LEN(TRIM(O66))=0</formula>
    </cfRule>
  </conditionalFormatting>
  <conditionalFormatting sqref="O68:Q68">
    <cfRule type="containsBlanks" dxfId="369" priority="283">
      <formula>LEN(TRIM(O68))=0</formula>
    </cfRule>
  </conditionalFormatting>
  <conditionalFormatting sqref="N64:T64">
    <cfRule type="containsBlanks" dxfId="368" priority="282">
      <formula>LEN(TRIM(N64))=0</formula>
    </cfRule>
  </conditionalFormatting>
  <conditionalFormatting sqref="M81:S81">
    <cfRule type="containsBlanks" dxfId="367" priority="281">
      <formula>LEN(TRIM(M81))=0</formula>
    </cfRule>
  </conditionalFormatting>
  <conditionalFormatting sqref="N84:T84">
    <cfRule type="containsBlanks" dxfId="366" priority="280">
      <formula>LEN(TRIM(N84))=0</formula>
    </cfRule>
  </conditionalFormatting>
  <conditionalFormatting sqref="O86:Q86">
    <cfRule type="containsBlanks" dxfId="365" priority="279">
      <formula>LEN(TRIM(O86))=0</formula>
    </cfRule>
  </conditionalFormatting>
  <conditionalFormatting sqref="M88:T88">
    <cfRule type="containsBlanks" dxfId="364" priority="278">
      <formula>LEN(TRIM(M88))=0</formula>
    </cfRule>
  </conditionalFormatting>
  <conditionalFormatting sqref="M94:T94">
    <cfRule type="containsBlanks" dxfId="363" priority="277">
      <formula>LEN(TRIM(M94))=0</formula>
    </cfRule>
  </conditionalFormatting>
  <conditionalFormatting sqref="O95:S95">
    <cfRule type="containsBlanks" dxfId="362" priority="276">
      <formula>LEN(TRIM(O95))=0</formula>
    </cfRule>
  </conditionalFormatting>
  <conditionalFormatting sqref="M95:N95">
    <cfRule type="containsBlanks" dxfId="361" priority="275">
      <formula>LEN(TRIM(M95))=0</formula>
    </cfRule>
  </conditionalFormatting>
  <conditionalFormatting sqref="M58:T58">
    <cfRule type="containsBlanks" dxfId="360" priority="274">
      <formula>LEN(TRIM(M58))=0</formula>
    </cfRule>
  </conditionalFormatting>
  <conditionalFormatting sqref="M59:S59">
    <cfRule type="containsBlanks" dxfId="359" priority="273">
      <formula>LEN(TRIM(M59))=0</formula>
    </cfRule>
  </conditionalFormatting>
  <conditionalFormatting sqref="O56:Q56">
    <cfRule type="containsBlanks" dxfId="358" priority="272">
      <formula>LEN(TRIM(O56))=0</formula>
    </cfRule>
  </conditionalFormatting>
  <conditionalFormatting sqref="O57:Q57">
    <cfRule type="containsBlanks" dxfId="357" priority="271">
      <formula>LEN(TRIM(O57))=0</formula>
    </cfRule>
  </conditionalFormatting>
  <conditionalFormatting sqref="O59:Q59">
    <cfRule type="containsBlanks" dxfId="356" priority="270">
      <formula>LEN(TRIM(O59))=0</formula>
    </cfRule>
  </conditionalFormatting>
  <conditionalFormatting sqref="N55:T55">
    <cfRule type="containsBlanks" dxfId="355" priority="269">
      <formula>LEN(TRIM(N55))=0</formula>
    </cfRule>
  </conditionalFormatting>
  <conditionalFormatting sqref="M72:S72">
    <cfRule type="containsBlanks" dxfId="354" priority="268">
      <formula>LEN(TRIM(M72))=0</formula>
    </cfRule>
  </conditionalFormatting>
  <conditionalFormatting sqref="N75:T75">
    <cfRule type="containsBlanks" dxfId="353" priority="267">
      <formula>LEN(TRIM(N75))=0</formula>
    </cfRule>
  </conditionalFormatting>
  <conditionalFormatting sqref="O77:Q77">
    <cfRule type="containsBlanks" dxfId="352" priority="266">
      <formula>LEN(TRIM(O77))=0</formula>
    </cfRule>
  </conditionalFormatting>
  <conditionalFormatting sqref="M79:T79">
    <cfRule type="containsBlanks" dxfId="351" priority="265">
      <formula>LEN(TRIM(M79))=0</formula>
    </cfRule>
  </conditionalFormatting>
  <conditionalFormatting sqref="M85:T85">
    <cfRule type="containsBlanks" dxfId="350" priority="264">
      <formula>LEN(TRIM(M85))=0</formula>
    </cfRule>
  </conditionalFormatting>
  <conditionalFormatting sqref="O86:S86">
    <cfRule type="containsBlanks" dxfId="349" priority="263">
      <formula>LEN(TRIM(O86))=0</formula>
    </cfRule>
  </conditionalFormatting>
  <conditionalFormatting sqref="M86:N86">
    <cfRule type="containsBlanks" dxfId="348" priority="262">
      <formula>LEN(TRIM(M86))=0</formula>
    </cfRule>
  </conditionalFormatting>
  <conditionalFormatting sqref="O54:Q54">
    <cfRule type="containsBlanks" dxfId="347" priority="261">
      <formula>LEN(TRIM(O54))=0</formula>
    </cfRule>
  </conditionalFormatting>
  <conditionalFormatting sqref="O67:Q67">
    <cfRule type="containsBlanks" dxfId="346" priority="260">
      <formula>LEN(TRIM(O67))=0</formula>
    </cfRule>
  </conditionalFormatting>
  <conditionalFormatting sqref="O68:Q68">
    <cfRule type="containsBlanks" dxfId="345" priority="259">
      <formula>LEN(TRIM(O68))=0</formula>
    </cfRule>
  </conditionalFormatting>
  <conditionalFormatting sqref="O70:Q70">
    <cfRule type="containsBlanks" dxfId="344" priority="258">
      <formula>LEN(TRIM(O70))=0</formula>
    </cfRule>
  </conditionalFormatting>
  <conditionalFormatting sqref="N66:T66">
    <cfRule type="containsBlanks" dxfId="343" priority="257">
      <formula>LEN(TRIM(N66))=0</formula>
    </cfRule>
  </conditionalFormatting>
  <conditionalFormatting sqref="M83:S83">
    <cfRule type="containsBlanks" dxfId="342" priority="256">
      <formula>LEN(TRIM(M83))=0</formula>
    </cfRule>
  </conditionalFormatting>
  <conditionalFormatting sqref="N86:T86">
    <cfRule type="containsBlanks" dxfId="341" priority="255">
      <formula>LEN(TRIM(N86))=0</formula>
    </cfRule>
  </conditionalFormatting>
  <conditionalFormatting sqref="O88:Q88">
    <cfRule type="containsBlanks" dxfId="340" priority="254">
      <formula>LEN(TRIM(O88))=0</formula>
    </cfRule>
  </conditionalFormatting>
  <conditionalFormatting sqref="M90:T90">
    <cfRule type="containsBlanks" dxfId="339" priority="253">
      <formula>LEN(TRIM(M90))=0</formula>
    </cfRule>
  </conditionalFormatting>
  <conditionalFormatting sqref="M96:T96">
    <cfRule type="containsBlanks" dxfId="338" priority="252">
      <formula>LEN(TRIM(M96))=0</formula>
    </cfRule>
  </conditionalFormatting>
  <conditionalFormatting sqref="O97:S97">
    <cfRule type="containsBlanks" dxfId="337" priority="251">
      <formula>LEN(TRIM(O97))=0</formula>
    </cfRule>
  </conditionalFormatting>
  <conditionalFormatting sqref="M97:N97">
    <cfRule type="containsBlanks" dxfId="336" priority="250">
      <formula>LEN(TRIM(M97))=0</formula>
    </cfRule>
  </conditionalFormatting>
  <conditionalFormatting sqref="M60:T60">
    <cfRule type="containsBlanks" dxfId="335" priority="249">
      <formula>LEN(TRIM(M60))=0</formula>
    </cfRule>
  </conditionalFormatting>
  <conditionalFormatting sqref="M61:S61">
    <cfRule type="containsBlanks" dxfId="334" priority="248">
      <formula>LEN(TRIM(M61))=0</formula>
    </cfRule>
  </conditionalFormatting>
  <conditionalFormatting sqref="O58:Q58">
    <cfRule type="containsBlanks" dxfId="333" priority="247">
      <formula>LEN(TRIM(O58))=0</formula>
    </cfRule>
  </conditionalFormatting>
  <conditionalFormatting sqref="O59:Q59">
    <cfRule type="containsBlanks" dxfId="332" priority="246">
      <formula>LEN(TRIM(O59))=0</formula>
    </cfRule>
  </conditionalFormatting>
  <conditionalFormatting sqref="O61:Q61">
    <cfRule type="containsBlanks" dxfId="331" priority="245">
      <formula>LEN(TRIM(O61))=0</formula>
    </cfRule>
  </conditionalFormatting>
  <conditionalFormatting sqref="N57:T57">
    <cfRule type="containsBlanks" dxfId="330" priority="244">
      <formula>LEN(TRIM(N57))=0</formula>
    </cfRule>
  </conditionalFormatting>
  <conditionalFormatting sqref="M74:S74">
    <cfRule type="containsBlanks" dxfId="329" priority="243">
      <formula>LEN(TRIM(M74))=0</formula>
    </cfRule>
  </conditionalFormatting>
  <conditionalFormatting sqref="N77:T77">
    <cfRule type="containsBlanks" dxfId="328" priority="242">
      <formula>LEN(TRIM(N77))=0</formula>
    </cfRule>
  </conditionalFormatting>
  <conditionalFormatting sqref="O79:Q79">
    <cfRule type="containsBlanks" dxfId="327" priority="241">
      <formula>LEN(TRIM(O79))=0</formula>
    </cfRule>
  </conditionalFormatting>
  <conditionalFormatting sqref="M81:T81">
    <cfRule type="containsBlanks" dxfId="326" priority="240">
      <formula>LEN(TRIM(M81))=0</formula>
    </cfRule>
  </conditionalFormatting>
  <conditionalFormatting sqref="M87:T87">
    <cfRule type="containsBlanks" dxfId="325" priority="239">
      <formula>LEN(TRIM(M87))=0</formula>
    </cfRule>
  </conditionalFormatting>
  <conditionalFormatting sqref="O88:S88">
    <cfRule type="containsBlanks" dxfId="324" priority="238">
      <formula>LEN(TRIM(O88))=0</formula>
    </cfRule>
  </conditionalFormatting>
  <conditionalFormatting sqref="M88:N88">
    <cfRule type="containsBlanks" dxfId="323" priority="237">
      <formula>LEN(TRIM(M88))=0</formula>
    </cfRule>
  </conditionalFormatting>
  <conditionalFormatting sqref="O62:Q62">
    <cfRule type="containsBlanks" dxfId="322" priority="236">
      <formula>LEN(TRIM(O62))=0</formula>
    </cfRule>
  </conditionalFormatting>
  <conditionalFormatting sqref="O63:Q63">
    <cfRule type="containsBlanks" dxfId="321" priority="235">
      <formula>LEN(TRIM(O63))=0</formula>
    </cfRule>
  </conditionalFormatting>
  <conditionalFormatting sqref="O65:Q65">
    <cfRule type="containsBlanks" dxfId="320" priority="234">
      <formula>LEN(TRIM(O65))=0</formula>
    </cfRule>
  </conditionalFormatting>
  <conditionalFormatting sqref="N61:T61">
    <cfRule type="containsBlanks" dxfId="319" priority="233">
      <formula>LEN(TRIM(N61))=0</formula>
    </cfRule>
  </conditionalFormatting>
  <conditionalFormatting sqref="M78:S78">
    <cfRule type="containsBlanks" dxfId="318" priority="232">
      <formula>LEN(TRIM(M78))=0</formula>
    </cfRule>
  </conditionalFormatting>
  <conditionalFormatting sqref="N81:T81">
    <cfRule type="containsBlanks" dxfId="317" priority="231">
      <formula>LEN(TRIM(N81))=0</formula>
    </cfRule>
  </conditionalFormatting>
  <conditionalFormatting sqref="O83:Q83">
    <cfRule type="containsBlanks" dxfId="316" priority="230">
      <formula>LEN(TRIM(O83))=0</formula>
    </cfRule>
  </conditionalFormatting>
  <conditionalFormatting sqref="M85:T85">
    <cfRule type="containsBlanks" dxfId="315" priority="229">
      <formula>LEN(TRIM(M85))=0</formula>
    </cfRule>
  </conditionalFormatting>
  <conditionalFormatting sqref="M91:T91">
    <cfRule type="containsBlanks" dxfId="314" priority="228">
      <formula>LEN(TRIM(M91))=0</formula>
    </cfRule>
  </conditionalFormatting>
  <conditionalFormatting sqref="O92:S92">
    <cfRule type="containsBlanks" dxfId="313" priority="227">
      <formula>LEN(TRIM(O92))=0</formula>
    </cfRule>
  </conditionalFormatting>
  <conditionalFormatting sqref="M92:N92">
    <cfRule type="containsBlanks" dxfId="312" priority="226">
      <formula>LEN(TRIM(M92))=0</formula>
    </cfRule>
  </conditionalFormatting>
  <conditionalFormatting sqref="M55:T55">
    <cfRule type="containsBlanks" dxfId="311" priority="225">
      <formula>LEN(TRIM(M55))=0</formula>
    </cfRule>
  </conditionalFormatting>
  <conditionalFormatting sqref="M56:S56">
    <cfRule type="containsBlanks" dxfId="310" priority="224">
      <formula>LEN(TRIM(M56))=0</formula>
    </cfRule>
  </conditionalFormatting>
  <conditionalFormatting sqref="O54:Q54">
    <cfRule type="containsBlanks" dxfId="309" priority="223">
      <formula>LEN(TRIM(O54))=0</formula>
    </cfRule>
  </conditionalFormatting>
  <conditionalFormatting sqref="O56:Q56">
    <cfRule type="containsBlanks" dxfId="308" priority="222">
      <formula>LEN(TRIM(O56))=0</formula>
    </cfRule>
  </conditionalFormatting>
  <conditionalFormatting sqref="M69:S69">
    <cfRule type="containsBlanks" dxfId="307" priority="221">
      <formula>LEN(TRIM(M69))=0</formula>
    </cfRule>
  </conditionalFormatting>
  <conditionalFormatting sqref="N72:T72">
    <cfRule type="containsBlanks" dxfId="306" priority="220">
      <formula>LEN(TRIM(N72))=0</formula>
    </cfRule>
  </conditionalFormatting>
  <conditionalFormatting sqref="O74:Q74">
    <cfRule type="containsBlanks" dxfId="305" priority="219">
      <formula>LEN(TRIM(O74))=0</formula>
    </cfRule>
  </conditionalFormatting>
  <conditionalFormatting sqref="M76:T76">
    <cfRule type="containsBlanks" dxfId="304" priority="218">
      <formula>LEN(TRIM(M76))=0</formula>
    </cfRule>
  </conditionalFormatting>
  <conditionalFormatting sqref="M82:T82">
    <cfRule type="containsBlanks" dxfId="303" priority="217">
      <formula>LEN(TRIM(M82))=0</formula>
    </cfRule>
  </conditionalFormatting>
  <conditionalFormatting sqref="O83:S83">
    <cfRule type="containsBlanks" dxfId="302" priority="216">
      <formula>LEN(TRIM(O83))=0</formula>
    </cfRule>
  </conditionalFormatting>
  <conditionalFormatting sqref="M83:N83">
    <cfRule type="containsBlanks" dxfId="301" priority="215">
      <formula>LEN(TRIM(M83))=0</formula>
    </cfRule>
  </conditionalFormatting>
  <conditionalFormatting sqref="O55:Q55">
    <cfRule type="containsBlanks" dxfId="300" priority="214">
      <formula>LEN(TRIM(O55))=0</formula>
    </cfRule>
  </conditionalFormatting>
  <conditionalFormatting sqref="O57:Q57">
    <cfRule type="containsBlanks" dxfId="299" priority="213">
      <formula>LEN(TRIM(O57))=0</formula>
    </cfRule>
  </conditionalFormatting>
  <conditionalFormatting sqref="O59:Q59">
    <cfRule type="containsBlanks" dxfId="298" priority="212">
      <formula>LEN(TRIM(O59))=0</formula>
    </cfRule>
  </conditionalFormatting>
  <conditionalFormatting sqref="O72:Q72">
    <cfRule type="containsBlanks" dxfId="297" priority="211">
      <formula>LEN(TRIM(O72))=0</formula>
    </cfRule>
  </conditionalFormatting>
  <conditionalFormatting sqref="O73:Q73">
    <cfRule type="containsBlanks" dxfId="296" priority="210">
      <formula>LEN(TRIM(O73))=0</formula>
    </cfRule>
  </conditionalFormatting>
  <conditionalFormatting sqref="O75:Q75">
    <cfRule type="containsBlanks" dxfId="295" priority="209">
      <formula>LEN(TRIM(O75))=0</formula>
    </cfRule>
  </conditionalFormatting>
  <conditionalFormatting sqref="N71:T71">
    <cfRule type="containsBlanks" dxfId="294" priority="208">
      <formula>LEN(TRIM(N71))=0</formula>
    </cfRule>
  </conditionalFormatting>
  <conditionalFormatting sqref="M88:S88">
    <cfRule type="containsBlanks" dxfId="293" priority="207">
      <formula>LEN(TRIM(M88))=0</formula>
    </cfRule>
  </conditionalFormatting>
  <conditionalFormatting sqref="N91:T91">
    <cfRule type="containsBlanks" dxfId="292" priority="206">
      <formula>LEN(TRIM(N91))=0</formula>
    </cfRule>
  </conditionalFormatting>
  <conditionalFormatting sqref="O93:Q93">
    <cfRule type="containsBlanks" dxfId="291" priority="205">
      <formula>LEN(TRIM(O93))=0</formula>
    </cfRule>
  </conditionalFormatting>
  <conditionalFormatting sqref="M95:T95">
    <cfRule type="containsBlanks" dxfId="290" priority="204">
      <formula>LEN(TRIM(M95))=0</formula>
    </cfRule>
  </conditionalFormatting>
  <conditionalFormatting sqref="M101:T101">
    <cfRule type="containsBlanks" dxfId="289" priority="203">
      <formula>LEN(TRIM(M101))=0</formula>
    </cfRule>
  </conditionalFormatting>
  <conditionalFormatting sqref="O102:S102">
    <cfRule type="containsBlanks" dxfId="288" priority="202">
      <formula>LEN(TRIM(O102))=0</formula>
    </cfRule>
  </conditionalFormatting>
  <conditionalFormatting sqref="M102:N102">
    <cfRule type="containsBlanks" dxfId="287" priority="201">
      <formula>LEN(TRIM(M102))=0</formula>
    </cfRule>
  </conditionalFormatting>
  <conditionalFormatting sqref="M65:T65">
    <cfRule type="containsBlanks" dxfId="286" priority="200">
      <formula>LEN(TRIM(M65))=0</formula>
    </cfRule>
  </conditionalFormatting>
  <conditionalFormatting sqref="M66:S66">
    <cfRule type="containsBlanks" dxfId="285" priority="199">
      <formula>LEN(TRIM(M66))=0</formula>
    </cfRule>
  </conditionalFormatting>
  <conditionalFormatting sqref="O63:Q63">
    <cfRule type="containsBlanks" dxfId="284" priority="198">
      <formula>LEN(TRIM(O63))=0</formula>
    </cfRule>
  </conditionalFormatting>
  <conditionalFormatting sqref="O64:Q64">
    <cfRule type="containsBlanks" dxfId="283" priority="197">
      <formula>LEN(TRIM(O64))=0</formula>
    </cfRule>
  </conditionalFormatting>
  <conditionalFormatting sqref="O66:Q66">
    <cfRule type="containsBlanks" dxfId="282" priority="196">
      <formula>LEN(TRIM(O66))=0</formula>
    </cfRule>
  </conditionalFormatting>
  <conditionalFormatting sqref="N62:T62">
    <cfRule type="containsBlanks" dxfId="281" priority="195">
      <formula>LEN(TRIM(N62))=0</formula>
    </cfRule>
  </conditionalFormatting>
  <conditionalFormatting sqref="M79:S79">
    <cfRule type="containsBlanks" dxfId="280" priority="194">
      <formula>LEN(TRIM(M79))=0</formula>
    </cfRule>
  </conditionalFormatting>
  <conditionalFormatting sqref="N82:T82">
    <cfRule type="containsBlanks" dxfId="279" priority="193">
      <formula>LEN(TRIM(N82))=0</formula>
    </cfRule>
  </conditionalFormatting>
  <conditionalFormatting sqref="O84:Q84">
    <cfRule type="containsBlanks" dxfId="278" priority="192">
      <formula>LEN(TRIM(O84))=0</formula>
    </cfRule>
  </conditionalFormatting>
  <conditionalFormatting sqref="M86:T86">
    <cfRule type="containsBlanks" dxfId="277" priority="191">
      <formula>LEN(TRIM(M86))=0</formula>
    </cfRule>
  </conditionalFormatting>
  <conditionalFormatting sqref="M92:T92">
    <cfRule type="containsBlanks" dxfId="276" priority="190">
      <formula>LEN(TRIM(M92))=0</formula>
    </cfRule>
  </conditionalFormatting>
  <conditionalFormatting sqref="O93:S93">
    <cfRule type="containsBlanks" dxfId="275" priority="189">
      <formula>LEN(TRIM(O93))=0</formula>
    </cfRule>
  </conditionalFormatting>
  <conditionalFormatting sqref="M93:N93">
    <cfRule type="containsBlanks" dxfId="274" priority="188">
      <formula>LEN(TRIM(M93))=0</formula>
    </cfRule>
  </conditionalFormatting>
  <conditionalFormatting sqref="M56:T56">
    <cfRule type="containsBlanks" dxfId="273" priority="187">
      <formula>LEN(TRIM(M56))=0</formula>
    </cfRule>
  </conditionalFormatting>
  <conditionalFormatting sqref="M57:S57">
    <cfRule type="containsBlanks" dxfId="272" priority="186">
      <formula>LEN(TRIM(M57))=0</formula>
    </cfRule>
  </conditionalFormatting>
  <conditionalFormatting sqref="O54:Q54">
    <cfRule type="containsBlanks" dxfId="271" priority="185">
      <formula>LEN(TRIM(O54))=0</formula>
    </cfRule>
  </conditionalFormatting>
  <conditionalFormatting sqref="O67:Q67">
    <cfRule type="containsBlanks" dxfId="270" priority="184">
      <formula>LEN(TRIM(O67))=0</formula>
    </cfRule>
  </conditionalFormatting>
  <conditionalFormatting sqref="O68:Q68">
    <cfRule type="containsBlanks" dxfId="269" priority="183">
      <formula>LEN(TRIM(O68))=0</formula>
    </cfRule>
  </conditionalFormatting>
  <conditionalFormatting sqref="O70:Q70">
    <cfRule type="containsBlanks" dxfId="268" priority="182">
      <formula>LEN(TRIM(O70))=0</formula>
    </cfRule>
  </conditionalFormatting>
  <conditionalFormatting sqref="N66:T66">
    <cfRule type="containsBlanks" dxfId="267" priority="181">
      <formula>LEN(TRIM(N66))=0</formula>
    </cfRule>
  </conditionalFormatting>
  <conditionalFormatting sqref="M83:S83">
    <cfRule type="containsBlanks" dxfId="266" priority="180">
      <formula>LEN(TRIM(M83))=0</formula>
    </cfRule>
  </conditionalFormatting>
  <conditionalFormatting sqref="N86:T86">
    <cfRule type="containsBlanks" dxfId="265" priority="179">
      <formula>LEN(TRIM(N86))=0</formula>
    </cfRule>
  </conditionalFormatting>
  <conditionalFormatting sqref="O88:Q88">
    <cfRule type="containsBlanks" dxfId="264" priority="178">
      <formula>LEN(TRIM(O88))=0</formula>
    </cfRule>
  </conditionalFormatting>
  <conditionalFormatting sqref="M90:T90">
    <cfRule type="containsBlanks" dxfId="263" priority="177">
      <formula>LEN(TRIM(M90))=0</formula>
    </cfRule>
  </conditionalFormatting>
  <conditionalFormatting sqref="M96:T96">
    <cfRule type="containsBlanks" dxfId="262" priority="176">
      <formula>LEN(TRIM(M96))=0</formula>
    </cfRule>
  </conditionalFormatting>
  <conditionalFormatting sqref="O97:S97">
    <cfRule type="containsBlanks" dxfId="261" priority="175">
      <formula>LEN(TRIM(O97))=0</formula>
    </cfRule>
  </conditionalFormatting>
  <conditionalFormatting sqref="M97:N97">
    <cfRule type="containsBlanks" dxfId="260" priority="174">
      <formula>LEN(TRIM(M97))=0</formula>
    </cfRule>
  </conditionalFormatting>
  <conditionalFormatting sqref="M60:T60">
    <cfRule type="containsBlanks" dxfId="259" priority="173">
      <formula>LEN(TRIM(M60))=0</formula>
    </cfRule>
  </conditionalFormatting>
  <conditionalFormatting sqref="M61:S61">
    <cfRule type="containsBlanks" dxfId="258" priority="172">
      <formula>LEN(TRIM(M61))=0</formula>
    </cfRule>
  </conditionalFormatting>
  <conditionalFormatting sqref="O58:Q58">
    <cfRule type="containsBlanks" dxfId="257" priority="171">
      <formula>LEN(TRIM(O58))=0</formula>
    </cfRule>
  </conditionalFormatting>
  <conditionalFormatting sqref="O59:Q59">
    <cfRule type="containsBlanks" dxfId="256" priority="170">
      <formula>LEN(TRIM(O59))=0</formula>
    </cfRule>
  </conditionalFormatting>
  <conditionalFormatting sqref="O61:Q61">
    <cfRule type="containsBlanks" dxfId="255" priority="169">
      <formula>LEN(TRIM(O61))=0</formula>
    </cfRule>
  </conditionalFormatting>
  <conditionalFormatting sqref="N57:T57">
    <cfRule type="containsBlanks" dxfId="254" priority="168">
      <formula>LEN(TRIM(N57))=0</formula>
    </cfRule>
  </conditionalFormatting>
  <conditionalFormatting sqref="M74:S74">
    <cfRule type="containsBlanks" dxfId="253" priority="167">
      <formula>LEN(TRIM(M74))=0</formula>
    </cfRule>
  </conditionalFormatting>
  <conditionalFormatting sqref="N77:T77">
    <cfRule type="containsBlanks" dxfId="252" priority="166">
      <formula>LEN(TRIM(N77))=0</formula>
    </cfRule>
  </conditionalFormatting>
  <conditionalFormatting sqref="O79:Q79">
    <cfRule type="containsBlanks" dxfId="251" priority="165">
      <formula>LEN(TRIM(O79))=0</formula>
    </cfRule>
  </conditionalFormatting>
  <conditionalFormatting sqref="M81:T81">
    <cfRule type="containsBlanks" dxfId="250" priority="164">
      <formula>LEN(TRIM(M81))=0</formula>
    </cfRule>
  </conditionalFormatting>
  <conditionalFormatting sqref="M87:T87">
    <cfRule type="containsBlanks" dxfId="249" priority="163">
      <formula>LEN(TRIM(M87))=0</formula>
    </cfRule>
  </conditionalFormatting>
  <conditionalFormatting sqref="O88:S88">
    <cfRule type="containsBlanks" dxfId="248" priority="162">
      <formula>LEN(TRIM(O88))=0</formula>
    </cfRule>
  </conditionalFormatting>
  <conditionalFormatting sqref="M88:N88">
    <cfRule type="containsBlanks" dxfId="247" priority="161">
      <formula>LEN(TRIM(M88))=0</formula>
    </cfRule>
  </conditionalFormatting>
  <conditionalFormatting sqref="O54:Q54">
    <cfRule type="containsBlanks" dxfId="246" priority="160">
      <formula>LEN(TRIM(O54))=0</formula>
    </cfRule>
  </conditionalFormatting>
  <conditionalFormatting sqref="O56:Q56">
    <cfRule type="containsBlanks" dxfId="245" priority="159">
      <formula>LEN(TRIM(O56))=0</formula>
    </cfRule>
  </conditionalFormatting>
  <conditionalFormatting sqref="O69:Q69">
    <cfRule type="containsBlanks" dxfId="244" priority="158">
      <formula>LEN(TRIM(O69))=0</formula>
    </cfRule>
  </conditionalFormatting>
  <conditionalFormatting sqref="O70:Q70">
    <cfRule type="containsBlanks" dxfId="243" priority="157">
      <formula>LEN(TRIM(O70))=0</formula>
    </cfRule>
  </conditionalFormatting>
  <conditionalFormatting sqref="O72:Q72">
    <cfRule type="containsBlanks" dxfId="242" priority="156">
      <formula>LEN(TRIM(O72))=0</formula>
    </cfRule>
  </conditionalFormatting>
  <conditionalFormatting sqref="N68:T68">
    <cfRule type="containsBlanks" dxfId="241" priority="155">
      <formula>LEN(TRIM(N68))=0</formula>
    </cfRule>
  </conditionalFormatting>
  <conditionalFormatting sqref="M85:S85">
    <cfRule type="containsBlanks" dxfId="240" priority="154">
      <formula>LEN(TRIM(M85))=0</formula>
    </cfRule>
  </conditionalFormatting>
  <conditionalFormatting sqref="N88:T88">
    <cfRule type="containsBlanks" dxfId="239" priority="153">
      <formula>LEN(TRIM(N88))=0</formula>
    </cfRule>
  </conditionalFormatting>
  <conditionalFormatting sqref="O90:Q90">
    <cfRule type="containsBlanks" dxfId="238" priority="152">
      <formula>LEN(TRIM(O90))=0</formula>
    </cfRule>
  </conditionalFormatting>
  <conditionalFormatting sqref="M92:T92">
    <cfRule type="containsBlanks" dxfId="237" priority="151">
      <formula>LEN(TRIM(M92))=0</formula>
    </cfRule>
  </conditionalFormatting>
  <conditionalFormatting sqref="M98:T98">
    <cfRule type="containsBlanks" dxfId="236" priority="150">
      <formula>LEN(TRIM(M98))=0</formula>
    </cfRule>
  </conditionalFormatting>
  <conditionalFormatting sqref="M62:T62">
    <cfRule type="containsBlanks" dxfId="235" priority="147">
      <formula>LEN(TRIM(M62))=0</formula>
    </cfRule>
  </conditionalFormatting>
  <conditionalFormatting sqref="M63:S63">
    <cfRule type="containsBlanks" dxfId="234" priority="146">
      <formula>LEN(TRIM(M63))=0</formula>
    </cfRule>
  </conditionalFormatting>
  <conditionalFormatting sqref="O60:Q60">
    <cfRule type="containsBlanks" dxfId="233" priority="145">
      <formula>LEN(TRIM(O60))=0</formula>
    </cfRule>
  </conditionalFormatting>
  <conditionalFormatting sqref="O61:Q61">
    <cfRule type="containsBlanks" dxfId="232" priority="144">
      <formula>LEN(TRIM(O61))=0</formula>
    </cfRule>
  </conditionalFormatting>
  <conditionalFormatting sqref="O63:Q63">
    <cfRule type="containsBlanks" dxfId="231" priority="143">
      <formula>LEN(TRIM(O63))=0</formula>
    </cfRule>
  </conditionalFormatting>
  <conditionalFormatting sqref="N59:T59">
    <cfRule type="containsBlanks" dxfId="230" priority="142">
      <formula>LEN(TRIM(N59))=0</formula>
    </cfRule>
  </conditionalFormatting>
  <conditionalFormatting sqref="M76:S76">
    <cfRule type="containsBlanks" dxfId="229" priority="141">
      <formula>LEN(TRIM(M76))=0</formula>
    </cfRule>
  </conditionalFormatting>
  <conditionalFormatting sqref="N79:T79">
    <cfRule type="containsBlanks" dxfId="228" priority="140">
      <formula>LEN(TRIM(N79))=0</formula>
    </cfRule>
  </conditionalFormatting>
  <conditionalFormatting sqref="O81:Q81">
    <cfRule type="containsBlanks" dxfId="227" priority="139">
      <formula>LEN(TRIM(O81))=0</formula>
    </cfRule>
  </conditionalFormatting>
  <conditionalFormatting sqref="M83:T83">
    <cfRule type="containsBlanks" dxfId="226" priority="138">
      <formula>LEN(TRIM(M83))=0</formula>
    </cfRule>
  </conditionalFormatting>
  <conditionalFormatting sqref="M89:T89">
    <cfRule type="containsBlanks" dxfId="225" priority="137">
      <formula>LEN(TRIM(M89))=0</formula>
    </cfRule>
  </conditionalFormatting>
  <conditionalFormatting sqref="O90:S90">
    <cfRule type="containsBlanks" dxfId="224" priority="136">
      <formula>LEN(TRIM(O90))=0</formula>
    </cfRule>
  </conditionalFormatting>
  <conditionalFormatting sqref="M90:N90">
    <cfRule type="containsBlanks" dxfId="223" priority="135">
      <formula>LEN(TRIM(M90))=0</formula>
    </cfRule>
  </conditionalFormatting>
  <conditionalFormatting sqref="M54:S54">
    <cfRule type="containsBlanks" dxfId="222" priority="134">
      <formula>LEN(TRIM(M54))=0</formula>
    </cfRule>
  </conditionalFormatting>
  <conditionalFormatting sqref="O64:Q64">
    <cfRule type="containsBlanks" dxfId="221" priority="133">
      <formula>LEN(TRIM(O64))=0</formula>
    </cfRule>
  </conditionalFormatting>
  <conditionalFormatting sqref="O65:Q65">
    <cfRule type="containsBlanks" dxfId="220" priority="132">
      <formula>LEN(TRIM(O65))=0</formula>
    </cfRule>
  </conditionalFormatting>
  <conditionalFormatting sqref="O67:Q67">
    <cfRule type="containsBlanks" dxfId="219" priority="131">
      <formula>LEN(TRIM(O67))=0</formula>
    </cfRule>
  </conditionalFormatting>
  <conditionalFormatting sqref="N63:T63">
    <cfRule type="containsBlanks" dxfId="218" priority="130">
      <formula>LEN(TRIM(N63))=0</formula>
    </cfRule>
  </conditionalFormatting>
  <conditionalFormatting sqref="M80:S80">
    <cfRule type="containsBlanks" dxfId="217" priority="129">
      <formula>LEN(TRIM(M80))=0</formula>
    </cfRule>
  </conditionalFormatting>
  <conditionalFormatting sqref="N83:T83">
    <cfRule type="containsBlanks" dxfId="216" priority="128">
      <formula>LEN(TRIM(N83))=0</formula>
    </cfRule>
  </conditionalFormatting>
  <conditionalFormatting sqref="O85:Q85">
    <cfRule type="containsBlanks" dxfId="215" priority="127">
      <formula>LEN(TRIM(O85))=0</formula>
    </cfRule>
  </conditionalFormatting>
  <conditionalFormatting sqref="M87:T87">
    <cfRule type="containsBlanks" dxfId="214" priority="126">
      <formula>LEN(TRIM(M87))=0</formula>
    </cfRule>
  </conditionalFormatting>
  <conditionalFormatting sqref="M93:T93">
    <cfRule type="containsBlanks" dxfId="213" priority="125">
      <formula>LEN(TRIM(M93))=0</formula>
    </cfRule>
  </conditionalFormatting>
  <conditionalFormatting sqref="O94:S94">
    <cfRule type="containsBlanks" dxfId="212" priority="124">
      <formula>LEN(TRIM(O94))=0</formula>
    </cfRule>
  </conditionalFormatting>
  <conditionalFormatting sqref="M94:N94">
    <cfRule type="containsBlanks" dxfId="211" priority="123">
      <formula>LEN(TRIM(M94))=0</formula>
    </cfRule>
  </conditionalFormatting>
  <conditionalFormatting sqref="M57:T57">
    <cfRule type="containsBlanks" dxfId="210" priority="122">
      <formula>LEN(TRIM(M57))=0</formula>
    </cfRule>
  </conditionalFormatting>
  <conditionalFormatting sqref="M58:S58">
    <cfRule type="containsBlanks" dxfId="209" priority="121">
      <formula>LEN(TRIM(M58))=0</formula>
    </cfRule>
  </conditionalFormatting>
  <conditionalFormatting sqref="O55:Q55">
    <cfRule type="containsBlanks" dxfId="208" priority="120">
      <formula>LEN(TRIM(O55))=0</formula>
    </cfRule>
  </conditionalFormatting>
  <conditionalFormatting sqref="O56:Q56">
    <cfRule type="containsBlanks" dxfId="207" priority="119">
      <formula>LEN(TRIM(O56))=0</formula>
    </cfRule>
  </conditionalFormatting>
  <conditionalFormatting sqref="O58:Q58">
    <cfRule type="containsBlanks" dxfId="206" priority="118">
      <formula>LEN(TRIM(O58))=0</formula>
    </cfRule>
  </conditionalFormatting>
  <conditionalFormatting sqref="N54:T54">
    <cfRule type="containsBlanks" dxfId="205" priority="117">
      <formula>LEN(TRIM(N54))=0</formula>
    </cfRule>
  </conditionalFormatting>
  <conditionalFormatting sqref="M71:S71">
    <cfRule type="containsBlanks" dxfId="204" priority="116">
      <formula>LEN(TRIM(M71))=0</formula>
    </cfRule>
  </conditionalFormatting>
  <conditionalFormatting sqref="N74:T74">
    <cfRule type="containsBlanks" dxfId="203" priority="115">
      <formula>LEN(TRIM(N74))=0</formula>
    </cfRule>
  </conditionalFormatting>
  <conditionalFormatting sqref="O76:Q76">
    <cfRule type="containsBlanks" dxfId="202" priority="114">
      <formula>LEN(TRIM(O76))=0</formula>
    </cfRule>
  </conditionalFormatting>
  <conditionalFormatting sqref="M78:T78">
    <cfRule type="containsBlanks" dxfId="201" priority="113">
      <formula>LEN(TRIM(M78))=0</formula>
    </cfRule>
  </conditionalFormatting>
  <conditionalFormatting sqref="M84:T84">
    <cfRule type="containsBlanks" dxfId="200" priority="112">
      <formula>LEN(TRIM(M84))=0</formula>
    </cfRule>
  </conditionalFormatting>
  <conditionalFormatting sqref="O85:S85">
    <cfRule type="containsBlanks" dxfId="199" priority="111">
      <formula>LEN(TRIM(O85))=0</formula>
    </cfRule>
  </conditionalFormatting>
  <conditionalFormatting sqref="M85:N85">
    <cfRule type="containsBlanks" dxfId="198" priority="110">
      <formula>LEN(TRIM(M85))=0</formula>
    </cfRule>
  </conditionalFormatting>
  <conditionalFormatting sqref="O54:Q54">
    <cfRule type="containsBlanks" dxfId="197" priority="109">
      <formula>LEN(TRIM(O54))=0</formula>
    </cfRule>
  </conditionalFormatting>
  <conditionalFormatting sqref="O56:Q56">
    <cfRule type="containsBlanks" dxfId="196" priority="108">
      <formula>LEN(TRIM(O56))=0</formula>
    </cfRule>
  </conditionalFormatting>
  <conditionalFormatting sqref="O69:Q69">
    <cfRule type="containsBlanks" dxfId="195" priority="107">
      <formula>LEN(TRIM(O69))=0</formula>
    </cfRule>
  </conditionalFormatting>
  <conditionalFormatting sqref="O70:Q70">
    <cfRule type="containsBlanks" dxfId="194" priority="106">
      <formula>LEN(TRIM(O70))=0</formula>
    </cfRule>
  </conditionalFormatting>
  <conditionalFormatting sqref="O72:Q72">
    <cfRule type="containsBlanks" dxfId="193" priority="105">
      <formula>LEN(TRIM(O72))=0</formula>
    </cfRule>
  </conditionalFormatting>
  <conditionalFormatting sqref="N68:T68">
    <cfRule type="containsBlanks" dxfId="192" priority="104">
      <formula>LEN(TRIM(N68))=0</formula>
    </cfRule>
  </conditionalFormatting>
  <conditionalFormatting sqref="M85:S85">
    <cfRule type="containsBlanks" dxfId="191" priority="103">
      <formula>LEN(TRIM(M85))=0</formula>
    </cfRule>
  </conditionalFormatting>
  <conditionalFormatting sqref="N88:T88">
    <cfRule type="containsBlanks" dxfId="190" priority="102">
      <formula>LEN(TRIM(N88))=0</formula>
    </cfRule>
  </conditionalFormatting>
  <conditionalFormatting sqref="O90:Q90">
    <cfRule type="containsBlanks" dxfId="189" priority="101">
      <formula>LEN(TRIM(O90))=0</formula>
    </cfRule>
  </conditionalFormatting>
  <conditionalFormatting sqref="M92:T92">
    <cfRule type="containsBlanks" dxfId="188" priority="100">
      <formula>LEN(TRIM(M92))=0</formula>
    </cfRule>
  </conditionalFormatting>
  <conditionalFormatting sqref="M98:T98">
    <cfRule type="containsBlanks" dxfId="187" priority="99">
      <formula>LEN(TRIM(M98))=0</formula>
    </cfRule>
  </conditionalFormatting>
  <conditionalFormatting sqref="M62:T62">
    <cfRule type="containsBlanks" dxfId="186" priority="96">
      <formula>LEN(TRIM(M62))=0</formula>
    </cfRule>
  </conditionalFormatting>
  <conditionalFormatting sqref="M63:S63">
    <cfRule type="containsBlanks" dxfId="185" priority="95">
      <formula>LEN(TRIM(M63))=0</formula>
    </cfRule>
  </conditionalFormatting>
  <conditionalFormatting sqref="O60:Q60">
    <cfRule type="containsBlanks" dxfId="184" priority="94">
      <formula>LEN(TRIM(O60))=0</formula>
    </cfRule>
  </conditionalFormatting>
  <conditionalFormatting sqref="O61:Q61">
    <cfRule type="containsBlanks" dxfId="183" priority="93">
      <formula>LEN(TRIM(O61))=0</formula>
    </cfRule>
  </conditionalFormatting>
  <conditionalFormatting sqref="O63:Q63">
    <cfRule type="containsBlanks" dxfId="182" priority="92">
      <formula>LEN(TRIM(O63))=0</formula>
    </cfRule>
  </conditionalFormatting>
  <conditionalFormatting sqref="N59:T59">
    <cfRule type="containsBlanks" dxfId="181" priority="91">
      <formula>LEN(TRIM(N59))=0</formula>
    </cfRule>
  </conditionalFormatting>
  <conditionalFormatting sqref="M76:S76">
    <cfRule type="containsBlanks" dxfId="180" priority="90">
      <formula>LEN(TRIM(M76))=0</formula>
    </cfRule>
  </conditionalFormatting>
  <conditionalFormatting sqref="N79:T79">
    <cfRule type="containsBlanks" dxfId="179" priority="89">
      <formula>LEN(TRIM(N79))=0</formula>
    </cfRule>
  </conditionalFormatting>
  <conditionalFormatting sqref="O81:Q81">
    <cfRule type="containsBlanks" dxfId="178" priority="88">
      <formula>LEN(TRIM(O81))=0</formula>
    </cfRule>
  </conditionalFormatting>
  <conditionalFormatting sqref="M83:T83">
    <cfRule type="containsBlanks" dxfId="177" priority="87">
      <formula>LEN(TRIM(M83))=0</formula>
    </cfRule>
  </conditionalFormatting>
  <conditionalFormatting sqref="M89:T89">
    <cfRule type="containsBlanks" dxfId="176" priority="86">
      <formula>LEN(TRIM(M89))=0</formula>
    </cfRule>
  </conditionalFormatting>
  <conditionalFormatting sqref="O90:S90">
    <cfRule type="containsBlanks" dxfId="175" priority="85">
      <formula>LEN(TRIM(O90))=0</formula>
    </cfRule>
  </conditionalFormatting>
  <conditionalFormatting sqref="M90:N90">
    <cfRule type="containsBlanks" dxfId="174" priority="84">
      <formula>LEN(TRIM(M90))=0</formula>
    </cfRule>
  </conditionalFormatting>
  <conditionalFormatting sqref="M54:S54">
    <cfRule type="containsBlanks" dxfId="173" priority="83">
      <formula>LEN(TRIM(M54))=0</formula>
    </cfRule>
  </conditionalFormatting>
  <conditionalFormatting sqref="O64:Q64">
    <cfRule type="containsBlanks" dxfId="172" priority="82">
      <formula>LEN(TRIM(O64))=0</formula>
    </cfRule>
  </conditionalFormatting>
  <conditionalFormatting sqref="O65:Q65">
    <cfRule type="containsBlanks" dxfId="171" priority="81">
      <formula>LEN(TRIM(O65))=0</formula>
    </cfRule>
  </conditionalFormatting>
  <conditionalFormatting sqref="O67:Q67">
    <cfRule type="containsBlanks" dxfId="170" priority="80">
      <formula>LEN(TRIM(O67))=0</formula>
    </cfRule>
  </conditionalFormatting>
  <conditionalFormatting sqref="N63:T63">
    <cfRule type="containsBlanks" dxfId="169" priority="79">
      <formula>LEN(TRIM(N63))=0</formula>
    </cfRule>
  </conditionalFormatting>
  <conditionalFormatting sqref="M80:S80">
    <cfRule type="containsBlanks" dxfId="168" priority="78">
      <formula>LEN(TRIM(M80))=0</formula>
    </cfRule>
  </conditionalFormatting>
  <conditionalFormatting sqref="N83:T83">
    <cfRule type="containsBlanks" dxfId="167" priority="77">
      <formula>LEN(TRIM(N83))=0</formula>
    </cfRule>
  </conditionalFormatting>
  <conditionalFormatting sqref="O85:Q85">
    <cfRule type="containsBlanks" dxfId="166" priority="76">
      <formula>LEN(TRIM(O85))=0</formula>
    </cfRule>
  </conditionalFormatting>
  <conditionalFormatting sqref="M87:T87">
    <cfRule type="containsBlanks" dxfId="165" priority="75">
      <formula>LEN(TRIM(M87))=0</formula>
    </cfRule>
  </conditionalFormatting>
  <conditionalFormatting sqref="M93:T93">
    <cfRule type="containsBlanks" dxfId="164" priority="74">
      <formula>LEN(TRIM(M93))=0</formula>
    </cfRule>
  </conditionalFormatting>
  <conditionalFormatting sqref="O94:S94">
    <cfRule type="containsBlanks" dxfId="163" priority="73">
      <formula>LEN(TRIM(O94))=0</formula>
    </cfRule>
  </conditionalFormatting>
  <conditionalFormatting sqref="M94:N94">
    <cfRule type="containsBlanks" dxfId="162" priority="72">
      <formula>LEN(TRIM(M94))=0</formula>
    </cfRule>
  </conditionalFormatting>
  <conditionalFormatting sqref="M57:T57">
    <cfRule type="containsBlanks" dxfId="161" priority="71">
      <formula>LEN(TRIM(M57))=0</formula>
    </cfRule>
  </conditionalFormatting>
  <conditionalFormatting sqref="M58:S58">
    <cfRule type="containsBlanks" dxfId="160" priority="70">
      <formula>LEN(TRIM(M58))=0</formula>
    </cfRule>
  </conditionalFormatting>
  <conditionalFormatting sqref="O55:Q55">
    <cfRule type="containsBlanks" dxfId="159" priority="69">
      <formula>LEN(TRIM(O55))=0</formula>
    </cfRule>
  </conditionalFormatting>
  <conditionalFormatting sqref="O56:Q56">
    <cfRule type="containsBlanks" dxfId="158" priority="68">
      <formula>LEN(TRIM(O56))=0</formula>
    </cfRule>
  </conditionalFormatting>
  <conditionalFormatting sqref="O58:Q58">
    <cfRule type="containsBlanks" dxfId="157" priority="67">
      <formula>LEN(TRIM(O58))=0</formula>
    </cfRule>
  </conditionalFormatting>
  <conditionalFormatting sqref="N54:T54">
    <cfRule type="containsBlanks" dxfId="156" priority="66">
      <formula>LEN(TRIM(N54))=0</formula>
    </cfRule>
  </conditionalFormatting>
  <conditionalFormatting sqref="M71:S71">
    <cfRule type="containsBlanks" dxfId="155" priority="65">
      <formula>LEN(TRIM(M71))=0</formula>
    </cfRule>
  </conditionalFormatting>
  <conditionalFormatting sqref="N74:T74">
    <cfRule type="containsBlanks" dxfId="154" priority="64">
      <formula>LEN(TRIM(N74))=0</formula>
    </cfRule>
  </conditionalFormatting>
  <conditionalFormatting sqref="O76:Q76">
    <cfRule type="containsBlanks" dxfId="153" priority="63">
      <formula>LEN(TRIM(O76))=0</formula>
    </cfRule>
  </conditionalFormatting>
  <conditionalFormatting sqref="M78:T78">
    <cfRule type="containsBlanks" dxfId="152" priority="62">
      <formula>LEN(TRIM(M78))=0</formula>
    </cfRule>
  </conditionalFormatting>
  <conditionalFormatting sqref="M84:T84">
    <cfRule type="containsBlanks" dxfId="151" priority="61">
      <formula>LEN(TRIM(M84))=0</formula>
    </cfRule>
  </conditionalFormatting>
  <conditionalFormatting sqref="O85:S85">
    <cfRule type="containsBlanks" dxfId="150" priority="60">
      <formula>LEN(TRIM(O85))=0</formula>
    </cfRule>
  </conditionalFormatting>
  <conditionalFormatting sqref="M85:N85">
    <cfRule type="containsBlanks" dxfId="149" priority="59">
      <formula>LEN(TRIM(M85))=0</formula>
    </cfRule>
  </conditionalFormatting>
  <conditionalFormatting sqref="O66:Q66">
    <cfRule type="containsBlanks" dxfId="148" priority="58">
      <formula>LEN(TRIM(O66))=0</formula>
    </cfRule>
  </conditionalFormatting>
  <conditionalFormatting sqref="O67:Q67">
    <cfRule type="containsBlanks" dxfId="147" priority="57">
      <formula>LEN(TRIM(O67))=0</formula>
    </cfRule>
  </conditionalFormatting>
  <conditionalFormatting sqref="O69:Q69">
    <cfRule type="containsBlanks" dxfId="146" priority="56">
      <formula>LEN(TRIM(O69))=0</formula>
    </cfRule>
  </conditionalFormatting>
  <conditionalFormatting sqref="N65:T65">
    <cfRule type="containsBlanks" dxfId="145" priority="55">
      <formula>LEN(TRIM(N65))=0</formula>
    </cfRule>
  </conditionalFormatting>
  <conditionalFormatting sqref="M82:S82">
    <cfRule type="containsBlanks" dxfId="144" priority="54">
      <formula>LEN(TRIM(M82))=0</formula>
    </cfRule>
  </conditionalFormatting>
  <conditionalFormatting sqref="N85:T85">
    <cfRule type="containsBlanks" dxfId="143" priority="53">
      <formula>LEN(TRIM(N85))=0</formula>
    </cfRule>
  </conditionalFormatting>
  <conditionalFormatting sqref="O87:Q87">
    <cfRule type="containsBlanks" dxfId="142" priority="52">
      <formula>LEN(TRIM(O87))=0</formula>
    </cfRule>
  </conditionalFormatting>
  <conditionalFormatting sqref="M89:T89">
    <cfRule type="containsBlanks" dxfId="141" priority="51">
      <formula>LEN(TRIM(M89))=0</formula>
    </cfRule>
  </conditionalFormatting>
  <conditionalFormatting sqref="M95:T95">
    <cfRule type="containsBlanks" dxfId="140" priority="50">
      <formula>LEN(TRIM(M95))=0</formula>
    </cfRule>
  </conditionalFormatting>
  <conditionalFormatting sqref="O96:S96">
    <cfRule type="containsBlanks" dxfId="139" priority="49">
      <formula>LEN(TRIM(O96))=0</formula>
    </cfRule>
  </conditionalFormatting>
  <conditionalFormatting sqref="M96:N96">
    <cfRule type="containsBlanks" dxfId="138" priority="48">
      <formula>LEN(TRIM(M96))=0</formula>
    </cfRule>
  </conditionalFormatting>
  <conditionalFormatting sqref="M59:T59">
    <cfRule type="containsBlanks" dxfId="137" priority="47">
      <formula>LEN(TRIM(M59))=0</formula>
    </cfRule>
  </conditionalFormatting>
  <conditionalFormatting sqref="M60:S60">
    <cfRule type="containsBlanks" dxfId="136" priority="46">
      <formula>LEN(TRIM(M60))=0</formula>
    </cfRule>
  </conditionalFormatting>
  <conditionalFormatting sqref="O57:Q57">
    <cfRule type="containsBlanks" dxfId="135" priority="45">
      <formula>LEN(TRIM(O57))=0</formula>
    </cfRule>
  </conditionalFormatting>
  <conditionalFormatting sqref="O58:Q58">
    <cfRule type="containsBlanks" dxfId="134" priority="44">
      <formula>LEN(TRIM(O58))=0</formula>
    </cfRule>
  </conditionalFormatting>
  <conditionalFormatting sqref="O60:Q60">
    <cfRule type="containsBlanks" dxfId="133" priority="43">
      <formula>LEN(TRIM(O60))=0</formula>
    </cfRule>
  </conditionalFormatting>
  <conditionalFormatting sqref="N56:T56">
    <cfRule type="containsBlanks" dxfId="132" priority="42">
      <formula>LEN(TRIM(N56))=0</formula>
    </cfRule>
  </conditionalFormatting>
  <conditionalFormatting sqref="M73:S73">
    <cfRule type="containsBlanks" dxfId="131" priority="41">
      <formula>LEN(TRIM(M73))=0</formula>
    </cfRule>
  </conditionalFormatting>
  <conditionalFormatting sqref="N76:T76">
    <cfRule type="containsBlanks" dxfId="130" priority="40">
      <formula>LEN(TRIM(N76))=0</formula>
    </cfRule>
  </conditionalFormatting>
  <conditionalFormatting sqref="O78:Q78">
    <cfRule type="containsBlanks" dxfId="129" priority="39">
      <formula>LEN(TRIM(O78))=0</formula>
    </cfRule>
  </conditionalFormatting>
  <conditionalFormatting sqref="M80:T80">
    <cfRule type="containsBlanks" dxfId="128" priority="38">
      <formula>LEN(TRIM(M80))=0</formula>
    </cfRule>
  </conditionalFormatting>
  <conditionalFormatting sqref="M86:T86">
    <cfRule type="containsBlanks" dxfId="127" priority="37">
      <formula>LEN(TRIM(M86))=0</formula>
    </cfRule>
  </conditionalFormatting>
  <conditionalFormatting sqref="O87:S87">
    <cfRule type="containsBlanks" dxfId="126" priority="36">
      <formula>LEN(TRIM(O87))=0</formula>
    </cfRule>
  </conditionalFormatting>
  <conditionalFormatting sqref="M87:N87">
    <cfRule type="containsBlanks" dxfId="125" priority="35">
      <formula>LEN(TRIM(M87))=0</formula>
    </cfRule>
  </conditionalFormatting>
  <conditionalFormatting sqref="O61:Q61">
    <cfRule type="containsBlanks" dxfId="124" priority="34">
      <formula>LEN(TRIM(O61))=0</formula>
    </cfRule>
  </conditionalFormatting>
  <conditionalFormatting sqref="O62:Q62">
    <cfRule type="containsBlanks" dxfId="123" priority="33">
      <formula>LEN(TRIM(O62))=0</formula>
    </cfRule>
  </conditionalFormatting>
  <conditionalFormatting sqref="O64:Q64">
    <cfRule type="containsBlanks" dxfId="122" priority="32">
      <formula>LEN(TRIM(O64))=0</formula>
    </cfRule>
  </conditionalFormatting>
  <conditionalFormatting sqref="N60:T60">
    <cfRule type="containsBlanks" dxfId="121" priority="31">
      <formula>LEN(TRIM(N60))=0</formula>
    </cfRule>
  </conditionalFormatting>
  <conditionalFormatting sqref="M77:S77">
    <cfRule type="containsBlanks" dxfId="120" priority="30">
      <formula>LEN(TRIM(M77))=0</formula>
    </cfRule>
  </conditionalFormatting>
  <conditionalFormatting sqref="N80:T80">
    <cfRule type="containsBlanks" dxfId="119" priority="29">
      <formula>LEN(TRIM(N80))=0</formula>
    </cfRule>
  </conditionalFormatting>
  <conditionalFormatting sqref="O82:Q82">
    <cfRule type="containsBlanks" dxfId="118" priority="28">
      <formula>LEN(TRIM(O82))=0</formula>
    </cfRule>
  </conditionalFormatting>
  <conditionalFormatting sqref="M84:T84">
    <cfRule type="containsBlanks" dxfId="117" priority="27">
      <formula>LEN(TRIM(M84))=0</formula>
    </cfRule>
  </conditionalFormatting>
  <conditionalFormatting sqref="M90:T90">
    <cfRule type="containsBlanks" dxfId="116" priority="26">
      <formula>LEN(TRIM(M90))=0</formula>
    </cfRule>
  </conditionalFormatting>
  <conditionalFormatting sqref="O91:S91">
    <cfRule type="containsBlanks" dxfId="115" priority="25">
      <formula>LEN(TRIM(O91))=0</formula>
    </cfRule>
  </conditionalFormatting>
  <conditionalFormatting sqref="M91:N91">
    <cfRule type="containsBlanks" dxfId="114" priority="24">
      <formula>LEN(TRIM(M91))=0</formula>
    </cfRule>
  </conditionalFormatting>
  <conditionalFormatting sqref="M54:T54">
    <cfRule type="containsBlanks" dxfId="113" priority="23">
      <formula>LEN(TRIM(M54))=0</formula>
    </cfRule>
  </conditionalFormatting>
  <conditionalFormatting sqref="M55:S55">
    <cfRule type="containsBlanks" dxfId="112" priority="22">
      <formula>LEN(TRIM(M55))=0</formula>
    </cfRule>
  </conditionalFormatting>
  <conditionalFormatting sqref="O55:Q55">
    <cfRule type="containsBlanks" dxfId="111" priority="21">
      <formula>LEN(TRIM(O55))=0</formula>
    </cfRule>
  </conditionalFormatting>
  <conditionalFormatting sqref="M68:S68">
    <cfRule type="containsBlanks" dxfId="110" priority="20">
      <formula>LEN(TRIM(M68))=0</formula>
    </cfRule>
  </conditionalFormatting>
  <conditionalFormatting sqref="N71:T71">
    <cfRule type="containsBlanks" dxfId="109" priority="19">
      <formula>LEN(TRIM(N71))=0</formula>
    </cfRule>
  </conditionalFormatting>
  <conditionalFormatting sqref="O73:Q73">
    <cfRule type="containsBlanks" dxfId="108" priority="18">
      <formula>LEN(TRIM(O73))=0</formula>
    </cfRule>
  </conditionalFormatting>
  <conditionalFormatting sqref="M75:T75">
    <cfRule type="containsBlanks" dxfId="107" priority="17">
      <formula>LEN(TRIM(M75))=0</formula>
    </cfRule>
  </conditionalFormatting>
  <conditionalFormatting sqref="M81:T81">
    <cfRule type="containsBlanks" dxfId="106" priority="16">
      <formula>LEN(TRIM(M81))=0</formula>
    </cfRule>
  </conditionalFormatting>
  <conditionalFormatting sqref="O82:S82">
    <cfRule type="containsBlanks" dxfId="105" priority="15">
      <formula>LEN(TRIM(O82))=0</formula>
    </cfRule>
  </conditionalFormatting>
  <conditionalFormatting sqref="M82:N82">
    <cfRule type="containsBlanks" dxfId="104" priority="14">
      <formula>LEN(TRIM(M82))=0</formula>
    </cfRule>
  </conditionalFormatting>
  <conditionalFormatting sqref="M117">
    <cfRule type="containsBlanks" dxfId="103" priority="12">
      <formula>LEN(TRIM(M117))=0</formula>
    </cfRule>
  </conditionalFormatting>
  <conditionalFormatting sqref="N117">
    <cfRule type="containsBlanks" dxfId="102" priority="11">
      <formula>LEN(TRIM(N117))=0</formula>
    </cfRule>
  </conditionalFormatting>
  <conditionalFormatting sqref="M118">
    <cfRule type="containsBlanks" dxfId="101" priority="10">
      <formula>LEN(TRIM(M118))=0</formula>
    </cfRule>
  </conditionalFormatting>
  <conditionalFormatting sqref="N118">
    <cfRule type="containsBlanks" dxfId="100" priority="9">
      <formula>LEN(TRIM(N118))=0</formula>
    </cfRule>
  </conditionalFormatting>
  <conditionalFormatting sqref="M119">
    <cfRule type="containsBlanks" dxfId="99" priority="8">
      <formula>LEN(TRIM(M119))=0</formula>
    </cfRule>
  </conditionalFormatting>
  <conditionalFormatting sqref="N119">
    <cfRule type="containsBlanks" dxfId="98" priority="7">
      <formula>LEN(TRIM(N119))=0</formula>
    </cfRule>
  </conditionalFormatting>
  <conditionalFormatting sqref="O119">
    <cfRule type="containsBlanks" dxfId="97" priority="6">
      <formula>LEN(TRIM(O119))=0</formula>
    </cfRule>
  </conditionalFormatting>
  <conditionalFormatting sqref="Q119">
    <cfRule type="containsBlanks" dxfId="96" priority="5">
      <formula>LEN(TRIM(Q119))=0</formula>
    </cfRule>
  </conditionalFormatting>
  <conditionalFormatting sqref="O99:T99">
    <cfRule type="containsBlanks" dxfId="95" priority="3">
      <formula>LEN(TRIM(O99))=0</formula>
    </cfRule>
  </conditionalFormatting>
  <conditionalFormatting sqref="M99:N99">
    <cfRule type="containsBlanks" dxfId="94" priority="1">
      <formula>LEN(TRIM(M99))=0</formula>
    </cfRule>
  </conditionalFormatting>
  <dataValidations count="2">
    <dataValidation type="list" allowBlank="1" showInputMessage="1" showErrorMessage="1" sqref="D3:D133" xr:uid="{CE3A5E30-BDC5-43B9-86CF-AFF4D7EAB890}">
      <formula1>Tipo_de_profesor</formula1>
    </dataValidation>
    <dataValidation type="list" allowBlank="1" showInputMessage="1" showErrorMessage="1" sqref="C3:C133" xr:uid="{90997E79-CFBF-4D12-9637-1187691BF093}">
      <formula1>Gdo</formula1>
    </dataValidation>
  </dataValidations>
  <hyperlinks>
    <hyperlink ref="N6" r:id="rId1" xr:uid="{F598FFBC-AFA0-46E0-ADD8-9E2D5AEE3BAC}"/>
    <hyperlink ref="N3" r:id="rId2" xr:uid="{BDB0A3A4-60DF-4047-B6C1-FC095F498541}"/>
    <hyperlink ref="N5" r:id="rId3" display="beiceman@gmail.com" xr:uid="{B404F555-0F5D-49DD-A11D-F3DF20C9E13A}"/>
    <hyperlink ref="N29" r:id="rId4" display="mailto:dlarrondom@up.edu.mx" xr:uid="{680F0B7A-213D-460F-8F3A-915CB2319CB5}"/>
    <hyperlink ref="N49" r:id="rId5" xr:uid="{5F630987-A7C1-438D-9601-77F5C9AB6250}"/>
    <hyperlink ref="N8" r:id="rId6" xr:uid="{52FC95E9-318A-4D78-8531-B6E0852BA7DA}"/>
    <hyperlink ref="N28" r:id="rId7" xr:uid="{F8F0810C-8BB4-4D8F-A1BB-C0DEC9AE61E8}"/>
    <hyperlink ref="N12" r:id="rId8" xr:uid="{2DAA14B9-A9F4-4783-BF95-C4A14C1928FC}"/>
    <hyperlink ref="N100" r:id="rId9" xr:uid="{B20CAE32-73D0-4C9D-8E88-62C9AAF1A24E}"/>
    <hyperlink ref="N69" r:id="rId10" xr:uid="{EF308A47-4B67-4BF5-ADD5-B66C49D236B0}"/>
    <hyperlink ref="N36" r:id="rId11" xr:uid="{9B4F6734-791F-4C11-94E1-0AE7220DB2DE}"/>
  </hyperlinks>
  <pageMargins left="0.7" right="0.7" top="0.75" bottom="0.75" header="0.3" footer="0.3"/>
  <pageSetup paperSize="9" orientation="portrait" r:id="rId12"/>
  <legacyDrawing r:id="rId13"/>
  <tableParts count="4">
    <tablePart r:id="rId14"/>
    <tablePart r:id="rId15"/>
    <tablePart r:id="rId16"/>
    <tablePart r:id="rId1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E9C6-5CB8-4C73-BDE9-EEACFEC910F9}">
  <dimension ref="B2:P13"/>
  <sheetViews>
    <sheetView zoomScale="87" zoomScaleNormal="87" workbookViewId="0">
      <selection activeCell="K39" sqref="K39"/>
    </sheetView>
  </sheetViews>
  <sheetFormatPr baseColWidth="10" defaultColWidth="10.6640625" defaultRowHeight="13"/>
  <cols>
    <col min="2" max="2" width="14" customWidth="1"/>
    <col min="4" max="4" width="10.83203125" bestFit="1" customWidth="1"/>
    <col min="5" max="5" width="11.5" bestFit="1" customWidth="1"/>
    <col min="6" max="6" width="9.33203125" customWidth="1"/>
    <col min="7" max="7" width="21.5" bestFit="1" customWidth="1"/>
    <col min="10" max="10" width="12.83203125" customWidth="1"/>
  </cols>
  <sheetData>
    <row r="2" spans="2:16" ht="48">
      <c r="B2" s="42" t="s">
        <v>17</v>
      </c>
      <c r="C2" s="42" t="s">
        <v>51</v>
      </c>
      <c r="D2" s="42" t="s">
        <v>1140</v>
      </c>
      <c r="E2" s="42" t="s">
        <v>1141</v>
      </c>
      <c r="G2" s="42" t="s">
        <v>12</v>
      </c>
      <c r="H2" s="42" t="s">
        <v>1142</v>
      </c>
      <c r="I2" s="42" t="s">
        <v>1140</v>
      </c>
      <c r="J2" s="42" t="s">
        <v>1141</v>
      </c>
      <c r="L2" s="42" t="s">
        <v>446</v>
      </c>
      <c r="M2" s="42" t="s">
        <v>40</v>
      </c>
      <c r="N2" s="42" t="s">
        <v>1143</v>
      </c>
      <c r="O2" s="42" t="s">
        <v>16</v>
      </c>
      <c r="P2" s="42" t="s">
        <v>1143</v>
      </c>
    </row>
    <row r="3" spans="2:16" ht="14">
      <c r="B3" s="41" t="s">
        <v>479</v>
      </c>
      <c r="C3" s="47">
        <f ca="1">SUMIFS(base_de_datos[Índice],base_de_datos[Academia],B3,base_de_datos[Misma o no],1)/COUNTIFS(base_de_datos[Academia],B3,base_de_datos[Misma o no],1)</f>
        <v>3.3333333333333335</v>
      </c>
      <c r="D3" s="95">
        <f ca="1">SUMIFS(base_de_datos[Misma o no],base_de_datos[Misma o no],1,base_de_datos[Grado de profesor],"SNI",base_de_datos[Academia],B3)/SUMIF(base_de_datos[Academia],B3,base_de_datos[Misma o no])</f>
        <v>0</v>
      </c>
      <c r="E3" s="95">
        <f ca="1">SUMIFS(base_de_datos[HT Plan],base_de_datos[Misma o no],1,base_de_datos[Grado de profesor],"SNI",base_de_datos[Academia],B3)/SUMIFS(base_de_datos[HT Plan],base_de_datos[Misma o no],1,base_de_datos[Academia],B3)</f>
        <v>0</v>
      </c>
      <c r="G3" t="s">
        <v>45</v>
      </c>
      <c r="H3" s="46" t="e">
        <f>base_de_datos[[#Totals],[ICA II]]</f>
        <v>#REF!</v>
      </c>
      <c r="I3" s="95">
        <f ca="1">SUMIFS(base_de_datos[Misma o no],base_de_datos[Misma o no],1,base_de_datos[Grado de profesor],"SNI",base_de_datos[Industrial],"&gt;0")/SUMIF(base_de_datos[Industrial],"&gt;0",base_de_datos[Misma o no])</f>
        <v>9.7222222222222224E-2</v>
      </c>
      <c r="J3" s="95">
        <f ca="1">SUMIFS(base_de_datos[HT Plan],base_de_datos[Misma o no],1,base_de_datos[Grado de profesor],"SNI",base_de_datos[Industrial],"&gt;0")/SUMIFS(base_de_datos[HT Plan],base_de_datos[Misma o no],1,base_de_datos[Industrial],"&gt;0")</f>
        <v>0.10204081632653061</v>
      </c>
      <c r="L3" s="44" t="s">
        <v>485</v>
      </c>
      <c r="M3" s="99">
        <f ca="1">SUMIF(base_de_datos[Tipo],L3,base_de_datos[Horas totales])</f>
        <v>192</v>
      </c>
      <c r="N3" s="101">
        <f t="shared" ref="N3:N8" ca="1" si="0">M3/$M$8</f>
        <v>0.35294117647058826</v>
      </c>
      <c r="O3" s="105">
        <f ca="1">SUMIF(base_de_datos[Tipo],L3,base_de_datos[Misma o no])</f>
        <v>52</v>
      </c>
      <c r="P3" s="101">
        <f t="shared" ref="P3:P8" ca="1" si="1">O3/$O$8</f>
        <v>0.33986928104575165</v>
      </c>
    </row>
    <row r="4" spans="2:16" ht="14">
      <c r="B4" s="43" t="s">
        <v>470</v>
      </c>
      <c r="C4" s="50">
        <f ca="1">SUMIFS(base_de_datos[Índice],base_de_datos[Academia],B4,base_de_datos[Misma o no],1)/COUNTIFS(base_de_datos[Academia],B4,base_de_datos[Misma o no],1)</f>
        <v>3.0952380952380953</v>
      </c>
      <c r="D4" s="96">
        <f ca="1">SUMIFS(base_de_datos[Misma o no],base_de_datos[Misma o no],1,base_de_datos[Grado de profesor],"SNI",base_de_datos[Academia],B4)/SUMIF(base_de_datos[Academia],B4,base_de_datos[Misma o no])</f>
        <v>0.14285714285714285</v>
      </c>
      <c r="E4" s="96">
        <f ca="1">SUMIFS(base_de_datos[HT Plan],base_de_datos[Misma o no],1,base_de_datos[Grado de profesor],"SNI",base_de_datos[Academia],B4)/SUMIFS(base_de_datos[HT Plan],base_de_datos[Misma o no],1,base_de_datos[Academia],B4)</f>
        <v>0.13698630136986301</v>
      </c>
      <c r="G4" s="44" t="s">
        <v>46</v>
      </c>
      <c r="H4" s="48" t="e">
        <f>base_de_datos[[#Totals],[ICA IM]]</f>
        <v>#REF!</v>
      </c>
      <c r="I4" s="96">
        <f ca="1">SUMIFS(base_de_datos[Misma o no],base_de_datos[Misma o no],1,base_de_datos[Grado de profesor],"SNI",base_de_datos[Mecatrónica],"&gt;0")/SUMIF(base_de_datos[Mecatrónica],"&gt;0",base_de_datos[Misma o no])</f>
        <v>0.12820512820512819</v>
      </c>
      <c r="J4" s="96">
        <f ca="1">SUMIFS(base_de_datos[HT Plan],base_de_datos[Misma o no],1,base_de_datos[Grado de profesor],"SNI",base_de_datos[Mecatrónica],"&gt;0")/SUMIFS(base_de_datos[HT Plan],base_de_datos[Misma o no],1,base_de_datos[Mecatrónica],"&gt;0")</f>
        <v>0.1299638989169675</v>
      </c>
      <c r="L4" t="s">
        <v>519</v>
      </c>
      <c r="M4" s="98">
        <f>SUMIF(base_de_datos[Tipo],L4,base_de_datos[Horas totales])</f>
        <v>0</v>
      </c>
      <c r="N4" s="100">
        <f t="shared" ca="1" si="0"/>
        <v>0</v>
      </c>
      <c r="O4" s="106">
        <f>SUMIF(base_de_datos[Tipo],L4,base_de_datos[Misma o no])</f>
        <v>0</v>
      </c>
      <c r="P4" s="100">
        <f t="shared" ca="1" si="1"/>
        <v>0</v>
      </c>
    </row>
    <row r="5" spans="2:16" ht="14">
      <c r="B5" s="41" t="s">
        <v>472</v>
      </c>
      <c r="C5" s="47">
        <f ca="1">SUMIFS(base_de_datos[Índice],base_de_datos[Academia],B5,base_de_datos[Misma o no],1)/COUNTIFS(base_de_datos[Academia],B5,base_de_datos[Misma o no],1)</f>
        <v>3.9</v>
      </c>
      <c r="D5" s="95">
        <f ca="1">SUMIFS(base_de_datos[Misma o no],base_de_datos[Misma o no],1,base_de_datos[Grado de profesor],"SNI",base_de_datos[Academia],B5)/SUMIF(base_de_datos[Academia],B5,base_de_datos[Misma o no])</f>
        <v>0</v>
      </c>
      <c r="E5" s="95">
        <f ca="1">SUMIFS(base_de_datos[HT Plan],base_de_datos[Misma o no],1,base_de_datos[Grado de profesor],"SNI",base_de_datos[Academia],B5)/SUMIFS(base_de_datos[HT Plan],base_de_datos[Misma o no],1,base_de_datos[Academia],B5)</f>
        <v>0</v>
      </c>
      <c r="G5" t="s">
        <v>47</v>
      </c>
      <c r="H5" s="46" t="e">
        <f>base_de_datos[[#Totals],[ICA IID]]</f>
        <v>#REF!</v>
      </c>
      <c r="I5" s="95">
        <f ca="1">SUMIFS(base_de_datos[Misma o no],base_de_datos[Misma o no],1,base_de_datos[Grado de profesor],"SNI",base_de_datos[Innovación y Diseño],"&gt;0")/SUMIF(base_de_datos[Innovación y Diseño],"&gt;0",base_de_datos[Misma o no])</f>
        <v>5.7142857142857141E-2</v>
      </c>
      <c r="J5" s="95">
        <f ca="1">SUMIFS(base_de_datos[HT Plan],base_de_datos[Misma o no],1,base_de_datos[Grado de profesor],"SNI",base_de_datos[Innovación y Diseño],"&gt;0")/SUMIFS(base_de_datos[HT Plan],base_de_datos[Misma o no],1,base_de_datos[Innovación y Diseño],"&gt;0")</f>
        <v>5.4474708171206226E-2</v>
      </c>
      <c r="L5" s="44" t="s">
        <v>498</v>
      </c>
      <c r="M5" s="99">
        <f ca="1">SUMIF(base_de_datos[Tipo],L5,base_de_datos[Horas totales])</f>
        <v>253</v>
      </c>
      <c r="N5" s="101">
        <f t="shared" ca="1" si="0"/>
        <v>0.46507352941176472</v>
      </c>
      <c r="O5" s="105">
        <f ca="1">SUMIF(base_de_datos[Tipo],L5,base_de_datos[Misma o no])</f>
        <v>69</v>
      </c>
      <c r="P5" s="101">
        <f t="shared" ca="1" si="1"/>
        <v>0.45098039215686275</v>
      </c>
    </row>
    <row r="6" spans="2:16" ht="14">
      <c r="B6" s="43" t="s">
        <v>471</v>
      </c>
      <c r="C6" s="50">
        <f ca="1">SUMIFS(base_de_datos[Índice],base_de_datos[Academia],B6,base_de_datos[Misma o no],1)/COUNTIFS(base_de_datos[Academia],B6,base_de_datos[Misma o no],1)</f>
        <v>4.7368421052631575</v>
      </c>
      <c r="D6" s="96">
        <f ca="1">SUMIFS(base_de_datos[Misma o no],base_de_datos[Misma o no],1,base_de_datos[Grado de profesor],"SNI",base_de_datos[Academia],B6)/SUMIF(base_de_datos[Academia],B6,base_de_datos[Misma o no])</f>
        <v>0.26315789473684209</v>
      </c>
      <c r="E6" s="96">
        <f ca="1">SUMIFS(base_de_datos[HT Plan],base_de_datos[Misma o no],1,base_de_datos[Grado de profesor],"SNI",base_de_datos[Academia],B6)/SUMIFS(base_de_datos[HT Plan],base_de_datos[Misma o no],1,base_de_datos[Academia],B6)</f>
        <v>0.2638888888888889</v>
      </c>
      <c r="G6" s="44" t="s">
        <v>48</v>
      </c>
      <c r="H6" s="48" t="e">
        <f>base_de_datos[[#Totals],[ICA IIA]]</f>
        <v>#REF!</v>
      </c>
      <c r="I6" s="96">
        <f ca="1">SUMIFS(base_de_datos[Misma o no],base_de_datos[Misma o no],1,base_de_datos[Grado de profesor],"SNI",base_de_datos[Inteligencia Artificial],"&gt;0")/SUMIF(base_de_datos[Inteligencia Artificial],"&gt;0",base_de_datos[Misma o no])</f>
        <v>9.8591549295774641E-2</v>
      </c>
      <c r="J6" s="96">
        <f ca="1">SUMIFS(base_de_datos[HT Plan],base_de_datos[Misma o no],1,base_de_datos[Grado de profesor],"SNI",base_de_datos[Inteligencia Artificial],"&gt;0")/SUMIFS(base_de_datos[HT Plan],base_de_datos[Misma o no],1,base_de_datos[Inteligencia Artificial],"&gt;0")</f>
        <v>9.4262295081967207E-2</v>
      </c>
      <c r="L6" t="s">
        <v>494</v>
      </c>
      <c r="M6" s="98">
        <f ca="1">SUMIF(base_de_datos[Tipo],L6,base_de_datos[Horas totales])</f>
        <v>28</v>
      </c>
      <c r="N6" s="100">
        <f t="shared" ca="1" si="0"/>
        <v>5.1470588235294115E-2</v>
      </c>
      <c r="O6" s="106">
        <f ca="1">SUMIF(base_de_datos[Tipo],L6,base_de_datos[Misma o no])</f>
        <v>8</v>
      </c>
      <c r="P6" s="100">
        <f t="shared" ca="1" si="1"/>
        <v>5.2287581699346407E-2</v>
      </c>
    </row>
    <row r="7" spans="2:16" ht="14">
      <c r="B7" s="41" t="s">
        <v>475</v>
      </c>
      <c r="C7" s="47" t="e">
        <f ca="1">SUMIFS(base_de_datos[Índice],base_de_datos[Academia],B7,base_de_datos[Misma o no],1)/COUNTIFS(base_de_datos[Academia],B7,base_de_datos[Misma o no],1)</f>
        <v>#N/A</v>
      </c>
      <c r="D7" s="95">
        <f ca="1">SUMIFS(base_de_datos[Misma o no],base_de_datos[Misma o no],1,base_de_datos[Grado de profesor],"SNI",base_de_datos[Academia],B7)/SUMIF(base_de_datos[Academia],B7,base_de_datos[Misma o no])</f>
        <v>0</v>
      </c>
      <c r="E7" s="95">
        <f ca="1">SUMIFS(base_de_datos[HT Plan],base_de_datos[Misma o no],1,base_de_datos[Grado de profesor],"SNI",base_de_datos[Academia],B7)/SUMIFS(base_de_datos[HT Plan],base_de_datos[Misma o no],1,base_de_datos[Academia],B7)</f>
        <v>0</v>
      </c>
      <c r="G7" t="s">
        <v>49</v>
      </c>
      <c r="H7" s="46" t="e">
        <f>base_de_datos[[#Totals],[ICA ITE]]</f>
        <v>#REF!</v>
      </c>
      <c r="I7" s="95">
        <f ca="1">SUMIFS(base_de_datos[Misma o no],base_de_datos[Misma o no],1,base_de_datos[Grado de profesor],"SNI",base_de_datos[Tecnologías Energéticas],"&gt;0")/SUMIF(base_de_datos[Tecnologías Energéticas],"&gt;0",base_de_datos[Misma o no])</f>
        <v>0.14705882352941177</v>
      </c>
      <c r="J7" s="95">
        <f ca="1">SUMIFS(base_de_datos[HT Plan],base_de_datos[Misma o no],1,base_de_datos[Grado de profesor],"SNI",base_de_datos[Tecnologías Energéticas],"&gt;0")/SUMIFS(base_de_datos[HT Plan],base_de_datos[Misma o no],1,base_de_datos[Tecnologías Energéticas],"&gt;0")</f>
        <v>0.15510204081632653</v>
      </c>
      <c r="L7" s="44" t="s">
        <v>511</v>
      </c>
      <c r="M7" s="99">
        <f ca="1">SUMIF(base_de_datos[Tipo],L7,base_de_datos[Horas totales])</f>
        <v>51</v>
      </c>
      <c r="N7" s="101">
        <f t="shared" ca="1" si="0"/>
        <v>9.375E-2</v>
      </c>
      <c r="O7" s="105">
        <f ca="1">SUMIF(base_de_datos[Tipo],L7,base_de_datos[Misma o no])</f>
        <v>18</v>
      </c>
      <c r="P7" s="101">
        <f t="shared" ca="1" si="1"/>
        <v>0.11764705882352941</v>
      </c>
    </row>
    <row r="8" spans="2:16" ht="14">
      <c r="B8" s="43" t="s">
        <v>477</v>
      </c>
      <c r="C8" s="50" t="e">
        <f ca="1">SUMIFS(base_de_datos[Índice],base_de_datos[Academia],B8,base_de_datos[Misma o no],1)/COUNTIFS(base_de_datos[Academia],B8,base_de_datos[Misma o no],1)</f>
        <v>#N/A</v>
      </c>
      <c r="D8" s="96">
        <f ca="1">SUMIFS(base_de_datos[Misma o no],base_de_datos[Misma o no],1,base_de_datos[Grado de profesor],"SNI",base_de_datos[Academia],B8)/SUMIF(base_de_datos[Academia],B8,base_de_datos[Misma o no])</f>
        <v>0</v>
      </c>
      <c r="E8" s="96">
        <f ca="1">SUMIFS(base_de_datos[HT Plan],base_de_datos[Misma o no],1,base_de_datos[Grado de profesor],"SNI",base_de_datos[Academia],B8)/SUMIFS(base_de_datos[HT Plan],base_de_datos[Misma o no],1,base_de_datos[Academia],B8)</f>
        <v>0</v>
      </c>
      <c r="G8" s="44" t="s">
        <v>50</v>
      </c>
      <c r="H8" s="48" t="e">
        <f>base_de_datos[[#Totals],[ICA ICA]]</f>
        <v>#REF!</v>
      </c>
      <c r="I8" s="96">
        <f ca="1">SUMIFS(base_de_datos[Misma o no],base_de_datos[Misma o no],1,base_de_datos[Grado de profesor],"SNI",base_de_datos[Civil y Administración],"&gt;0")/SUMIF(base_de_datos[Civil y Administración],"&gt;0",base_de_datos[Misma o no])</f>
        <v>5.6338028169014086E-2</v>
      </c>
      <c r="J8" s="96">
        <f ca="1">SUMIFS(base_de_datos[HT Plan],base_de_datos[Misma o no],1,base_de_datos[Grado de profesor],"SNI",base_de_datos[Civil y Administración],"&gt;0")/SUMIFS(base_de_datos[HT Plan],base_de_datos[Misma o no],1,base_de_datos[Civil y Administración],"&gt;0")</f>
        <v>5.3278688524590161E-2</v>
      </c>
      <c r="L8" s="102" t="s">
        <v>1144</v>
      </c>
      <c r="M8" s="103">
        <f ca="1">SUM(base_de_datos[Horas totales])</f>
        <v>544</v>
      </c>
      <c r="N8" s="104">
        <f t="shared" ca="1" si="0"/>
        <v>1</v>
      </c>
      <c r="O8" s="103">
        <f ca="1">SUM(base_de_datos[Misma o no])</f>
        <v>153</v>
      </c>
      <c r="P8" s="104">
        <f t="shared" ca="1" si="1"/>
        <v>1</v>
      </c>
    </row>
    <row r="9" spans="2:16" ht="14">
      <c r="B9" s="41" t="s">
        <v>473</v>
      </c>
      <c r="C9" s="47">
        <f ca="1">SUMIFS(base_de_datos[Índice],base_de_datos[Academia],B9,base_de_datos[Misma o no],1)/COUNTIFS(base_de_datos[Academia],B9,base_de_datos[Misma o no],1)</f>
        <v>5</v>
      </c>
      <c r="D9" s="95">
        <f ca="1">SUMIFS(base_de_datos[Misma o no],base_de_datos[Misma o no],1,base_de_datos[Grado de profesor],"SNI",base_de_datos[Academia],B9)/SUMIF(base_de_datos[Academia],B9,base_de_datos[Misma o no])</f>
        <v>0.16666666666666666</v>
      </c>
      <c r="E9" s="95">
        <f ca="1">SUMIFS(base_de_datos[HT Plan],base_de_datos[Misma o no],1,base_de_datos[Grado de profesor],"SNI",base_de_datos[Academia],B9)/SUMIFS(base_de_datos[HT Plan],base_de_datos[Misma o no],1,base_de_datos[Academia],B9)</f>
        <v>0.19148936170212766</v>
      </c>
      <c r="G9" t="s">
        <v>13</v>
      </c>
      <c r="H9" s="46" t="e">
        <f>base_de_datos[[#Totals],[ICA IBE]]</f>
        <v>#REF!</v>
      </c>
      <c r="I9" s="95">
        <f ca="1">SUMIFS(base_de_datos[Misma o no],base_de_datos[Misma o no],1,base_de_datos[Grado de profesor],"SNI",base_de_datos[Bioelectrónica],"&gt;0")/SUMIF(base_de_datos[Bioelectrónica],"&gt;0",base_de_datos[Misma o no])</f>
        <v>0.13333333333333333</v>
      </c>
      <c r="J9" s="95">
        <f ca="1">SUMIFS(base_de_datos[HT Plan],base_de_datos[Misma o no],1,base_de_datos[Grado de profesor],"SNI",base_de_datos[Bioelectrónica],"&gt;0")/SUMIFS(base_de_datos[HT Plan],base_de_datos[Misma o no],1,base_de_datos[Bioelectrónica],"&gt;0")</f>
        <v>0.1348314606741573</v>
      </c>
    </row>
    <row r="10" spans="2:16" ht="14">
      <c r="B10" s="43" t="s">
        <v>478</v>
      </c>
      <c r="C10" s="50" t="e">
        <f ca="1">SUMIFS(base_de_datos[Índice],base_de_datos[Academia],B10,base_de_datos[Misma o no],1)/COUNTIFS(base_de_datos[Academia],B10,base_de_datos[Misma o no],1)</f>
        <v>#N/A</v>
      </c>
      <c r="D10" s="96">
        <f ca="1">SUMIFS(base_de_datos[Misma o no],base_de_datos[Misma o no],1,base_de_datos[Grado de profesor],"SNI",base_de_datos[Academia],B10)/SUMIF(base_de_datos[Academia],B10,base_de_datos[Misma o no])</f>
        <v>0.10526315789473684</v>
      </c>
      <c r="E10" s="96">
        <f ca="1">SUMIFS(base_de_datos[HT Plan],base_de_datos[Misma o no],1,base_de_datos[Grado de profesor],"SNI",base_de_datos[Academia],B10)/SUMIFS(base_de_datos[HT Plan],base_de_datos[Misma o no],1,base_de_datos[Academia],B10)</f>
        <v>0.10909090909090909</v>
      </c>
      <c r="H10" s="46"/>
      <c r="I10" s="46"/>
      <c r="J10" s="46"/>
    </row>
    <row r="11" spans="2:16" ht="16">
      <c r="B11" s="41" t="s">
        <v>226</v>
      </c>
      <c r="C11" s="47" t="e">
        <f ca="1">SUMIFS(base_de_datos[Índice],base_de_datos[Academia],B11,base_de_datos[Misma o no],1)/COUNTIFS(base_de_datos[Academia],B11,base_de_datos[Misma o no],1)</f>
        <v>#N/A</v>
      </c>
      <c r="D11" s="95">
        <f ca="1">SUMIFS(base_de_datos[Misma o no],base_de_datos[Misma o no],1,base_de_datos[Grado de profesor],"SNI",base_de_datos[Academia],B11)/SUMIF(base_de_datos[Academia],B11,base_de_datos[Misma o no])</f>
        <v>0</v>
      </c>
      <c r="E11" s="95">
        <f ca="1">SUMIFS(base_de_datos[HT Plan],base_de_datos[Misma o no],1,base_de_datos[Grado de profesor],"SNI",base_de_datos[Academia],B11)/SUMIFS(base_de_datos[HT Plan],base_de_datos[Misma o no],1,base_de_datos[Academia],B11)</f>
        <v>0</v>
      </c>
      <c r="G11" s="45" t="s">
        <v>1145</v>
      </c>
      <c r="H11" s="49" t="e">
        <f ca="1">SUMIFS(base_de_datos[Índice],base_de_datos[Misma o no],1)/COUNTIF(base_de_datos[Misma o no],1)</f>
        <v>#N/A</v>
      </c>
      <c r="I11" s="97">
        <f ca="1">SUMIFS(base_de_datos[Misma o no],base_de_datos[Misma o no],1,base_de_datos[Grado de profesor],"SNI")/SUM(base_de_datos[Misma o no])</f>
        <v>9.1503267973856203E-2</v>
      </c>
      <c r="J11" s="97">
        <f ca="1">SUMIFS(base_de_datos[HT Plan],base_de_datos[Misma o no],1,base_de_datos[Grado de profesor],"SNI")/SUMIF(base_de_datos[Misma o no],1,base_de_datos[HT Plan])</f>
        <v>9.3406593406593408E-2</v>
      </c>
    </row>
    <row r="12" spans="2:16" ht="14">
      <c r="B12" s="43" t="s">
        <v>474</v>
      </c>
      <c r="C12" s="50" t="e">
        <f ca="1">SUMIFS(base_de_datos[Índice],base_de_datos[Academia],B12,base_de_datos[Misma o no],1)/COUNTIFS(base_de_datos[Academia],B12,base_de_datos[Misma o no],1)</f>
        <v>#N/A</v>
      </c>
      <c r="D12" s="96">
        <f ca="1">SUMIFS(base_de_datos[Misma o no],base_de_datos[Misma o no],1,base_de_datos[Grado de profesor],"SNI",base_de_datos[Academia],B12)/SUMIF(base_de_datos[Academia],B12,base_de_datos[Misma o no])</f>
        <v>5.2631578947368418E-2</v>
      </c>
      <c r="E12" s="96">
        <f ca="1">SUMIFS(base_de_datos[HT Plan],base_de_datos[Misma o no],1,base_de_datos[Grado de profesor],"SNI",base_de_datos[Academia],B12)/SUMIFS(base_de_datos[HT Plan],base_de_datos[Misma o no],1,base_de_datos[Academia],B12)</f>
        <v>4.1095890410958902E-2</v>
      </c>
    </row>
    <row r="13" spans="2:16" ht="14">
      <c r="B13" s="41" t="s">
        <v>469</v>
      </c>
      <c r="C13" s="47">
        <f ca="1">SUMIFS(base_de_datos[Índice],base_de_datos[Academia],B13,base_de_datos[Misma o no],1)/COUNTIFS(base_de_datos[Academia],B13,base_de_datos[Misma o no],1)</f>
        <v>4</v>
      </c>
      <c r="D13" s="95">
        <f ca="1">SUMIFS(base_de_datos[Misma o no],base_de_datos[Misma o no],1,base_de_datos[Grado de profesor],"SNI",base_de_datos[Academia],B13)/SUMIF(base_de_datos[Academia],B13,base_de_datos[Misma o no])</f>
        <v>9.0909090909090912E-2</v>
      </c>
      <c r="E13" s="95">
        <f ca="1">SUMIFS(base_de_datos[HT Plan],base_de_datos[Misma o no],1,base_de_datos[Grado de profesor],"SNI",base_de_datos[Academia],B13)/SUMIFS(base_de_datos[HT Plan],base_de_datos[Misma o no],1,base_de_datos[Academia],B13)</f>
        <v>9.5238095238095233E-2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798D-AC52-41B6-B077-F699E82ADE43}">
  <sheetPr codeName="Hoja7"/>
  <dimension ref="B2:AA50"/>
  <sheetViews>
    <sheetView topLeftCell="A2" workbookViewId="0">
      <selection activeCell="J7" sqref="J7"/>
    </sheetView>
  </sheetViews>
  <sheetFormatPr baseColWidth="10" defaultColWidth="10.6640625" defaultRowHeight="14"/>
  <cols>
    <col min="1" max="1" width="4.33203125" style="1" customWidth="1"/>
    <col min="2" max="3" width="6.6640625" style="1" customWidth="1"/>
    <col min="4" max="10" width="10" style="1" customWidth="1"/>
    <col min="11" max="12" width="7" style="1" customWidth="1"/>
    <col min="13" max="13" width="8" style="6" customWidth="1"/>
    <col min="14" max="20" width="10.6640625" style="6"/>
    <col min="21" max="26" width="10.6640625" style="1"/>
    <col min="27" max="27" width="11.5" style="1" bestFit="1" customWidth="1"/>
    <col min="28" max="16384" width="10.6640625" style="1"/>
  </cols>
  <sheetData>
    <row r="2" spans="2:27" ht="78" customHeight="1">
      <c r="B2" s="24">
        <v>1232</v>
      </c>
      <c r="C2" s="24">
        <v>1238</v>
      </c>
      <c r="D2" s="24" t="s">
        <v>45</v>
      </c>
      <c r="E2" s="25" t="s">
        <v>46</v>
      </c>
      <c r="F2" s="24" t="s">
        <v>47</v>
      </c>
      <c r="G2" s="25" t="s">
        <v>48</v>
      </c>
      <c r="H2" s="24" t="s">
        <v>49</v>
      </c>
      <c r="I2" s="25" t="s">
        <v>50</v>
      </c>
      <c r="J2" s="24" t="s">
        <v>13</v>
      </c>
      <c r="K2" s="24" t="s">
        <v>1146</v>
      </c>
      <c r="L2" s="24" t="s">
        <v>1147</v>
      </c>
    </row>
    <row r="3" spans="2:27" ht="10.5" customHeight="1">
      <c r="B3" s="26">
        <v>0</v>
      </c>
      <c r="C3" s="26">
        <v>1</v>
      </c>
      <c r="D3" s="167">
        <v>22</v>
      </c>
      <c r="E3" s="167">
        <v>15</v>
      </c>
      <c r="F3" s="167">
        <v>15</v>
      </c>
      <c r="G3" s="167">
        <v>30</v>
      </c>
      <c r="H3" s="167">
        <v>5</v>
      </c>
      <c r="I3" s="167">
        <v>15</v>
      </c>
      <c r="J3" s="167">
        <v>7</v>
      </c>
      <c r="K3" s="167">
        <f>SUM(D3:J3)</f>
        <v>109</v>
      </c>
      <c r="L3" s="144">
        <v>1238</v>
      </c>
      <c r="Z3" s="1">
        <v>163</v>
      </c>
      <c r="AA3" s="1">
        <v>100</v>
      </c>
    </row>
    <row r="4" spans="2:27" ht="10.5" customHeight="1">
      <c r="B4" s="118"/>
      <c r="C4" s="118"/>
      <c r="D4" s="168"/>
      <c r="E4" s="168"/>
      <c r="F4" s="168"/>
      <c r="G4" s="168"/>
      <c r="H4" s="168"/>
      <c r="I4" s="168"/>
      <c r="J4" s="168"/>
      <c r="K4" s="168"/>
      <c r="L4" s="2"/>
    </row>
    <row r="5" spans="2:27" ht="10.5" customHeight="1">
      <c r="B5" s="26">
        <v>1</v>
      </c>
      <c r="C5" s="26">
        <v>2</v>
      </c>
      <c r="D5" s="2">
        <v>1</v>
      </c>
      <c r="E5" s="2">
        <v>2</v>
      </c>
      <c r="F5" s="2">
        <v>1</v>
      </c>
      <c r="G5" s="2">
        <v>2</v>
      </c>
      <c r="H5" s="2">
        <v>0</v>
      </c>
      <c r="I5" s="2">
        <v>2</v>
      </c>
      <c r="J5" s="2">
        <v>0</v>
      </c>
      <c r="K5" s="167">
        <f>SUM(D5:J5)</f>
        <v>8</v>
      </c>
      <c r="L5" s="2">
        <v>1232</v>
      </c>
      <c r="Z5" s="1">
        <v>130</v>
      </c>
    </row>
    <row r="6" spans="2:27" ht="10.5" customHeight="1">
      <c r="B6" s="26"/>
      <c r="C6" s="26"/>
      <c r="D6" s="2"/>
      <c r="E6" s="2"/>
      <c r="F6" s="2"/>
      <c r="G6" s="2"/>
      <c r="H6" s="2"/>
      <c r="I6" s="2"/>
      <c r="J6" s="2"/>
      <c r="K6" s="2"/>
      <c r="L6" s="2"/>
    </row>
    <row r="7" spans="2:27" ht="10.5" customHeight="1">
      <c r="B7" s="26">
        <v>2</v>
      </c>
      <c r="C7" s="26">
        <v>3</v>
      </c>
      <c r="D7" s="167">
        <v>20</v>
      </c>
      <c r="E7" s="167">
        <v>23</v>
      </c>
      <c r="F7" s="167">
        <f>16+1</f>
        <v>17</v>
      </c>
      <c r="G7" s="167">
        <v>24</v>
      </c>
      <c r="H7" s="167">
        <v>4</v>
      </c>
      <c r="I7" s="167">
        <v>15</v>
      </c>
      <c r="J7" s="167">
        <v>7</v>
      </c>
      <c r="K7" s="167">
        <f>SUM(D7:J7)</f>
        <v>110</v>
      </c>
      <c r="L7" s="144">
        <v>1228</v>
      </c>
    </row>
    <row r="8" spans="2:27" ht="10.5" customHeight="1">
      <c r="B8" s="26"/>
      <c r="C8" s="26"/>
      <c r="D8" s="2"/>
      <c r="E8" s="2"/>
      <c r="F8" s="2"/>
      <c r="G8" s="2"/>
      <c r="H8" s="2"/>
      <c r="I8" s="2"/>
      <c r="J8" s="2"/>
      <c r="K8" s="2"/>
      <c r="L8" s="2"/>
    </row>
    <row r="9" spans="2:27" ht="10.5" customHeight="1">
      <c r="B9" s="26">
        <v>3</v>
      </c>
      <c r="C9" s="26">
        <v>4</v>
      </c>
      <c r="D9" s="166">
        <v>1</v>
      </c>
      <c r="E9" s="166">
        <v>1</v>
      </c>
      <c r="F9" s="166">
        <v>5</v>
      </c>
      <c r="G9" s="166">
        <v>4</v>
      </c>
      <c r="H9" s="166">
        <v>1</v>
      </c>
      <c r="I9" s="166">
        <v>2</v>
      </c>
      <c r="J9" s="166">
        <v>1</v>
      </c>
      <c r="K9" s="167">
        <f>SUM(D9:J9)</f>
        <v>15</v>
      </c>
      <c r="L9" s="2">
        <v>1222</v>
      </c>
    </row>
    <row r="10" spans="2:27" ht="10.5" customHeight="1">
      <c r="B10" s="26"/>
      <c r="C10" s="26"/>
      <c r="D10" s="166"/>
      <c r="E10" s="166"/>
      <c r="F10" s="166"/>
      <c r="G10" s="166"/>
      <c r="H10" s="166"/>
      <c r="I10" s="166"/>
      <c r="J10" s="166"/>
      <c r="K10" s="2"/>
      <c r="L10" s="2"/>
    </row>
    <row r="11" spans="2:27" ht="10.5" customHeight="1">
      <c r="B11" s="26">
        <v>4</v>
      </c>
      <c r="C11" s="26">
        <v>5</v>
      </c>
      <c r="D11" s="2">
        <v>19</v>
      </c>
      <c r="E11" s="2">
        <v>14</v>
      </c>
      <c r="F11" s="2">
        <v>15</v>
      </c>
      <c r="G11" s="2">
        <v>25</v>
      </c>
      <c r="H11" s="2">
        <v>4</v>
      </c>
      <c r="I11" s="2">
        <v>10</v>
      </c>
      <c r="J11" s="2">
        <v>8</v>
      </c>
      <c r="K11" s="2">
        <f t="shared" ref="K11" si="0">SUM(D11:J11)</f>
        <v>95</v>
      </c>
      <c r="L11" s="145">
        <v>1218</v>
      </c>
    </row>
    <row r="12" spans="2:27" ht="10.5" customHeight="1">
      <c r="B12" s="26"/>
      <c r="C12" s="26"/>
      <c r="D12" s="2"/>
      <c r="E12" s="2"/>
      <c r="F12" s="2"/>
      <c r="G12" s="2"/>
      <c r="H12" s="2"/>
      <c r="I12" s="2"/>
      <c r="J12" s="2"/>
      <c r="K12" s="2"/>
      <c r="L12" s="2"/>
    </row>
    <row r="13" spans="2:27" ht="10.5" customHeight="1">
      <c r="B13" s="26">
        <v>5</v>
      </c>
      <c r="C13" s="26">
        <v>6</v>
      </c>
      <c r="D13" s="2">
        <v>2</v>
      </c>
      <c r="E13" s="2">
        <v>4</v>
      </c>
      <c r="F13" s="2">
        <v>2</v>
      </c>
      <c r="G13" s="2">
        <v>0</v>
      </c>
      <c r="H13" s="2">
        <v>1</v>
      </c>
      <c r="I13" s="2">
        <v>0</v>
      </c>
      <c r="J13" s="2">
        <v>0</v>
      </c>
      <c r="K13" s="2">
        <f t="shared" ref="K13" si="1">SUM(D13:J13)</f>
        <v>9</v>
      </c>
      <c r="L13" s="2">
        <v>1212</v>
      </c>
    </row>
    <row r="14" spans="2:27" ht="10.5" customHeight="1">
      <c r="B14" s="26"/>
      <c r="C14" s="26"/>
      <c r="D14" s="2"/>
      <c r="E14" s="2"/>
      <c r="F14" s="2"/>
      <c r="G14" s="2"/>
      <c r="H14" s="2"/>
      <c r="I14" s="2"/>
      <c r="J14" s="2"/>
      <c r="K14" s="2"/>
      <c r="L14" s="2"/>
    </row>
    <row r="15" spans="2:27" ht="10.5" customHeight="1">
      <c r="B15" s="26">
        <v>6</v>
      </c>
      <c r="C15" s="26">
        <v>7</v>
      </c>
      <c r="D15" s="2">
        <v>24</v>
      </c>
      <c r="E15" s="2">
        <v>18</v>
      </c>
      <c r="F15" s="2">
        <v>20</v>
      </c>
      <c r="G15" s="2">
        <v>14</v>
      </c>
      <c r="H15" s="2">
        <v>2</v>
      </c>
      <c r="I15" s="2">
        <v>13</v>
      </c>
      <c r="J15" s="2">
        <v>4</v>
      </c>
      <c r="K15" s="2">
        <f t="shared" ref="K15" si="2">SUM(D15:J15)</f>
        <v>95</v>
      </c>
      <c r="L15" s="145">
        <v>1208</v>
      </c>
    </row>
    <row r="16" spans="2:27" ht="10.5" customHeight="1">
      <c r="B16" s="26"/>
      <c r="C16" s="26"/>
      <c r="D16" s="2"/>
      <c r="E16" s="2"/>
      <c r="F16" s="2"/>
      <c r="G16" s="2"/>
      <c r="H16" s="2"/>
      <c r="I16" s="2"/>
      <c r="J16" s="2"/>
      <c r="K16" s="2"/>
      <c r="L16" s="2"/>
    </row>
    <row r="17" spans="2:12" ht="10.5" customHeight="1">
      <c r="B17" s="26">
        <v>7</v>
      </c>
      <c r="C17" s="26">
        <v>8</v>
      </c>
      <c r="D17" s="2">
        <v>5</v>
      </c>
      <c r="E17" s="2">
        <v>1</v>
      </c>
      <c r="F17" s="2">
        <v>5</v>
      </c>
      <c r="G17" s="2">
        <v>0</v>
      </c>
      <c r="H17" s="2">
        <v>0</v>
      </c>
      <c r="I17" s="2">
        <v>1</v>
      </c>
      <c r="J17" s="2">
        <v>3</v>
      </c>
      <c r="K17" s="2">
        <f t="shared" ref="K17" si="3">SUM(D17:J17)</f>
        <v>15</v>
      </c>
      <c r="L17" s="2">
        <v>1202</v>
      </c>
    </row>
    <row r="18" spans="2:12" ht="10.5" customHeight="1">
      <c r="B18" s="26"/>
      <c r="C18" s="26"/>
      <c r="D18" s="2"/>
      <c r="E18" s="2"/>
      <c r="F18" s="2"/>
      <c r="G18" s="2"/>
      <c r="H18" s="2"/>
      <c r="I18" s="2"/>
      <c r="J18" s="2"/>
      <c r="K18" s="2"/>
      <c r="L18" s="2"/>
    </row>
    <row r="19" spans="2:12" ht="10.5" customHeight="1">
      <c r="B19" s="26">
        <v>8</v>
      </c>
      <c r="C19" s="26">
        <v>9</v>
      </c>
      <c r="D19" s="146">
        <v>22</v>
      </c>
      <c r="E19" s="146">
        <v>15</v>
      </c>
      <c r="F19" s="146">
        <v>16</v>
      </c>
      <c r="G19" s="146">
        <v>25</v>
      </c>
      <c r="H19" s="146">
        <v>9</v>
      </c>
      <c r="I19" s="169">
        <v>14</v>
      </c>
      <c r="J19" s="146">
        <v>9</v>
      </c>
      <c r="K19" s="2">
        <f>SUM(D19:J19)</f>
        <v>110</v>
      </c>
      <c r="L19" s="145">
        <v>1198</v>
      </c>
    </row>
    <row r="20" spans="2:12" ht="10.5" customHeight="1">
      <c r="B20" s="26"/>
      <c r="C20" s="26"/>
      <c r="D20" s="2"/>
      <c r="E20" s="2"/>
      <c r="F20" s="2"/>
      <c r="G20" s="2"/>
      <c r="H20" s="2"/>
      <c r="I20" s="2"/>
      <c r="J20" s="2"/>
      <c r="K20" s="2"/>
      <c r="L20" s="2"/>
    </row>
    <row r="21" spans="2:12" ht="10.5" customHeight="1">
      <c r="B21" s="26">
        <v>9</v>
      </c>
      <c r="C21" s="26" t="s">
        <v>1148</v>
      </c>
      <c r="D21" s="171">
        <v>2</v>
      </c>
      <c r="E21" s="171">
        <v>2</v>
      </c>
      <c r="F21" s="171">
        <v>3</v>
      </c>
      <c r="G21" s="171">
        <v>6</v>
      </c>
      <c r="H21" s="171">
        <v>2</v>
      </c>
      <c r="I21" s="171">
        <v>16</v>
      </c>
      <c r="J21" s="171">
        <v>0</v>
      </c>
      <c r="K21" s="171">
        <f t="shared" ref="K21" si="4">SUM(D21:J21)</f>
        <v>31</v>
      </c>
      <c r="L21" s="2"/>
    </row>
    <row r="22" spans="2:12">
      <c r="D22" s="2"/>
      <c r="E22" s="2"/>
      <c r="F22" s="2"/>
      <c r="G22" s="2"/>
      <c r="H22" s="2"/>
      <c r="I22" s="2"/>
      <c r="J22" s="2"/>
      <c r="K22" s="2"/>
      <c r="L22" s="2"/>
    </row>
    <row r="23" spans="2:12">
      <c r="D23" s="2"/>
      <c r="E23" s="2"/>
      <c r="F23" s="2"/>
      <c r="G23" s="2"/>
      <c r="H23" s="2"/>
      <c r="I23" s="2"/>
      <c r="J23" s="2"/>
      <c r="K23" s="2"/>
      <c r="L23" s="2"/>
    </row>
    <row r="24" spans="2:12">
      <c r="B24" s="85"/>
      <c r="C24" s="85"/>
      <c r="D24" s="170"/>
      <c r="E24" s="170"/>
      <c r="F24" s="170"/>
      <c r="G24" s="170"/>
      <c r="H24" s="170"/>
      <c r="I24" s="170"/>
      <c r="J24" s="170"/>
      <c r="K24" s="170"/>
      <c r="L24" s="170"/>
    </row>
    <row r="25" spans="2:12">
      <c r="B25" s="85"/>
      <c r="C25" s="85"/>
      <c r="D25" s="170"/>
      <c r="E25" s="170"/>
      <c r="F25" s="170"/>
      <c r="G25" s="170"/>
      <c r="H25" s="170"/>
      <c r="I25" s="170"/>
      <c r="J25" s="170"/>
      <c r="K25" s="2"/>
      <c r="L25" s="170"/>
    </row>
    <row r="26" spans="2:12" ht="10.5" customHeight="1">
      <c r="B26" s="85"/>
      <c r="C26" s="85"/>
      <c r="D26" s="170"/>
      <c r="E26" s="170"/>
      <c r="F26" s="170"/>
      <c r="G26" s="170"/>
      <c r="H26" s="170"/>
      <c r="I26" s="170"/>
      <c r="J26" s="170"/>
      <c r="K26" s="170"/>
      <c r="L26" s="170"/>
    </row>
    <row r="27" spans="2:12" ht="18.75" customHeight="1">
      <c r="B27" s="85"/>
      <c r="C27" s="85"/>
      <c r="D27" s="170"/>
      <c r="E27" s="170"/>
      <c r="F27" s="170"/>
      <c r="G27" s="170"/>
      <c r="H27" s="170"/>
      <c r="I27" s="170"/>
      <c r="J27" s="170"/>
      <c r="K27" s="2"/>
      <c r="L27" s="170"/>
    </row>
    <row r="28" spans="2:12" ht="38.25" customHeight="1">
      <c r="D28" s="120"/>
      <c r="E28" s="120"/>
      <c r="F28" s="120"/>
      <c r="G28" s="120"/>
      <c r="H28" s="120"/>
      <c r="I28" s="120"/>
      <c r="J28" s="120"/>
      <c r="K28" s="120"/>
      <c r="L28" s="120"/>
    </row>
    <row r="29" spans="2:12" ht="38.25" customHeight="1">
      <c r="D29" s="120"/>
      <c r="E29" s="120"/>
      <c r="F29" s="120"/>
      <c r="G29" s="120"/>
      <c r="H29" s="120"/>
      <c r="I29" s="120"/>
      <c r="J29" s="120"/>
      <c r="K29" s="120"/>
      <c r="L29" s="120"/>
    </row>
    <row r="30" spans="2:12" ht="38.25" customHeight="1">
      <c r="D30" s="121" t="s">
        <v>1149</v>
      </c>
      <c r="E30" s="239" t="s">
        <v>1150</v>
      </c>
      <c r="F30" s="239"/>
      <c r="G30" s="239"/>
      <c r="H30" s="2" t="s">
        <v>1151</v>
      </c>
      <c r="I30" s="2" t="s">
        <v>1152</v>
      </c>
      <c r="J30" s="120"/>
      <c r="K30" s="120"/>
      <c r="L30" s="120"/>
    </row>
    <row r="31" spans="2:12" ht="38.25" customHeight="1">
      <c r="D31" s="122" t="s">
        <v>1153</v>
      </c>
      <c r="E31" s="240" t="s">
        <v>1154</v>
      </c>
      <c r="F31" s="240"/>
      <c r="G31" s="240"/>
      <c r="H31" s="2" t="s">
        <v>1155</v>
      </c>
      <c r="I31" s="2" t="s">
        <v>1156</v>
      </c>
      <c r="J31" s="120"/>
      <c r="K31" s="120"/>
      <c r="L31" s="120"/>
    </row>
    <row r="32" spans="2:12" ht="38.25" customHeight="1">
      <c r="D32" s="123" t="s">
        <v>1157</v>
      </c>
      <c r="E32" s="240" t="s">
        <v>1158</v>
      </c>
      <c r="F32" s="240"/>
      <c r="G32" s="240"/>
      <c r="H32" s="2" t="s">
        <v>1159</v>
      </c>
      <c r="I32" s="2" t="s">
        <v>1152</v>
      </c>
      <c r="J32" s="120"/>
      <c r="K32" s="120"/>
      <c r="L32" s="120"/>
    </row>
    <row r="33" spans="4:12" ht="38.25" customHeight="1">
      <c r="D33" s="123" t="s">
        <v>1160</v>
      </c>
      <c r="E33" s="240" t="s">
        <v>1161</v>
      </c>
      <c r="F33" s="240"/>
      <c r="G33" s="240"/>
      <c r="H33" s="2" t="s">
        <v>1159</v>
      </c>
      <c r="I33" s="2" t="s">
        <v>1152</v>
      </c>
      <c r="J33" s="120"/>
      <c r="K33" s="120"/>
      <c r="L33" s="120"/>
    </row>
    <row r="34" spans="4:12" ht="38.25" customHeight="1">
      <c r="D34" s="123" t="s">
        <v>1162</v>
      </c>
      <c r="E34" s="240" t="s">
        <v>1163</v>
      </c>
      <c r="F34" s="240"/>
      <c r="G34" s="240"/>
      <c r="H34" s="2" t="s">
        <v>1164</v>
      </c>
      <c r="I34" s="2" t="s">
        <v>1152</v>
      </c>
      <c r="J34" s="120"/>
      <c r="K34" s="120"/>
      <c r="L34" s="120"/>
    </row>
    <row r="35" spans="4:12" ht="21" customHeight="1"/>
    <row r="36" spans="4:12">
      <c r="D36" s="119"/>
      <c r="E36" s="119"/>
      <c r="F36" s="119"/>
      <c r="G36" s="119"/>
      <c r="H36" s="119"/>
      <c r="I36" s="119"/>
      <c r="J36" s="119"/>
    </row>
    <row r="37" spans="4:12" ht="29.25" customHeight="1"/>
    <row r="38" spans="4:12">
      <c r="D38" s="119"/>
      <c r="E38" s="119"/>
      <c r="F38" s="119"/>
      <c r="G38" s="119"/>
      <c r="H38" s="119"/>
      <c r="I38" s="119"/>
      <c r="J38" s="119"/>
    </row>
    <row r="50" spans="3:3">
      <c r="C50"/>
    </row>
  </sheetData>
  <mergeCells count="5">
    <mergeCell ref="E30:G30"/>
    <mergeCell ref="E31:G31"/>
    <mergeCell ref="E32:G32"/>
    <mergeCell ref="E33:G33"/>
    <mergeCell ref="E34:G34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AF228"/>
  <sheetViews>
    <sheetView topLeftCell="A2" zoomScaleNormal="100" workbookViewId="0">
      <selection activeCell="C58" sqref="C58"/>
    </sheetView>
  </sheetViews>
  <sheetFormatPr baseColWidth="10" defaultColWidth="10.6640625" defaultRowHeight="14"/>
  <cols>
    <col min="1" max="1" width="2.33203125" style="1" customWidth="1"/>
    <col min="2" max="2" width="37.33203125" style="1" bestFit="1" customWidth="1"/>
    <col min="3" max="3" width="6" style="1" customWidth="1"/>
    <col min="4" max="10" width="5" style="1" customWidth="1"/>
    <col min="11" max="11" width="7.83203125" style="1" bestFit="1" customWidth="1"/>
    <col min="12" max="12" width="6.1640625" style="1" customWidth="1"/>
    <col min="13" max="16" width="7.83203125" style="1" bestFit="1" customWidth="1"/>
    <col min="17" max="17" width="8" style="1" bestFit="1" customWidth="1"/>
    <col min="18" max="26" width="7.83203125" style="1" bestFit="1" customWidth="1"/>
    <col min="27" max="27" width="10.6640625" style="1"/>
    <col min="28" max="28" width="7.83203125" style="1" bestFit="1" customWidth="1"/>
    <col min="29" max="29" width="10.6640625" style="1"/>
    <col min="30" max="31" width="9.5" style="1" bestFit="1" customWidth="1"/>
    <col min="32" max="16384" width="10.6640625" style="1"/>
  </cols>
  <sheetData>
    <row r="1" spans="2:32">
      <c r="D1" s="37">
        <v>1</v>
      </c>
      <c r="E1" s="37">
        <v>2</v>
      </c>
      <c r="F1" s="37">
        <v>3</v>
      </c>
      <c r="G1" s="37">
        <v>4</v>
      </c>
      <c r="H1" s="37">
        <v>5</v>
      </c>
      <c r="I1" s="37">
        <v>6</v>
      </c>
      <c r="J1" s="37">
        <v>7</v>
      </c>
    </row>
    <row r="2" spans="2:32" ht="81.75" customHeight="1">
      <c r="B2" s="16" t="s">
        <v>16</v>
      </c>
      <c r="C2" s="17" t="s">
        <v>17</v>
      </c>
      <c r="D2" s="124" t="s">
        <v>45</v>
      </c>
      <c r="E2" s="18" t="s">
        <v>46</v>
      </c>
      <c r="F2" s="17" t="s">
        <v>47</v>
      </c>
      <c r="G2" s="18" t="s">
        <v>48</v>
      </c>
      <c r="H2" s="17" t="s">
        <v>49</v>
      </c>
      <c r="I2" s="18" t="s">
        <v>50</v>
      </c>
      <c r="J2" s="17" t="s">
        <v>13</v>
      </c>
      <c r="K2" s="125" t="s">
        <v>39</v>
      </c>
      <c r="L2" s="19" t="s">
        <v>1165</v>
      </c>
      <c r="M2" s="19" t="s">
        <v>1166</v>
      </c>
      <c r="N2" s="19" t="s">
        <v>1167</v>
      </c>
      <c r="O2" s="19" t="s">
        <v>1168</v>
      </c>
      <c r="P2" s="19" t="s">
        <v>1169</v>
      </c>
      <c r="Q2" s="19" t="s">
        <v>1170</v>
      </c>
      <c r="R2" s="19" t="s">
        <v>1171</v>
      </c>
      <c r="S2" s="19" t="s">
        <v>1172</v>
      </c>
      <c r="T2" s="19" t="s">
        <v>1173</v>
      </c>
      <c r="U2" s="19" t="s">
        <v>1174</v>
      </c>
      <c r="V2" s="19" t="s">
        <v>1175</v>
      </c>
      <c r="W2" s="19" t="s">
        <v>1176</v>
      </c>
      <c r="X2" s="19" t="s">
        <v>1177</v>
      </c>
      <c r="Y2" s="19" t="s">
        <v>1178</v>
      </c>
      <c r="Z2" s="19" t="s">
        <v>1179</v>
      </c>
      <c r="AA2" s="126"/>
      <c r="AB2" s="19" t="s">
        <v>1180</v>
      </c>
      <c r="AC2" s="20"/>
      <c r="AD2" s="7" t="s">
        <v>1181</v>
      </c>
      <c r="AE2" s="7" t="s">
        <v>1182</v>
      </c>
      <c r="AF2" s="20"/>
    </row>
    <row r="3" spans="2:32" ht="15" hidden="1">
      <c r="B3" s="1" t="s">
        <v>1183</v>
      </c>
      <c r="C3" s="1" t="s">
        <v>472</v>
      </c>
      <c r="D3" s="1">
        <v>6</v>
      </c>
      <c r="E3" s="1">
        <v>6</v>
      </c>
      <c r="F3" s="1">
        <v>8</v>
      </c>
      <c r="G3" s="1">
        <v>4</v>
      </c>
      <c r="K3" s="1">
        <v>48</v>
      </c>
      <c r="L3" s="2"/>
      <c r="M3" s="38">
        <v>27009</v>
      </c>
      <c r="N3" s="38" t="s">
        <v>1184</v>
      </c>
      <c r="O3" s="38" t="s">
        <v>1185</v>
      </c>
      <c r="P3" s="38" t="s">
        <v>1186</v>
      </c>
      <c r="Q3" s="39"/>
      <c r="R3" s="39"/>
      <c r="S3" s="39"/>
      <c r="T3" s="1">
        <v>6</v>
      </c>
      <c r="U3" s="1">
        <v>6</v>
      </c>
      <c r="V3" s="1">
        <v>6</v>
      </c>
      <c r="W3" s="1">
        <v>6</v>
      </c>
      <c r="AB3" s="21">
        <v>1</v>
      </c>
      <c r="AD3" s="36">
        <v>0.29166666666666669</v>
      </c>
      <c r="AE3" s="36">
        <v>0.3125</v>
      </c>
    </row>
    <row r="4" spans="2:32" ht="15" hidden="1">
      <c r="B4" s="1" t="s">
        <v>213</v>
      </c>
      <c r="C4" s="1" t="s">
        <v>472</v>
      </c>
      <c r="D4" s="1">
        <v>7</v>
      </c>
      <c r="K4" s="1">
        <v>32</v>
      </c>
      <c r="L4" s="2"/>
      <c r="M4" s="127">
        <v>27015</v>
      </c>
      <c r="N4" s="39"/>
      <c r="O4" s="39"/>
      <c r="P4" s="39"/>
      <c r="Q4" s="39"/>
      <c r="R4" s="39"/>
      <c r="S4" s="39"/>
      <c r="T4" s="1">
        <v>4</v>
      </c>
      <c r="AB4" s="22">
        <v>2</v>
      </c>
      <c r="AD4" s="36">
        <v>0.3125</v>
      </c>
      <c r="AE4" s="36">
        <v>0.33333333333333298</v>
      </c>
    </row>
    <row r="5" spans="2:32" ht="15" hidden="1">
      <c r="B5" s="1" t="s">
        <v>1187</v>
      </c>
      <c r="C5" s="1" t="s">
        <v>477</v>
      </c>
      <c r="I5" s="51">
        <v>11</v>
      </c>
      <c r="K5" s="1">
        <v>48</v>
      </c>
      <c r="L5" s="2" t="s">
        <v>67</v>
      </c>
      <c r="M5" s="39"/>
      <c r="N5" s="39"/>
      <c r="O5" s="39"/>
      <c r="P5" s="39"/>
      <c r="Q5" s="39"/>
      <c r="R5" s="38" t="s">
        <v>1188</v>
      </c>
      <c r="S5" s="39"/>
      <c r="AB5" s="21">
        <v>3</v>
      </c>
      <c r="AD5" s="36">
        <v>0.33333333333333298</v>
      </c>
      <c r="AE5" s="36">
        <v>0.35416666666666602</v>
      </c>
    </row>
    <row r="6" spans="2:32" ht="15" hidden="1">
      <c r="B6" s="1" t="s">
        <v>1189</v>
      </c>
      <c r="C6" s="1" t="s">
        <v>473</v>
      </c>
      <c r="H6" s="1">
        <v>6</v>
      </c>
      <c r="K6" s="1">
        <v>80</v>
      </c>
      <c r="L6" s="2"/>
      <c r="M6" s="39"/>
      <c r="N6" s="39"/>
      <c r="O6" s="39"/>
      <c r="P6" s="39"/>
      <c r="Q6" s="38" t="s">
        <v>1190</v>
      </c>
      <c r="R6" s="39"/>
      <c r="S6" s="39"/>
      <c r="X6" s="1">
        <v>9</v>
      </c>
      <c r="AB6" s="22">
        <v>4</v>
      </c>
      <c r="AD6" s="36">
        <v>0.35416666666666702</v>
      </c>
      <c r="AE6" s="36">
        <v>0.374999999999999</v>
      </c>
    </row>
    <row r="7" spans="2:32" ht="15" hidden="1">
      <c r="B7" s="1" t="s">
        <v>390</v>
      </c>
      <c r="C7" s="1" t="s">
        <v>470</v>
      </c>
      <c r="G7" s="1">
        <v>7</v>
      </c>
      <c r="K7" s="1">
        <v>48</v>
      </c>
      <c r="L7" s="2"/>
      <c r="M7" s="39"/>
      <c r="N7" s="39"/>
      <c r="O7" s="39"/>
      <c r="P7" s="38" t="s">
        <v>1191</v>
      </c>
      <c r="Q7" s="39"/>
      <c r="R7" s="39"/>
      <c r="S7" s="39"/>
      <c r="W7" s="1">
        <v>6</v>
      </c>
      <c r="AB7" s="21">
        <v>5</v>
      </c>
      <c r="AD7" s="36">
        <v>0.375</v>
      </c>
      <c r="AE7" s="36">
        <v>0.39583333333333198</v>
      </c>
    </row>
    <row r="8" spans="2:32" ht="15" hidden="1">
      <c r="B8" s="1" t="s">
        <v>1192</v>
      </c>
      <c r="C8" s="1" t="s">
        <v>473</v>
      </c>
      <c r="I8" s="1">
        <v>6</v>
      </c>
      <c r="K8" s="1">
        <v>64</v>
      </c>
      <c r="L8" s="2"/>
      <c r="M8" s="39"/>
      <c r="N8" s="39"/>
      <c r="O8" s="39"/>
      <c r="P8" s="39"/>
      <c r="Q8" s="39"/>
      <c r="R8" s="38" t="s">
        <v>1193</v>
      </c>
      <c r="S8" s="39"/>
      <c r="Y8" s="1">
        <v>8</v>
      </c>
      <c r="AB8" s="22">
        <v>6</v>
      </c>
      <c r="AD8" s="36">
        <v>0.39583333333333398</v>
      </c>
      <c r="AE8" s="36">
        <v>0.41666666666666502</v>
      </c>
    </row>
    <row r="9" spans="2:32" ht="15" hidden="1">
      <c r="B9" s="1" t="s">
        <v>97</v>
      </c>
      <c r="C9" s="1" t="s">
        <v>474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64</v>
      </c>
      <c r="L9" s="2"/>
      <c r="M9" s="38" t="s">
        <v>1194</v>
      </c>
      <c r="N9" s="38" t="s">
        <v>1194</v>
      </c>
      <c r="O9" s="38" t="s">
        <v>1194</v>
      </c>
      <c r="P9" s="38" t="s">
        <v>1195</v>
      </c>
      <c r="Q9" s="38" t="s">
        <v>1196</v>
      </c>
      <c r="R9" s="38" t="s">
        <v>1194</v>
      </c>
      <c r="S9" s="38" t="s">
        <v>1195</v>
      </c>
      <c r="T9" s="1">
        <v>8</v>
      </c>
      <c r="U9" s="1">
        <v>8</v>
      </c>
      <c r="V9" s="1">
        <v>8</v>
      </c>
      <c r="W9" s="1">
        <v>8</v>
      </c>
      <c r="X9" s="1">
        <v>8</v>
      </c>
      <c r="Y9" s="1">
        <v>8</v>
      </c>
      <c r="Z9" s="1">
        <v>8</v>
      </c>
      <c r="AB9" s="21">
        <v>7</v>
      </c>
      <c r="AD9" s="36">
        <v>0.41666666666666702</v>
      </c>
      <c r="AE9" s="36">
        <v>0.437499999999998</v>
      </c>
    </row>
    <row r="10" spans="2:32" ht="15" hidden="1">
      <c r="B10" s="1" t="s">
        <v>286</v>
      </c>
      <c r="C10" s="1" t="s">
        <v>474</v>
      </c>
      <c r="D10" s="1">
        <v>2</v>
      </c>
      <c r="E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64</v>
      </c>
      <c r="L10" s="2"/>
      <c r="M10" s="38" t="s">
        <v>1197</v>
      </c>
      <c r="N10" s="38" t="s">
        <v>1197</v>
      </c>
      <c r="O10" s="39"/>
      <c r="P10" s="38" t="s">
        <v>1198</v>
      </c>
      <c r="Q10" s="38" t="s">
        <v>1199</v>
      </c>
      <c r="R10" s="38" t="s">
        <v>1197</v>
      </c>
      <c r="S10" s="38" t="s">
        <v>1198</v>
      </c>
      <c r="T10" s="1">
        <v>8</v>
      </c>
      <c r="U10" s="1">
        <v>8</v>
      </c>
      <c r="W10" s="1">
        <v>8</v>
      </c>
      <c r="X10" s="1">
        <v>8</v>
      </c>
      <c r="Y10" s="1">
        <v>8</v>
      </c>
      <c r="Z10" s="1">
        <v>8</v>
      </c>
      <c r="AB10" s="22">
        <v>8</v>
      </c>
      <c r="AD10" s="36">
        <v>0.4375</v>
      </c>
      <c r="AE10" s="36">
        <v>0.45833333333333098</v>
      </c>
    </row>
    <row r="11" spans="2:32" ht="15" hidden="1">
      <c r="B11" s="1" t="s">
        <v>1200</v>
      </c>
      <c r="C11" s="1" t="s">
        <v>473</v>
      </c>
      <c r="H11" s="1">
        <v>6</v>
      </c>
      <c r="K11" s="1">
        <v>80</v>
      </c>
      <c r="L11" s="2"/>
      <c r="M11" s="39"/>
      <c r="N11" s="39"/>
      <c r="O11" s="39"/>
      <c r="P11" s="39"/>
      <c r="Q11" s="38" t="s">
        <v>1201</v>
      </c>
      <c r="R11" s="39"/>
      <c r="S11" s="39"/>
      <c r="X11" s="1">
        <v>8</v>
      </c>
      <c r="AB11" s="21">
        <v>9</v>
      </c>
      <c r="AD11" s="36">
        <v>0.45833333333333398</v>
      </c>
      <c r="AE11" s="36">
        <v>0.47916666666666402</v>
      </c>
    </row>
    <row r="12" spans="2:32" ht="15" hidden="1">
      <c r="B12" s="1" t="s">
        <v>1202</v>
      </c>
      <c r="C12" s="1" t="s">
        <v>475</v>
      </c>
      <c r="D12" s="1">
        <v>4</v>
      </c>
      <c r="I12" s="1">
        <v>10</v>
      </c>
      <c r="K12" s="1">
        <v>48</v>
      </c>
      <c r="L12" s="2"/>
      <c r="M12" s="38" t="s">
        <v>1203</v>
      </c>
      <c r="N12" s="39"/>
      <c r="O12" s="39"/>
      <c r="P12" s="39"/>
      <c r="Q12" s="39"/>
      <c r="R12" s="39"/>
      <c r="S12" s="39"/>
      <c r="T12" s="1">
        <v>6</v>
      </c>
      <c r="AB12" s="23">
        <v>10</v>
      </c>
      <c r="AD12" s="36">
        <v>0.47916666666666702</v>
      </c>
      <c r="AE12" s="36">
        <v>0.499999999999997</v>
      </c>
    </row>
    <row r="13" spans="2:32" ht="15" hidden="1">
      <c r="B13" s="1" t="s">
        <v>1204</v>
      </c>
      <c r="C13" s="1" t="s">
        <v>477</v>
      </c>
      <c r="I13" s="1">
        <v>6</v>
      </c>
      <c r="K13" s="1">
        <v>64</v>
      </c>
      <c r="L13" s="2"/>
      <c r="M13" s="39"/>
      <c r="N13" s="39"/>
      <c r="O13" s="39"/>
      <c r="P13" s="39"/>
      <c r="Q13" s="39"/>
      <c r="R13" s="38" t="s">
        <v>1205</v>
      </c>
      <c r="S13" s="39"/>
      <c r="Y13" s="1">
        <v>8</v>
      </c>
      <c r="AD13" s="36">
        <v>0.5</v>
      </c>
      <c r="AE13" s="36">
        <v>0.52083333333333004</v>
      </c>
    </row>
    <row r="14" spans="2:32" ht="15" hidden="1">
      <c r="B14" s="1" t="s">
        <v>1206</v>
      </c>
      <c r="C14" s="1" t="s">
        <v>473</v>
      </c>
      <c r="H14" s="1">
        <v>2</v>
      </c>
      <c r="K14" s="1">
        <v>48</v>
      </c>
      <c r="L14" s="2"/>
      <c r="M14" s="39"/>
      <c r="N14" s="39"/>
      <c r="O14" s="39"/>
      <c r="P14" s="39"/>
      <c r="Q14" s="38" t="s">
        <v>1207</v>
      </c>
      <c r="R14" s="39"/>
      <c r="S14" s="39"/>
      <c r="X14" s="1">
        <v>6</v>
      </c>
      <c r="AD14" s="36">
        <v>0.52083333333333304</v>
      </c>
      <c r="AE14" s="36">
        <v>0.54166666666666297</v>
      </c>
    </row>
    <row r="15" spans="2:32" ht="30" hidden="1">
      <c r="B15" s="1" t="s">
        <v>144</v>
      </c>
      <c r="C15" s="1" t="s">
        <v>470</v>
      </c>
      <c r="D15" s="1">
        <v>1</v>
      </c>
      <c r="E15" s="1">
        <v>1</v>
      </c>
      <c r="F15" s="1">
        <v>3</v>
      </c>
      <c r="G15" s="1">
        <v>1</v>
      </c>
      <c r="H15" s="12">
        <v>1</v>
      </c>
      <c r="I15" s="1">
        <v>1</v>
      </c>
      <c r="J15" s="1">
        <v>1</v>
      </c>
      <c r="K15" s="1">
        <v>64</v>
      </c>
      <c r="L15" s="2"/>
      <c r="M15" s="38" t="s">
        <v>1208</v>
      </c>
      <c r="N15" s="38" t="s">
        <v>1208</v>
      </c>
      <c r="O15" s="38">
        <v>26781</v>
      </c>
      <c r="P15" s="38" t="s">
        <v>1209</v>
      </c>
      <c r="Q15" s="38" t="s">
        <v>1210</v>
      </c>
      <c r="R15" s="38" t="s">
        <v>1211</v>
      </c>
      <c r="S15" s="38" t="s">
        <v>1209</v>
      </c>
      <c r="T15" s="1">
        <v>8</v>
      </c>
      <c r="U15" s="1">
        <v>8</v>
      </c>
      <c r="V15" s="1">
        <v>8</v>
      </c>
      <c r="W15" s="1">
        <v>8</v>
      </c>
      <c r="X15" s="1">
        <v>8</v>
      </c>
      <c r="Y15" s="1">
        <v>7</v>
      </c>
      <c r="Z15" s="1">
        <v>8</v>
      </c>
      <c r="AD15" s="36">
        <v>0.54166666666666696</v>
      </c>
      <c r="AE15" s="36">
        <v>0.562499999999996</v>
      </c>
    </row>
    <row r="16" spans="2:32" ht="15" hidden="1">
      <c r="B16" s="1" t="s">
        <v>173</v>
      </c>
      <c r="C16" s="1" t="s">
        <v>478</v>
      </c>
      <c r="D16" s="1">
        <v>4</v>
      </c>
      <c r="E16" s="1">
        <v>4</v>
      </c>
      <c r="F16" s="1">
        <v>4</v>
      </c>
      <c r="G16" s="1">
        <v>4</v>
      </c>
      <c r="H16" s="12">
        <v>4</v>
      </c>
      <c r="I16" s="1">
        <v>4</v>
      </c>
      <c r="J16" s="1">
        <v>4</v>
      </c>
      <c r="K16" s="1">
        <v>32</v>
      </c>
      <c r="L16" s="2"/>
      <c r="M16" s="38" t="s">
        <v>1212</v>
      </c>
      <c r="N16" s="38" t="s">
        <v>1212</v>
      </c>
      <c r="O16" s="38" t="s">
        <v>1212</v>
      </c>
      <c r="P16" s="38" t="s">
        <v>1213</v>
      </c>
      <c r="Q16" s="38" t="s">
        <v>1214</v>
      </c>
      <c r="R16" s="38" t="s">
        <v>1215</v>
      </c>
      <c r="S16" s="38" t="s">
        <v>1213</v>
      </c>
      <c r="T16" s="1">
        <v>4</v>
      </c>
      <c r="U16" s="1">
        <v>4</v>
      </c>
      <c r="V16" s="1">
        <v>4</v>
      </c>
      <c r="W16" s="1">
        <v>4</v>
      </c>
      <c r="X16" s="1">
        <v>4</v>
      </c>
      <c r="Y16" s="1">
        <v>4</v>
      </c>
      <c r="Z16" s="1">
        <v>4</v>
      </c>
      <c r="AD16" s="36">
        <v>0.5625</v>
      </c>
      <c r="AE16" s="36">
        <v>0.58333333333332904</v>
      </c>
    </row>
    <row r="17" spans="2:31" ht="15" hidden="1">
      <c r="B17" s="1" t="s">
        <v>269</v>
      </c>
      <c r="C17" s="1" t="s">
        <v>478</v>
      </c>
      <c r="D17" s="1">
        <v>5</v>
      </c>
      <c r="E17" s="1">
        <v>5</v>
      </c>
      <c r="F17" s="1">
        <v>5</v>
      </c>
      <c r="G17" s="1">
        <v>5</v>
      </c>
      <c r="H17" s="12">
        <v>5</v>
      </c>
      <c r="I17" s="1">
        <v>5</v>
      </c>
      <c r="J17" s="1">
        <v>5</v>
      </c>
      <c r="K17" s="1">
        <v>32</v>
      </c>
      <c r="L17" s="2"/>
      <c r="M17" s="38" t="s">
        <v>1216</v>
      </c>
      <c r="N17" s="38" t="s">
        <v>1216</v>
      </c>
      <c r="O17" s="38" t="s">
        <v>1216</v>
      </c>
      <c r="P17" s="38" t="s">
        <v>1217</v>
      </c>
      <c r="Q17" s="38" t="s">
        <v>1218</v>
      </c>
      <c r="R17" s="38" t="s">
        <v>1219</v>
      </c>
      <c r="S17" s="38" t="s">
        <v>1217</v>
      </c>
      <c r="T17" s="1">
        <v>4</v>
      </c>
      <c r="U17" s="1">
        <v>4</v>
      </c>
      <c r="V17" s="1">
        <v>4</v>
      </c>
      <c r="W17" s="1">
        <v>4</v>
      </c>
      <c r="X17" s="1">
        <v>4</v>
      </c>
      <c r="Y17" s="1">
        <v>4</v>
      </c>
      <c r="Z17" s="1">
        <v>4</v>
      </c>
      <c r="AD17" s="36">
        <v>0.58333333333333304</v>
      </c>
      <c r="AE17" s="36">
        <v>0.60416666666666197</v>
      </c>
    </row>
    <row r="18" spans="2:31" ht="15" hidden="1">
      <c r="B18" s="1" t="s">
        <v>1220</v>
      </c>
      <c r="C18" s="1" t="s">
        <v>470</v>
      </c>
      <c r="G18" s="1">
        <v>6</v>
      </c>
      <c r="K18" s="1">
        <v>48</v>
      </c>
      <c r="L18" s="2"/>
      <c r="M18" s="39"/>
      <c r="N18" s="39"/>
      <c r="O18" s="39"/>
      <c r="P18" s="38" t="s">
        <v>1221</v>
      </c>
      <c r="Q18" s="39"/>
      <c r="R18" s="39"/>
      <c r="S18" s="39"/>
      <c r="W18" s="1">
        <v>6</v>
      </c>
      <c r="AD18" s="36">
        <v>0.60416666666666696</v>
      </c>
      <c r="AE18" s="36">
        <v>0.624999999999995</v>
      </c>
    </row>
    <row r="19" spans="2:31" ht="15" hidden="1">
      <c r="B19" s="1" t="s">
        <v>1222</v>
      </c>
      <c r="C19" s="1" t="s">
        <v>470</v>
      </c>
      <c r="G19" s="1">
        <v>8</v>
      </c>
      <c r="K19" s="1">
        <v>48</v>
      </c>
      <c r="L19" s="2"/>
      <c r="M19" s="39"/>
      <c r="N19" s="39"/>
      <c r="O19" s="39"/>
      <c r="P19" s="38" t="s">
        <v>1223</v>
      </c>
      <c r="Q19" s="39"/>
      <c r="R19" s="39"/>
      <c r="S19" s="39"/>
      <c r="W19" s="1">
        <v>6</v>
      </c>
      <c r="AD19" s="36">
        <v>0.625</v>
      </c>
      <c r="AE19" s="36">
        <v>0.64583333333332804</v>
      </c>
    </row>
    <row r="20" spans="2:31" ht="15" hidden="1">
      <c r="B20" s="1" t="s">
        <v>351</v>
      </c>
      <c r="C20" s="1" t="s">
        <v>476</v>
      </c>
      <c r="I20" s="51">
        <v>9</v>
      </c>
      <c r="K20" s="1">
        <v>48</v>
      </c>
      <c r="L20" s="2" t="s">
        <v>67</v>
      </c>
      <c r="M20" s="39"/>
      <c r="N20" s="39"/>
      <c r="O20" s="39"/>
      <c r="P20" s="39"/>
      <c r="Q20" s="39"/>
      <c r="R20" s="38" t="s">
        <v>1224</v>
      </c>
      <c r="S20" s="39"/>
      <c r="Y20" s="1">
        <v>6</v>
      </c>
      <c r="AD20" s="36">
        <v>0.64583333333333304</v>
      </c>
      <c r="AE20" s="36">
        <v>0.66666666666666097</v>
      </c>
    </row>
    <row r="21" spans="2:31" ht="15" hidden="1">
      <c r="B21" s="1" t="s">
        <v>1225</v>
      </c>
      <c r="C21" s="1" t="s">
        <v>470</v>
      </c>
      <c r="G21" s="1">
        <v>6</v>
      </c>
      <c r="K21" s="1">
        <v>48</v>
      </c>
      <c r="L21" s="2"/>
      <c r="M21" s="39"/>
      <c r="N21" s="39"/>
      <c r="O21" s="39"/>
      <c r="P21" s="38" t="s">
        <v>1226</v>
      </c>
      <c r="Q21" s="39"/>
      <c r="R21" s="39"/>
      <c r="S21" s="39"/>
      <c r="W21" s="1">
        <v>6</v>
      </c>
      <c r="AD21" s="36">
        <v>0.66666666666666696</v>
      </c>
      <c r="AE21" s="36">
        <v>0.687499999999994</v>
      </c>
    </row>
    <row r="22" spans="2:31" ht="15" hidden="1">
      <c r="B22" s="1" t="s">
        <v>64</v>
      </c>
      <c r="C22" s="1" t="s">
        <v>477</v>
      </c>
      <c r="I22" s="51">
        <v>9</v>
      </c>
      <c r="K22" s="1">
        <v>48</v>
      </c>
      <c r="L22" s="2"/>
      <c r="M22" s="39"/>
      <c r="N22" s="39"/>
      <c r="O22" s="39"/>
      <c r="P22" s="39"/>
      <c r="Q22" s="39"/>
      <c r="R22" s="38" t="s">
        <v>1227</v>
      </c>
      <c r="S22" s="39"/>
      <c r="Y22" s="1">
        <v>6</v>
      </c>
      <c r="AD22" s="36">
        <v>0.6875</v>
      </c>
      <c r="AE22" s="36">
        <v>0.70833333333332704</v>
      </c>
    </row>
    <row r="23" spans="2:31" ht="15" hidden="1">
      <c r="B23" s="1" t="s">
        <v>151</v>
      </c>
      <c r="C23" s="1" t="s">
        <v>477</v>
      </c>
      <c r="I23" s="1">
        <v>7</v>
      </c>
      <c r="K23" s="1">
        <v>48</v>
      </c>
      <c r="L23" s="2"/>
      <c r="M23" s="39"/>
      <c r="N23" s="39"/>
      <c r="O23" s="39"/>
      <c r="P23" s="39"/>
      <c r="Q23" s="39"/>
      <c r="R23" s="38" t="s">
        <v>1228</v>
      </c>
      <c r="S23" s="39"/>
      <c r="Y23" s="1">
        <v>6</v>
      </c>
      <c r="AD23" s="36">
        <v>0.70833333333333304</v>
      </c>
      <c r="AE23" s="36">
        <v>0.72916666666665997</v>
      </c>
    </row>
    <row r="24" spans="2:31" ht="15" hidden="1">
      <c r="B24" s="1" t="s">
        <v>1229</v>
      </c>
      <c r="C24" s="1" t="s">
        <v>477</v>
      </c>
      <c r="I24" s="1">
        <v>8</v>
      </c>
      <c r="K24" s="1">
        <v>48</v>
      </c>
      <c r="L24" s="2"/>
      <c r="M24" s="39"/>
      <c r="N24" s="39"/>
      <c r="O24" s="39"/>
      <c r="P24" s="39"/>
      <c r="Q24" s="39"/>
      <c r="R24" s="38" t="s">
        <v>1230</v>
      </c>
      <c r="S24" s="39"/>
      <c r="Y24" s="1">
        <v>6</v>
      </c>
      <c r="AD24" s="36">
        <v>0.72916666666666696</v>
      </c>
      <c r="AE24" s="36">
        <v>0.74999999999999301</v>
      </c>
    </row>
    <row r="25" spans="2:31" ht="15" hidden="1">
      <c r="B25" s="1" t="s">
        <v>1231</v>
      </c>
      <c r="C25" s="1" t="s">
        <v>479</v>
      </c>
      <c r="J25" s="1">
        <v>8</v>
      </c>
      <c r="K25" s="1">
        <v>64</v>
      </c>
      <c r="L25" s="2"/>
      <c r="M25" s="39"/>
      <c r="N25" s="39"/>
      <c r="O25" s="39"/>
      <c r="P25" s="39"/>
      <c r="Q25" s="39"/>
      <c r="R25" s="39"/>
      <c r="S25" s="38" t="s">
        <v>1232</v>
      </c>
      <c r="Z25" s="1">
        <v>6</v>
      </c>
      <c r="AD25" s="36">
        <v>0.75</v>
      </c>
      <c r="AE25" s="36">
        <v>0.77083333333332604</v>
      </c>
    </row>
    <row r="26" spans="2:31" ht="15" hidden="1">
      <c r="B26" s="1" t="s">
        <v>257</v>
      </c>
      <c r="C26" s="1" t="s">
        <v>479</v>
      </c>
      <c r="J26" s="1">
        <v>3</v>
      </c>
      <c r="K26" s="1">
        <v>64</v>
      </c>
      <c r="L26" s="2"/>
      <c r="M26" s="39"/>
      <c r="N26" s="39"/>
      <c r="O26" s="39"/>
      <c r="P26" s="39"/>
      <c r="Q26" s="39"/>
      <c r="R26" s="39"/>
      <c r="S26" s="38" t="s">
        <v>1233</v>
      </c>
      <c r="Z26" s="1">
        <v>5</v>
      </c>
      <c r="AD26" s="36">
        <v>0.77083333333333304</v>
      </c>
      <c r="AE26" s="36">
        <v>0.79166666666665897</v>
      </c>
    </row>
    <row r="27" spans="2:31" ht="15" hidden="1">
      <c r="B27" s="1" t="s">
        <v>259</v>
      </c>
      <c r="C27" s="1" t="s">
        <v>479</v>
      </c>
      <c r="J27" s="1">
        <v>5</v>
      </c>
      <c r="K27" s="1">
        <v>64</v>
      </c>
      <c r="L27" s="2"/>
      <c r="M27" s="39"/>
      <c r="N27" s="39"/>
      <c r="O27" s="39"/>
      <c r="P27" s="39"/>
      <c r="Q27" s="39"/>
      <c r="R27" s="39"/>
      <c r="S27" s="38" t="s">
        <v>1234</v>
      </c>
      <c r="Z27" s="1">
        <v>6</v>
      </c>
      <c r="AD27" s="36">
        <v>0.79166666666666696</v>
      </c>
      <c r="AE27" s="36">
        <v>0.81249999999999201</v>
      </c>
    </row>
    <row r="28" spans="2:31" ht="15" hidden="1">
      <c r="B28" s="1" t="s">
        <v>266</v>
      </c>
      <c r="C28" s="1" t="s">
        <v>479</v>
      </c>
      <c r="J28" s="1">
        <v>7</v>
      </c>
      <c r="K28" s="1">
        <v>64</v>
      </c>
      <c r="L28" s="2"/>
      <c r="M28" s="39"/>
      <c r="N28" s="39"/>
      <c r="O28" s="39"/>
      <c r="P28" s="39"/>
      <c r="Q28" s="39"/>
      <c r="R28" s="39"/>
      <c r="S28" s="38" t="s">
        <v>1235</v>
      </c>
      <c r="Z28" s="1">
        <v>6</v>
      </c>
      <c r="AD28" s="36">
        <v>0.8125</v>
      </c>
      <c r="AE28" s="36">
        <v>0.83333333333332504</v>
      </c>
    </row>
    <row r="29" spans="2:31" ht="15" hidden="1">
      <c r="B29" s="1" t="s">
        <v>89</v>
      </c>
      <c r="C29" s="1" t="s">
        <v>473</v>
      </c>
      <c r="H29" s="1">
        <v>7</v>
      </c>
      <c r="K29" s="1">
        <v>64</v>
      </c>
      <c r="L29" s="2"/>
      <c r="M29" s="39"/>
      <c r="N29" s="39"/>
      <c r="O29" s="39"/>
      <c r="P29" s="39"/>
      <c r="Q29" s="38" t="s">
        <v>1236</v>
      </c>
      <c r="R29" s="39"/>
      <c r="S29" s="39"/>
      <c r="X29" s="1">
        <v>6</v>
      </c>
      <c r="AD29" s="36">
        <v>0.83333333333333304</v>
      </c>
      <c r="AE29" s="36">
        <v>0.85416666666665797</v>
      </c>
    </row>
    <row r="30" spans="2:31" ht="15" hidden="1">
      <c r="B30" s="1" t="s">
        <v>153</v>
      </c>
      <c r="C30" s="1" t="s">
        <v>477</v>
      </c>
      <c r="I30" s="1">
        <v>1</v>
      </c>
      <c r="K30" s="1">
        <v>48</v>
      </c>
      <c r="L30" s="2"/>
      <c r="M30" s="39"/>
      <c r="N30" s="39"/>
      <c r="O30" s="39"/>
      <c r="P30" s="39"/>
      <c r="Q30" s="39"/>
      <c r="R30" s="38" t="s">
        <v>1237</v>
      </c>
      <c r="S30" s="39"/>
      <c r="Y30" s="1">
        <v>4</v>
      </c>
      <c r="AD30" s="36">
        <v>0.85416666666666696</v>
      </c>
      <c r="AE30" s="36">
        <v>0.87499999999999001</v>
      </c>
    </row>
    <row r="31" spans="2:31" ht="15" hidden="1">
      <c r="B31" s="1" t="s">
        <v>1238</v>
      </c>
      <c r="C31" s="1" t="s">
        <v>477</v>
      </c>
      <c r="K31" s="1">
        <v>64</v>
      </c>
      <c r="L31" s="2" t="s">
        <v>67</v>
      </c>
      <c r="M31" s="39"/>
      <c r="N31" s="39"/>
      <c r="O31" s="39"/>
      <c r="P31" s="39"/>
      <c r="Q31" s="39"/>
      <c r="R31" s="38" t="s">
        <v>1239</v>
      </c>
      <c r="S31" s="39"/>
      <c r="Y31" s="1">
        <v>7</v>
      </c>
      <c r="AD31" s="36">
        <v>0.875</v>
      </c>
      <c r="AE31" s="36">
        <v>0.89583333333332305</v>
      </c>
    </row>
    <row r="32" spans="2:31" ht="15" hidden="1">
      <c r="B32" s="1" t="s">
        <v>191</v>
      </c>
      <c r="C32" s="1" t="s">
        <v>474</v>
      </c>
      <c r="D32" s="1">
        <v>1</v>
      </c>
      <c r="E32" s="1">
        <v>1</v>
      </c>
      <c r="F32" s="1">
        <v>3</v>
      </c>
      <c r="G32" s="1">
        <v>1</v>
      </c>
      <c r="H32" s="1">
        <v>1</v>
      </c>
      <c r="I32" s="1">
        <v>1</v>
      </c>
      <c r="J32" s="1">
        <v>1</v>
      </c>
      <c r="K32" s="1">
        <v>64</v>
      </c>
      <c r="L32" s="2"/>
      <c r="M32" s="38" t="s">
        <v>1240</v>
      </c>
      <c r="N32" s="38" t="s">
        <v>1240</v>
      </c>
      <c r="O32" s="38">
        <v>26776</v>
      </c>
      <c r="P32" s="38" t="s">
        <v>1241</v>
      </c>
      <c r="Q32" s="38" t="s">
        <v>1242</v>
      </c>
      <c r="R32" s="38" t="s">
        <v>1240</v>
      </c>
      <c r="S32" s="38" t="s">
        <v>1241</v>
      </c>
      <c r="T32" s="1">
        <v>8</v>
      </c>
      <c r="U32" s="1">
        <v>8</v>
      </c>
      <c r="V32" s="1">
        <v>8</v>
      </c>
      <c r="W32" s="1">
        <v>8</v>
      </c>
      <c r="X32" s="1">
        <v>8</v>
      </c>
      <c r="Y32" s="1">
        <v>8</v>
      </c>
      <c r="Z32" s="1">
        <v>8</v>
      </c>
      <c r="AD32" s="36">
        <v>0.89583333333333304</v>
      </c>
      <c r="AE32" s="36">
        <v>0.91666666666665697</v>
      </c>
    </row>
    <row r="33" spans="2:26" ht="15" hidden="1">
      <c r="B33" s="1" t="s">
        <v>200</v>
      </c>
      <c r="C33" s="1" t="s">
        <v>474</v>
      </c>
      <c r="D33" s="1">
        <v>2</v>
      </c>
      <c r="E33" s="1">
        <v>2</v>
      </c>
      <c r="F33" s="1">
        <v>4</v>
      </c>
      <c r="G33" s="1">
        <v>2</v>
      </c>
      <c r="H33" s="1">
        <v>2</v>
      </c>
      <c r="I33" s="1">
        <v>2</v>
      </c>
      <c r="J33" s="1">
        <v>2</v>
      </c>
      <c r="K33" s="1">
        <v>64</v>
      </c>
      <c r="L33" s="2"/>
      <c r="M33" s="38" t="s">
        <v>1243</v>
      </c>
      <c r="N33" s="38" t="s">
        <v>1243</v>
      </c>
      <c r="O33" s="38" t="s">
        <v>1244</v>
      </c>
      <c r="P33" s="38" t="s">
        <v>1245</v>
      </c>
      <c r="Q33" s="38" t="s">
        <v>1246</v>
      </c>
      <c r="R33" s="38" t="s">
        <v>1243</v>
      </c>
      <c r="S33" s="38" t="s">
        <v>1245</v>
      </c>
      <c r="T33" s="1">
        <v>8</v>
      </c>
      <c r="V33" s="1">
        <v>8</v>
      </c>
      <c r="W33" s="1">
        <v>8</v>
      </c>
      <c r="X33" s="1">
        <v>6</v>
      </c>
      <c r="Y33" s="1">
        <v>8</v>
      </c>
      <c r="Z33" s="1">
        <v>8</v>
      </c>
    </row>
    <row r="34" spans="2:26" ht="13.5" hidden="1" customHeight="1">
      <c r="B34" s="1" t="s">
        <v>1247</v>
      </c>
      <c r="C34" s="1" t="s">
        <v>474</v>
      </c>
      <c r="G34" s="1">
        <v>4</v>
      </c>
      <c r="K34" s="1">
        <v>64</v>
      </c>
      <c r="L34" s="2"/>
      <c r="M34" s="39"/>
      <c r="N34" s="39"/>
      <c r="O34" s="39"/>
      <c r="P34" s="38" t="s">
        <v>1248</v>
      </c>
      <c r="Q34" s="39"/>
      <c r="R34" s="39"/>
      <c r="S34" s="39"/>
      <c r="W34" s="1">
        <v>8</v>
      </c>
    </row>
    <row r="35" spans="2:26" ht="15" hidden="1">
      <c r="B35" s="1" t="s">
        <v>342</v>
      </c>
      <c r="C35" s="1" t="s">
        <v>474</v>
      </c>
      <c r="D35" s="1">
        <v>3</v>
      </c>
      <c r="E35" s="1">
        <v>3</v>
      </c>
      <c r="F35" s="1">
        <v>5</v>
      </c>
      <c r="G35" s="1">
        <v>3</v>
      </c>
      <c r="H35" s="1">
        <v>3</v>
      </c>
      <c r="I35" s="1">
        <v>3</v>
      </c>
      <c r="J35" s="1">
        <v>3</v>
      </c>
      <c r="K35" s="1">
        <v>64</v>
      </c>
      <c r="L35" s="2"/>
      <c r="M35" s="38" t="s">
        <v>1249</v>
      </c>
      <c r="N35" s="38" t="s">
        <v>1249</v>
      </c>
      <c r="O35" s="38" t="s">
        <v>1250</v>
      </c>
      <c r="P35" s="38" t="s">
        <v>1251</v>
      </c>
      <c r="Q35" s="38" t="s">
        <v>1252</v>
      </c>
      <c r="R35" s="38" t="s">
        <v>1249</v>
      </c>
      <c r="S35" s="38" t="s">
        <v>1251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</row>
    <row r="36" spans="2:26" ht="15" hidden="1">
      <c r="B36" s="1" t="s">
        <v>1253</v>
      </c>
      <c r="K36" s="1">
        <v>64</v>
      </c>
      <c r="L36" s="2" t="s">
        <v>67</v>
      </c>
      <c r="M36" s="39"/>
      <c r="N36" s="39"/>
      <c r="O36" s="39"/>
      <c r="P36" s="38"/>
      <c r="Q36" s="39"/>
      <c r="R36" s="38" t="s">
        <v>1254</v>
      </c>
      <c r="S36" s="39"/>
      <c r="Y36" s="1">
        <v>8</v>
      </c>
    </row>
    <row r="37" spans="2:26" ht="15" hidden="1">
      <c r="B37" s="1" t="s">
        <v>1255</v>
      </c>
      <c r="C37" s="12" t="s">
        <v>476</v>
      </c>
      <c r="I37" s="51">
        <v>10</v>
      </c>
      <c r="K37" s="1">
        <v>48</v>
      </c>
      <c r="L37" s="2" t="s">
        <v>67</v>
      </c>
      <c r="M37" s="39"/>
      <c r="N37" s="39"/>
      <c r="O37" s="39"/>
      <c r="P37" s="39"/>
      <c r="Q37" s="39"/>
      <c r="R37" s="38" t="s">
        <v>1256</v>
      </c>
      <c r="S37" s="39"/>
      <c r="Y37" s="1">
        <v>8</v>
      </c>
    </row>
    <row r="38" spans="2:26" ht="15" hidden="1">
      <c r="B38" s="1" t="s">
        <v>107</v>
      </c>
      <c r="C38" s="1" t="s">
        <v>471</v>
      </c>
      <c r="E38" s="1">
        <v>3</v>
      </c>
      <c r="G38" s="1">
        <v>3</v>
      </c>
      <c r="H38" s="12">
        <v>4</v>
      </c>
      <c r="J38" s="1">
        <v>3</v>
      </c>
      <c r="K38" s="1">
        <v>48</v>
      </c>
      <c r="L38" s="2"/>
      <c r="M38" s="39"/>
      <c r="N38" s="38" t="s">
        <v>1257</v>
      </c>
      <c r="O38" s="39"/>
      <c r="P38" s="38" t="s">
        <v>1258</v>
      </c>
      <c r="Q38" s="38" t="s">
        <v>1259</v>
      </c>
      <c r="R38" s="39"/>
      <c r="S38" s="38" t="s">
        <v>1258</v>
      </c>
      <c r="U38" s="1">
        <v>6</v>
      </c>
      <c r="W38" s="1">
        <v>6</v>
      </c>
      <c r="X38" s="1">
        <v>7</v>
      </c>
      <c r="Z38" s="1">
        <v>6</v>
      </c>
    </row>
    <row r="39" spans="2:26" ht="15" hidden="1">
      <c r="B39" s="1" t="s">
        <v>426</v>
      </c>
      <c r="C39" s="1" t="s">
        <v>471</v>
      </c>
      <c r="E39" s="1">
        <v>4</v>
      </c>
      <c r="H39" s="12">
        <v>5</v>
      </c>
      <c r="J39" s="1">
        <v>4</v>
      </c>
      <c r="K39" s="1">
        <v>64</v>
      </c>
      <c r="L39" s="2"/>
      <c r="M39" s="39"/>
      <c r="N39" s="38" t="s">
        <v>1260</v>
      </c>
      <c r="O39" s="39"/>
      <c r="P39" s="39"/>
      <c r="Q39" s="38" t="s">
        <v>1261</v>
      </c>
      <c r="R39" s="39"/>
      <c r="S39" s="38" t="s">
        <v>1262</v>
      </c>
      <c r="U39" s="1">
        <v>6</v>
      </c>
      <c r="X39" s="1">
        <v>7</v>
      </c>
      <c r="Z39" s="1">
        <v>6</v>
      </c>
    </row>
    <row r="40" spans="2:26" ht="15" hidden="1">
      <c r="B40" s="1" t="s">
        <v>1263</v>
      </c>
      <c r="C40" s="1" t="s">
        <v>471</v>
      </c>
      <c r="F40" s="1">
        <v>6</v>
      </c>
      <c r="K40" s="1">
        <v>64</v>
      </c>
      <c r="L40" s="2"/>
      <c r="M40" s="39"/>
      <c r="N40" s="39"/>
      <c r="O40" s="38" t="s">
        <v>1264</v>
      </c>
      <c r="P40" s="39"/>
      <c r="Q40" s="39"/>
      <c r="R40" s="39"/>
      <c r="S40" s="39"/>
      <c r="V40" s="1">
        <v>5</v>
      </c>
    </row>
    <row r="41" spans="2:26" ht="15" hidden="1">
      <c r="B41" s="1" t="s">
        <v>184</v>
      </c>
      <c r="C41" s="1" t="s">
        <v>471</v>
      </c>
      <c r="D41" s="1">
        <v>5</v>
      </c>
      <c r="E41" s="1">
        <v>3</v>
      </c>
      <c r="H41" s="1">
        <v>3</v>
      </c>
      <c r="J41" s="1">
        <v>3</v>
      </c>
      <c r="K41" s="1">
        <v>64</v>
      </c>
      <c r="L41" s="2"/>
      <c r="M41" s="38" t="s">
        <v>1265</v>
      </c>
      <c r="N41" s="38" t="s">
        <v>1266</v>
      </c>
      <c r="O41" s="39"/>
      <c r="P41" s="39"/>
      <c r="Q41" s="38" t="s">
        <v>1267</v>
      </c>
      <c r="R41" s="39"/>
      <c r="S41" s="38" t="s">
        <v>1268</v>
      </c>
      <c r="T41" s="1">
        <v>7</v>
      </c>
      <c r="U41" s="1">
        <v>7</v>
      </c>
      <c r="X41" s="1">
        <v>6</v>
      </c>
      <c r="Z41" s="1">
        <v>8</v>
      </c>
    </row>
    <row r="42" spans="2:26" ht="15" hidden="1">
      <c r="B42" s="1" t="s">
        <v>1269</v>
      </c>
      <c r="C42" s="1" t="s">
        <v>471</v>
      </c>
      <c r="J42" s="1">
        <v>4</v>
      </c>
      <c r="K42" s="1">
        <v>48</v>
      </c>
      <c r="L42" s="2"/>
      <c r="M42" s="39"/>
      <c r="N42" s="39"/>
      <c r="O42" s="39"/>
      <c r="P42" s="39"/>
      <c r="Q42" s="39"/>
      <c r="R42" s="39"/>
      <c r="S42" s="38" t="s">
        <v>1270</v>
      </c>
      <c r="Z42" s="1">
        <v>5</v>
      </c>
    </row>
    <row r="43" spans="2:26" ht="15" hidden="1">
      <c r="B43" s="1" t="s">
        <v>1271</v>
      </c>
      <c r="C43" s="1" t="s">
        <v>477</v>
      </c>
      <c r="I43" s="1">
        <v>6</v>
      </c>
      <c r="K43" s="1">
        <v>80</v>
      </c>
      <c r="L43" s="2"/>
      <c r="M43" s="39"/>
      <c r="N43" s="39"/>
      <c r="O43" s="39"/>
      <c r="P43" s="39"/>
      <c r="Q43" s="39"/>
      <c r="R43" s="38" t="s">
        <v>1272</v>
      </c>
      <c r="S43" s="39"/>
      <c r="Y43" s="1">
        <v>7</v>
      </c>
    </row>
    <row r="44" spans="2:26" ht="15" hidden="1">
      <c r="B44" s="1" t="s">
        <v>92</v>
      </c>
      <c r="C44" s="1" t="s">
        <v>470</v>
      </c>
      <c r="G44" s="1">
        <v>7</v>
      </c>
      <c r="K44" s="1">
        <v>48</v>
      </c>
      <c r="L44" s="2"/>
      <c r="M44" s="39"/>
      <c r="N44" s="39"/>
      <c r="O44" s="39"/>
      <c r="P44" s="38" t="s">
        <v>1273</v>
      </c>
      <c r="Q44" s="39"/>
      <c r="R44" s="39"/>
      <c r="S44" s="39"/>
      <c r="W44" s="1">
        <v>6</v>
      </c>
    </row>
    <row r="45" spans="2:26" ht="15" hidden="1">
      <c r="B45" s="1" t="s">
        <v>1274</v>
      </c>
      <c r="C45" s="1" t="s">
        <v>471</v>
      </c>
      <c r="E45" s="13">
        <v>8</v>
      </c>
      <c r="J45" s="1">
        <v>8</v>
      </c>
      <c r="K45" s="1">
        <v>48</v>
      </c>
      <c r="L45" s="2" t="s">
        <v>67</v>
      </c>
      <c r="M45" s="39"/>
      <c r="N45" s="38" t="s">
        <v>1275</v>
      </c>
      <c r="O45" s="39"/>
      <c r="P45" s="39"/>
      <c r="Q45" s="39"/>
      <c r="R45" s="39"/>
      <c r="S45" s="38" t="s">
        <v>1276</v>
      </c>
      <c r="U45" s="1">
        <v>6</v>
      </c>
      <c r="Z45" s="1">
        <v>6</v>
      </c>
    </row>
    <row r="46" spans="2:26" ht="30" hidden="1">
      <c r="B46" s="1" t="s">
        <v>1277</v>
      </c>
      <c r="C46" s="1" t="s">
        <v>477</v>
      </c>
      <c r="K46" s="1">
        <v>48</v>
      </c>
      <c r="L46" s="2" t="s">
        <v>67</v>
      </c>
      <c r="M46" s="39"/>
      <c r="N46" s="39"/>
      <c r="O46" s="39"/>
      <c r="P46" s="39"/>
      <c r="Q46" s="39"/>
      <c r="R46" s="38" t="s">
        <v>1278</v>
      </c>
      <c r="S46" s="39"/>
      <c r="Y46" s="1">
        <v>6</v>
      </c>
    </row>
    <row r="47" spans="2:26" ht="15" hidden="1">
      <c r="B47" s="1" t="s">
        <v>1279</v>
      </c>
      <c r="C47" s="1" t="s">
        <v>475</v>
      </c>
      <c r="D47" s="1">
        <v>2</v>
      </c>
      <c r="I47" s="1">
        <v>8</v>
      </c>
      <c r="K47" s="1">
        <v>48</v>
      </c>
      <c r="L47" s="2"/>
      <c r="M47" s="38" t="s">
        <v>1280</v>
      </c>
      <c r="N47" s="39"/>
      <c r="O47" s="39"/>
      <c r="P47" s="39"/>
      <c r="Q47" s="39"/>
      <c r="R47" s="38" t="s">
        <v>1281</v>
      </c>
      <c r="S47" s="39"/>
      <c r="T47" s="1">
        <v>6</v>
      </c>
      <c r="Y47" s="1">
        <v>6</v>
      </c>
    </row>
    <row r="48" spans="2:26" ht="15" hidden="1">
      <c r="B48" s="1" t="s">
        <v>233</v>
      </c>
      <c r="C48" s="1" t="s">
        <v>472</v>
      </c>
      <c r="D48" s="1">
        <v>5</v>
      </c>
      <c r="E48" s="13">
        <v>7</v>
      </c>
      <c r="K48" s="1">
        <v>48</v>
      </c>
      <c r="L48" s="2" t="s">
        <v>67</v>
      </c>
      <c r="M48" s="38" t="s">
        <v>1282</v>
      </c>
      <c r="N48" s="38" t="s">
        <v>1283</v>
      </c>
      <c r="O48" s="39"/>
      <c r="P48" s="39"/>
      <c r="Q48" s="39"/>
      <c r="R48" s="39"/>
      <c r="S48" s="39"/>
      <c r="T48" s="1">
        <v>6</v>
      </c>
      <c r="U48" s="1">
        <v>6</v>
      </c>
    </row>
    <row r="49" spans="2:26" ht="15" hidden="1">
      <c r="B49" s="1" t="s">
        <v>1284</v>
      </c>
      <c r="C49" s="1" t="s">
        <v>471</v>
      </c>
      <c r="I49" s="1">
        <v>4</v>
      </c>
      <c r="K49" s="1">
        <v>64</v>
      </c>
      <c r="L49" s="2" t="s">
        <v>67</v>
      </c>
      <c r="M49" s="39"/>
      <c r="N49" s="39"/>
      <c r="O49" s="39"/>
      <c r="P49" s="39"/>
      <c r="Q49" s="39"/>
      <c r="R49" s="38" t="s">
        <v>1285</v>
      </c>
      <c r="S49" s="39"/>
      <c r="Y49" s="1">
        <v>7</v>
      </c>
    </row>
    <row r="50" spans="2:26" ht="15" hidden="1">
      <c r="B50" s="1" t="s">
        <v>315</v>
      </c>
      <c r="C50" s="1" t="s">
        <v>475</v>
      </c>
      <c r="I50" s="1">
        <v>5</v>
      </c>
      <c r="K50" s="1">
        <v>48</v>
      </c>
      <c r="L50" s="2" t="s">
        <v>67</v>
      </c>
      <c r="M50" s="39"/>
      <c r="N50" s="39"/>
      <c r="O50" s="39"/>
      <c r="P50" s="39"/>
      <c r="Q50" s="39"/>
      <c r="R50" s="38" t="s">
        <v>1286</v>
      </c>
      <c r="S50" s="39"/>
      <c r="Y50" s="1">
        <v>4</v>
      </c>
    </row>
    <row r="51" spans="2:26" ht="15" hidden="1">
      <c r="B51" s="1" t="s">
        <v>1287</v>
      </c>
      <c r="C51" s="1" t="s">
        <v>470</v>
      </c>
      <c r="G51" s="1">
        <v>8</v>
      </c>
      <c r="K51" s="1">
        <v>48</v>
      </c>
      <c r="L51" s="2"/>
      <c r="M51" s="39"/>
      <c r="N51" s="39"/>
      <c r="O51" s="39"/>
      <c r="P51" s="38" t="s">
        <v>1288</v>
      </c>
      <c r="Q51" s="39"/>
      <c r="R51" s="39"/>
      <c r="S51" s="39"/>
      <c r="W51" s="1">
        <v>6</v>
      </c>
    </row>
    <row r="52" spans="2:26" ht="30" hidden="1">
      <c r="B52" s="1" t="s">
        <v>353</v>
      </c>
      <c r="C52" s="1" t="s">
        <v>470</v>
      </c>
      <c r="G52" s="1">
        <v>7</v>
      </c>
      <c r="J52" s="1">
        <v>7</v>
      </c>
      <c r="K52" s="1">
        <v>48</v>
      </c>
      <c r="L52" s="2"/>
      <c r="M52" s="39"/>
      <c r="N52" s="39"/>
      <c r="O52" s="39"/>
      <c r="P52" s="38" t="s">
        <v>1289</v>
      </c>
      <c r="Q52" s="39"/>
      <c r="R52" s="39"/>
      <c r="S52" s="38" t="s">
        <v>1289</v>
      </c>
      <c r="W52" s="1">
        <v>6</v>
      </c>
      <c r="Z52" s="1">
        <v>6</v>
      </c>
    </row>
    <row r="53" spans="2:26" ht="15" hidden="1">
      <c r="B53" s="1" t="s">
        <v>433</v>
      </c>
      <c r="C53" s="1" t="s">
        <v>470</v>
      </c>
      <c r="G53" s="1">
        <v>5</v>
      </c>
      <c r="J53" s="1">
        <v>5</v>
      </c>
      <c r="K53" s="1">
        <v>48</v>
      </c>
      <c r="L53" s="2"/>
      <c r="M53" s="39"/>
      <c r="N53" s="39"/>
      <c r="O53" s="39"/>
      <c r="P53" s="38" t="s">
        <v>1290</v>
      </c>
      <c r="Q53" s="39"/>
      <c r="R53" s="39"/>
      <c r="S53" s="38" t="s">
        <v>1290</v>
      </c>
      <c r="W53" s="1">
        <v>6</v>
      </c>
      <c r="Z53" s="1">
        <v>6</v>
      </c>
    </row>
    <row r="54" spans="2:26" ht="15" hidden="1">
      <c r="B54" s="1" t="s">
        <v>419</v>
      </c>
      <c r="C54" s="1" t="s">
        <v>471</v>
      </c>
      <c r="E54" s="13">
        <v>7</v>
      </c>
      <c r="J54" s="1">
        <v>7</v>
      </c>
      <c r="K54" s="1">
        <v>64</v>
      </c>
      <c r="L54" s="2" t="s">
        <v>67</v>
      </c>
      <c r="M54" s="39"/>
      <c r="N54" s="38" t="s">
        <v>1291</v>
      </c>
      <c r="O54" s="39"/>
      <c r="P54" s="39"/>
      <c r="Q54" s="39"/>
      <c r="R54" s="39"/>
      <c r="S54" s="38" t="s">
        <v>1292</v>
      </c>
      <c r="U54" s="1">
        <v>6</v>
      </c>
      <c r="Z54" s="1">
        <v>6</v>
      </c>
    </row>
    <row r="55" spans="2:26" ht="15">
      <c r="B55" s="1" t="s">
        <v>118</v>
      </c>
      <c r="C55" s="1" t="s">
        <v>469</v>
      </c>
      <c r="E55" s="1">
        <v>3</v>
      </c>
      <c r="I55" s="1">
        <v>3</v>
      </c>
      <c r="K55" s="1">
        <v>64</v>
      </c>
      <c r="L55" s="2"/>
      <c r="M55" s="39"/>
      <c r="N55" s="38" t="s">
        <v>1293</v>
      </c>
      <c r="O55" s="39"/>
      <c r="P55" s="39"/>
      <c r="Q55" s="39"/>
      <c r="R55" s="38" t="s">
        <v>1294</v>
      </c>
      <c r="S55" s="39"/>
      <c r="U55" s="1">
        <v>8</v>
      </c>
      <c r="Y55" s="1">
        <v>8</v>
      </c>
    </row>
    <row r="56" spans="2:26" ht="15" hidden="1">
      <c r="B56" s="1" t="s">
        <v>1295</v>
      </c>
      <c r="C56" s="1" t="s">
        <v>471</v>
      </c>
      <c r="E56" s="1">
        <v>6</v>
      </c>
      <c r="J56" s="1">
        <v>6</v>
      </c>
      <c r="K56" s="1">
        <v>48</v>
      </c>
      <c r="L56" s="2"/>
      <c r="M56" s="39"/>
      <c r="N56" s="38" t="s">
        <v>1296</v>
      </c>
      <c r="O56" s="39"/>
      <c r="P56" s="39"/>
      <c r="Q56" s="39"/>
      <c r="R56" s="39"/>
      <c r="S56" s="38" t="s">
        <v>1297</v>
      </c>
      <c r="U56" s="1">
        <v>6</v>
      </c>
      <c r="Z56" s="1">
        <v>6</v>
      </c>
    </row>
    <row r="57" spans="2:26" ht="15" hidden="1">
      <c r="B57" s="1" t="s">
        <v>1298</v>
      </c>
      <c r="C57" s="1" t="s">
        <v>475</v>
      </c>
      <c r="D57" s="1">
        <v>8</v>
      </c>
      <c r="E57" s="1">
        <v>8</v>
      </c>
      <c r="F57" s="1">
        <v>8</v>
      </c>
      <c r="G57" s="1">
        <v>8</v>
      </c>
      <c r="H57" s="1">
        <v>8</v>
      </c>
      <c r="J57" s="1">
        <v>8</v>
      </c>
      <c r="K57" s="1">
        <v>32</v>
      </c>
      <c r="L57" s="2" t="s">
        <v>67</v>
      </c>
      <c r="M57" s="38" t="s">
        <v>1299</v>
      </c>
      <c r="N57" s="38" t="s">
        <v>1299</v>
      </c>
      <c r="O57" s="38" t="s">
        <v>1300</v>
      </c>
      <c r="P57" s="38" t="s">
        <v>1301</v>
      </c>
      <c r="Q57" s="38" t="s">
        <v>1302</v>
      </c>
      <c r="R57" s="39"/>
      <c r="S57" s="38" t="s">
        <v>1301</v>
      </c>
      <c r="T57" s="1">
        <v>4</v>
      </c>
      <c r="U57" s="1">
        <v>4</v>
      </c>
      <c r="V57" s="1">
        <v>4</v>
      </c>
      <c r="W57" s="1">
        <v>4</v>
      </c>
      <c r="X57" s="1">
        <v>6</v>
      </c>
      <c r="Z57" s="1">
        <v>4</v>
      </c>
    </row>
    <row r="58" spans="2:26" ht="12" customHeight="1">
      <c r="B58" s="1" t="s">
        <v>382</v>
      </c>
      <c r="C58" s="1" t="s">
        <v>469</v>
      </c>
      <c r="D58" s="1">
        <v>2</v>
      </c>
      <c r="E58" s="1">
        <v>5</v>
      </c>
      <c r="F58" s="1">
        <v>2</v>
      </c>
      <c r="H58" s="1">
        <v>3</v>
      </c>
      <c r="K58" s="1">
        <v>64</v>
      </c>
      <c r="L58" s="2"/>
      <c r="M58" s="38" t="s">
        <v>1303</v>
      </c>
      <c r="N58" s="38" t="s">
        <v>1304</v>
      </c>
      <c r="O58" s="38" t="s">
        <v>1303</v>
      </c>
      <c r="P58" s="39"/>
      <c r="Q58" s="38" t="s">
        <v>1305</v>
      </c>
      <c r="R58" s="39"/>
      <c r="S58" s="39"/>
      <c r="T58" s="1">
        <v>8</v>
      </c>
      <c r="U58" s="1">
        <v>8</v>
      </c>
      <c r="V58" s="1">
        <v>8</v>
      </c>
      <c r="X58" s="1">
        <v>7</v>
      </c>
    </row>
    <row r="59" spans="2:26" ht="15">
      <c r="B59" s="1" t="s">
        <v>166</v>
      </c>
      <c r="C59" s="1" t="s">
        <v>469</v>
      </c>
      <c r="E59" s="1">
        <v>7</v>
      </c>
      <c r="K59" s="1">
        <v>48</v>
      </c>
      <c r="L59" s="2"/>
      <c r="M59" s="39"/>
      <c r="N59" s="38" t="s">
        <v>1306</v>
      </c>
      <c r="O59" s="39"/>
      <c r="P59" s="39"/>
      <c r="Q59" s="39"/>
      <c r="R59" s="39"/>
      <c r="S59" s="39"/>
      <c r="U59" s="1">
        <v>6</v>
      </c>
    </row>
    <row r="60" spans="2:26" ht="15" hidden="1">
      <c r="B60" s="1" t="s">
        <v>295</v>
      </c>
      <c r="C60" s="1" t="s">
        <v>477</v>
      </c>
      <c r="I60" s="1">
        <v>7</v>
      </c>
      <c r="K60" s="1">
        <v>64</v>
      </c>
      <c r="L60" s="2"/>
      <c r="M60" s="39"/>
      <c r="N60" s="39"/>
      <c r="O60" s="39"/>
      <c r="P60" s="39"/>
      <c r="Q60" s="39"/>
      <c r="R60" s="38" t="s">
        <v>1307</v>
      </c>
      <c r="S60" s="39"/>
      <c r="Y60" s="1">
        <v>8</v>
      </c>
    </row>
    <row r="61" spans="2:26" ht="15" hidden="1">
      <c r="B61" s="1" t="s">
        <v>1308</v>
      </c>
      <c r="C61" s="1" t="s">
        <v>477</v>
      </c>
      <c r="I61" s="1">
        <v>8</v>
      </c>
      <c r="K61" s="1">
        <v>64</v>
      </c>
      <c r="L61" s="2"/>
      <c r="M61" s="39"/>
      <c r="N61" s="39"/>
      <c r="O61" s="39"/>
      <c r="P61" s="39"/>
      <c r="Q61" s="39"/>
      <c r="R61" s="38" t="s">
        <v>1309</v>
      </c>
      <c r="S61" s="39"/>
      <c r="Y61" s="1">
        <v>8</v>
      </c>
    </row>
    <row r="62" spans="2:26" ht="15" hidden="1">
      <c r="B62" s="1" t="s">
        <v>229</v>
      </c>
      <c r="C62" s="1" t="s">
        <v>477</v>
      </c>
      <c r="I62" s="1">
        <v>7</v>
      </c>
      <c r="K62" s="1">
        <v>64</v>
      </c>
      <c r="L62" s="2"/>
      <c r="M62" s="39"/>
      <c r="N62" s="39"/>
      <c r="O62" s="39"/>
      <c r="P62" s="39"/>
      <c r="Q62" s="39"/>
      <c r="R62" s="38" t="s">
        <v>1310</v>
      </c>
      <c r="S62" s="39"/>
      <c r="Y62" s="1">
        <v>8</v>
      </c>
    </row>
    <row r="63" spans="2:26" ht="15" hidden="1">
      <c r="B63" s="1" t="s">
        <v>1311</v>
      </c>
      <c r="C63" s="1" t="s">
        <v>477</v>
      </c>
      <c r="I63" s="1">
        <v>8</v>
      </c>
      <c r="K63" s="1">
        <v>64</v>
      </c>
      <c r="L63" s="2"/>
      <c r="M63" s="39"/>
      <c r="N63" s="39"/>
      <c r="O63" s="39"/>
      <c r="P63" s="39"/>
      <c r="Q63" s="39"/>
      <c r="R63" s="38" t="s">
        <v>1312</v>
      </c>
      <c r="S63" s="39"/>
      <c r="Y63" s="1">
        <v>8</v>
      </c>
    </row>
    <row r="64" spans="2:26" ht="14.25" hidden="1" customHeight="1">
      <c r="B64" s="1" t="s">
        <v>180</v>
      </c>
      <c r="C64" s="1" t="s">
        <v>472</v>
      </c>
      <c r="D64" s="1">
        <v>5</v>
      </c>
      <c r="K64" s="1">
        <v>48</v>
      </c>
      <c r="L64" s="2"/>
      <c r="M64" s="38" t="s">
        <v>1313</v>
      </c>
      <c r="N64" s="39"/>
      <c r="O64" s="39"/>
      <c r="P64" s="39"/>
      <c r="Q64" s="39"/>
      <c r="R64" s="39"/>
      <c r="S64" s="39"/>
      <c r="T64" s="1">
        <v>6</v>
      </c>
    </row>
    <row r="65" spans="2:26" ht="15" hidden="1">
      <c r="B65" s="1" t="s">
        <v>1314</v>
      </c>
      <c r="C65" s="1" t="s">
        <v>472</v>
      </c>
      <c r="D65" s="1">
        <v>8</v>
      </c>
      <c r="K65" s="1">
        <v>64</v>
      </c>
      <c r="L65" s="2"/>
      <c r="M65" s="38" t="s">
        <v>1315</v>
      </c>
      <c r="N65" s="39"/>
      <c r="O65" s="39"/>
      <c r="P65" s="39"/>
      <c r="Q65" s="39"/>
      <c r="R65" s="39"/>
      <c r="S65" s="39"/>
      <c r="T65" s="1">
        <v>8</v>
      </c>
    </row>
    <row r="66" spans="2:26" ht="15">
      <c r="B66" s="1" t="s">
        <v>1316</v>
      </c>
      <c r="C66" s="1" t="s">
        <v>469</v>
      </c>
      <c r="E66" s="1">
        <v>8</v>
      </c>
      <c r="K66" s="1">
        <v>64</v>
      </c>
      <c r="L66" s="2"/>
      <c r="M66" s="39"/>
      <c r="N66" s="38" t="s">
        <v>1317</v>
      </c>
      <c r="O66" s="39"/>
      <c r="P66" s="39"/>
      <c r="Q66" s="39"/>
      <c r="R66" s="38"/>
      <c r="S66" s="39"/>
      <c r="U66" s="1">
        <v>7</v>
      </c>
    </row>
    <row r="67" spans="2:26" ht="15" hidden="1">
      <c r="B67" s="1" t="s">
        <v>1318</v>
      </c>
      <c r="C67" s="1" t="s">
        <v>477</v>
      </c>
      <c r="I67" s="51">
        <v>10</v>
      </c>
      <c r="K67" s="1">
        <v>64</v>
      </c>
      <c r="L67" s="2" t="s">
        <v>67</v>
      </c>
      <c r="M67" s="39"/>
      <c r="N67" s="39"/>
      <c r="O67" s="39"/>
      <c r="P67" s="39"/>
      <c r="Q67" s="39"/>
      <c r="R67" s="38" t="s">
        <v>1319</v>
      </c>
      <c r="S67" s="39"/>
      <c r="Y67" s="1">
        <v>6</v>
      </c>
    </row>
    <row r="68" spans="2:26" ht="15" hidden="1">
      <c r="B68" s="1" t="s">
        <v>131</v>
      </c>
      <c r="C68" s="1" t="s">
        <v>472</v>
      </c>
      <c r="D68" s="1">
        <v>7</v>
      </c>
      <c r="K68" s="1">
        <v>64</v>
      </c>
      <c r="L68" s="2"/>
      <c r="M68" s="127" t="s">
        <v>1320</v>
      </c>
      <c r="N68" s="39"/>
      <c r="O68" s="39"/>
      <c r="P68" s="39"/>
      <c r="Q68" s="39"/>
      <c r="R68" s="39"/>
      <c r="S68" s="39"/>
      <c r="T68" s="1">
        <v>8</v>
      </c>
    </row>
    <row r="69" spans="2:26" ht="15" hidden="1">
      <c r="B69" s="1" t="s">
        <v>1321</v>
      </c>
      <c r="C69" s="1" t="s">
        <v>473</v>
      </c>
      <c r="H69" s="1">
        <v>8</v>
      </c>
      <c r="K69" s="1">
        <v>80</v>
      </c>
      <c r="L69" s="2"/>
      <c r="M69" s="39"/>
      <c r="N69" s="39"/>
      <c r="O69" s="39"/>
      <c r="P69" s="39"/>
      <c r="Q69" s="38" t="s">
        <v>1322</v>
      </c>
      <c r="R69" s="39"/>
      <c r="S69" s="39"/>
      <c r="X69" s="1">
        <v>8</v>
      </c>
    </row>
    <row r="70" spans="2:26" ht="15" hidden="1">
      <c r="B70" s="1" t="s">
        <v>1323</v>
      </c>
      <c r="C70" s="1" t="s">
        <v>226</v>
      </c>
      <c r="I70" s="12">
        <v>2</v>
      </c>
      <c r="K70" s="1">
        <v>48</v>
      </c>
      <c r="L70" s="2"/>
      <c r="M70" s="39"/>
      <c r="N70" s="39"/>
      <c r="O70" s="39"/>
      <c r="P70" s="39"/>
      <c r="Q70" s="39"/>
      <c r="R70" s="38" t="s">
        <v>1324</v>
      </c>
      <c r="S70" s="39"/>
      <c r="Y70" s="1">
        <v>4</v>
      </c>
    </row>
    <row r="71" spans="2:26" ht="15" hidden="1">
      <c r="B71" s="1" t="s">
        <v>313</v>
      </c>
      <c r="C71" s="1" t="s">
        <v>470</v>
      </c>
      <c r="I71" s="1">
        <v>5</v>
      </c>
      <c r="K71" s="1">
        <v>64</v>
      </c>
      <c r="L71" s="2" t="s">
        <v>67</v>
      </c>
      <c r="M71" s="39"/>
      <c r="N71" s="39"/>
      <c r="O71" s="39"/>
      <c r="P71" s="39"/>
      <c r="Q71" s="39"/>
      <c r="R71" s="38">
        <v>27089</v>
      </c>
      <c r="S71" s="39"/>
      <c r="Y71" s="1">
        <v>8</v>
      </c>
    </row>
    <row r="72" spans="2:26" ht="15" hidden="1">
      <c r="B72" s="1" t="s">
        <v>1325</v>
      </c>
      <c r="C72" s="1" t="s">
        <v>471</v>
      </c>
      <c r="I72" s="51"/>
      <c r="K72" s="1">
        <v>64</v>
      </c>
      <c r="L72" s="2" t="s">
        <v>67</v>
      </c>
      <c r="M72" s="39"/>
      <c r="N72" s="39"/>
      <c r="O72" s="39"/>
      <c r="P72" s="39"/>
      <c r="Q72" s="39"/>
      <c r="R72" s="38" t="s">
        <v>1326</v>
      </c>
      <c r="S72" s="39"/>
      <c r="Y72" s="1">
        <v>8</v>
      </c>
    </row>
    <row r="73" spans="2:26" ht="15" hidden="1">
      <c r="B73" s="1" t="s">
        <v>248</v>
      </c>
      <c r="C73" s="1" t="s">
        <v>474</v>
      </c>
      <c r="D73" s="1">
        <v>3</v>
      </c>
      <c r="E73" s="1">
        <v>3</v>
      </c>
      <c r="G73" s="1">
        <v>4</v>
      </c>
      <c r="H73" s="1">
        <v>4</v>
      </c>
      <c r="I73" s="1">
        <v>4</v>
      </c>
      <c r="J73" s="1">
        <v>3</v>
      </c>
      <c r="K73" s="1">
        <v>48</v>
      </c>
      <c r="L73" s="2"/>
      <c r="M73" s="38" t="s">
        <v>1327</v>
      </c>
      <c r="N73" s="38" t="s">
        <v>1327</v>
      </c>
      <c r="O73" s="39"/>
      <c r="P73" s="38" t="s">
        <v>1328</v>
      </c>
      <c r="Q73" s="38" t="s">
        <v>1329</v>
      </c>
      <c r="R73" s="38" t="s">
        <v>1330</v>
      </c>
      <c r="S73" s="38" t="s">
        <v>1331</v>
      </c>
      <c r="T73" s="1">
        <v>6</v>
      </c>
      <c r="U73" s="1">
        <v>6</v>
      </c>
      <c r="W73" s="1">
        <v>6</v>
      </c>
      <c r="X73" s="1">
        <v>6</v>
      </c>
      <c r="Y73" s="1">
        <v>6</v>
      </c>
      <c r="Z73" s="1">
        <v>6</v>
      </c>
    </row>
    <row r="74" spans="2:26" ht="15" hidden="1">
      <c r="B74" s="1" t="s">
        <v>1332</v>
      </c>
      <c r="C74" s="1" t="s">
        <v>473</v>
      </c>
      <c r="E74" s="1">
        <v>11</v>
      </c>
      <c r="K74" s="1">
        <v>48</v>
      </c>
      <c r="L74" s="2" t="s">
        <v>67</v>
      </c>
      <c r="M74" s="39"/>
      <c r="N74" s="38" t="s">
        <v>1333</v>
      </c>
      <c r="O74" s="39"/>
      <c r="P74" s="39"/>
      <c r="Q74" s="39"/>
      <c r="R74" s="39"/>
      <c r="S74" s="39"/>
      <c r="U74" s="1">
        <v>6</v>
      </c>
    </row>
    <row r="75" spans="2:26" ht="15" hidden="1">
      <c r="B75" s="1" t="s">
        <v>250</v>
      </c>
      <c r="C75" s="1" t="s">
        <v>471</v>
      </c>
      <c r="D75" s="1">
        <v>4</v>
      </c>
      <c r="E75" s="1">
        <v>4</v>
      </c>
      <c r="F75" s="1">
        <v>5</v>
      </c>
      <c r="H75" s="1">
        <v>3</v>
      </c>
      <c r="J75" s="1">
        <v>4</v>
      </c>
      <c r="K75" s="1">
        <v>64</v>
      </c>
      <c r="L75" s="2"/>
      <c r="M75" s="38" t="s">
        <v>1334</v>
      </c>
      <c r="N75" s="38" t="s">
        <v>1334</v>
      </c>
      <c r="O75" s="38" t="s">
        <v>1335</v>
      </c>
      <c r="P75" s="39"/>
      <c r="Q75" s="38" t="s">
        <v>1336</v>
      </c>
      <c r="R75" s="39"/>
      <c r="S75" s="38" t="s">
        <v>1337</v>
      </c>
      <c r="T75" s="1">
        <v>7</v>
      </c>
      <c r="U75" s="1">
        <v>7</v>
      </c>
      <c r="V75" s="1">
        <v>7</v>
      </c>
      <c r="X75" s="1">
        <v>7</v>
      </c>
      <c r="Z75" s="1">
        <v>7</v>
      </c>
    </row>
    <row r="76" spans="2:26" ht="15" hidden="1">
      <c r="B76" s="1" t="s">
        <v>124</v>
      </c>
      <c r="C76" s="1" t="s">
        <v>471</v>
      </c>
      <c r="E76" s="1">
        <v>6</v>
      </c>
      <c r="H76" s="1">
        <v>5</v>
      </c>
      <c r="J76" s="1">
        <v>6</v>
      </c>
      <c r="K76" s="1">
        <v>64</v>
      </c>
      <c r="L76" s="2"/>
      <c r="M76" s="39"/>
      <c r="N76" s="38" t="s">
        <v>1338</v>
      </c>
      <c r="O76" s="39"/>
      <c r="P76" s="39"/>
      <c r="Q76" s="38" t="s">
        <v>1339</v>
      </c>
      <c r="R76" s="39"/>
      <c r="S76" s="38" t="s">
        <v>1340</v>
      </c>
      <c r="U76" s="1">
        <v>7</v>
      </c>
      <c r="X76" s="1">
        <v>7</v>
      </c>
      <c r="Z76" s="1">
        <v>7</v>
      </c>
    </row>
    <row r="77" spans="2:26" ht="15" hidden="1">
      <c r="B77" s="1" t="s">
        <v>253</v>
      </c>
      <c r="C77" s="1" t="s">
        <v>471</v>
      </c>
      <c r="J77" s="1">
        <v>7</v>
      </c>
      <c r="K77" s="1">
        <v>64</v>
      </c>
      <c r="L77" s="2"/>
      <c r="M77" s="39"/>
      <c r="N77" s="39"/>
      <c r="O77" s="39"/>
      <c r="P77" s="39"/>
      <c r="Q77" s="39"/>
      <c r="R77" s="39"/>
      <c r="S77" s="38" t="s">
        <v>1341</v>
      </c>
      <c r="Z77" s="1">
        <v>7</v>
      </c>
    </row>
    <row r="78" spans="2:26" ht="15" hidden="1">
      <c r="B78" s="1" t="s">
        <v>1342</v>
      </c>
      <c r="C78" s="1" t="s">
        <v>471</v>
      </c>
      <c r="E78" s="52">
        <v>8</v>
      </c>
      <c r="H78" s="1">
        <v>8</v>
      </c>
      <c r="J78" s="1">
        <v>8</v>
      </c>
      <c r="K78" s="1">
        <v>64</v>
      </c>
      <c r="L78" s="2"/>
      <c r="M78" s="39"/>
      <c r="N78" s="38" t="s">
        <v>1343</v>
      </c>
      <c r="O78" s="39"/>
      <c r="P78" s="39"/>
      <c r="Q78" s="38" t="s">
        <v>1344</v>
      </c>
      <c r="R78" s="39"/>
      <c r="S78" s="38" t="s">
        <v>1345</v>
      </c>
      <c r="U78" s="1">
        <v>7</v>
      </c>
      <c r="X78" s="1">
        <v>6</v>
      </c>
      <c r="Z78" s="1">
        <v>7</v>
      </c>
    </row>
    <row r="79" spans="2:26" ht="15" hidden="1">
      <c r="B79" s="1" t="s">
        <v>110</v>
      </c>
      <c r="C79" s="1" t="s">
        <v>471</v>
      </c>
      <c r="H79" s="1">
        <v>7</v>
      </c>
      <c r="K79" s="1">
        <v>64</v>
      </c>
      <c r="L79" s="2"/>
      <c r="M79" s="39"/>
      <c r="N79" s="39"/>
      <c r="O79" s="39"/>
      <c r="P79" s="39"/>
      <c r="Q79" s="38" t="s">
        <v>1346</v>
      </c>
      <c r="R79" s="39"/>
      <c r="S79" s="39"/>
      <c r="X79" s="1">
        <v>7</v>
      </c>
    </row>
    <row r="80" spans="2:26" ht="13.5" hidden="1" customHeight="1">
      <c r="B80" s="1" t="s">
        <v>133</v>
      </c>
      <c r="C80" s="1" t="s">
        <v>475</v>
      </c>
      <c r="D80" s="1">
        <v>7</v>
      </c>
      <c r="F80" s="13">
        <v>7</v>
      </c>
      <c r="G80" s="13">
        <v>8</v>
      </c>
      <c r="I80" s="13"/>
      <c r="K80" s="1">
        <v>48</v>
      </c>
      <c r="L80" s="2"/>
      <c r="M80" s="38" t="s">
        <v>1347</v>
      </c>
      <c r="N80" s="39"/>
      <c r="O80" s="38">
        <v>26992</v>
      </c>
      <c r="P80" s="38" t="s">
        <v>1348</v>
      </c>
      <c r="Q80" s="39"/>
      <c r="R80" s="38" t="s">
        <v>1349</v>
      </c>
      <c r="S80" s="39"/>
      <c r="T80" s="1">
        <v>6</v>
      </c>
      <c r="V80" s="1">
        <v>6</v>
      </c>
      <c r="W80" s="1">
        <v>3</v>
      </c>
    </row>
    <row r="81" spans="2:26" ht="15" hidden="1">
      <c r="B81" s="1" t="s">
        <v>318</v>
      </c>
      <c r="C81" s="1" t="s">
        <v>473</v>
      </c>
      <c r="H81" s="1">
        <v>5</v>
      </c>
      <c r="K81" s="1">
        <v>80</v>
      </c>
      <c r="L81" s="2"/>
      <c r="M81" s="39"/>
      <c r="N81" s="39"/>
      <c r="O81" s="39"/>
      <c r="P81" s="39"/>
      <c r="Q81" s="38" t="s">
        <v>1350</v>
      </c>
      <c r="R81" s="39"/>
      <c r="S81" s="39"/>
      <c r="X81" s="1">
        <v>9</v>
      </c>
    </row>
    <row r="82" spans="2:26" ht="15" hidden="1">
      <c r="B82" s="1" t="s">
        <v>431</v>
      </c>
      <c r="C82" s="1" t="s">
        <v>473</v>
      </c>
      <c r="H82" s="1">
        <v>5</v>
      </c>
      <c r="K82" s="1">
        <v>64</v>
      </c>
      <c r="L82" s="2"/>
      <c r="M82" s="39"/>
      <c r="N82" s="39"/>
      <c r="O82" s="39"/>
      <c r="P82" s="39"/>
      <c r="Q82" s="38" t="s">
        <v>1351</v>
      </c>
      <c r="R82" s="39"/>
      <c r="S82" s="39"/>
      <c r="X82" s="1">
        <v>8</v>
      </c>
    </row>
    <row r="83" spans="2:26" ht="15" hidden="1">
      <c r="B83" s="1" t="s">
        <v>251</v>
      </c>
      <c r="C83" s="1" t="s">
        <v>473</v>
      </c>
      <c r="H83" s="1">
        <v>5</v>
      </c>
      <c r="K83" s="1">
        <v>64</v>
      </c>
      <c r="L83" s="2"/>
      <c r="M83" s="39"/>
      <c r="N83" s="39"/>
      <c r="O83" s="39"/>
      <c r="P83" s="39"/>
      <c r="Q83" s="38" t="s">
        <v>1352</v>
      </c>
      <c r="R83" s="39"/>
      <c r="S83" s="39"/>
      <c r="X83" s="1">
        <v>8</v>
      </c>
    </row>
    <row r="84" spans="2:26" ht="15" hidden="1">
      <c r="B84" s="1" t="s">
        <v>1353</v>
      </c>
      <c r="C84" s="1" t="s">
        <v>473</v>
      </c>
      <c r="I84" s="13"/>
      <c r="K84" s="1">
        <v>48</v>
      </c>
      <c r="L84" s="2" t="s">
        <v>67</v>
      </c>
      <c r="M84" s="39"/>
      <c r="N84" s="39"/>
      <c r="O84" s="39"/>
      <c r="P84" s="39"/>
      <c r="Q84" s="39"/>
      <c r="R84" s="38" t="s">
        <v>1354</v>
      </c>
      <c r="S84" s="39"/>
      <c r="Y84" s="1">
        <v>6</v>
      </c>
    </row>
    <row r="85" spans="2:26" ht="15" hidden="1">
      <c r="B85" s="1" t="s">
        <v>1355</v>
      </c>
      <c r="C85" s="1" t="s">
        <v>473</v>
      </c>
      <c r="H85" s="1">
        <v>4</v>
      </c>
      <c r="K85" s="1">
        <v>64</v>
      </c>
      <c r="L85" s="2"/>
      <c r="M85" s="39"/>
      <c r="N85" s="39"/>
      <c r="O85" s="39"/>
      <c r="P85" s="39"/>
      <c r="Q85" s="38" t="s">
        <v>1356</v>
      </c>
      <c r="R85" s="39"/>
      <c r="S85" s="39"/>
      <c r="X85" s="1">
        <v>6</v>
      </c>
    </row>
    <row r="86" spans="2:26" ht="15" hidden="1">
      <c r="B86" s="1" t="s">
        <v>1357</v>
      </c>
      <c r="C86" s="1" t="s">
        <v>473</v>
      </c>
      <c r="H86" s="1">
        <v>4</v>
      </c>
      <c r="K86" s="1">
        <v>64</v>
      </c>
      <c r="L86" s="2"/>
      <c r="M86" s="39"/>
      <c r="N86" s="39"/>
      <c r="O86" s="39"/>
      <c r="P86" s="39"/>
      <c r="Q86" s="38" t="s">
        <v>1358</v>
      </c>
      <c r="R86" s="39"/>
      <c r="S86" s="39"/>
      <c r="X86" s="1">
        <v>8</v>
      </c>
    </row>
    <row r="87" spans="2:26" ht="15" hidden="1">
      <c r="B87" s="1" t="s">
        <v>1359</v>
      </c>
      <c r="C87" s="1" t="s">
        <v>473</v>
      </c>
      <c r="H87" s="1">
        <v>2</v>
      </c>
      <c r="I87" s="13">
        <v>4</v>
      </c>
      <c r="K87" s="1">
        <v>48</v>
      </c>
      <c r="L87" s="2" t="s">
        <v>67</v>
      </c>
      <c r="M87" s="39"/>
      <c r="N87" s="39"/>
      <c r="O87" s="39"/>
      <c r="P87" s="39"/>
      <c r="Q87" s="38" t="s">
        <v>1360</v>
      </c>
      <c r="R87" s="38" t="s">
        <v>1361</v>
      </c>
      <c r="S87" s="39"/>
      <c r="X87" s="1">
        <v>6</v>
      </c>
      <c r="Y87" s="1">
        <v>6</v>
      </c>
    </row>
    <row r="88" spans="2:26" ht="15" hidden="1">
      <c r="B88" s="1" t="s">
        <v>1362</v>
      </c>
      <c r="C88" s="1" t="s">
        <v>475</v>
      </c>
      <c r="E88" s="1">
        <v>2</v>
      </c>
      <c r="G88" s="1">
        <v>6</v>
      </c>
      <c r="J88" s="1">
        <v>2</v>
      </c>
      <c r="K88" s="1">
        <v>48</v>
      </c>
      <c r="L88" s="2" t="s">
        <v>595</v>
      </c>
      <c r="M88" s="39"/>
      <c r="N88" s="38" t="s">
        <v>1363</v>
      </c>
      <c r="O88" s="39"/>
      <c r="P88" s="38" t="s">
        <v>1364</v>
      </c>
      <c r="Q88" s="39"/>
      <c r="R88" s="38" t="s">
        <v>1365</v>
      </c>
      <c r="S88" s="38" t="s">
        <v>1366</v>
      </c>
      <c r="U88" s="1">
        <v>6</v>
      </c>
      <c r="W88" s="1">
        <v>6</v>
      </c>
      <c r="Y88" s="1">
        <v>6</v>
      </c>
      <c r="Z88" s="1">
        <v>6</v>
      </c>
    </row>
    <row r="89" spans="2:26" ht="15" hidden="1">
      <c r="B89" s="1" t="s">
        <v>1367</v>
      </c>
      <c r="C89" s="1" t="s">
        <v>226</v>
      </c>
      <c r="F89" s="1">
        <v>2</v>
      </c>
      <c r="K89" s="1">
        <v>48</v>
      </c>
      <c r="L89" s="2"/>
      <c r="M89" s="39"/>
      <c r="N89" s="39"/>
      <c r="O89" s="38" t="s">
        <v>1368</v>
      </c>
      <c r="P89" s="39"/>
      <c r="Q89" s="39"/>
      <c r="R89" s="39"/>
      <c r="S89" s="39"/>
      <c r="V89" s="1">
        <v>6</v>
      </c>
    </row>
    <row r="90" spans="2:26" ht="15" hidden="1">
      <c r="B90" s="1" t="s">
        <v>1369</v>
      </c>
      <c r="C90" s="1" t="s">
        <v>474</v>
      </c>
      <c r="D90" s="1">
        <v>4</v>
      </c>
      <c r="K90" s="1">
        <v>48</v>
      </c>
      <c r="L90" s="2"/>
      <c r="M90" s="38" t="s">
        <v>1370</v>
      </c>
      <c r="N90" s="39"/>
      <c r="O90" s="39"/>
      <c r="P90" s="39"/>
      <c r="Q90" s="39"/>
      <c r="R90" s="39"/>
      <c r="S90" s="39"/>
      <c r="U90" s="1">
        <v>6</v>
      </c>
    </row>
    <row r="91" spans="2:26" ht="15">
      <c r="B91" s="1" t="s">
        <v>1371</v>
      </c>
      <c r="C91" s="1" t="s">
        <v>469</v>
      </c>
      <c r="E91" s="1">
        <v>2</v>
      </c>
      <c r="I91" s="1">
        <v>2</v>
      </c>
      <c r="K91" s="1">
        <v>48</v>
      </c>
      <c r="L91" s="2"/>
      <c r="M91" s="39"/>
      <c r="N91" s="38" t="s">
        <v>1372</v>
      </c>
      <c r="O91" s="39"/>
      <c r="P91" s="39"/>
      <c r="Q91" s="39"/>
      <c r="R91" s="38" t="s">
        <v>1373</v>
      </c>
      <c r="S91" s="39"/>
      <c r="U91" s="1">
        <v>6</v>
      </c>
      <c r="Y91" s="1">
        <v>6</v>
      </c>
    </row>
    <row r="92" spans="2:26" ht="15" hidden="1">
      <c r="B92" s="1" t="s">
        <v>1374</v>
      </c>
      <c r="C92" s="1" t="s">
        <v>226</v>
      </c>
      <c r="F92" s="1">
        <v>6</v>
      </c>
      <c r="K92" s="1">
        <v>48</v>
      </c>
      <c r="L92" s="2"/>
      <c r="M92" s="39"/>
      <c r="N92" s="39"/>
      <c r="O92" s="38" t="s">
        <v>1375</v>
      </c>
      <c r="P92" s="39"/>
      <c r="Q92" s="39"/>
      <c r="R92" s="39"/>
      <c r="S92" s="39"/>
      <c r="V92" s="1">
        <v>6</v>
      </c>
    </row>
    <row r="93" spans="2:26" ht="15" hidden="1">
      <c r="B93" s="1" t="s">
        <v>1376</v>
      </c>
      <c r="C93" s="1" t="s">
        <v>470</v>
      </c>
      <c r="G93" s="1">
        <v>2</v>
      </c>
      <c r="K93" s="1">
        <v>64</v>
      </c>
      <c r="L93" s="2"/>
      <c r="M93" s="39"/>
      <c r="N93" s="39"/>
      <c r="O93" s="39"/>
      <c r="P93" s="38" t="s">
        <v>1377</v>
      </c>
      <c r="Q93" s="39"/>
      <c r="R93" s="39"/>
      <c r="S93" s="39"/>
      <c r="W93" s="1">
        <v>8</v>
      </c>
    </row>
    <row r="94" spans="2:26" ht="15" hidden="1">
      <c r="B94" s="1" t="s">
        <v>360</v>
      </c>
      <c r="C94" s="1" t="s">
        <v>470</v>
      </c>
      <c r="G94" s="1">
        <v>3</v>
      </c>
      <c r="K94" s="1">
        <v>64</v>
      </c>
      <c r="L94" s="2"/>
      <c r="M94" s="39"/>
      <c r="N94" s="39"/>
      <c r="O94" s="39"/>
      <c r="P94" s="38" t="s">
        <v>1378</v>
      </c>
      <c r="Q94" s="39"/>
      <c r="R94" s="39"/>
      <c r="S94" s="39"/>
      <c r="W94" s="1">
        <v>8</v>
      </c>
    </row>
    <row r="95" spans="2:26" ht="15" hidden="1">
      <c r="B95" s="1" t="s">
        <v>1379</v>
      </c>
      <c r="C95" s="1" t="s">
        <v>470</v>
      </c>
      <c r="G95" s="1">
        <v>4</v>
      </c>
      <c r="K95" s="1">
        <v>64</v>
      </c>
      <c r="L95" s="2"/>
      <c r="M95" s="39"/>
      <c r="N95" s="39"/>
      <c r="O95" s="39"/>
      <c r="P95" s="38" t="s">
        <v>1380</v>
      </c>
      <c r="Q95" s="39"/>
      <c r="R95" s="39"/>
      <c r="S95" s="39"/>
      <c r="W95" s="1">
        <v>8</v>
      </c>
    </row>
    <row r="96" spans="2:26" ht="15" hidden="1">
      <c r="B96" s="1" t="s">
        <v>1381</v>
      </c>
      <c r="C96" s="1" t="s">
        <v>226</v>
      </c>
      <c r="F96" s="1">
        <v>4</v>
      </c>
      <c r="K96" s="1">
        <v>64</v>
      </c>
      <c r="L96" s="2"/>
      <c r="M96" s="39"/>
      <c r="N96" s="39"/>
      <c r="O96" s="38" t="s">
        <v>1382</v>
      </c>
      <c r="P96" s="39"/>
      <c r="Q96" s="39"/>
      <c r="R96" s="39"/>
      <c r="S96" s="39"/>
      <c r="V96" s="1">
        <v>6</v>
      </c>
    </row>
    <row r="97" spans="2:26" ht="15" hidden="1">
      <c r="B97" s="1" t="s">
        <v>290</v>
      </c>
      <c r="C97" s="1" t="s">
        <v>477</v>
      </c>
      <c r="I97" s="1">
        <v>3</v>
      </c>
      <c r="K97" s="1">
        <v>64</v>
      </c>
      <c r="L97" s="2"/>
      <c r="M97" s="39"/>
      <c r="N97" s="39"/>
      <c r="O97" s="39"/>
      <c r="P97" s="39"/>
      <c r="Q97" s="39"/>
      <c r="R97" s="38" t="s">
        <v>1383</v>
      </c>
      <c r="S97" s="39"/>
      <c r="Y97" s="1">
        <v>8</v>
      </c>
    </row>
    <row r="98" spans="2:26" ht="15">
      <c r="B98" s="1" t="s">
        <v>1384</v>
      </c>
      <c r="C98" s="1" t="s">
        <v>469</v>
      </c>
      <c r="F98" s="12">
        <v>6</v>
      </c>
      <c r="K98" s="1">
        <v>64</v>
      </c>
      <c r="L98" s="2"/>
      <c r="M98" s="38"/>
      <c r="N98" s="39"/>
      <c r="O98" s="38" t="s">
        <v>1385</v>
      </c>
      <c r="P98" s="39"/>
      <c r="Q98" s="39"/>
      <c r="R98" s="39"/>
      <c r="S98" s="39"/>
      <c r="V98" s="1">
        <v>7</v>
      </c>
    </row>
    <row r="99" spans="2:26" ht="15" hidden="1">
      <c r="B99" s="1" t="s">
        <v>245</v>
      </c>
      <c r="C99" s="1" t="s">
        <v>478</v>
      </c>
      <c r="D99" s="1">
        <v>8</v>
      </c>
      <c r="E99" s="1">
        <v>8</v>
      </c>
      <c r="F99" s="1">
        <v>8</v>
      </c>
      <c r="G99" s="1">
        <v>8</v>
      </c>
      <c r="H99" s="1">
        <v>8</v>
      </c>
      <c r="I99" s="12">
        <v>9</v>
      </c>
      <c r="J99" s="1">
        <v>8</v>
      </c>
      <c r="K99" s="1">
        <v>48</v>
      </c>
      <c r="L99" s="2" t="s">
        <v>67</v>
      </c>
      <c r="M99" s="38" t="s">
        <v>1386</v>
      </c>
      <c r="N99" s="38" t="s">
        <v>1386</v>
      </c>
      <c r="O99" s="38" t="s">
        <v>1386</v>
      </c>
      <c r="P99" s="38" t="s">
        <v>1387</v>
      </c>
      <c r="Q99" s="38" t="s">
        <v>1388</v>
      </c>
      <c r="R99" s="38" t="s">
        <v>1389</v>
      </c>
      <c r="S99" s="38" t="s">
        <v>1387</v>
      </c>
      <c r="T99" s="1">
        <v>6</v>
      </c>
      <c r="U99" s="1">
        <v>6</v>
      </c>
      <c r="V99" s="1">
        <v>6</v>
      </c>
      <c r="W99" s="1">
        <v>6</v>
      </c>
      <c r="X99" s="1">
        <v>6</v>
      </c>
      <c r="Y99" s="1">
        <v>6</v>
      </c>
      <c r="Z99" s="1">
        <v>6</v>
      </c>
    </row>
    <row r="100" spans="2:26" ht="15" hidden="1">
      <c r="B100" s="1" t="s">
        <v>159</v>
      </c>
      <c r="C100" s="1" t="s">
        <v>478</v>
      </c>
      <c r="D100" s="1">
        <v>3</v>
      </c>
      <c r="E100" s="1">
        <v>3</v>
      </c>
      <c r="F100" s="1">
        <v>3</v>
      </c>
      <c r="G100" s="1">
        <v>3</v>
      </c>
      <c r="H100" s="1">
        <v>3</v>
      </c>
      <c r="I100" s="1">
        <v>3</v>
      </c>
      <c r="J100" s="1">
        <v>3</v>
      </c>
      <c r="K100" s="1">
        <v>48</v>
      </c>
      <c r="L100" s="2"/>
      <c r="M100" s="38" t="s">
        <v>1390</v>
      </c>
      <c r="N100" s="38" t="s">
        <v>1390</v>
      </c>
      <c r="O100" s="38">
        <v>26903</v>
      </c>
      <c r="P100" s="38" t="s">
        <v>1391</v>
      </c>
      <c r="Q100" s="38" t="s">
        <v>1392</v>
      </c>
      <c r="R100" s="38" t="s">
        <v>1393</v>
      </c>
      <c r="S100" s="38" t="s">
        <v>1391</v>
      </c>
      <c r="T100" s="1">
        <v>6</v>
      </c>
      <c r="U100" s="1">
        <v>6</v>
      </c>
      <c r="V100" s="1">
        <v>6</v>
      </c>
      <c r="W100" s="1">
        <v>6</v>
      </c>
      <c r="X100" s="1">
        <v>6</v>
      </c>
      <c r="Y100" s="1">
        <v>6</v>
      </c>
      <c r="Z100" s="1">
        <v>6</v>
      </c>
    </row>
    <row r="101" spans="2:26" ht="15" hidden="1">
      <c r="B101" s="1" t="s">
        <v>85</v>
      </c>
      <c r="C101" s="1" t="s">
        <v>477</v>
      </c>
      <c r="I101" s="51">
        <v>9</v>
      </c>
      <c r="K101" s="1">
        <v>48</v>
      </c>
      <c r="L101" s="2" t="s">
        <v>67</v>
      </c>
      <c r="M101" s="39"/>
      <c r="N101" s="39"/>
      <c r="O101" s="39"/>
      <c r="P101" s="39"/>
      <c r="Q101" s="39"/>
      <c r="R101" s="38" t="s">
        <v>1394</v>
      </c>
      <c r="S101" s="39"/>
      <c r="Y101" s="1">
        <v>6</v>
      </c>
    </row>
    <row r="102" spans="2:26" ht="15" hidden="1">
      <c r="B102" s="1" t="s">
        <v>215</v>
      </c>
      <c r="C102" s="1" t="s">
        <v>475</v>
      </c>
      <c r="H102" s="1">
        <v>7</v>
      </c>
      <c r="K102" s="1">
        <v>64</v>
      </c>
      <c r="L102" s="2"/>
      <c r="M102" s="39"/>
      <c r="N102" s="39"/>
      <c r="O102" s="39"/>
      <c r="P102" s="39"/>
      <c r="Q102" s="38" t="s">
        <v>1395</v>
      </c>
      <c r="R102" s="39"/>
      <c r="S102" s="39"/>
      <c r="X102" s="1">
        <v>6</v>
      </c>
    </row>
    <row r="103" spans="2:26" ht="15" hidden="1">
      <c r="B103" s="1" t="s">
        <v>1396</v>
      </c>
      <c r="C103" s="1" t="s">
        <v>475</v>
      </c>
      <c r="I103" s="51">
        <v>10</v>
      </c>
      <c r="K103" s="1">
        <v>48</v>
      </c>
      <c r="L103" s="2"/>
      <c r="M103" s="39"/>
      <c r="N103" s="39"/>
      <c r="O103" s="39"/>
      <c r="P103" s="39"/>
      <c r="Q103" s="39"/>
      <c r="R103" s="38" t="s">
        <v>1397</v>
      </c>
      <c r="S103" s="39"/>
      <c r="Y103" s="1">
        <v>6</v>
      </c>
    </row>
    <row r="104" spans="2:26" ht="15" hidden="1">
      <c r="B104" s="1" t="s">
        <v>355</v>
      </c>
      <c r="C104" s="1" t="s">
        <v>478</v>
      </c>
      <c r="D104" s="1">
        <v>6</v>
      </c>
      <c r="E104" s="1">
        <v>6</v>
      </c>
      <c r="F104" s="1">
        <v>6</v>
      </c>
      <c r="G104" s="1">
        <v>6</v>
      </c>
      <c r="H104" s="1">
        <v>6</v>
      </c>
      <c r="I104" s="1">
        <v>6</v>
      </c>
      <c r="J104" s="1">
        <v>6</v>
      </c>
      <c r="K104" s="1">
        <v>48</v>
      </c>
      <c r="L104" s="2"/>
      <c r="M104" s="38" t="s">
        <v>1398</v>
      </c>
      <c r="N104" s="38" t="s">
        <v>1398</v>
      </c>
      <c r="O104" s="38" t="s">
        <v>1398</v>
      </c>
      <c r="P104" s="38" t="s">
        <v>1399</v>
      </c>
      <c r="Q104" s="38" t="s">
        <v>1400</v>
      </c>
      <c r="R104" s="38" t="s">
        <v>1401</v>
      </c>
      <c r="S104" s="38" t="s">
        <v>1399</v>
      </c>
      <c r="T104" s="1">
        <v>6</v>
      </c>
      <c r="U104" s="1">
        <v>6</v>
      </c>
      <c r="V104" s="1">
        <v>6</v>
      </c>
      <c r="W104" s="1">
        <v>6</v>
      </c>
      <c r="X104" s="1">
        <v>6</v>
      </c>
      <c r="Y104" s="1">
        <v>6</v>
      </c>
      <c r="Z104" s="1">
        <v>6</v>
      </c>
    </row>
    <row r="105" spans="2:26" ht="15">
      <c r="B105" s="1" t="s">
        <v>239</v>
      </c>
      <c r="C105" s="1" t="s">
        <v>469</v>
      </c>
      <c r="D105" s="1">
        <v>1</v>
      </c>
      <c r="E105" s="1">
        <v>1</v>
      </c>
      <c r="F105" s="1">
        <v>1</v>
      </c>
      <c r="G105" s="1">
        <v>1</v>
      </c>
      <c r="H105" s="1">
        <v>2</v>
      </c>
      <c r="I105" s="1">
        <v>1</v>
      </c>
      <c r="J105" s="1">
        <v>1</v>
      </c>
      <c r="K105" s="1">
        <v>64</v>
      </c>
      <c r="L105" s="2"/>
      <c r="M105" s="38" t="s">
        <v>1402</v>
      </c>
      <c r="N105" s="38" t="s">
        <v>1402</v>
      </c>
      <c r="O105" s="38" t="s">
        <v>1402</v>
      </c>
      <c r="P105" s="38" t="s">
        <v>1403</v>
      </c>
      <c r="Q105" s="38" t="s">
        <v>1404</v>
      </c>
      <c r="R105" s="38" t="s">
        <v>1402</v>
      </c>
      <c r="S105" s="38" t="s">
        <v>1403</v>
      </c>
      <c r="T105" s="1">
        <v>7</v>
      </c>
      <c r="U105" s="1">
        <v>7</v>
      </c>
      <c r="V105" s="1">
        <v>7</v>
      </c>
      <c r="W105" s="1">
        <v>7</v>
      </c>
      <c r="X105" s="1">
        <v>6</v>
      </c>
      <c r="Y105" s="1">
        <v>7</v>
      </c>
      <c r="Z105" s="1">
        <v>7</v>
      </c>
    </row>
    <row r="106" spans="2:26" ht="15" hidden="1">
      <c r="B106" s="1" t="s">
        <v>1405</v>
      </c>
      <c r="C106" s="1" t="s">
        <v>479</v>
      </c>
      <c r="J106" s="1">
        <v>2</v>
      </c>
      <c r="K106" s="1">
        <v>32</v>
      </c>
      <c r="L106" s="2"/>
      <c r="M106" s="39"/>
      <c r="N106" s="39"/>
      <c r="O106" s="39"/>
      <c r="P106" s="39"/>
      <c r="Q106" s="39"/>
      <c r="R106" s="39"/>
      <c r="S106" s="38" t="s">
        <v>1406</v>
      </c>
      <c r="Z106" s="1">
        <v>4</v>
      </c>
    </row>
    <row r="107" spans="2:26" ht="15" hidden="1">
      <c r="B107" s="1" t="s">
        <v>123</v>
      </c>
      <c r="C107" s="1" t="s">
        <v>471</v>
      </c>
      <c r="I107" s="1">
        <v>3</v>
      </c>
      <c r="K107" s="1">
        <v>64</v>
      </c>
      <c r="L107" s="2"/>
      <c r="M107" s="38"/>
      <c r="N107" s="38"/>
      <c r="O107" s="38"/>
      <c r="P107" s="39"/>
      <c r="Q107" s="38"/>
      <c r="R107" s="38" t="s">
        <v>1407</v>
      </c>
      <c r="S107" s="38"/>
      <c r="Y107" s="1">
        <v>7</v>
      </c>
    </row>
    <row r="108" spans="2:26" ht="15" hidden="1">
      <c r="B108" s="1" t="s">
        <v>394</v>
      </c>
      <c r="C108" s="1" t="s">
        <v>471</v>
      </c>
      <c r="E108" s="1">
        <v>5</v>
      </c>
      <c r="J108" s="1">
        <v>5</v>
      </c>
      <c r="K108" s="1">
        <v>48</v>
      </c>
      <c r="L108" s="2"/>
      <c r="M108" s="39"/>
      <c r="N108" s="38" t="s">
        <v>1408</v>
      </c>
      <c r="O108" s="39"/>
      <c r="P108" s="39"/>
      <c r="Q108" s="39"/>
      <c r="R108" s="39"/>
      <c r="S108" s="38" t="s">
        <v>1409</v>
      </c>
      <c r="U108" s="1">
        <v>6</v>
      </c>
      <c r="Z108" s="1">
        <v>6</v>
      </c>
    </row>
    <row r="109" spans="2:26" ht="15" hidden="1">
      <c r="B109" s="1" t="s">
        <v>275</v>
      </c>
      <c r="C109" s="1" t="s">
        <v>473</v>
      </c>
      <c r="I109" s="1">
        <v>5</v>
      </c>
      <c r="K109" s="1">
        <v>64</v>
      </c>
      <c r="L109" s="2"/>
      <c r="M109" s="39"/>
      <c r="N109" s="39"/>
      <c r="O109" s="39"/>
      <c r="P109" s="39"/>
      <c r="Q109" s="39"/>
      <c r="R109" s="38" t="s">
        <v>1410</v>
      </c>
      <c r="S109" s="39"/>
      <c r="Y109" s="1">
        <v>8</v>
      </c>
    </row>
    <row r="110" spans="2:26" ht="15" hidden="1">
      <c r="B110" s="1" t="s">
        <v>422</v>
      </c>
      <c r="C110" s="1" t="s">
        <v>475</v>
      </c>
      <c r="D110" s="1">
        <v>5</v>
      </c>
      <c r="K110" s="1">
        <v>48</v>
      </c>
      <c r="L110" s="2"/>
      <c r="M110" s="38" t="s">
        <v>1411</v>
      </c>
      <c r="N110" s="39"/>
      <c r="O110" s="39"/>
      <c r="P110" s="39"/>
      <c r="Q110" s="39"/>
      <c r="R110" s="39"/>
      <c r="S110" s="39"/>
      <c r="T110" s="1">
        <v>6</v>
      </c>
    </row>
    <row r="111" spans="2:26" ht="15" hidden="1">
      <c r="B111" s="1" t="s">
        <v>177</v>
      </c>
      <c r="C111" s="1" t="s">
        <v>477</v>
      </c>
      <c r="I111" s="1">
        <v>5</v>
      </c>
      <c r="K111" s="1">
        <v>48</v>
      </c>
      <c r="L111" s="2"/>
      <c r="M111" s="39"/>
      <c r="N111" s="39"/>
      <c r="O111" s="39"/>
      <c r="P111" s="39"/>
      <c r="Q111" s="39"/>
      <c r="R111" s="38" t="s">
        <v>1412</v>
      </c>
      <c r="S111" s="39"/>
      <c r="Y111" s="1">
        <v>6</v>
      </c>
    </row>
    <row r="112" spans="2:26" ht="15" hidden="1">
      <c r="B112" s="1" t="s">
        <v>280</v>
      </c>
      <c r="C112" s="1" t="s">
        <v>226</v>
      </c>
      <c r="F112" s="1">
        <v>1</v>
      </c>
      <c r="K112" s="1">
        <v>48</v>
      </c>
      <c r="L112" s="2"/>
      <c r="M112" s="39"/>
      <c r="N112" s="39"/>
      <c r="O112" s="38" t="s">
        <v>1413</v>
      </c>
      <c r="P112" s="39"/>
      <c r="Q112" s="39"/>
      <c r="R112" s="39"/>
      <c r="S112" s="39"/>
      <c r="V112" s="1">
        <v>5</v>
      </c>
    </row>
    <row r="113" spans="2:26" ht="15" hidden="1">
      <c r="B113" s="1" t="s">
        <v>1414</v>
      </c>
      <c r="C113" s="1" t="s">
        <v>474</v>
      </c>
      <c r="F113" s="1">
        <v>2</v>
      </c>
      <c r="K113" s="1">
        <v>48</v>
      </c>
      <c r="L113" s="2"/>
      <c r="M113" s="39"/>
      <c r="N113" s="39"/>
      <c r="O113" s="38" t="s">
        <v>1415</v>
      </c>
      <c r="P113" s="39"/>
      <c r="Q113" s="39"/>
      <c r="R113" s="39"/>
      <c r="S113" s="39"/>
      <c r="V113" s="1">
        <v>6</v>
      </c>
    </row>
    <row r="114" spans="2:26" ht="15" hidden="1">
      <c r="B114" s="1" t="s">
        <v>333</v>
      </c>
      <c r="C114" s="1" t="s">
        <v>472</v>
      </c>
      <c r="D114" s="1">
        <v>7</v>
      </c>
      <c r="K114" s="1">
        <v>48</v>
      </c>
      <c r="L114" s="2"/>
      <c r="M114" s="127" t="s">
        <v>1416</v>
      </c>
      <c r="N114" s="39"/>
      <c r="O114" s="38"/>
      <c r="P114" s="39"/>
      <c r="Q114" s="39"/>
      <c r="R114" s="39"/>
      <c r="S114" s="39"/>
      <c r="T114" s="1">
        <v>6</v>
      </c>
    </row>
    <row r="115" spans="2:26" ht="15" hidden="1">
      <c r="B115" s="1" t="s">
        <v>1417</v>
      </c>
      <c r="C115" s="1" t="s">
        <v>472</v>
      </c>
      <c r="D115" s="1">
        <v>6</v>
      </c>
      <c r="E115" s="1">
        <v>8</v>
      </c>
      <c r="F115" s="1">
        <v>8</v>
      </c>
      <c r="K115" s="1">
        <v>48</v>
      </c>
      <c r="L115" s="2" t="s">
        <v>67</v>
      </c>
      <c r="M115" s="38" t="s">
        <v>1418</v>
      </c>
      <c r="N115" s="38" t="s">
        <v>1419</v>
      </c>
      <c r="O115" s="38" t="s">
        <v>1420</v>
      </c>
      <c r="P115" s="39"/>
      <c r="Q115" s="39"/>
      <c r="R115" s="39"/>
      <c r="S115" s="39"/>
      <c r="T115" s="1">
        <v>6</v>
      </c>
      <c r="U115" s="1">
        <v>6</v>
      </c>
      <c r="V115" s="1">
        <v>6</v>
      </c>
    </row>
    <row r="116" spans="2:26" ht="15" hidden="1">
      <c r="B116" s="1" t="s">
        <v>1421</v>
      </c>
      <c r="C116" s="1" t="s">
        <v>476</v>
      </c>
      <c r="K116" s="1">
        <v>48</v>
      </c>
      <c r="L116" s="2" t="s">
        <v>67</v>
      </c>
      <c r="M116" s="39"/>
      <c r="N116" s="39"/>
      <c r="O116" s="39"/>
      <c r="P116" s="39"/>
      <c r="Q116" s="39"/>
      <c r="R116" s="38" t="s">
        <v>1422</v>
      </c>
      <c r="S116" s="39"/>
      <c r="Y116" s="1">
        <v>6</v>
      </c>
    </row>
    <row r="117" spans="2:26" ht="15" hidden="1">
      <c r="B117" s="1" t="s">
        <v>277</v>
      </c>
      <c r="C117" s="12" t="s">
        <v>476</v>
      </c>
      <c r="I117" s="1">
        <v>9</v>
      </c>
      <c r="K117" s="1">
        <v>48</v>
      </c>
      <c r="L117" s="2" t="s">
        <v>67</v>
      </c>
      <c r="M117" s="39"/>
      <c r="N117" s="39"/>
      <c r="O117" s="39"/>
      <c r="P117" s="39"/>
      <c r="Q117" s="39"/>
      <c r="R117" s="38" t="s">
        <v>1423</v>
      </c>
      <c r="S117" s="39"/>
      <c r="Y117" s="1">
        <v>6</v>
      </c>
    </row>
    <row r="118" spans="2:26" ht="15" hidden="1">
      <c r="B118" s="1" t="s">
        <v>138</v>
      </c>
      <c r="C118" s="1" t="s">
        <v>478</v>
      </c>
      <c r="D118" s="1">
        <v>1</v>
      </c>
      <c r="E118" s="1">
        <v>1</v>
      </c>
      <c r="F118" s="1">
        <v>1</v>
      </c>
      <c r="G118" s="1">
        <v>1</v>
      </c>
      <c r="H118" s="12">
        <v>1</v>
      </c>
      <c r="I118" s="1">
        <v>1</v>
      </c>
      <c r="J118" s="1">
        <v>1</v>
      </c>
      <c r="K118" s="1">
        <v>48</v>
      </c>
      <c r="L118" s="2"/>
      <c r="M118" s="38" t="s">
        <v>1424</v>
      </c>
      <c r="N118" s="38" t="s">
        <v>1424</v>
      </c>
      <c r="O118" s="38" t="s">
        <v>1424</v>
      </c>
      <c r="P118" s="38" t="s">
        <v>1425</v>
      </c>
      <c r="Q118" s="38" t="s">
        <v>1426</v>
      </c>
      <c r="R118" s="38" t="s">
        <v>1427</v>
      </c>
      <c r="S118" s="38" t="s">
        <v>1425</v>
      </c>
      <c r="T118" s="1">
        <v>6</v>
      </c>
      <c r="U118" s="1">
        <v>6</v>
      </c>
      <c r="V118" s="1">
        <v>6</v>
      </c>
      <c r="W118" s="1">
        <v>6</v>
      </c>
      <c r="X118" s="1">
        <v>6</v>
      </c>
      <c r="Y118" s="1">
        <v>6</v>
      </c>
      <c r="Z118" s="1">
        <v>6</v>
      </c>
    </row>
    <row r="119" spans="2:26" ht="15" hidden="1">
      <c r="B119" s="1" t="s">
        <v>263</v>
      </c>
      <c r="C119" s="1" t="s">
        <v>478</v>
      </c>
      <c r="D119" s="1">
        <v>7</v>
      </c>
      <c r="E119" s="1">
        <v>7</v>
      </c>
      <c r="F119" s="1">
        <v>7</v>
      </c>
      <c r="G119" s="1">
        <v>7</v>
      </c>
      <c r="H119" s="12">
        <v>7</v>
      </c>
      <c r="I119" s="1">
        <v>7</v>
      </c>
      <c r="J119" s="1">
        <v>7</v>
      </c>
      <c r="K119" s="1">
        <v>48</v>
      </c>
      <c r="L119" s="2"/>
      <c r="M119" s="38" t="s">
        <v>1428</v>
      </c>
      <c r="N119" s="38" t="s">
        <v>1428</v>
      </c>
      <c r="O119" s="38">
        <v>26985</v>
      </c>
      <c r="P119" s="38" t="s">
        <v>1429</v>
      </c>
      <c r="Q119" s="38" t="s">
        <v>1430</v>
      </c>
      <c r="R119" s="38" t="s">
        <v>1431</v>
      </c>
      <c r="S119" s="38" t="s">
        <v>1429</v>
      </c>
      <c r="T119" s="1">
        <v>6</v>
      </c>
      <c r="U119" s="1">
        <v>6</v>
      </c>
      <c r="V119" s="1">
        <v>6</v>
      </c>
      <c r="W119" s="1">
        <v>6</v>
      </c>
      <c r="X119" s="1">
        <v>6</v>
      </c>
      <c r="Y119" s="1">
        <v>6</v>
      </c>
      <c r="Z119" s="1">
        <v>6</v>
      </c>
    </row>
    <row r="120" spans="2:26" ht="15" hidden="1">
      <c r="B120" s="1" t="s">
        <v>329</v>
      </c>
      <c r="C120" s="1" t="s">
        <v>473</v>
      </c>
      <c r="I120" s="1">
        <v>5</v>
      </c>
      <c r="K120" s="1">
        <v>32</v>
      </c>
      <c r="L120" s="2" t="s">
        <v>67</v>
      </c>
      <c r="M120" s="39"/>
      <c r="N120" s="39"/>
      <c r="O120" s="39"/>
      <c r="P120" s="38"/>
      <c r="Q120" s="38"/>
      <c r="R120" s="38" t="s">
        <v>1432</v>
      </c>
      <c r="S120" s="39"/>
      <c r="Y120" s="1">
        <v>3</v>
      </c>
    </row>
    <row r="121" spans="2:26" ht="15" hidden="1">
      <c r="B121" s="1" t="s">
        <v>1433</v>
      </c>
      <c r="C121" s="1" t="s">
        <v>477</v>
      </c>
      <c r="I121" s="1">
        <v>8</v>
      </c>
      <c r="K121" s="1">
        <v>48</v>
      </c>
      <c r="L121" s="2"/>
      <c r="M121" s="39"/>
      <c r="N121" s="39"/>
      <c r="O121" s="39"/>
      <c r="P121" s="39"/>
      <c r="Q121" s="39"/>
      <c r="R121" s="38" t="s">
        <v>1434</v>
      </c>
      <c r="S121" s="39"/>
      <c r="Y121" s="1">
        <v>6</v>
      </c>
    </row>
    <row r="122" spans="2:26" ht="15">
      <c r="B122" s="1" t="s">
        <v>1435</v>
      </c>
      <c r="C122" s="1" t="s">
        <v>469</v>
      </c>
      <c r="D122" s="1">
        <v>4</v>
      </c>
      <c r="K122" s="1">
        <v>64</v>
      </c>
      <c r="L122" s="2"/>
      <c r="M122" s="38" t="s">
        <v>1436</v>
      </c>
      <c r="N122" s="39"/>
      <c r="O122" s="39"/>
      <c r="P122" s="39"/>
      <c r="Q122" s="39"/>
      <c r="R122" s="39"/>
      <c r="S122" s="39"/>
      <c r="T122" s="1">
        <v>7</v>
      </c>
    </row>
    <row r="123" spans="2:26" ht="15" hidden="1">
      <c r="B123" s="1" t="s">
        <v>1437</v>
      </c>
      <c r="C123" s="1" t="s">
        <v>472</v>
      </c>
      <c r="D123" s="1">
        <v>4</v>
      </c>
      <c r="K123" s="1">
        <v>64</v>
      </c>
      <c r="L123" s="2"/>
      <c r="M123" s="38" t="s">
        <v>1438</v>
      </c>
      <c r="N123" s="39"/>
      <c r="O123" s="39"/>
      <c r="P123" s="39"/>
      <c r="Q123" s="39"/>
      <c r="R123" s="39"/>
      <c r="S123" s="39"/>
      <c r="T123" s="1">
        <v>7</v>
      </c>
    </row>
    <row r="124" spans="2:26" ht="15" hidden="1">
      <c r="B124" s="1" t="s">
        <v>1439</v>
      </c>
      <c r="C124" s="1" t="s">
        <v>470</v>
      </c>
      <c r="G124" s="1">
        <v>8</v>
      </c>
      <c r="K124" s="1">
        <v>48</v>
      </c>
      <c r="L124" s="2"/>
      <c r="M124" s="39"/>
      <c r="N124" s="39"/>
      <c r="O124" s="39"/>
      <c r="P124" s="38" t="s">
        <v>1440</v>
      </c>
      <c r="Q124" s="39"/>
      <c r="R124" s="39"/>
      <c r="S124" s="39"/>
      <c r="W124" s="1">
        <v>6</v>
      </c>
    </row>
    <row r="125" spans="2:26" ht="15" hidden="1">
      <c r="B125" s="1" t="s">
        <v>1441</v>
      </c>
      <c r="C125" s="12" t="s">
        <v>476</v>
      </c>
      <c r="I125" s="51">
        <v>11</v>
      </c>
      <c r="K125" s="1">
        <v>64</v>
      </c>
      <c r="L125" s="2" t="s">
        <v>67</v>
      </c>
      <c r="M125" s="39"/>
      <c r="N125" s="39"/>
      <c r="O125" s="39"/>
      <c r="P125" s="39"/>
      <c r="Q125" s="39"/>
      <c r="R125" s="38" t="s">
        <v>1442</v>
      </c>
      <c r="S125" s="39"/>
      <c r="Y125" s="1">
        <v>8</v>
      </c>
    </row>
    <row r="126" spans="2:26" ht="15" hidden="1">
      <c r="B126" s="1" t="s">
        <v>1443</v>
      </c>
      <c r="C126" s="1" t="s">
        <v>477</v>
      </c>
      <c r="K126" s="1">
        <v>64</v>
      </c>
      <c r="L126" s="2" t="s">
        <v>67</v>
      </c>
      <c r="M126" s="39"/>
      <c r="N126" s="39"/>
      <c r="O126" s="39"/>
      <c r="P126" s="39"/>
      <c r="Q126" s="39"/>
      <c r="R126" s="40" t="s">
        <v>1444</v>
      </c>
      <c r="S126" s="39"/>
      <c r="Y126" s="1">
        <v>7</v>
      </c>
    </row>
    <row r="127" spans="2:26" ht="15" hidden="1">
      <c r="B127" s="1" t="s">
        <v>1445</v>
      </c>
      <c r="C127" s="1" t="s">
        <v>477</v>
      </c>
      <c r="I127" s="1">
        <v>8</v>
      </c>
      <c r="K127" s="1">
        <v>64</v>
      </c>
      <c r="L127" s="2"/>
      <c r="M127" s="39"/>
      <c r="N127" s="39"/>
      <c r="O127" s="39"/>
      <c r="P127" s="39"/>
      <c r="Q127" s="39"/>
      <c r="R127" s="38" t="s">
        <v>1446</v>
      </c>
      <c r="S127" s="39"/>
      <c r="Y127" s="1">
        <v>8</v>
      </c>
    </row>
    <row r="128" spans="2:26" ht="15" hidden="1">
      <c r="B128" s="1" t="s">
        <v>1447</v>
      </c>
      <c r="C128" s="1" t="s">
        <v>470</v>
      </c>
      <c r="H128" s="1">
        <v>6</v>
      </c>
      <c r="K128" s="1">
        <v>64</v>
      </c>
      <c r="L128" s="2"/>
      <c r="M128" s="39"/>
      <c r="N128" s="39"/>
      <c r="O128" s="39"/>
      <c r="P128" s="39"/>
      <c r="Q128" s="38" t="s">
        <v>1448</v>
      </c>
      <c r="R128" s="39"/>
      <c r="S128" s="39"/>
      <c r="X128" s="1">
        <v>7</v>
      </c>
    </row>
    <row r="129" spans="2:26" ht="15" hidden="1">
      <c r="B129" s="1" t="s">
        <v>94</v>
      </c>
      <c r="C129" s="1" t="s">
        <v>470</v>
      </c>
      <c r="I129" s="1">
        <v>7</v>
      </c>
      <c r="K129" s="1">
        <v>48</v>
      </c>
      <c r="L129" s="2" t="s">
        <v>67</v>
      </c>
      <c r="M129" s="39"/>
      <c r="N129" s="39"/>
      <c r="O129" s="39"/>
      <c r="P129" s="39"/>
      <c r="Q129" s="39"/>
      <c r="R129" s="38" t="s">
        <v>1449</v>
      </c>
      <c r="S129" s="39"/>
      <c r="Y129" s="1">
        <v>6</v>
      </c>
    </row>
    <row r="130" spans="2:26" ht="15" hidden="1">
      <c r="B130" s="1" t="s">
        <v>1450</v>
      </c>
      <c r="C130" s="1" t="s">
        <v>476</v>
      </c>
      <c r="I130" s="13">
        <v>4</v>
      </c>
      <c r="L130" s="2" t="s">
        <v>67</v>
      </c>
      <c r="M130" s="39"/>
      <c r="N130" s="39"/>
      <c r="O130" s="39"/>
      <c r="P130" s="39"/>
      <c r="Q130" s="39"/>
      <c r="R130" s="39"/>
      <c r="S130" s="39"/>
    </row>
    <row r="131" spans="2:26" ht="15" hidden="1">
      <c r="B131" s="1" t="s">
        <v>424</v>
      </c>
      <c r="C131" s="1" t="s">
        <v>226</v>
      </c>
      <c r="H131" s="1">
        <v>1</v>
      </c>
      <c r="K131" s="1">
        <v>32</v>
      </c>
      <c r="L131" s="2"/>
      <c r="M131" s="39"/>
      <c r="N131" s="39"/>
      <c r="O131" s="39"/>
      <c r="P131" s="39"/>
      <c r="Q131" s="38" t="s">
        <v>1451</v>
      </c>
      <c r="R131" s="39"/>
      <c r="S131" s="39"/>
      <c r="X131" s="1">
        <v>4</v>
      </c>
    </row>
    <row r="132" spans="2:26" ht="15" hidden="1">
      <c r="B132" s="1" t="s">
        <v>69</v>
      </c>
      <c r="C132" s="1" t="s">
        <v>477</v>
      </c>
      <c r="I132" s="1">
        <v>1</v>
      </c>
      <c r="K132" s="1">
        <v>48</v>
      </c>
      <c r="L132" s="2"/>
      <c r="M132" s="39"/>
      <c r="N132" s="39"/>
      <c r="O132" s="39"/>
      <c r="P132" s="39"/>
      <c r="Q132" s="39"/>
      <c r="R132" s="38" t="s">
        <v>1452</v>
      </c>
      <c r="S132" s="39"/>
      <c r="Y132" s="1">
        <v>6</v>
      </c>
    </row>
    <row r="133" spans="2:26" ht="15" hidden="1">
      <c r="B133" s="1" t="s">
        <v>162</v>
      </c>
      <c r="C133" s="1" t="s">
        <v>472</v>
      </c>
      <c r="D133" s="1">
        <v>5</v>
      </c>
      <c r="K133" s="1">
        <v>48</v>
      </c>
      <c r="L133" s="2"/>
      <c r="M133" s="38" t="s">
        <v>1453</v>
      </c>
      <c r="N133" s="39"/>
      <c r="O133" s="39"/>
      <c r="P133" s="39"/>
      <c r="Q133" s="39"/>
      <c r="R133" s="39"/>
      <c r="S133" s="39"/>
      <c r="T133" s="1">
        <v>6</v>
      </c>
    </row>
    <row r="134" spans="2:26" ht="15" hidden="1">
      <c r="B134" s="1" t="s">
        <v>147</v>
      </c>
      <c r="C134" s="1" t="s">
        <v>470</v>
      </c>
      <c r="G134" s="1">
        <v>5</v>
      </c>
      <c r="K134" s="1">
        <v>48</v>
      </c>
      <c r="L134" s="2"/>
      <c r="M134" s="39"/>
      <c r="N134" s="39"/>
      <c r="O134" s="39"/>
      <c r="P134" s="38" t="s">
        <v>1454</v>
      </c>
      <c r="Q134" s="39"/>
      <c r="R134" s="39"/>
      <c r="S134" s="39"/>
      <c r="W134" s="1">
        <v>6</v>
      </c>
    </row>
    <row r="135" spans="2:26" ht="15" hidden="1">
      <c r="B135" s="1" t="s">
        <v>1455</v>
      </c>
      <c r="C135" s="1" t="s">
        <v>472</v>
      </c>
      <c r="D135" s="1">
        <v>4</v>
      </c>
      <c r="I135" s="1">
        <v>4</v>
      </c>
      <c r="K135" s="1">
        <v>48</v>
      </c>
      <c r="L135" s="2" t="s">
        <v>67</v>
      </c>
      <c r="M135" s="38" t="s">
        <v>1456</v>
      </c>
      <c r="N135" s="39"/>
      <c r="O135" s="39"/>
      <c r="P135" s="39"/>
      <c r="Q135" s="39"/>
      <c r="R135" s="40" t="s">
        <v>1457</v>
      </c>
      <c r="S135" s="39"/>
      <c r="T135" s="1">
        <v>6</v>
      </c>
      <c r="Y135" s="1">
        <v>6</v>
      </c>
    </row>
    <row r="136" spans="2:26" ht="15" hidden="1">
      <c r="B136" s="1" t="s">
        <v>104</v>
      </c>
      <c r="C136" s="1" t="s">
        <v>226</v>
      </c>
      <c r="F136" s="1">
        <v>3</v>
      </c>
      <c r="K136" s="1">
        <v>80</v>
      </c>
      <c r="L136" s="2"/>
      <c r="M136" s="39"/>
      <c r="N136" s="39"/>
      <c r="O136" s="38">
        <v>26901</v>
      </c>
      <c r="P136" s="39"/>
      <c r="Q136" s="39"/>
      <c r="R136" s="39"/>
      <c r="S136" s="39"/>
      <c r="V136" s="1">
        <v>6</v>
      </c>
    </row>
    <row r="137" spans="2:26" ht="13.5" customHeight="1">
      <c r="B137" s="1" t="s">
        <v>347</v>
      </c>
      <c r="C137" s="1" t="s">
        <v>469</v>
      </c>
      <c r="E137" s="1">
        <v>7</v>
      </c>
      <c r="K137" s="1">
        <v>48</v>
      </c>
      <c r="L137" s="2"/>
      <c r="M137" s="39"/>
      <c r="N137" s="38" t="s">
        <v>1458</v>
      </c>
      <c r="O137" s="39"/>
      <c r="P137" s="39"/>
      <c r="Q137" s="39"/>
      <c r="R137" s="39"/>
      <c r="S137" s="39"/>
      <c r="U137" s="1">
        <v>5</v>
      </c>
    </row>
    <row r="138" spans="2:26" ht="15" hidden="1">
      <c r="B138" s="1" t="s">
        <v>1459</v>
      </c>
      <c r="C138" s="1" t="s">
        <v>472</v>
      </c>
      <c r="D138" s="1">
        <v>7</v>
      </c>
      <c r="K138" s="1">
        <v>48</v>
      </c>
      <c r="L138" s="2"/>
      <c r="M138" s="127" t="s">
        <v>1460</v>
      </c>
      <c r="N138" s="39"/>
      <c r="O138" s="39"/>
      <c r="P138" s="39"/>
      <c r="Q138" s="39"/>
      <c r="R138" s="39"/>
      <c r="S138" s="39"/>
      <c r="T138" s="1">
        <v>6</v>
      </c>
    </row>
    <row r="139" spans="2:26" ht="15">
      <c r="B139" s="1" t="s">
        <v>1461</v>
      </c>
      <c r="C139" s="1" t="s">
        <v>469</v>
      </c>
      <c r="E139" s="1">
        <v>2</v>
      </c>
      <c r="K139" s="1">
        <v>48</v>
      </c>
      <c r="L139" s="2"/>
      <c r="M139" s="39"/>
      <c r="N139" s="38" t="s">
        <v>1462</v>
      </c>
      <c r="O139" s="39"/>
      <c r="P139" s="39"/>
      <c r="Q139" s="39"/>
      <c r="R139" s="39"/>
      <c r="S139" s="39"/>
      <c r="U139" s="1">
        <v>4</v>
      </c>
    </row>
    <row r="140" spans="2:26" ht="15" hidden="1">
      <c r="B140" s="1" t="s">
        <v>1463</v>
      </c>
      <c r="C140" s="1" t="s">
        <v>226</v>
      </c>
      <c r="D140" s="13">
        <v>8</v>
      </c>
      <c r="F140" s="1">
        <v>8</v>
      </c>
      <c r="K140" s="1">
        <v>32</v>
      </c>
      <c r="L140" s="2" t="s">
        <v>67</v>
      </c>
      <c r="M140" s="38" t="s">
        <v>1464</v>
      </c>
      <c r="N140" s="39"/>
      <c r="O140" s="38" t="s">
        <v>1465</v>
      </c>
      <c r="P140" s="39"/>
      <c r="Q140" s="39"/>
      <c r="R140" s="39"/>
      <c r="S140" s="39"/>
      <c r="T140" s="1">
        <v>4</v>
      </c>
      <c r="V140" s="1">
        <v>4</v>
      </c>
    </row>
    <row r="141" spans="2:26" ht="13.5" hidden="1" customHeight="1">
      <c r="B141" s="1" t="s">
        <v>1466</v>
      </c>
      <c r="C141" s="1" t="s">
        <v>474</v>
      </c>
      <c r="E141" s="1">
        <v>4</v>
      </c>
      <c r="J141" s="1">
        <v>4</v>
      </c>
      <c r="K141" s="1">
        <v>48</v>
      </c>
      <c r="L141" s="2"/>
      <c r="M141" s="38"/>
      <c r="N141" s="38" t="s">
        <v>1467</v>
      </c>
      <c r="O141" s="38"/>
      <c r="P141" s="38"/>
      <c r="Q141" s="39"/>
      <c r="R141" s="39"/>
      <c r="S141" s="38" t="s">
        <v>1468</v>
      </c>
      <c r="U141" s="1">
        <v>6</v>
      </c>
      <c r="Z141" s="1">
        <v>6</v>
      </c>
    </row>
    <row r="142" spans="2:26" ht="15" hidden="1">
      <c r="B142" s="1" t="s">
        <v>399</v>
      </c>
      <c r="C142" s="1" t="s">
        <v>474</v>
      </c>
      <c r="G142" s="1">
        <v>3</v>
      </c>
      <c r="K142" s="1">
        <v>64</v>
      </c>
      <c r="L142" s="2"/>
      <c r="M142" s="39"/>
      <c r="N142" s="39"/>
      <c r="O142" s="39"/>
      <c r="P142" s="38" t="s">
        <v>1469</v>
      </c>
      <c r="Q142" s="39"/>
      <c r="R142" s="39"/>
      <c r="S142" s="39"/>
      <c r="W142" s="1">
        <v>8</v>
      </c>
    </row>
    <row r="143" spans="2:26" ht="15" hidden="1">
      <c r="B143" s="1" t="s">
        <v>1470</v>
      </c>
      <c r="C143" s="1" t="s">
        <v>477</v>
      </c>
      <c r="I143" s="1">
        <v>4</v>
      </c>
      <c r="K143" s="1">
        <v>64</v>
      </c>
      <c r="L143" s="2"/>
      <c r="M143" s="39"/>
      <c r="N143" s="39"/>
      <c r="O143" s="39"/>
      <c r="P143" s="39"/>
      <c r="Q143" s="39"/>
      <c r="R143" s="38" t="s">
        <v>1471</v>
      </c>
      <c r="S143" s="39"/>
      <c r="Y143" s="1">
        <v>8</v>
      </c>
    </row>
    <row r="144" spans="2:26" ht="15">
      <c r="B144" s="1" t="s">
        <v>1023</v>
      </c>
      <c r="C144" s="1" t="s">
        <v>469</v>
      </c>
      <c r="D144" s="1">
        <v>2</v>
      </c>
      <c r="G144" s="1">
        <v>2</v>
      </c>
      <c r="H144" s="1">
        <v>4</v>
      </c>
      <c r="J144" s="1">
        <v>2</v>
      </c>
      <c r="K144" s="1">
        <v>48</v>
      </c>
      <c r="L144" s="2"/>
      <c r="M144" s="38" t="s">
        <v>1472</v>
      </c>
      <c r="N144" s="39"/>
      <c r="O144" s="39"/>
      <c r="P144" s="38" t="s">
        <v>1473</v>
      </c>
      <c r="Q144" s="38" t="s">
        <v>1474</v>
      </c>
      <c r="R144" s="39"/>
      <c r="S144" s="38" t="s">
        <v>1473</v>
      </c>
      <c r="T144" s="1">
        <v>6</v>
      </c>
      <c r="W144" s="1">
        <v>6</v>
      </c>
      <c r="X144" s="1">
        <v>7</v>
      </c>
      <c r="Z144" s="1">
        <v>6</v>
      </c>
    </row>
    <row r="145" spans="2:26" ht="15" hidden="1">
      <c r="B145" s="1" t="s">
        <v>1475</v>
      </c>
      <c r="C145" s="1" t="s">
        <v>477</v>
      </c>
      <c r="I145" s="1">
        <v>4</v>
      </c>
      <c r="K145" s="1">
        <v>64</v>
      </c>
      <c r="L145" s="2"/>
      <c r="M145" s="39"/>
      <c r="N145" s="39"/>
      <c r="O145" s="39"/>
      <c r="P145" s="39"/>
      <c r="Q145" s="39"/>
      <c r="R145" s="38" t="s">
        <v>1476</v>
      </c>
      <c r="S145" s="39"/>
      <c r="Y145" s="1">
        <v>8</v>
      </c>
    </row>
    <row r="146" spans="2:26" ht="15" hidden="1">
      <c r="B146" s="1" t="s">
        <v>282</v>
      </c>
      <c r="C146" s="1" t="s">
        <v>477</v>
      </c>
      <c r="I146" s="1">
        <v>7</v>
      </c>
      <c r="K146" s="1">
        <v>64</v>
      </c>
      <c r="L146" s="2"/>
      <c r="M146" s="39"/>
      <c r="N146" s="39"/>
      <c r="O146" s="39"/>
      <c r="P146" s="39"/>
      <c r="Q146" s="39"/>
      <c r="R146" s="38" t="s">
        <v>1477</v>
      </c>
      <c r="S146" s="39"/>
      <c r="Y146" s="1">
        <v>7</v>
      </c>
    </row>
    <row r="147" spans="2:26" ht="15">
      <c r="B147" s="1" t="s">
        <v>1478</v>
      </c>
      <c r="C147" s="1" t="s">
        <v>469</v>
      </c>
      <c r="E147" s="1">
        <v>6</v>
      </c>
      <c r="K147" s="1">
        <v>48</v>
      </c>
      <c r="L147" s="2"/>
      <c r="M147" s="39"/>
      <c r="N147" s="38" t="s">
        <v>1479</v>
      </c>
      <c r="O147" s="39"/>
      <c r="P147" s="39"/>
      <c r="Q147" s="39"/>
      <c r="R147" s="39"/>
      <c r="S147" s="39"/>
      <c r="U147" s="1">
        <v>6</v>
      </c>
    </row>
    <row r="148" spans="2:26" ht="30" hidden="1">
      <c r="B148" s="1" t="s">
        <v>1480</v>
      </c>
      <c r="C148" s="1" t="s">
        <v>476</v>
      </c>
      <c r="I148" s="51">
        <v>10</v>
      </c>
      <c r="K148" s="1">
        <v>48</v>
      </c>
      <c r="L148" s="2" t="s">
        <v>595</v>
      </c>
      <c r="M148" s="39"/>
      <c r="N148" s="39"/>
      <c r="O148" s="39"/>
      <c r="P148" s="39"/>
      <c r="Q148" s="39"/>
      <c r="R148" s="38" t="s">
        <v>1481</v>
      </c>
      <c r="S148" s="39"/>
      <c r="Y148" s="1">
        <v>6</v>
      </c>
    </row>
    <row r="149" spans="2:26" ht="15" hidden="1">
      <c r="B149" s="1" t="s">
        <v>1482</v>
      </c>
      <c r="C149" s="1" t="s">
        <v>226</v>
      </c>
      <c r="F149" s="1">
        <v>4</v>
      </c>
      <c r="K149" s="1">
        <v>80</v>
      </c>
      <c r="L149" s="2"/>
      <c r="M149" s="39"/>
      <c r="N149" s="39"/>
      <c r="O149" s="38" t="s">
        <v>1483</v>
      </c>
      <c r="P149" s="39"/>
      <c r="Q149" s="39"/>
      <c r="R149" s="39"/>
      <c r="S149" s="39"/>
      <c r="V149" s="1">
        <v>6</v>
      </c>
    </row>
    <row r="150" spans="2:26" ht="15" hidden="1">
      <c r="B150" s="1" t="s">
        <v>205</v>
      </c>
      <c r="C150" s="1" t="s">
        <v>471</v>
      </c>
      <c r="E150" s="1">
        <v>5</v>
      </c>
      <c r="G150" s="1">
        <v>5</v>
      </c>
      <c r="H150" s="12">
        <v>6</v>
      </c>
      <c r="J150" s="1">
        <v>5</v>
      </c>
      <c r="K150" s="1">
        <v>64</v>
      </c>
      <c r="L150" s="2"/>
      <c r="M150" s="39"/>
      <c r="N150" s="38" t="s">
        <v>1484</v>
      </c>
      <c r="O150" s="39"/>
      <c r="P150" s="38" t="s">
        <v>1485</v>
      </c>
      <c r="Q150" s="38" t="s">
        <v>1486</v>
      </c>
      <c r="R150" s="39"/>
      <c r="S150" s="38" t="s">
        <v>1485</v>
      </c>
      <c r="U150" s="1">
        <v>7</v>
      </c>
      <c r="W150" s="1">
        <v>7</v>
      </c>
      <c r="X150" s="1">
        <v>7</v>
      </c>
      <c r="Z150" s="1">
        <v>7</v>
      </c>
    </row>
    <row r="151" spans="2:26" ht="15" hidden="1">
      <c r="B151" s="1" t="s">
        <v>374</v>
      </c>
      <c r="C151" s="1" t="s">
        <v>471</v>
      </c>
      <c r="E151" s="1">
        <v>6</v>
      </c>
      <c r="G151" s="1">
        <v>6</v>
      </c>
      <c r="H151" s="12">
        <v>7</v>
      </c>
      <c r="J151" s="1">
        <v>6</v>
      </c>
      <c r="K151" s="1">
        <v>48</v>
      </c>
      <c r="L151" s="2"/>
      <c r="M151" s="39"/>
      <c r="N151" s="38" t="s">
        <v>1487</v>
      </c>
      <c r="O151" s="39"/>
      <c r="P151" s="38" t="s">
        <v>1488</v>
      </c>
      <c r="Q151" s="38" t="s">
        <v>1489</v>
      </c>
      <c r="R151" s="39"/>
      <c r="S151" s="38" t="s">
        <v>1488</v>
      </c>
      <c r="U151" s="1">
        <v>6</v>
      </c>
      <c r="W151" s="1">
        <v>6</v>
      </c>
      <c r="X151" s="1">
        <v>8</v>
      </c>
      <c r="Z151" s="1">
        <v>6</v>
      </c>
    </row>
    <row r="152" spans="2:26" ht="15" hidden="1">
      <c r="B152" s="1" t="s">
        <v>308</v>
      </c>
      <c r="C152" s="1" t="s">
        <v>471</v>
      </c>
      <c r="J152" s="1">
        <v>7</v>
      </c>
      <c r="K152" s="1">
        <v>64</v>
      </c>
      <c r="L152" s="2"/>
      <c r="M152" s="39"/>
      <c r="N152" s="39"/>
      <c r="O152" s="39"/>
      <c r="P152" s="39"/>
      <c r="Q152" s="39"/>
      <c r="R152" s="39"/>
      <c r="S152" s="38" t="s">
        <v>1490</v>
      </c>
      <c r="Z152" s="1">
        <v>6</v>
      </c>
    </row>
    <row r="153" spans="2:26" ht="15" hidden="1">
      <c r="B153" s="1" t="s">
        <v>438</v>
      </c>
      <c r="C153" s="1" t="s">
        <v>470</v>
      </c>
      <c r="G153" s="1">
        <v>5</v>
      </c>
      <c r="K153" s="1">
        <v>48</v>
      </c>
      <c r="L153" s="2"/>
      <c r="M153" s="39"/>
      <c r="N153" s="39"/>
      <c r="O153" s="39"/>
      <c r="P153" s="38" t="s">
        <v>1491</v>
      </c>
      <c r="Q153" s="39"/>
      <c r="R153" s="39"/>
      <c r="S153" s="39"/>
      <c r="W153" s="1">
        <v>6</v>
      </c>
    </row>
    <row r="154" spans="2:26" ht="15" hidden="1">
      <c r="B154" s="1" t="s">
        <v>209</v>
      </c>
      <c r="C154" s="1" t="s">
        <v>470</v>
      </c>
      <c r="F154" s="1">
        <v>3</v>
      </c>
      <c r="K154" s="1">
        <v>64</v>
      </c>
      <c r="L154" s="2"/>
      <c r="M154" s="39"/>
      <c r="N154" s="39"/>
      <c r="O154" s="38">
        <v>26900</v>
      </c>
      <c r="P154" s="39"/>
      <c r="Q154" s="39"/>
      <c r="R154" s="39"/>
      <c r="S154" s="39"/>
      <c r="V154" s="1">
        <v>5</v>
      </c>
    </row>
    <row r="155" spans="2:26" ht="15" hidden="1">
      <c r="B155" s="1" t="s">
        <v>1492</v>
      </c>
      <c r="C155" s="1" t="s">
        <v>470</v>
      </c>
      <c r="F155" s="1">
        <v>4</v>
      </c>
      <c r="K155" s="1">
        <v>64</v>
      </c>
      <c r="L155" s="2"/>
      <c r="M155" s="39"/>
      <c r="N155" s="39"/>
      <c r="O155" s="38" t="s">
        <v>1493</v>
      </c>
      <c r="P155" s="39"/>
      <c r="Q155" s="39"/>
      <c r="R155" s="39"/>
      <c r="S155" s="39"/>
      <c r="V155" s="1">
        <v>5</v>
      </c>
    </row>
    <row r="156" spans="2:26" ht="15" hidden="1">
      <c r="B156" s="1" t="s">
        <v>1494</v>
      </c>
      <c r="C156" s="1" t="s">
        <v>226</v>
      </c>
      <c r="F156" s="1">
        <v>4</v>
      </c>
      <c r="K156" s="1">
        <v>64</v>
      </c>
      <c r="L156" s="2"/>
      <c r="M156" s="39"/>
      <c r="N156" s="39"/>
      <c r="O156" s="38" t="s">
        <v>1495</v>
      </c>
      <c r="P156" s="39"/>
      <c r="Q156" s="39"/>
      <c r="R156" s="39"/>
      <c r="S156" s="39"/>
      <c r="V156" s="1">
        <v>6</v>
      </c>
    </row>
    <row r="157" spans="2:26" ht="15" hidden="1">
      <c r="B157" s="1" t="s">
        <v>136</v>
      </c>
      <c r="C157" s="1" t="s">
        <v>226</v>
      </c>
      <c r="F157" s="1">
        <v>5</v>
      </c>
      <c r="K157" s="1">
        <v>64</v>
      </c>
      <c r="L157" s="2"/>
      <c r="M157" s="39"/>
      <c r="N157" s="39"/>
      <c r="O157" s="38">
        <v>26974</v>
      </c>
      <c r="P157" s="39"/>
      <c r="Q157" s="39"/>
      <c r="R157" s="39"/>
      <c r="S157" s="39"/>
      <c r="V157" s="1">
        <v>6</v>
      </c>
    </row>
    <row r="158" spans="2:26" ht="15" hidden="1">
      <c r="B158" s="1" t="s">
        <v>126</v>
      </c>
      <c r="C158" s="1" t="s">
        <v>472</v>
      </c>
      <c r="D158" s="1">
        <v>5</v>
      </c>
      <c r="K158" s="1">
        <v>48</v>
      </c>
      <c r="L158" s="2"/>
      <c r="M158" s="38" t="s">
        <v>1496</v>
      </c>
      <c r="N158" s="39"/>
      <c r="O158" s="39"/>
      <c r="P158" s="39"/>
      <c r="Q158" s="39"/>
      <c r="R158" s="39"/>
      <c r="S158" s="39"/>
      <c r="T158" s="1">
        <v>6</v>
      </c>
    </row>
    <row r="159" spans="2:26" ht="15" hidden="1">
      <c r="B159" s="1" t="s">
        <v>1497</v>
      </c>
      <c r="C159" s="12" t="s">
        <v>476</v>
      </c>
      <c r="I159" s="51">
        <v>10</v>
      </c>
      <c r="K159" s="1">
        <v>48</v>
      </c>
      <c r="L159" s="2" t="s">
        <v>595</v>
      </c>
      <c r="M159" s="39"/>
      <c r="N159" s="39"/>
      <c r="O159" s="39"/>
      <c r="P159" s="39"/>
      <c r="Q159" s="39"/>
      <c r="R159" s="38" t="s">
        <v>1498</v>
      </c>
      <c r="S159" s="39"/>
      <c r="Y159" s="1">
        <v>6</v>
      </c>
    </row>
    <row r="160" spans="2:26" ht="15" hidden="1">
      <c r="B160" s="1" t="s">
        <v>1499</v>
      </c>
      <c r="C160" s="1" t="s">
        <v>473</v>
      </c>
      <c r="D160" s="13">
        <v>11</v>
      </c>
      <c r="H160" s="179"/>
      <c r="K160" s="1">
        <v>64</v>
      </c>
      <c r="L160" s="2" t="s">
        <v>67</v>
      </c>
      <c r="M160" s="38" t="s">
        <v>1500</v>
      </c>
      <c r="N160" s="39"/>
      <c r="O160" s="39"/>
      <c r="P160" s="39"/>
      <c r="Q160" s="38" t="s">
        <v>1501</v>
      </c>
      <c r="R160" s="39"/>
      <c r="S160" s="39"/>
      <c r="T160" s="1">
        <v>6</v>
      </c>
      <c r="X160" s="1">
        <v>6</v>
      </c>
    </row>
    <row r="161" spans="2:26" ht="15" hidden="1">
      <c r="B161" s="1" t="s">
        <v>299</v>
      </c>
      <c r="C161" s="1" t="s">
        <v>470</v>
      </c>
      <c r="G161" s="1">
        <v>5</v>
      </c>
      <c r="K161" s="1">
        <v>48</v>
      </c>
      <c r="L161" s="2"/>
      <c r="M161" s="39"/>
      <c r="N161" s="39"/>
      <c r="O161" s="39"/>
      <c r="P161" s="38" t="s">
        <v>1502</v>
      </c>
      <c r="Q161" s="39"/>
      <c r="R161" s="39"/>
      <c r="S161" s="39"/>
      <c r="W161" s="1">
        <v>6</v>
      </c>
    </row>
    <row r="162" spans="2:26" ht="15" hidden="1">
      <c r="B162" s="1" t="s">
        <v>157</v>
      </c>
      <c r="C162" s="1" t="s">
        <v>470</v>
      </c>
      <c r="G162" s="1">
        <v>7</v>
      </c>
      <c r="K162" s="1">
        <v>48</v>
      </c>
      <c r="L162" s="2"/>
      <c r="M162" s="39"/>
      <c r="N162" s="39"/>
      <c r="O162" s="39"/>
      <c r="P162" s="38">
        <v>29624</v>
      </c>
      <c r="Q162" s="39"/>
      <c r="R162" s="39"/>
      <c r="S162" s="39"/>
      <c r="W162" s="1">
        <v>6</v>
      </c>
    </row>
    <row r="163" spans="2:26" ht="15" hidden="1">
      <c r="B163" s="1" t="s">
        <v>1503</v>
      </c>
      <c r="C163" s="1" t="s">
        <v>470</v>
      </c>
      <c r="G163" s="1">
        <v>6</v>
      </c>
      <c r="K163" s="1">
        <v>64</v>
      </c>
      <c r="L163" s="2"/>
      <c r="M163" s="39"/>
      <c r="N163" s="39"/>
      <c r="O163" s="39"/>
      <c r="P163" s="38" t="s">
        <v>1504</v>
      </c>
      <c r="Q163" s="39"/>
      <c r="R163" s="39"/>
      <c r="S163" s="39"/>
      <c r="W163" s="1">
        <v>8</v>
      </c>
    </row>
    <row r="164" spans="2:26" ht="15" hidden="1">
      <c r="B164" s="1" t="s">
        <v>369</v>
      </c>
      <c r="C164" s="1" t="s">
        <v>478</v>
      </c>
      <c r="D164" s="1">
        <v>2</v>
      </c>
      <c r="E164" s="1">
        <v>2</v>
      </c>
      <c r="F164" s="1">
        <v>2</v>
      </c>
      <c r="G164" s="1">
        <v>2</v>
      </c>
      <c r="H164" s="12">
        <v>2</v>
      </c>
      <c r="I164" s="12">
        <v>2</v>
      </c>
      <c r="J164" s="1">
        <v>2</v>
      </c>
      <c r="K164" s="1">
        <v>48</v>
      </c>
      <c r="L164" s="2"/>
      <c r="M164" s="38" t="s">
        <v>1505</v>
      </c>
      <c r="N164" s="38" t="s">
        <v>1505</v>
      </c>
      <c r="O164" s="38" t="s">
        <v>1505</v>
      </c>
      <c r="P164" s="38" t="s">
        <v>1506</v>
      </c>
      <c r="Q164" s="38" t="s">
        <v>1507</v>
      </c>
      <c r="R164" s="38" t="s">
        <v>1508</v>
      </c>
      <c r="S164" s="38" t="s">
        <v>1506</v>
      </c>
      <c r="T164" s="1">
        <v>6</v>
      </c>
      <c r="U164" s="1">
        <v>6</v>
      </c>
      <c r="V164" s="1">
        <v>6</v>
      </c>
      <c r="W164" s="1">
        <v>6</v>
      </c>
      <c r="X164" s="1">
        <v>6</v>
      </c>
      <c r="Y164" s="1">
        <v>6</v>
      </c>
      <c r="Z164" s="1">
        <v>6</v>
      </c>
    </row>
    <row r="165" spans="2:26" ht="30" hidden="1">
      <c r="B165" s="1" t="s">
        <v>1509</v>
      </c>
      <c r="C165" s="12" t="s">
        <v>476</v>
      </c>
      <c r="I165" s="51">
        <v>10</v>
      </c>
      <c r="K165" s="1">
        <v>48</v>
      </c>
      <c r="L165" s="2" t="s">
        <v>595</v>
      </c>
      <c r="M165" s="39"/>
      <c r="N165" s="39"/>
      <c r="O165" s="39"/>
      <c r="P165" s="39"/>
      <c r="Q165" s="39"/>
      <c r="R165" s="38" t="s">
        <v>1510</v>
      </c>
      <c r="S165" s="39"/>
      <c r="Y165" s="1">
        <v>6</v>
      </c>
    </row>
    <row r="166" spans="2:26" ht="15" hidden="1">
      <c r="B166" s="1" t="s">
        <v>1511</v>
      </c>
      <c r="C166" s="1" t="s">
        <v>477</v>
      </c>
      <c r="I166" s="1">
        <v>6</v>
      </c>
      <c r="K166" s="1">
        <v>64</v>
      </c>
      <c r="L166" s="2"/>
      <c r="M166" s="39"/>
      <c r="N166" s="39"/>
      <c r="O166" s="39"/>
      <c r="P166" s="39"/>
      <c r="Q166" s="39"/>
      <c r="R166" s="38" t="s">
        <v>1512</v>
      </c>
      <c r="S166" s="39"/>
      <c r="Y166" s="1">
        <v>8</v>
      </c>
    </row>
    <row r="167" spans="2:26" ht="15" hidden="1">
      <c r="B167" s="1" t="s">
        <v>101</v>
      </c>
      <c r="C167" s="1" t="s">
        <v>226</v>
      </c>
      <c r="F167" s="1">
        <v>5</v>
      </c>
      <c r="K167" s="1">
        <v>80</v>
      </c>
      <c r="L167" s="2"/>
      <c r="M167" s="39"/>
      <c r="N167" s="39"/>
      <c r="O167" s="38" t="s">
        <v>1513</v>
      </c>
      <c r="P167" s="39"/>
      <c r="Q167" s="39"/>
      <c r="R167" s="39"/>
      <c r="S167" s="39"/>
      <c r="V167" s="1">
        <v>6</v>
      </c>
    </row>
    <row r="168" spans="2:26" ht="15" hidden="1">
      <c r="B168" s="1" t="s">
        <v>77</v>
      </c>
      <c r="C168" s="1" t="s">
        <v>475</v>
      </c>
      <c r="D168" s="1">
        <v>7</v>
      </c>
      <c r="F168" s="14">
        <v>7</v>
      </c>
      <c r="K168" s="1">
        <v>48</v>
      </c>
      <c r="L168" s="2" t="s">
        <v>67</v>
      </c>
      <c r="M168" s="38" t="s">
        <v>1514</v>
      </c>
      <c r="N168" s="39"/>
      <c r="O168" s="38">
        <v>26993</v>
      </c>
      <c r="P168" s="39"/>
      <c r="Q168" s="39"/>
      <c r="R168" s="39"/>
      <c r="S168" s="39"/>
      <c r="T168" s="1">
        <v>6</v>
      </c>
      <c r="V168" s="1">
        <v>6</v>
      </c>
    </row>
    <row r="169" spans="2:26" ht="15" hidden="1">
      <c r="B169" s="1" t="s">
        <v>210</v>
      </c>
      <c r="C169" s="1" t="s">
        <v>226</v>
      </c>
      <c r="F169" s="1">
        <v>1</v>
      </c>
      <c r="K169" s="1">
        <v>48</v>
      </c>
      <c r="L169" s="2"/>
      <c r="M169" s="39"/>
      <c r="N169" s="39"/>
      <c r="O169" s="38" t="s">
        <v>1515</v>
      </c>
      <c r="P169" s="39"/>
      <c r="Q169" s="39"/>
      <c r="R169" s="39"/>
      <c r="S169" s="39"/>
      <c r="V169" s="1">
        <v>6</v>
      </c>
    </row>
    <row r="170" spans="2:26" ht="15" hidden="1">
      <c r="B170" s="1" t="s">
        <v>196</v>
      </c>
      <c r="C170" s="1" t="s">
        <v>474</v>
      </c>
      <c r="D170" s="1">
        <v>3</v>
      </c>
      <c r="K170" s="1">
        <v>48</v>
      </c>
      <c r="L170" s="2"/>
      <c r="M170" s="38" t="s">
        <v>1516</v>
      </c>
      <c r="N170" s="39"/>
      <c r="O170" s="39"/>
      <c r="P170" s="39"/>
      <c r="Q170" s="39"/>
      <c r="R170" s="39"/>
      <c r="S170" s="39"/>
      <c r="T170" s="1">
        <v>6</v>
      </c>
    </row>
    <row r="171" spans="2:26" ht="15" hidden="1">
      <c r="B171" s="1" t="s">
        <v>405</v>
      </c>
      <c r="C171" s="1" t="s">
        <v>474</v>
      </c>
      <c r="E171" s="1">
        <v>5</v>
      </c>
      <c r="F171" s="1">
        <v>6</v>
      </c>
      <c r="G171" s="1">
        <v>5</v>
      </c>
      <c r="H171" s="1">
        <v>4</v>
      </c>
      <c r="I171" s="1">
        <v>4</v>
      </c>
      <c r="J171" s="1">
        <v>5</v>
      </c>
      <c r="K171" s="1">
        <v>64</v>
      </c>
      <c r="L171" s="2"/>
      <c r="M171" s="39"/>
      <c r="N171" s="38" t="s">
        <v>1517</v>
      </c>
      <c r="O171" s="38" t="s">
        <v>1517</v>
      </c>
      <c r="P171" s="38" t="s">
        <v>1518</v>
      </c>
      <c r="Q171" s="38" t="s">
        <v>1519</v>
      </c>
      <c r="R171" s="38" t="s">
        <v>1520</v>
      </c>
      <c r="S171" s="38" t="s">
        <v>1518</v>
      </c>
      <c r="U171" s="1">
        <v>8</v>
      </c>
      <c r="V171" s="1">
        <v>8</v>
      </c>
      <c r="W171" s="1">
        <v>8</v>
      </c>
      <c r="X171" s="1">
        <v>8</v>
      </c>
      <c r="Y171" s="1">
        <v>8</v>
      </c>
      <c r="Z171" s="1">
        <v>8</v>
      </c>
    </row>
    <row r="172" spans="2:26" ht="15" hidden="1">
      <c r="B172" s="1" t="s">
        <v>1521</v>
      </c>
      <c r="C172" s="1" t="s">
        <v>470</v>
      </c>
      <c r="G172" s="1">
        <v>8</v>
      </c>
      <c r="K172" s="1">
        <v>48</v>
      </c>
      <c r="L172" s="2"/>
      <c r="M172" s="39"/>
      <c r="N172" s="39"/>
      <c r="O172" s="39"/>
      <c r="P172" s="38" t="s">
        <v>1522</v>
      </c>
      <c r="Q172" s="39"/>
      <c r="R172" s="39"/>
      <c r="S172" s="39"/>
      <c r="W172" s="1">
        <v>6</v>
      </c>
    </row>
    <row r="173" spans="2:26" ht="15">
      <c r="B173" s="1" t="s">
        <v>167</v>
      </c>
      <c r="C173" s="1" t="s">
        <v>469</v>
      </c>
      <c r="D173" s="1">
        <v>6</v>
      </c>
      <c r="E173" s="1">
        <v>6</v>
      </c>
      <c r="F173" s="1">
        <v>7</v>
      </c>
      <c r="K173" s="1">
        <v>64</v>
      </c>
      <c r="L173" s="2"/>
      <c r="M173" s="38" t="s">
        <v>1523</v>
      </c>
      <c r="N173" s="38" t="s">
        <v>1523</v>
      </c>
      <c r="O173" s="38">
        <v>26982</v>
      </c>
      <c r="P173" s="39"/>
      <c r="Q173" s="39"/>
      <c r="R173" s="39"/>
      <c r="S173" s="39"/>
      <c r="T173" s="1">
        <v>7</v>
      </c>
      <c r="U173" s="1">
        <v>7</v>
      </c>
      <c r="V173" s="1">
        <v>7</v>
      </c>
    </row>
    <row r="174" spans="2:26" ht="15" hidden="1">
      <c r="B174" s="1" t="s">
        <v>169</v>
      </c>
      <c r="C174" s="1" t="s">
        <v>470</v>
      </c>
      <c r="E174" s="1">
        <v>3</v>
      </c>
      <c r="G174" s="1">
        <v>3</v>
      </c>
      <c r="J174" s="1">
        <v>3</v>
      </c>
      <c r="K174" s="1">
        <v>64</v>
      </c>
      <c r="L174" s="2"/>
      <c r="M174" s="39"/>
      <c r="N174" s="38" t="s">
        <v>1524</v>
      </c>
      <c r="O174" s="39"/>
      <c r="P174" s="38" t="s">
        <v>1525</v>
      </c>
      <c r="Q174" s="39"/>
      <c r="R174" s="39"/>
      <c r="S174" s="38" t="s">
        <v>1525</v>
      </c>
      <c r="U174" s="1">
        <v>8</v>
      </c>
      <c r="W174" s="1">
        <v>8</v>
      </c>
      <c r="Z174" s="1">
        <v>8</v>
      </c>
    </row>
    <row r="175" spans="2:26" ht="15" hidden="1">
      <c r="B175" s="1" t="s">
        <v>1526</v>
      </c>
      <c r="C175" s="1" t="s">
        <v>470</v>
      </c>
      <c r="G175" s="1">
        <v>6</v>
      </c>
      <c r="K175" s="1">
        <v>48</v>
      </c>
      <c r="L175" s="2"/>
      <c r="M175" s="39"/>
      <c r="N175" s="39"/>
      <c r="O175" s="39"/>
      <c r="P175" s="38" t="s">
        <v>1527</v>
      </c>
      <c r="Q175" s="39"/>
      <c r="R175" s="39"/>
      <c r="S175" s="39"/>
      <c r="W175" s="1">
        <v>6</v>
      </c>
    </row>
    <row r="176" spans="2:26" ht="15" hidden="1">
      <c r="B176" s="1" t="s">
        <v>72</v>
      </c>
      <c r="C176" s="1" t="s">
        <v>470</v>
      </c>
      <c r="D176" s="1">
        <v>2</v>
      </c>
      <c r="E176" s="1">
        <v>2</v>
      </c>
      <c r="G176" s="1">
        <v>2</v>
      </c>
      <c r="H176" s="12">
        <v>2</v>
      </c>
      <c r="J176" s="1">
        <v>2</v>
      </c>
      <c r="K176" s="1">
        <v>64</v>
      </c>
      <c r="L176" s="2"/>
      <c r="M176" s="38" t="s">
        <v>1528</v>
      </c>
      <c r="N176" s="38" t="s">
        <v>1528</v>
      </c>
      <c r="O176" s="39"/>
      <c r="P176" s="38" t="s">
        <v>1529</v>
      </c>
      <c r="Q176" s="38" t="s">
        <v>1530</v>
      </c>
      <c r="R176" s="39"/>
      <c r="S176" s="38" t="s">
        <v>1529</v>
      </c>
      <c r="T176" s="1">
        <v>8</v>
      </c>
      <c r="U176" s="1">
        <v>8</v>
      </c>
      <c r="W176" s="1">
        <v>8</v>
      </c>
      <c r="X176" s="1">
        <v>6</v>
      </c>
      <c r="Z176" s="1">
        <v>8</v>
      </c>
    </row>
    <row r="177" spans="2:26" ht="15" hidden="1">
      <c r="B177" s="1" t="s">
        <v>1531</v>
      </c>
      <c r="C177" s="1" t="s">
        <v>477</v>
      </c>
      <c r="I177" s="1">
        <v>6</v>
      </c>
      <c r="K177" s="1">
        <v>64</v>
      </c>
      <c r="L177" s="2"/>
      <c r="M177" s="39"/>
      <c r="N177" s="39"/>
      <c r="O177" s="39"/>
      <c r="P177" s="39"/>
      <c r="Q177" s="39"/>
      <c r="R177" s="38" t="s">
        <v>1532</v>
      </c>
      <c r="S177" s="39"/>
      <c r="Y177" s="1">
        <v>7</v>
      </c>
    </row>
    <row r="178" spans="2:26" ht="12" hidden="1" customHeight="1">
      <c r="B178" s="1" t="s">
        <v>115</v>
      </c>
      <c r="C178" s="1" t="s">
        <v>471</v>
      </c>
      <c r="E178" s="1">
        <v>7</v>
      </c>
      <c r="K178" s="1">
        <v>64</v>
      </c>
      <c r="L178" s="2"/>
      <c r="M178" s="39"/>
      <c r="N178" s="38" t="s">
        <v>1533</v>
      </c>
      <c r="O178" s="39"/>
      <c r="P178" s="39"/>
      <c r="Q178" s="39"/>
      <c r="R178" s="39"/>
      <c r="S178" s="39"/>
      <c r="U178" s="1">
        <v>7</v>
      </c>
    </row>
    <row r="179" spans="2:26" ht="15" hidden="1">
      <c r="B179" s="1" t="s">
        <v>1534</v>
      </c>
      <c r="C179" s="1" t="s">
        <v>471</v>
      </c>
      <c r="E179" s="1">
        <v>8</v>
      </c>
      <c r="K179" s="1">
        <v>48</v>
      </c>
      <c r="L179" s="2"/>
      <c r="M179" s="39"/>
      <c r="N179" s="38" t="s">
        <v>1535</v>
      </c>
      <c r="O179" s="39"/>
      <c r="P179" s="39"/>
      <c r="Q179" s="39"/>
      <c r="R179" s="39"/>
      <c r="S179" s="39"/>
      <c r="U179" s="1">
        <v>6</v>
      </c>
    </row>
    <row r="180" spans="2:26" ht="15" hidden="1">
      <c r="B180" s="1" t="s">
        <v>1536</v>
      </c>
      <c r="C180" s="1" t="s">
        <v>473</v>
      </c>
      <c r="H180" s="1">
        <v>8</v>
      </c>
      <c r="K180" s="5">
        <v>80</v>
      </c>
      <c r="L180" s="2"/>
      <c r="M180" s="39"/>
      <c r="N180" s="39"/>
      <c r="O180" s="39"/>
      <c r="P180" s="39"/>
      <c r="Q180" s="38" t="s">
        <v>1537</v>
      </c>
      <c r="R180" s="39"/>
      <c r="S180" s="39"/>
      <c r="X180" s="1">
        <v>8</v>
      </c>
    </row>
    <row r="181" spans="2:26" ht="30" hidden="1">
      <c r="B181" s="1" t="s">
        <v>82</v>
      </c>
      <c r="C181" s="1" t="s">
        <v>475</v>
      </c>
      <c r="D181" s="1">
        <v>6</v>
      </c>
      <c r="E181" s="1">
        <v>7</v>
      </c>
      <c r="F181" s="1">
        <v>7</v>
      </c>
      <c r="G181" s="1">
        <v>7</v>
      </c>
      <c r="I181" s="51">
        <v>9</v>
      </c>
      <c r="J181" s="1">
        <v>5</v>
      </c>
      <c r="K181" s="1">
        <v>48</v>
      </c>
      <c r="L181" s="2" t="s">
        <v>67</v>
      </c>
      <c r="M181" s="38" t="s">
        <v>1538</v>
      </c>
      <c r="N181" s="38" t="s">
        <v>1539</v>
      </c>
      <c r="O181" s="38">
        <v>26981</v>
      </c>
      <c r="P181" s="38" t="s">
        <v>1540</v>
      </c>
      <c r="Q181" s="39"/>
      <c r="R181" s="38" t="s">
        <v>1541</v>
      </c>
      <c r="S181" s="38" t="s">
        <v>1542</v>
      </c>
      <c r="T181" s="1">
        <v>6</v>
      </c>
      <c r="U181" s="1">
        <v>6</v>
      </c>
      <c r="V181" s="1">
        <v>6</v>
      </c>
      <c r="W181" s="1">
        <v>6</v>
      </c>
      <c r="Y181" s="1">
        <v>6</v>
      </c>
      <c r="Z181" s="1">
        <v>6</v>
      </c>
    </row>
    <row r="182" spans="2:26" ht="15" hidden="1">
      <c r="B182" s="1" t="s">
        <v>224</v>
      </c>
      <c r="C182" s="1" t="s">
        <v>226</v>
      </c>
      <c r="F182" s="1">
        <v>7</v>
      </c>
      <c r="K182" s="1">
        <v>48</v>
      </c>
      <c r="L182" s="2"/>
      <c r="M182" s="39"/>
      <c r="N182" s="39"/>
      <c r="O182" s="38">
        <v>26984</v>
      </c>
      <c r="P182" s="39"/>
      <c r="Q182" s="39"/>
      <c r="R182" s="39"/>
      <c r="S182" s="39"/>
      <c r="V182" s="1">
        <v>6</v>
      </c>
    </row>
    <row r="183" spans="2:26" ht="15" hidden="1">
      <c r="B183" s="1" t="s">
        <v>1543</v>
      </c>
      <c r="C183" s="1" t="s">
        <v>475</v>
      </c>
      <c r="F183" s="1">
        <v>8</v>
      </c>
      <c r="K183" s="1">
        <v>48</v>
      </c>
      <c r="L183" s="2"/>
      <c r="M183" s="39"/>
      <c r="N183" s="39"/>
      <c r="O183" s="38" t="s">
        <v>1544</v>
      </c>
      <c r="P183" s="39"/>
      <c r="Q183" s="39"/>
      <c r="R183" s="39"/>
      <c r="S183" s="39"/>
      <c r="V183" s="1">
        <v>6</v>
      </c>
    </row>
    <row r="184" spans="2:26" ht="15" hidden="1">
      <c r="B184" s="1" t="s">
        <v>319</v>
      </c>
      <c r="C184" s="1" t="s">
        <v>473</v>
      </c>
      <c r="D184" s="1">
        <v>1</v>
      </c>
      <c r="E184" s="1">
        <v>1</v>
      </c>
      <c r="F184" s="1">
        <v>2</v>
      </c>
      <c r="G184" s="1">
        <v>1</v>
      </c>
      <c r="H184" s="1">
        <v>1</v>
      </c>
      <c r="J184" s="1">
        <v>1</v>
      </c>
      <c r="K184" s="1">
        <v>64</v>
      </c>
      <c r="L184" s="2"/>
      <c r="M184" s="38" t="s">
        <v>1545</v>
      </c>
      <c r="N184" s="38" t="s">
        <v>1545</v>
      </c>
      <c r="O184" s="38" t="s">
        <v>1545</v>
      </c>
      <c r="P184" s="38" t="s">
        <v>1546</v>
      </c>
      <c r="Q184" s="38" t="s">
        <v>1547</v>
      </c>
      <c r="R184" s="38" t="s">
        <v>1548</v>
      </c>
      <c r="S184" s="38" t="s">
        <v>1546</v>
      </c>
      <c r="T184" s="1">
        <v>7</v>
      </c>
      <c r="U184" s="1">
        <v>7</v>
      </c>
      <c r="V184" s="1">
        <v>7</v>
      </c>
      <c r="W184" s="1">
        <v>7</v>
      </c>
      <c r="X184" s="1">
        <v>7</v>
      </c>
      <c r="Y184" s="1">
        <v>7</v>
      </c>
      <c r="Z184" s="1">
        <v>7</v>
      </c>
    </row>
    <row r="185" spans="2:26" ht="15" hidden="1">
      <c r="B185" s="1" t="s">
        <v>1549</v>
      </c>
      <c r="C185" s="1" t="s">
        <v>475</v>
      </c>
      <c r="D185" s="1">
        <v>8</v>
      </c>
      <c r="K185" s="1">
        <v>48</v>
      </c>
      <c r="L185" s="2"/>
      <c r="M185" s="38" t="s">
        <v>1550</v>
      </c>
      <c r="N185" s="39"/>
      <c r="O185" s="39"/>
      <c r="P185" s="39"/>
      <c r="Q185" s="39"/>
      <c r="R185" s="39"/>
      <c r="S185" s="39"/>
      <c r="T185" s="1">
        <v>6</v>
      </c>
    </row>
    <row r="186" spans="2:26" ht="15" hidden="1">
      <c r="B186" s="1" t="s">
        <v>387</v>
      </c>
      <c r="C186" s="1" t="s">
        <v>475</v>
      </c>
      <c r="D186" s="5">
        <v>3</v>
      </c>
      <c r="E186" s="1">
        <v>4</v>
      </c>
      <c r="G186" s="1">
        <v>4</v>
      </c>
      <c r="J186" s="1">
        <v>4</v>
      </c>
      <c r="K186" s="1">
        <v>48</v>
      </c>
      <c r="L186" s="2"/>
      <c r="M186" s="38" t="s">
        <v>1551</v>
      </c>
      <c r="N186" s="38" t="s">
        <v>1552</v>
      </c>
      <c r="O186" s="39"/>
      <c r="P186" s="38" t="s">
        <v>1553</v>
      </c>
      <c r="Q186" s="39"/>
      <c r="R186" s="39"/>
      <c r="S186" s="38" t="s">
        <v>1554</v>
      </c>
      <c r="T186" s="1">
        <v>6</v>
      </c>
      <c r="U186" s="1">
        <v>6</v>
      </c>
      <c r="W186" s="1">
        <v>6</v>
      </c>
      <c r="Z186" s="1">
        <v>6</v>
      </c>
    </row>
    <row r="187" spans="2:26" ht="15">
      <c r="B187" s="1" t="s">
        <v>1555</v>
      </c>
      <c r="C187" s="1" t="s">
        <v>469</v>
      </c>
      <c r="E187" s="1">
        <v>4</v>
      </c>
      <c r="K187" s="1">
        <v>48</v>
      </c>
      <c r="L187" s="2"/>
      <c r="M187" s="39"/>
      <c r="N187" s="38" t="s">
        <v>1556</v>
      </c>
      <c r="O187" s="39"/>
      <c r="P187" s="39"/>
      <c r="Q187" s="39"/>
      <c r="R187" s="39"/>
      <c r="S187" s="39"/>
      <c r="U187" s="1">
        <v>6</v>
      </c>
    </row>
    <row r="188" spans="2:26" ht="15" hidden="1">
      <c r="B188" s="1" t="s">
        <v>1557</v>
      </c>
      <c r="C188" s="1" t="s">
        <v>479</v>
      </c>
      <c r="J188" s="1">
        <v>6</v>
      </c>
      <c r="K188" s="1">
        <v>48</v>
      </c>
      <c r="L188" s="2"/>
      <c r="M188" s="39"/>
      <c r="N188" s="39"/>
      <c r="O188" s="39"/>
      <c r="P188" s="39"/>
      <c r="Q188" s="39"/>
      <c r="R188" s="39"/>
      <c r="S188" s="38" t="s">
        <v>1558</v>
      </c>
      <c r="Z188" s="1">
        <v>5</v>
      </c>
    </row>
    <row r="189" spans="2:26" ht="15">
      <c r="B189" s="1" t="s">
        <v>1559</v>
      </c>
      <c r="C189" s="1" t="s">
        <v>469</v>
      </c>
      <c r="E189" s="1">
        <v>8</v>
      </c>
      <c r="K189" s="1">
        <v>48</v>
      </c>
      <c r="L189" s="2" t="s">
        <v>67</v>
      </c>
      <c r="M189" s="39"/>
      <c r="N189" s="38" t="s">
        <v>1560</v>
      </c>
      <c r="O189" s="39"/>
      <c r="P189" s="39"/>
      <c r="Q189" s="39"/>
      <c r="R189" s="39"/>
      <c r="S189" s="39"/>
      <c r="U189" s="1">
        <v>6</v>
      </c>
    </row>
    <row r="190" spans="2:26" ht="15" hidden="1">
      <c r="B190" s="1" t="s">
        <v>1561</v>
      </c>
      <c r="C190" s="1" t="s">
        <v>472</v>
      </c>
      <c r="D190" s="1">
        <v>6</v>
      </c>
      <c r="K190" s="1">
        <v>48</v>
      </c>
      <c r="L190" s="2"/>
      <c r="M190" s="38" t="s">
        <v>1562</v>
      </c>
      <c r="N190" s="39"/>
      <c r="O190" s="39"/>
      <c r="P190" s="39"/>
      <c r="Q190" s="39"/>
      <c r="R190" s="39"/>
      <c r="S190" s="39"/>
      <c r="T190" s="1">
        <v>6</v>
      </c>
    </row>
    <row r="191" spans="2:26" ht="15" hidden="1">
      <c r="B191" s="1" t="s">
        <v>1563</v>
      </c>
      <c r="C191" s="12" t="s">
        <v>226</v>
      </c>
      <c r="G191" s="13">
        <v>8</v>
      </c>
      <c r="K191" s="1">
        <v>64</v>
      </c>
      <c r="L191" s="2" t="s">
        <v>67</v>
      </c>
      <c r="M191" s="39"/>
      <c r="N191" s="39"/>
      <c r="O191" s="38" t="s">
        <v>1564</v>
      </c>
      <c r="P191" s="38" t="s">
        <v>1565</v>
      </c>
      <c r="Q191" s="39"/>
      <c r="R191" s="39"/>
      <c r="S191" s="39"/>
      <c r="V191" s="1">
        <v>6</v>
      </c>
      <c r="W191" s="1">
        <v>6</v>
      </c>
    </row>
    <row r="192" spans="2:26" ht="15" hidden="1">
      <c r="B192" s="1" t="s">
        <v>304</v>
      </c>
      <c r="C192" s="12" t="s">
        <v>226</v>
      </c>
      <c r="F192" s="1">
        <v>7</v>
      </c>
      <c r="G192" s="13">
        <v>8</v>
      </c>
      <c r="K192" s="1">
        <v>64</v>
      </c>
      <c r="L192" s="2" t="s">
        <v>67</v>
      </c>
      <c r="M192" s="39"/>
      <c r="N192" s="39"/>
      <c r="O192" s="38">
        <v>26983</v>
      </c>
      <c r="P192" s="38">
        <v>29634</v>
      </c>
      <c r="Q192" s="39"/>
      <c r="R192" s="39"/>
      <c r="S192" s="39"/>
      <c r="V192" s="1">
        <v>6</v>
      </c>
      <c r="W192" s="1">
        <v>6</v>
      </c>
    </row>
    <row r="193" spans="2:26" ht="15" hidden="1">
      <c r="B193" s="1" t="s">
        <v>1566</v>
      </c>
      <c r="C193" s="1" t="s">
        <v>473</v>
      </c>
      <c r="I193" s="13"/>
      <c r="K193" s="1">
        <v>48</v>
      </c>
      <c r="L193" s="2" t="s">
        <v>67</v>
      </c>
      <c r="M193" s="39"/>
      <c r="N193" s="39"/>
      <c r="O193" s="39"/>
      <c r="P193" s="39"/>
      <c r="Q193" s="39"/>
      <c r="R193" s="38" t="s">
        <v>1567</v>
      </c>
      <c r="S193" s="39"/>
      <c r="Y193" s="1">
        <v>6</v>
      </c>
    </row>
    <row r="194" spans="2:26" ht="15" hidden="1">
      <c r="B194" s="1" t="s">
        <v>1568</v>
      </c>
      <c r="C194" s="1" t="s">
        <v>471</v>
      </c>
      <c r="J194" s="1">
        <v>6</v>
      </c>
      <c r="K194" s="1">
        <v>64</v>
      </c>
      <c r="L194" s="2"/>
      <c r="M194" s="39"/>
      <c r="N194" s="39"/>
      <c r="O194" s="39"/>
      <c r="P194" s="39"/>
      <c r="Q194" s="39"/>
      <c r="R194" s="39"/>
      <c r="S194" s="38" t="s">
        <v>1569</v>
      </c>
      <c r="Z194" s="1">
        <v>6</v>
      </c>
    </row>
    <row r="195" spans="2:26" ht="15" hidden="1">
      <c r="B195" s="1" t="s">
        <v>410</v>
      </c>
      <c r="C195" s="1" t="s">
        <v>471</v>
      </c>
      <c r="E195" s="1">
        <v>7</v>
      </c>
      <c r="J195" s="1">
        <v>7</v>
      </c>
      <c r="K195" s="1">
        <v>64</v>
      </c>
      <c r="L195" s="2"/>
      <c r="M195" s="39"/>
      <c r="N195" s="38" t="s">
        <v>1570</v>
      </c>
      <c r="O195" s="39"/>
      <c r="P195" s="39"/>
      <c r="Q195" s="39"/>
      <c r="R195" s="39"/>
      <c r="S195" s="38" t="s">
        <v>1571</v>
      </c>
      <c r="U195" s="1">
        <v>7</v>
      </c>
      <c r="Z195" s="1">
        <v>7</v>
      </c>
    </row>
    <row r="196" spans="2:26" ht="15" hidden="1">
      <c r="B196" s="1" t="s">
        <v>1572</v>
      </c>
      <c r="C196" s="1" t="s">
        <v>475</v>
      </c>
      <c r="F196" s="1">
        <v>6</v>
      </c>
      <c r="K196" s="1">
        <v>48</v>
      </c>
      <c r="L196" s="2"/>
      <c r="M196" s="39"/>
      <c r="N196" s="39"/>
      <c r="O196" s="38" t="s">
        <v>1573</v>
      </c>
      <c r="P196" s="39"/>
      <c r="Q196" s="39"/>
      <c r="R196" s="39"/>
      <c r="S196" s="39"/>
      <c r="V196" s="1">
        <v>6</v>
      </c>
    </row>
    <row r="197" spans="2:26" ht="15" hidden="1">
      <c r="B197" s="1" t="s">
        <v>429</v>
      </c>
      <c r="C197" s="1" t="s">
        <v>470</v>
      </c>
      <c r="D197" s="1">
        <v>3</v>
      </c>
      <c r="I197" s="1">
        <v>3</v>
      </c>
      <c r="K197" s="1">
        <v>48</v>
      </c>
      <c r="L197" s="2"/>
      <c r="M197" s="38" t="s">
        <v>1574</v>
      </c>
      <c r="N197" s="39"/>
      <c r="O197" s="39"/>
      <c r="P197" s="39"/>
      <c r="Q197" s="39"/>
      <c r="R197" s="38" t="s">
        <v>1575</v>
      </c>
      <c r="S197" s="39"/>
      <c r="T197" s="1">
        <v>6</v>
      </c>
      <c r="Y197" s="1">
        <v>6</v>
      </c>
    </row>
    <row r="198" spans="2:26" ht="15" hidden="1">
      <c r="B198" s="1" t="s">
        <v>1576</v>
      </c>
      <c r="C198" s="1" t="s">
        <v>473</v>
      </c>
      <c r="I198" s="13"/>
      <c r="L198" s="2" t="s">
        <v>595</v>
      </c>
      <c r="M198" s="39"/>
      <c r="N198" s="39"/>
      <c r="O198" s="39"/>
      <c r="P198" s="39"/>
      <c r="Q198" s="39"/>
      <c r="R198" s="38" t="s">
        <v>1577</v>
      </c>
      <c r="S198" s="39"/>
      <c r="Y198" s="1">
        <v>6</v>
      </c>
    </row>
    <row r="199" spans="2:26" ht="15" hidden="1">
      <c r="B199" s="1" t="s">
        <v>416</v>
      </c>
      <c r="C199" s="1" t="s">
        <v>473</v>
      </c>
      <c r="H199" s="1">
        <v>7</v>
      </c>
      <c r="K199" s="1">
        <v>64</v>
      </c>
      <c r="L199" s="2"/>
      <c r="M199" s="39"/>
      <c r="N199" s="39"/>
      <c r="O199" s="39"/>
      <c r="P199" s="39"/>
      <c r="Q199" s="38" t="s">
        <v>1578</v>
      </c>
      <c r="R199" s="39"/>
      <c r="S199" s="39"/>
      <c r="X199" s="1">
        <v>6</v>
      </c>
    </row>
    <row r="200" spans="2:26" ht="15" hidden="1">
      <c r="B200" s="1" t="s">
        <v>1579</v>
      </c>
      <c r="C200" s="1" t="s">
        <v>473</v>
      </c>
      <c r="H200" s="1">
        <v>8</v>
      </c>
      <c r="K200" s="1">
        <v>80</v>
      </c>
      <c r="L200" s="2"/>
      <c r="M200" s="39"/>
      <c r="N200" s="39"/>
      <c r="O200" s="39"/>
      <c r="P200" s="39"/>
      <c r="Q200" s="38" t="s">
        <v>1580</v>
      </c>
      <c r="R200" s="39"/>
      <c r="S200" s="39"/>
      <c r="X200" s="1">
        <v>8</v>
      </c>
    </row>
    <row r="201" spans="2:26" ht="15">
      <c r="B201" s="1" t="s">
        <v>1581</v>
      </c>
      <c r="C201" s="1" t="s">
        <v>469</v>
      </c>
      <c r="D201" s="1">
        <v>8</v>
      </c>
      <c r="K201" s="1">
        <v>64</v>
      </c>
      <c r="L201" s="2"/>
      <c r="M201" s="38" t="s">
        <v>1582</v>
      </c>
      <c r="N201" s="39"/>
      <c r="O201" s="39"/>
      <c r="P201" s="39"/>
      <c r="Q201" s="39"/>
      <c r="R201" s="39"/>
      <c r="S201" s="39"/>
      <c r="T201" s="1">
        <v>7</v>
      </c>
    </row>
    <row r="202" spans="2:26" ht="15" hidden="1">
      <c r="B202" s="1" t="s">
        <v>1583</v>
      </c>
      <c r="C202" s="1" t="s">
        <v>470</v>
      </c>
      <c r="G202" s="1">
        <v>4</v>
      </c>
      <c r="K202" s="1">
        <v>48</v>
      </c>
      <c r="L202" s="2"/>
      <c r="M202" s="39"/>
      <c r="N202" s="39"/>
      <c r="O202" s="39"/>
      <c r="P202" s="38" t="s">
        <v>1584</v>
      </c>
      <c r="Q202" s="39"/>
      <c r="R202" s="39"/>
      <c r="S202" s="39"/>
      <c r="W202" s="1">
        <v>6</v>
      </c>
    </row>
    <row r="203" spans="2:26" ht="15" hidden="1">
      <c r="B203" s="1" t="s">
        <v>1585</v>
      </c>
      <c r="C203" s="1" t="s">
        <v>473</v>
      </c>
      <c r="D203" s="13">
        <v>8</v>
      </c>
      <c r="F203" s="15">
        <v>8</v>
      </c>
      <c r="K203" s="1">
        <v>32</v>
      </c>
      <c r="L203" s="2" t="s">
        <v>67</v>
      </c>
      <c r="M203" s="38" t="s">
        <v>1586</v>
      </c>
      <c r="N203" s="39"/>
      <c r="O203" s="38" t="s">
        <v>1586</v>
      </c>
      <c r="P203" s="39"/>
      <c r="Q203" s="39"/>
      <c r="R203" s="39"/>
      <c r="S203" s="39"/>
      <c r="T203" s="1">
        <v>4</v>
      </c>
      <c r="V203" s="1">
        <v>4</v>
      </c>
    </row>
    <row r="204" spans="2:26" ht="15" hidden="1">
      <c r="B204" s="1" t="s">
        <v>1587</v>
      </c>
      <c r="C204" s="1" t="s">
        <v>226</v>
      </c>
      <c r="F204" s="12">
        <v>8</v>
      </c>
      <c r="K204" s="1">
        <v>80</v>
      </c>
      <c r="L204" s="2"/>
      <c r="M204" s="39"/>
      <c r="N204" s="39"/>
      <c r="O204" s="38" t="s">
        <v>1588</v>
      </c>
      <c r="P204" s="39"/>
      <c r="Q204" s="39"/>
      <c r="R204" s="39"/>
      <c r="S204" s="39"/>
      <c r="V204" s="1">
        <v>8</v>
      </c>
    </row>
    <row r="205" spans="2:26" ht="15" hidden="1">
      <c r="B205" s="1" t="s">
        <v>221</v>
      </c>
      <c r="C205" s="1" t="s">
        <v>226</v>
      </c>
      <c r="F205" s="1">
        <v>1</v>
      </c>
      <c r="K205" s="1">
        <v>80</v>
      </c>
      <c r="L205" s="2"/>
      <c r="M205" s="39"/>
      <c r="N205" s="39"/>
      <c r="O205" s="38" t="s">
        <v>1589</v>
      </c>
      <c r="P205" s="39"/>
      <c r="Q205" s="39"/>
      <c r="R205" s="39"/>
      <c r="S205" s="39"/>
      <c r="V205" s="1">
        <v>7</v>
      </c>
    </row>
    <row r="206" spans="2:26" ht="15" hidden="1">
      <c r="B206" s="1" t="s">
        <v>222</v>
      </c>
      <c r="C206" s="1" t="s">
        <v>226</v>
      </c>
      <c r="F206" s="1">
        <v>5</v>
      </c>
      <c r="K206" s="1">
        <v>80</v>
      </c>
      <c r="L206" s="2"/>
      <c r="M206" s="39"/>
      <c r="N206" s="39"/>
      <c r="O206" s="38" t="s">
        <v>1590</v>
      </c>
      <c r="P206" s="39"/>
      <c r="Q206" s="39"/>
      <c r="R206" s="39"/>
      <c r="S206" s="39"/>
      <c r="V206" s="1">
        <v>7</v>
      </c>
    </row>
    <row r="207" spans="2:26" ht="12" hidden="1" customHeight="1">
      <c r="B207" s="1" t="s">
        <v>1591</v>
      </c>
      <c r="C207" s="1" t="s">
        <v>226</v>
      </c>
      <c r="F207" s="1">
        <v>4</v>
      </c>
      <c r="K207" s="1">
        <v>80</v>
      </c>
      <c r="L207" s="2"/>
      <c r="M207" s="39"/>
      <c r="N207" s="39"/>
      <c r="O207" s="38" t="s">
        <v>1592</v>
      </c>
      <c r="P207" s="39"/>
      <c r="Q207" s="39"/>
      <c r="R207" s="39"/>
      <c r="S207" s="39"/>
      <c r="V207" s="1">
        <v>7</v>
      </c>
    </row>
    <row r="208" spans="2:26" ht="15" hidden="1">
      <c r="B208" s="1" t="s">
        <v>377</v>
      </c>
      <c r="C208" s="1" t="s">
        <v>226</v>
      </c>
      <c r="F208" s="1">
        <v>3</v>
      </c>
      <c r="K208" s="1">
        <v>80</v>
      </c>
      <c r="L208" s="2"/>
      <c r="M208" s="39"/>
      <c r="N208" s="39"/>
      <c r="O208" s="38">
        <v>26899</v>
      </c>
      <c r="P208" s="39"/>
      <c r="Q208" s="39"/>
      <c r="R208" s="39"/>
      <c r="S208" s="39"/>
      <c r="V208" s="1">
        <v>7</v>
      </c>
    </row>
    <row r="209" spans="2:26" ht="15" hidden="1">
      <c r="B209" s="1" t="s">
        <v>142</v>
      </c>
      <c r="C209" s="1" t="s">
        <v>226</v>
      </c>
      <c r="F209" s="1">
        <v>7</v>
      </c>
      <c r="K209" s="1">
        <v>80</v>
      </c>
      <c r="L209" s="2"/>
      <c r="M209" s="39"/>
      <c r="N209" s="39"/>
      <c r="O209" s="38">
        <v>26980</v>
      </c>
      <c r="P209" s="39"/>
      <c r="Q209" s="39"/>
      <c r="R209" s="39"/>
      <c r="S209" s="39"/>
      <c r="V209" s="1">
        <v>8</v>
      </c>
    </row>
    <row r="210" spans="2:26" ht="15" hidden="1">
      <c r="B210" s="1" t="s">
        <v>1593</v>
      </c>
      <c r="C210" s="1" t="s">
        <v>226</v>
      </c>
      <c r="K210" s="1">
        <v>80</v>
      </c>
      <c r="L210" s="2"/>
      <c r="M210" s="39"/>
      <c r="N210" s="39"/>
      <c r="O210" s="38" t="s">
        <v>1594</v>
      </c>
      <c r="P210" s="39"/>
      <c r="Q210" s="39"/>
      <c r="R210" s="39"/>
      <c r="S210" s="39"/>
      <c r="V210" s="1">
        <v>8</v>
      </c>
    </row>
    <row r="211" spans="2:26" ht="15" hidden="1">
      <c r="B211" s="1" t="s">
        <v>1595</v>
      </c>
      <c r="C211" s="1" t="s">
        <v>226</v>
      </c>
      <c r="F211" s="1">
        <v>6</v>
      </c>
      <c r="K211" s="1">
        <v>80</v>
      </c>
      <c r="L211" s="2"/>
      <c r="M211" s="39"/>
      <c r="N211" s="39"/>
      <c r="O211" s="38" t="s">
        <v>1596</v>
      </c>
      <c r="P211" s="39"/>
      <c r="Q211" s="39"/>
      <c r="R211" s="39"/>
      <c r="S211" s="39"/>
      <c r="V211" s="1">
        <v>7</v>
      </c>
    </row>
    <row r="212" spans="2:26" ht="15" hidden="1">
      <c r="B212" s="1" t="s">
        <v>296</v>
      </c>
      <c r="C212" s="1" t="s">
        <v>477</v>
      </c>
      <c r="I212" s="177">
        <v>9</v>
      </c>
      <c r="K212" s="1">
        <v>48</v>
      </c>
      <c r="L212" s="2" t="s">
        <v>595</v>
      </c>
      <c r="M212" s="39"/>
      <c r="N212" s="39"/>
      <c r="O212" s="39"/>
      <c r="P212" s="39"/>
      <c r="Q212" s="39"/>
      <c r="R212" s="38" t="s">
        <v>1597</v>
      </c>
      <c r="S212" s="39"/>
      <c r="Y212" s="1">
        <v>6</v>
      </c>
    </row>
    <row r="213" spans="2:26" ht="15" hidden="1">
      <c r="B213" s="1" t="s">
        <v>1598</v>
      </c>
      <c r="C213" s="1" t="s">
        <v>226</v>
      </c>
      <c r="F213" s="1">
        <v>2</v>
      </c>
      <c r="K213" s="1">
        <v>80</v>
      </c>
      <c r="L213" s="2"/>
      <c r="M213" s="39"/>
      <c r="N213" s="39"/>
      <c r="O213" s="38" t="s">
        <v>1599</v>
      </c>
      <c r="P213" s="39"/>
      <c r="Q213" s="39"/>
      <c r="R213" s="39"/>
      <c r="S213" s="39"/>
      <c r="V213" s="1">
        <v>7</v>
      </c>
    </row>
    <row r="214" spans="2:26" ht="15" hidden="1">
      <c r="B214" s="1" t="s">
        <v>1600</v>
      </c>
      <c r="C214" s="1" t="s">
        <v>226</v>
      </c>
      <c r="F214" s="1">
        <v>3</v>
      </c>
      <c r="K214" s="1">
        <v>64</v>
      </c>
      <c r="L214" s="2"/>
      <c r="M214" s="39"/>
      <c r="N214" s="39"/>
      <c r="O214" s="38">
        <v>26902</v>
      </c>
      <c r="P214" s="39"/>
      <c r="Q214" s="39"/>
      <c r="R214" s="39"/>
      <c r="S214" s="39"/>
      <c r="V214" s="1">
        <v>5</v>
      </c>
    </row>
    <row r="215" spans="2:26" ht="15" hidden="1">
      <c r="B215" s="1" t="s">
        <v>1601</v>
      </c>
      <c r="C215" s="1" t="s">
        <v>226</v>
      </c>
      <c r="F215" s="1">
        <v>2</v>
      </c>
      <c r="K215" s="1">
        <v>64</v>
      </c>
      <c r="L215" s="2"/>
      <c r="M215" s="39"/>
      <c r="N215" s="39"/>
      <c r="O215" s="38" t="s">
        <v>1602</v>
      </c>
      <c r="P215" s="39"/>
      <c r="Q215" s="39"/>
      <c r="R215" s="39"/>
      <c r="S215" s="39"/>
      <c r="V215" s="1">
        <v>5</v>
      </c>
    </row>
    <row r="216" spans="2:26" ht="15">
      <c r="B216" s="1" t="s">
        <v>241</v>
      </c>
      <c r="C216" s="1" t="s">
        <v>469</v>
      </c>
      <c r="E216" s="1">
        <v>5</v>
      </c>
      <c r="K216" s="1">
        <v>64</v>
      </c>
      <c r="L216" s="2"/>
      <c r="M216" s="39"/>
      <c r="N216" s="38">
        <v>26962</v>
      </c>
      <c r="O216" s="39"/>
      <c r="P216" s="39"/>
      <c r="Q216" s="39"/>
      <c r="R216" s="39"/>
      <c r="S216" s="39"/>
      <c r="U216" s="1">
        <v>7</v>
      </c>
    </row>
    <row r="217" spans="2:26" ht="15" hidden="1">
      <c r="B217" s="1" t="s">
        <v>283</v>
      </c>
      <c r="C217" s="1" t="s">
        <v>477</v>
      </c>
      <c r="I217" s="1">
        <v>5</v>
      </c>
      <c r="K217" s="1">
        <v>80</v>
      </c>
      <c r="L217" s="2"/>
      <c r="M217" s="39"/>
      <c r="N217" s="39"/>
      <c r="O217" s="39"/>
      <c r="P217" s="39"/>
      <c r="Q217" s="39"/>
      <c r="R217" s="38" t="s">
        <v>1603</v>
      </c>
      <c r="S217" s="39"/>
      <c r="Y217" s="1">
        <v>7</v>
      </c>
    </row>
    <row r="218" spans="2:26" ht="15" hidden="1">
      <c r="B218" s="1" t="s">
        <v>1604</v>
      </c>
      <c r="C218" s="1" t="s">
        <v>479</v>
      </c>
      <c r="J218" s="1">
        <v>8</v>
      </c>
      <c r="K218" s="1">
        <v>64</v>
      </c>
      <c r="L218" s="2"/>
      <c r="M218" s="39"/>
      <c r="N218" s="39"/>
      <c r="O218" s="39"/>
      <c r="P218" s="39"/>
      <c r="Q218" s="39"/>
      <c r="R218" s="39"/>
      <c r="S218" s="38" t="s">
        <v>1605</v>
      </c>
      <c r="Z218" s="1">
        <v>6</v>
      </c>
    </row>
    <row r="219" spans="2:26" ht="15" hidden="1">
      <c r="B219" s="1" t="s">
        <v>1606</v>
      </c>
      <c r="C219" s="1" t="s">
        <v>471</v>
      </c>
      <c r="K219" s="1">
        <v>64</v>
      </c>
      <c r="L219" s="2" t="s">
        <v>67</v>
      </c>
      <c r="M219" s="39"/>
      <c r="N219" s="39"/>
      <c r="O219" s="39"/>
      <c r="P219" s="39"/>
      <c r="Q219" s="39"/>
      <c r="R219" s="38" t="s">
        <v>1607</v>
      </c>
      <c r="S219" s="39"/>
      <c r="Y219" s="1">
        <v>8</v>
      </c>
    </row>
    <row r="220" spans="2:26" ht="15" hidden="1">
      <c r="B220" s="1" t="s">
        <v>378</v>
      </c>
      <c r="C220" s="1" t="s">
        <v>226</v>
      </c>
      <c r="F220" s="1">
        <v>1</v>
      </c>
      <c r="K220" s="1">
        <v>48</v>
      </c>
      <c r="L220" s="2"/>
      <c r="M220" s="39"/>
      <c r="N220" s="39"/>
      <c r="O220" s="38" t="s">
        <v>1608</v>
      </c>
      <c r="P220" s="39"/>
      <c r="Q220" s="39"/>
      <c r="R220" s="39"/>
      <c r="S220" s="39"/>
      <c r="V220" s="1">
        <v>6</v>
      </c>
    </row>
    <row r="221" spans="2:26" ht="15" hidden="1">
      <c r="B221" s="1" t="s">
        <v>336</v>
      </c>
      <c r="C221" s="1" t="s">
        <v>473</v>
      </c>
      <c r="D221" s="1">
        <v>3</v>
      </c>
      <c r="E221" s="1">
        <v>4</v>
      </c>
      <c r="H221" s="1">
        <v>3</v>
      </c>
      <c r="J221" s="1">
        <v>4</v>
      </c>
      <c r="K221" s="1">
        <v>64</v>
      </c>
      <c r="L221" s="2"/>
      <c r="M221" s="38" t="s">
        <v>1609</v>
      </c>
      <c r="N221" s="38" t="s">
        <v>1610</v>
      </c>
      <c r="O221" s="38"/>
      <c r="P221" s="39"/>
      <c r="Q221" s="38" t="s">
        <v>1611</v>
      </c>
      <c r="R221" s="39"/>
      <c r="S221" s="38" t="s">
        <v>1612</v>
      </c>
      <c r="T221" s="1">
        <v>7</v>
      </c>
      <c r="U221" s="1">
        <v>7</v>
      </c>
      <c r="X221" s="1">
        <v>7</v>
      </c>
      <c r="Z221" s="1">
        <v>7</v>
      </c>
    </row>
    <row r="222" spans="2:26" ht="15" hidden="1">
      <c r="B222" s="1" t="s">
        <v>1613</v>
      </c>
      <c r="C222" s="1" t="s">
        <v>471</v>
      </c>
      <c r="D222" s="1">
        <v>6</v>
      </c>
      <c r="K222" s="1">
        <v>64</v>
      </c>
      <c r="L222" s="2"/>
      <c r="M222" s="38" t="s">
        <v>1614</v>
      </c>
      <c r="N222" s="39"/>
      <c r="O222" s="39"/>
      <c r="P222" s="39"/>
      <c r="Q222" s="39"/>
      <c r="R222" s="39"/>
      <c r="S222" s="39"/>
      <c r="T222" s="1">
        <v>7</v>
      </c>
    </row>
    <row r="223" spans="2:26" ht="15" hidden="1">
      <c r="B223" s="1" t="s">
        <v>1615</v>
      </c>
      <c r="C223" s="1" t="s">
        <v>477</v>
      </c>
      <c r="I223" s="1">
        <v>2</v>
      </c>
      <c r="K223" s="1">
        <v>80</v>
      </c>
      <c r="L223" s="2"/>
      <c r="M223" s="38"/>
      <c r="N223" s="39"/>
      <c r="O223" s="39"/>
      <c r="P223" s="39"/>
      <c r="Q223" s="39"/>
      <c r="R223" s="38" t="s">
        <v>1616</v>
      </c>
      <c r="S223" s="39"/>
      <c r="Y223" s="1">
        <v>7</v>
      </c>
    </row>
    <row r="224" spans="2:26" ht="15" hidden="1">
      <c r="B224" s="1" t="s">
        <v>1617</v>
      </c>
      <c r="C224" s="1" t="s">
        <v>473</v>
      </c>
      <c r="H224" s="1">
        <v>6</v>
      </c>
      <c r="K224" s="1">
        <v>64</v>
      </c>
      <c r="L224" s="2"/>
      <c r="M224" s="39"/>
      <c r="N224" s="39"/>
      <c r="O224" s="39"/>
      <c r="P224" s="39"/>
      <c r="Q224" s="38" t="s">
        <v>1618</v>
      </c>
      <c r="R224" s="39"/>
      <c r="S224" s="39"/>
      <c r="X224" s="1">
        <v>7</v>
      </c>
    </row>
    <row r="225" spans="2:25" ht="15" hidden="1">
      <c r="B225" s="1" t="s">
        <v>1619</v>
      </c>
      <c r="C225" s="12" t="s">
        <v>476</v>
      </c>
      <c r="I225" s="51">
        <v>10</v>
      </c>
      <c r="K225" s="1">
        <v>64</v>
      </c>
      <c r="L225" s="2" t="s">
        <v>67</v>
      </c>
      <c r="M225" s="39"/>
      <c r="N225" s="39"/>
      <c r="O225" s="39"/>
      <c r="P225" s="39"/>
      <c r="Q225" s="39"/>
      <c r="R225" s="38" t="s">
        <v>1620</v>
      </c>
      <c r="S225" s="39"/>
      <c r="Y225" s="1">
        <v>8</v>
      </c>
    </row>
    <row r="226" spans="2:25" ht="15" hidden="1">
      <c r="B226" s="1" t="s">
        <v>306</v>
      </c>
      <c r="C226" s="1" t="s">
        <v>477</v>
      </c>
      <c r="I226" s="1">
        <v>7</v>
      </c>
      <c r="K226" s="1">
        <v>64</v>
      </c>
      <c r="L226" s="2"/>
      <c r="M226" s="39"/>
      <c r="N226" s="39"/>
      <c r="O226" s="39"/>
      <c r="P226" s="39"/>
      <c r="Q226" s="39"/>
      <c r="R226" s="38" t="s">
        <v>1621</v>
      </c>
      <c r="S226" s="39"/>
      <c r="Y226" s="1">
        <v>8</v>
      </c>
    </row>
    <row r="227" spans="2:25" ht="13.5" hidden="1" customHeight="1">
      <c r="B227" s="1" t="s">
        <v>100</v>
      </c>
      <c r="C227" s="12" t="s">
        <v>226</v>
      </c>
      <c r="F227" s="1">
        <v>5</v>
      </c>
      <c r="K227" s="1">
        <v>64</v>
      </c>
      <c r="L227" s="2"/>
      <c r="M227" s="39"/>
      <c r="N227" s="39"/>
      <c r="O227" s="39">
        <v>26977</v>
      </c>
      <c r="P227" s="39"/>
      <c r="Q227" s="39"/>
      <c r="R227" s="39"/>
      <c r="S227" s="39"/>
      <c r="V227" s="1">
        <v>7</v>
      </c>
    </row>
    <row r="228" spans="2:25" ht="15" hidden="1">
      <c r="B228" s="1" t="s">
        <v>1622</v>
      </c>
      <c r="C228" s="12" t="s">
        <v>473</v>
      </c>
      <c r="I228" s="13"/>
      <c r="K228" s="1">
        <v>48</v>
      </c>
      <c r="L228" s="2" t="s">
        <v>67</v>
      </c>
      <c r="M228" s="39"/>
      <c r="N228" s="39"/>
      <c r="O228" s="39"/>
      <c r="P228" s="39"/>
      <c r="Q228" s="39"/>
      <c r="R228" s="39">
        <v>32362</v>
      </c>
      <c r="S228" s="39"/>
      <c r="Y228" s="1">
        <v>6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D8568-E850-47E6-865A-0ED82ED0076D}">
  <dimension ref="A1:AA123"/>
  <sheetViews>
    <sheetView workbookViewId="0">
      <selection activeCell="AC32" sqref="AC32"/>
    </sheetView>
  </sheetViews>
  <sheetFormatPr baseColWidth="10" defaultColWidth="10.6640625" defaultRowHeight="13"/>
  <cols>
    <col min="1" max="1" width="25.1640625" customWidth="1"/>
    <col min="3" max="9" width="4.33203125" customWidth="1"/>
    <col min="10" max="10" width="4.5" customWidth="1"/>
    <col min="11" max="11" width="7.1640625" hidden="1" customWidth="1"/>
    <col min="12" max="18" width="0" hidden="1" customWidth="1"/>
    <col min="19" max="25" width="4" hidden="1" customWidth="1"/>
    <col min="26" max="26" width="11.5" style="65"/>
    <col min="27" max="27" width="12.33203125" style="64" bestFit="1" customWidth="1"/>
  </cols>
  <sheetData>
    <row r="1" spans="1:27" ht="87" customHeight="1">
      <c r="A1" s="59" t="s">
        <v>16</v>
      </c>
      <c r="B1" s="60" t="s">
        <v>17</v>
      </c>
      <c r="C1" s="61" t="s">
        <v>45</v>
      </c>
      <c r="D1" s="62" t="s">
        <v>46</v>
      </c>
      <c r="E1" s="61" t="s">
        <v>47</v>
      </c>
      <c r="F1" s="62" t="s">
        <v>48</v>
      </c>
      <c r="G1" s="61" t="s">
        <v>49</v>
      </c>
      <c r="H1" s="62" t="s">
        <v>50</v>
      </c>
      <c r="I1" s="61" t="s">
        <v>13</v>
      </c>
      <c r="J1" s="63" t="s">
        <v>39</v>
      </c>
      <c r="K1" s="63" t="s">
        <v>1165</v>
      </c>
      <c r="L1" s="63" t="s">
        <v>1166</v>
      </c>
      <c r="M1" s="63" t="s">
        <v>1167</v>
      </c>
      <c r="N1" s="63" t="s">
        <v>1168</v>
      </c>
      <c r="O1" s="63" t="s">
        <v>1169</v>
      </c>
      <c r="P1" s="63" t="s">
        <v>1170</v>
      </c>
      <c r="Q1" s="63" t="s">
        <v>1171</v>
      </c>
      <c r="R1" s="63" t="s">
        <v>1172</v>
      </c>
      <c r="S1" s="63" t="s">
        <v>1173</v>
      </c>
      <c r="T1" s="63" t="s">
        <v>1174</v>
      </c>
      <c r="U1" s="63" t="s">
        <v>1175</v>
      </c>
      <c r="V1" s="63" t="s">
        <v>1176</v>
      </c>
      <c r="W1" s="63" t="s">
        <v>1177</v>
      </c>
      <c r="X1" s="63" t="s">
        <v>1178</v>
      </c>
      <c r="Y1" s="63" t="s">
        <v>1179</v>
      </c>
      <c r="Z1" s="60" t="s">
        <v>1623</v>
      </c>
      <c r="AA1" s="60" t="s">
        <v>1624</v>
      </c>
    </row>
    <row r="2" spans="1:27" ht="28">
      <c r="A2" t="str" cm="1">
        <f t="array" ref="A2:Y123">_xlfn._xlws.SORT(_xlfn._xlws.FILTER(Planes_de_estudio[],(Industrial=2)+(Industrial=4)+(Industrial=6)+(Industrial=8)+(Mecatrónica=2)+(Mecatrónica=4)+(Mecatrónica=6)+(Mecatrónica=8)+(Innovación_y_Diseño=2)+(Innovación_y_Diseño=4)+(Innovación_y_Diseño=6)+(Innovación_y_Diseño=8)+(Inteligencia_Artificial=2)+(Inteligencia_Artificial=4)+(Inteligencia_Artificial=6)+(Inteligencia_Artificial=8)+(Tecnologías_Energéticas=2)+(Tecnologías_Energéticas=4)+(Tecnologías_Energéticas=6)+(Tecnologías_Energéticas=8)+(Civil_y_Administración=2)+(Civil_y_Administración=4)+(Civil_y_Administración=6)+(Civil_y_Administración=8)+(Civil_y_Administración=10)+(Bioelectrónica=2)+(Bioelectrónica=4)+(Bioelectrónica=6)+(Bioelectrónica=8)),2,1)</f>
        <v>Certificación energética y ambiental de edificios</v>
      </c>
      <c r="B2" t="str">
        <v>AIC</v>
      </c>
      <c r="C2">
        <v>0</v>
      </c>
      <c r="D2">
        <v>0</v>
      </c>
      <c r="E2">
        <v>0</v>
      </c>
      <c r="F2">
        <v>0</v>
      </c>
      <c r="G2">
        <v>0</v>
      </c>
      <c r="H2">
        <v>10</v>
      </c>
      <c r="I2">
        <v>0</v>
      </c>
      <c r="J2">
        <v>48</v>
      </c>
      <c r="K2" t="str">
        <v>x</v>
      </c>
      <c r="L2">
        <v>0</v>
      </c>
      <c r="M2">
        <v>0</v>
      </c>
      <c r="N2">
        <v>0</v>
      </c>
      <c r="O2">
        <v>0</v>
      </c>
      <c r="P2">
        <v>0</v>
      </c>
      <c r="Q2" t="str">
        <v>027099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8</v>
      </c>
      <c r="Y2">
        <v>0</v>
      </c>
      <c r="Z2" s="65">
        <v>1</v>
      </c>
      <c r="AA2" s="64">
        <f>COUNTIFS(base_de_datos[Materia],A2,base_de_datos[Misma o no],1)</f>
        <v>0</v>
      </c>
    </row>
    <row r="3" spans="1:27" ht="28">
      <c r="A3" t="str">
        <v>Introducción a la administración</v>
      </c>
      <c r="B3" t="str">
        <v>AIC</v>
      </c>
      <c r="C3">
        <v>0</v>
      </c>
      <c r="D3">
        <v>0</v>
      </c>
      <c r="E3">
        <v>0</v>
      </c>
      <c r="F3">
        <v>0</v>
      </c>
      <c r="G3">
        <v>0</v>
      </c>
      <c r="H3">
        <v>4</v>
      </c>
      <c r="I3">
        <v>0</v>
      </c>
      <c r="J3">
        <v>0</v>
      </c>
      <c r="K3" t="str">
        <v>x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 s="65">
        <v>1</v>
      </c>
      <c r="AA3" s="64">
        <f>COUNTIFS(base_de_datos[Materia],A3,base_de_datos[Misma o no],1)</f>
        <v>0</v>
      </c>
    </row>
    <row r="4" spans="1:27" ht="28">
      <c r="A4" t="str">
        <v>Mercadotecnia de proyectos de construcción</v>
      </c>
      <c r="B4" t="str">
        <v>AIC</v>
      </c>
      <c r="C4">
        <v>0</v>
      </c>
      <c r="D4">
        <v>0</v>
      </c>
      <c r="E4">
        <v>0</v>
      </c>
      <c r="F4">
        <v>0</v>
      </c>
      <c r="G4">
        <v>0</v>
      </c>
      <c r="H4">
        <v>10</v>
      </c>
      <c r="I4">
        <v>0</v>
      </c>
      <c r="J4">
        <v>48</v>
      </c>
      <c r="K4" t="str">
        <v>X</v>
      </c>
      <c r="L4">
        <v>0</v>
      </c>
      <c r="M4">
        <v>0</v>
      </c>
      <c r="N4">
        <v>0</v>
      </c>
      <c r="O4">
        <v>0</v>
      </c>
      <c r="P4">
        <v>0</v>
      </c>
      <c r="Q4" t="str">
        <v xml:space="preserve">	
032378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6</v>
      </c>
      <c r="Y4">
        <v>0</v>
      </c>
      <c r="Z4" s="65">
        <v>1</v>
      </c>
      <c r="AA4" s="64">
        <f>COUNTIFS(base_de_datos[Materia],A4,base_de_datos[Misma o no],1)</f>
        <v>0</v>
      </c>
    </row>
    <row r="5" spans="1:27" ht="14">
      <c r="A5" t="str">
        <v>Obras hidráulicas</v>
      </c>
      <c r="B5" t="str">
        <v>AIC</v>
      </c>
      <c r="C5">
        <v>0</v>
      </c>
      <c r="D5">
        <v>0</v>
      </c>
      <c r="E5">
        <v>0</v>
      </c>
      <c r="F5">
        <v>0</v>
      </c>
      <c r="G5">
        <v>0</v>
      </c>
      <c r="H5">
        <v>10</v>
      </c>
      <c r="I5">
        <v>0</v>
      </c>
      <c r="J5">
        <v>48</v>
      </c>
      <c r="K5" t="str">
        <v>X</v>
      </c>
      <c r="L5">
        <v>0</v>
      </c>
      <c r="M5">
        <v>0</v>
      </c>
      <c r="N5">
        <v>0</v>
      </c>
      <c r="O5">
        <v>0</v>
      </c>
      <c r="P5">
        <v>0</v>
      </c>
      <c r="Q5" t="str">
        <v>032364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6</v>
      </c>
      <c r="Y5">
        <v>0</v>
      </c>
      <c r="Z5" s="65">
        <v>1</v>
      </c>
      <c r="AA5" s="64">
        <f>COUNTIFS(base_de_datos[Materia],A5,base_de_datos[Misma o no],1)</f>
        <v>0</v>
      </c>
    </row>
    <row r="6" spans="1:27" ht="28">
      <c r="A6" t="str">
        <v>Planeación estratégica</v>
      </c>
      <c r="B6" t="str">
        <v>AIC</v>
      </c>
      <c r="C6">
        <v>0</v>
      </c>
      <c r="D6">
        <v>0</v>
      </c>
      <c r="E6">
        <v>0</v>
      </c>
      <c r="F6">
        <v>0</v>
      </c>
      <c r="G6">
        <v>0</v>
      </c>
      <c r="H6">
        <v>10</v>
      </c>
      <c r="I6">
        <v>0</v>
      </c>
      <c r="J6">
        <v>48</v>
      </c>
      <c r="K6" t="str">
        <v>X</v>
      </c>
      <c r="L6">
        <v>0</v>
      </c>
      <c r="M6">
        <v>0</v>
      </c>
      <c r="N6">
        <v>0</v>
      </c>
      <c r="O6">
        <v>0</v>
      </c>
      <c r="P6">
        <v>0</v>
      </c>
      <c r="Q6" t="str">
        <v xml:space="preserve">	
032377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6</v>
      </c>
      <c r="Y6">
        <v>0</v>
      </c>
      <c r="Z6" s="65">
        <v>1</v>
      </c>
      <c r="AA6" s="64">
        <f>COUNTIFS(base_de_datos[Materia],A6,base_de_datos[Misma o no],1)</f>
        <v>0</v>
      </c>
    </row>
    <row r="7" spans="1:27" ht="14">
      <c r="A7" t="str">
        <v>Urbótica</v>
      </c>
      <c r="B7" t="str">
        <v>AIC</v>
      </c>
      <c r="C7">
        <v>0</v>
      </c>
      <c r="D7">
        <v>0</v>
      </c>
      <c r="E7">
        <v>0</v>
      </c>
      <c r="F7">
        <v>0</v>
      </c>
      <c r="G7">
        <v>0</v>
      </c>
      <c r="H7">
        <v>10</v>
      </c>
      <c r="I7">
        <v>0</v>
      </c>
      <c r="J7">
        <v>64</v>
      </c>
      <c r="K7" t="str">
        <v>x</v>
      </c>
      <c r="L7">
        <v>0</v>
      </c>
      <c r="M7">
        <v>0</v>
      </c>
      <c r="N7">
        <v>0</v>
      </c>
      <c r="O7">
        <v>0</v>
      </c>
      <c r="P7">
        <v>0</v>
      </c>
      <c r="Q7" t="str">
        <v>027098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8</v>
      </c>
      <c r="Y7">
        <v>0</v>
      </c>
      <c r="Z7" s="65">
        <v>1</v>
      </c>
      <c r="AA7" s="64">
        <f>COUNTIFS(base_de_datos[Materia],A7,base_de_datos[Misma o no],1)</f>
        <v>0</v>
      </c>
    </row>
    <row r="8" spans="1:27" ht="14">
      <c r="A8" t="str">
        <v>Bioinstrumentación</v>
      </c>
      <c r="B8" t="str">
        <v>BIO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</v>
      </c>
      <c r="J8">
        <v>64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t="str">
        <v>028913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</v>
      </c>
      <c r="Z8" s="65">
        <v>1</v>
      </c>
      <c r="AA8" s="64">
        <f>COUNTIFS(base_de_datos[Materia],A8,base_de_datos[Misma o no],1)</f>
        <v>0</v>
      </c>
    </row>
    <row r="9" spans="1:27" ht="28">
      <c r="A9" t="str">
        <v>Fundamentos de bioelectrónica</v>
      </c>
      <c r="B9" t="str">
        <v>BIO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2</v>
      </c>
      <c r="J9">
        <v>32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t="str">
        <v>028376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4</v>
      </c>
      <c r="Z9" s="65">
        <v>1</v>
      </c>
      <c r="AA9" s="64">
        <f>COUNTIFS(base_de_datos[Materia],A9,base_de_datos[Misma o no],1)</f>
        <v>0</v>
      </c>
    </row>
    <row r="10" spans="1:27" ht="28">
      <c r="A10" t="str">
        <v>Señales e imágenes biomédicas</v>
      </c>
      <c r="B10" t="str">
        <v>BIO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6</v>
      </c>
      <c r="J10">
        <v>48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t="str">
        <v>028705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5</v>
      </c>
      <c r="Z10" s="65">
        <v>1</v>
      </c>
      <c r="AA10" s="64">
        <f>COUNTIFS(base_de_datos[Materia],A10,base_de_datos[Misma o no],1)</f>
        <v>0</v>
      </c>
    </row>
    <row r="11" spans="1:27" ht="14">
      <c r="A11" t="str">
        <v>Tecnologías de asistencia</v>
      </c>
      <c r="B11" t="str">
        <v>BIO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8</v>
      </c>
      <c r="J11">
        <v>64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t="str">
        <v>028914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6</v>
      </c>
      <c r="Z11" s="65">
        <v>1</v>
      </c>
      <c r="AA11" s="64">
        <f>COUNTIFS(base_de_datos[Materia],A11,base_de_datos[Misma o no],1)</f>
        <v>0</v>
      </c>
    </row>
    <row r="12" spans="1:27" ht="14">
      <c r="A12" t="str">
        <v>Aprendizaje de máquina I</v>
      </c>
      <c r="B12" t="str">
        <v>COM</v>
      </c>
      <c r="C12">
        <v>0</v>
      </c>
      <c r="D12">
        <v>0</v>
      </c>
      <c r="E12">
        <v>0</v>
      </c>
      <c r="F12">
        <v>6</v>
      </c>
      <c r="G12">
        <v>0</v>
      </c>
      <c r="H12">
        <v>0</v>
      </c>
      <c r="I12">
        <v>0</v>
      </c>
      <c r="J12">
        <v>48</v>
      </c>
      <c r="K12">
        <v>0</v>
      </c>
      <c r="L12">
        <v>0</v>
      </c>
      <c r="M12">
        <v>0</v>
      </c>
      <c r="N12">
        <v>0</v>
      </c>
      <c r="O12" t="str">
        <v>029628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6</v>
      </c>
      <c r="W12">
        <v>0</v>
      </c>
      <c r="X12">
        <v>0</v>
      </c>
      <c r="Y12">
        <v>0</v>
      </c>
      <c r="Z12" s="65">
        <v>1</v>
      </c>
      <c r="AA12" s="64">
        <f>COUNTIFS(base_de_datos[Materia],A12,base_de_datos[Misma o no],1)</f>
        <v>0</v>
      </c>
    </row>
    <row r="13" spans="1:27" ht="14">
      <c r="A13" t="str">
        <v>Aprendizaje de máquina II</v>
      </c>
      <c r="B13" t="str">
        <v>COM</v>
      </c>
      <c r="C13">
        <v>0</v>
      </c>
      <c r="D13">
        <v>0</v>
      </c>
      <c r="E13">
        <v>0</v>
      </c>
      <c r="F13">
        <v>8</v>
      </c>
      <c r="G13">
        <v>0</v>
      </c>
      <c r="H13">
        <v>0</v>
      </c>
      <c r="I13">
        <v>0</v>
      </c>
      <c r="J13">
        <v>48</v>
      </c>
      <c r="K13">
        <v>0</v>
      </c>
      <c r="L13">
        <v>0</v>
      </c>
      <c r="M13">
        <v>0</v>
      </c>
      <c r="N13">
        <v>0</v>
      </c>
      <c r="O13" t="str">
        <v>029632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0</v>
      </c>
      <c r="X13">
        <v>0</v>
      </c>
      <c r="Y13">
        <v>0</v>
      </c>
      <c r="Z13" s="65">
        <v>1</v>
      </c>
      <c r="AA13" s="64">
        <f>COUNTIFS(base_de_datos[Materia],A13,base_de_datos[Misma o no],1)</f>
        <v>0</v>
      </c>
    </row>
    <row r="14" spans="1:27" ht="14">
      <c r="A14" t="str">
        <v>Bases de datos avanzadas</v>
      </c>
      <c r="B14" t="str">
        <v>COM</v>
      </c>
      <c r="C14">
        <v>0</v>
      </c>
      <c r="D14">
        <v>0</v>
      </c>
      <c r="E14">
        <v>0</v>
      </c>
      <c r="F14">
        <v>6</v>
      </c>
      <c r="G14">
        <v>0</v>
      </c>
      <c r="H14">
        <v>0</v>
      </c>
      <c r="I14">
        <v>0</v>
      </c>
      <c r="J14">
        <v>48</v>
      </c>
      <c r="K14">
        <v>0</v>
      </c>
      <c r="L14">
        <v>0</v>
      </c>
      <c r="M14">
        <v>0</v>
      </c>
      <c r="N14">
        <v>0</v>
      </c>
      <c r="O14" t="str">
        <v>029623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6</v>
      </c>
      <c r="W14">
        <v>0</v>
      </c>
      <c r="X14">
        <v>0</v>
      </c>
      <c r="Y14">
        <v>0</v>
      </c>
      <c r="Z14" s="65">
        <v>1</v>
      </c>
      <c r="AA14" s="64">
        <f>COUNTIFS(base_de_datos[Materia],A14,base_de_datos[Misma o no],1)</f>
        <v>0</v>
      </c>
    </row>
    <row r="15" spans="1:27" ht="14">
      <c r="A15" t="str">
        <v>Datos masivos</v>
      </c>
      <c r="B15" t="str">
        <v>COM</v>
      </c>
      <c r="C15">
        <v>0</v>
      </c>
      <c r="D15">
        <v>0</v>
      </c>
      <c r="E15">
        <v>0</v>
      </c>
      <c r="F15">
        <v>8</v>
      </c>
      <c r="G15">
        <v>0</v>
      </c>
      <c r="H15">
        <v>0</v>
      </c>
      <c r="I15">
        <v>0</v>
      </c>
      <c r="J15">
        <v>48</v>
      </c>
      <c r="K15">
        <v>0</v>
      </c>
      <c r="L15">
        <v>0</v>
      </c>
      <c r="M15">
        <v>0</v>
      </c>
      <c r="N15">
        <v>0</v>
      </c>
      <c r="O15" t="str">
        <v>029630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6</v>
      </c>
      <c r="W15">
        <v>0</v>
      </c>
      <c r="X15">
        <v>0</v>
      </c>
      <c r="Y15">
        <v>0</v>
      </c>
      <c r="Z15" s="65">
        <v>1</v>
      </c>
      <c r="AA15" s="64">
        <f>COUNTIFS(base_de_datos[Materia],A15,base_de_datos[Misma o no],1)</f>
        <v>0</v>
      </c>
    </row>
    <row r="16" spans="1:27" ht="28">
      <c r="A16" t="str">
        <v>Estructura de datos y algoritmos I</v>
      </c>
      <c r="B16" t="str">
        <v>COM</v>
      </c>
      <c r="C16">
        <v>0</v>
      </c>
      <c r="D16">
        <v>0</v>
      </c>
      <c r="E16">
        <v>0</v>
      </c>
      <c r="F16">
        <v>2</v>
      </c>
      <c r="G16">
        <v>0</v>
      </c>
      <c r="H16">
        <v>0</v>
      </c>
      <c r="I16">
        <v>0</v>
      </c>
      <c r="J16">
        <v>64</v>
      </c>
      <c r="K16">
        <v>0</v>
      </c>
      <c r="L16">
        <v>0</v>
      </c>
      <c r="M16">
        <v>0</v>
      </c>
      <c r="N16">
        <v>0</v>
      </c>
      <c r="O16" t="str">
        <v>029607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8</v>
      </c>
      <c r="W16">
        <v>0</v>
      </c>
      <c r="X16">
        <v>0</v>
      </c>
      <c r="Y16">
        <v>0</v>
      </c>
      <c r="Z16" s="65">
        <v>1</v>
      </c>
      <c r="AA16" s="64">
        <f>COUNTIFS(base_de_datos[Materia],A16,base_de_datos[Misma o no],1)</f>
        <v>0</v>
      </c>
    </row>
    <row r="17" spans="1:27" ht="28">
      <c r="A17" t="str">
        <v>Estructura de datos y algoritmos III</v>
      </c>
      <c r="B17" t="str">
        <v>COM</v>
      </c>
      <c r="C17">
        <v>0</v>
      </c>
      <c r="D17">
        <v>0</v>
      </c>
      <c r="E17">
        <v>0</v>
      </c>
      <c r="F17">
        <v>4</v>
      </c>
      <c r="G17">
        <v>0</v>
      </c>
      <c r="H17">
        <v>0</v>
      </c>
      <c r="I17">
        <v>0</v>
      </c>
      <c r="J17">
        <v>64</v>
      </c>
      <c r="K17">
        <v>0</v>
      </c>
      <c r="L17">
        <v>0</v>
      </c>
      <c r="M17">
        <v>0</v>
      </c>
      <c r="N17">
        <v>0</v>
      </c>
      <c r="O17" t="str">
        <v>029615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8</v>
      </c>
      <c r="W17">
        <v>0</v>
      </c>
      <c r="X17">
        <v>0</v>
      </c>
      <c r="Y17">
        <v>0</v>
      </c>
      <c r="Z17" s="65">
        <v>1</v>
      </c>
      <c r="AA17" s="64">
        <f>COUNTIFS(base_de_datos[Materia],A17,base_de_datos[Misma o no],1)</f>
        <v>0</v>
      </c>
    </row>
    <row r="18" spans="1:27" ht="14">
      <c r="A18" t="str">
        <v>Ingeniería de software</v>
      </c>
      <c r="B18" t="str">
        <v>COM</v>
      </c>
      <c r="C18">
        <v>0</v>
      </c>
      <c r="D18">
        <v>0</v>
      </c>
      <c r="E18">
        <v>0</v>
      </c>
      <c r="F18">
        <v>8</v>
      </c>
      <c r="G18">
        <v>0</v>
      </c>
      <c r="H18">
        <v>0</v>
      </c>
      <c r="I18">
        <v>0</v>
      </c>
      <c r="J18">
        <v>48</v>
      </c>
      <c r="K18">
        <v>0</v>
      </c>
      <c r="L18">
        <v>0</v>
      </c>
      <c r="M18">
        <v>0</v>
      </c>
      <c r="N18">
        <v>0</v>
      </c>
      <c r="O18" t="str">
        <v>029629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6</v>
      </c>
      <c r="W18">
        <v>0</v>
      </c>
      <c r="X18">
        <v>0</v>
      </c>
      <c r="Y18">
        <v>0</v>
      </c>
      <c r="Z18" s="65">
        <v>1</v>
      </c>
      <c r="AA18" s="64">
        <f>COUNTIFS(base_de_datos[Materia],A18,base_de_datos[Misma o no],1)</f>
        <v>0</v>
      </c>
    </row>
    <row r="19" spans="1:27" ht="14">
      <c r="A19" t="str">
        <v>Inteligencia artificial I</v>
      </c>
      <c r="B19" t="str">
        <v>COM</v>
      </c>
      <c r="C19">
        <v>0</v>
      </c>
      <c r="D19">
        <v>0</v>
      </c>
      <c r="E19">
        <v>0</v>
      </c>
      <c r="F19">
        <v>0</v>
      </c>
      <c r="G19">
        <v>6</v>
      </c>
      <c r="H19">
        <v>0</v>
      </c>
      <c r="I19">
        <v>0</v>
      </c>
      <c r="J19">
        <v>64</v>
      </c>
      <c r="K19">
        <v>0</v>
      </c>
      <c r="L19">
        <v>0</v>
      </c>
      <c r="M19">
        <v>0</v>
      </c>
      <c r="N19">
        <v>0</v>
      </c>
      <c r="O19">
        <v>0</v>
      </c>
      <c r="P19" t="str">
        <v>018599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7</v>
      </c>
      <c r="X19">
        <v>0</v>
      </c>
      <c r="Y19">
        <v>0</v>
      </c>
      <c r="Z19" s="65">
        <v>1</v>
      </c>
      <c r="AA19" s="64">
        <f>COUNTIFS(base_de_datos[Materia],A19,base_de_datos[Misma o no],1)</f>
        <v>0</v>
      </c>
    </row>
    <row r="20" spans="1:27" ht="14">
      <c r="A20" t="str">
        <v>Modelado digital avanzado</v>
      </c>
      <c r="B20" t="str">
        <v>COM</v>
      </c>
      <c r="C20">
        <v>0</v>
      </c>
      <c r="D20">
        <v>0</v>
      </c>
      <c r="E20">
        <v>4</v>
      </c>
      <c r="F20">
        <v>0</v>
      </c>
      <c r="G20">
        <v>0</v>
      </c>
      <c r="H20">
        <v>0</v>
      </c>
      <c r="I20">
        <v>0</v>
      </c>
      <c r="J20">
        <v>64</v>
      </c>
      <c r="K20">
        <v>0</v>
      </c>
      <c r="L20">
        <v>0</v>
      </c>
      <c r="M20">
        <v>0</v>
      </c>
      <c r="N20" t="str">
        <v>026908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5</v>
      </c>
      <c r="V20">
        <v>0</v>
      </c>
      <c r="W20">
        <v>0</v>
      </c>
      <c r="X20">
        <v>0</v>
      </c>
      <c r="Y20">
        <v>0</v>
      </c>
      <c r="Z20" s="65">
        <v>1</v>
      </c>
      <c r="AA20" s="64">
        <f>COUNTIFS(base_de_datos[Materia],A20,base_de_datos[Misma o no],1)</f>
        <v>0</v>
      </c>
    </row>
    <row r="21" spans="1:27" ht="28">
      <c r="A21" t="str">
        <v>Patrones de diseño y arquitectura de software</v>
      </c>
      <c r="B21" t="str">
        <v>COM</v>
      </c>
      <c r="C21">
        <v>0</v>
      </c>
      <c r="D21">
        <v>0</v>
      </c>
      <c r="E21">
        <v>0</v>
      </c>
      <c r="F21">
        <v>6</v>
      </c>
      <c r="G21">
        <v>0</v>
      </c>
      <c r="H21">
        <v>0</v>
      </c>
      <c r="I21">
        <v>0</v>
      </c>
      <c r="J21">
        <v>64</v>
      </c>
      <c r="K21">
        <v>0</v>
      </c>
      <c r="L21">
        <v>0</v>
      </c>
      <c r="M21">
        <v>0</v>
      </c>
      <c r="N21">
        <v>0</v>
      </c>
      <c r="O21" t="str">
        <v>029620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8</v>
      </c>
      <c r="W21">
        <v>0</v>
      </c>
      <c r="X21">
        <v>0</v>
      </c>
      <c r="Y21">
        <v>0</v>
      </c>
      <c r="Z21" s="65">
        <v>1</v>
      </c>
      <c r="AA21" s="64">
        <f>COUNTIFS(base_de_datos[Materia],A21,base_de_datos[Misma o no],1)</f>
        <v>0</v>
      </c>
    </row>
    <row r="22" spans="1:27" ht="28">
      <c r="A22" t="str">
        <v>Procesamiento del lenguaje natural</v>
      </c>
      <c r="B22" t="str">
        <v>COM</v>
      </c>
      <c r="C22">
        <v>0</v>
      </c>
      <c r="D22">
        <v>0</v>
      </c>
      <c r="E22">
        <v>0</v>
      </c>
      <c r="F22">
        <v>8</v>
      </c>
      <c r="G22">
        <v>0</v>
      </c>
      <c r="H22">
        <v>0</v>
      </c>
      <c r="I22">
        <v>0</v>
      </c>
      <c r="J22">
        <v>48</v>
      </c>
      <c r="K22">
        <v>0</v>
      </c>
      <c r="L22">
        <v>0</v>
      </c>
      <c r="M22">
        <v>0</v>
      </c>
      <c r="N22">
        <v>0</v>
      </c>
      <c r="O22" t="str">
        <v>029631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6</v>
      </c>
      <c r="W22">
        <v>0</v>
      </c>
      <c r="X22">
        <v>0</v>
      </c>
      <c r="Y22">
        <v>0</v>
      </c>
      <c r="Z22" s="65">
        <v>4</v>
      </c>
      <c r="AA22" s="64">
        <f>COUNTIFS(base_de_datos[Materia],A22,base_de_datos[Misma o no],1)</f>
        <v>0</v>
      </c>
    </row>
    <row r="23" spans="1:27" ht="28">
      <c r="A23" t="str">
        <v>Programación de agentes para entornos virtuales</v>
      </c>
      <c r="B23" t="str">
        <v>COM</v>
      </c>
      <c r="C23">
        <v>0</v>
      </c>
      <c r="D23">
        <v>0</v>
      </c>
      <c r="E23">
        <v>0</v>
      </c>
      <c r="F23">
        <v>6</v>
      </c>
      <c r="G23">
        <v>0</v>
      </c>
      <c r="H23">
        <v>0</v>
      </c>
      <c r="I23">
        <v>0</v>
      </c>
      <c r="J23">
        <v>48</v>
      </c>
      <c r="K23">
        <v>0</v>
      </c>
      <c r="L23">
        <v>0</v>
      </c>
      <c r="M23">
        <v>0</v>
      </c>
      <c r="N23">
        <v>0</v>
      </c>
      <c r="O23" t="str">
        <v>029621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6</v>
      </c>
      <c r="W23">
        <v>0</v>
      </c>
      <c r="X23">
        <v>0</v>
      </c>
      <c r="Y23">
        <v>0</v>
      </c>
      <c r="Z23" s="65">
        <v>1</v>
      </c>
      <c r="AA23" s="64">
        <f>COUNTIFS(base_de_datos[Materia],A23,base_de_datos[Misma o no],1)</f>
        <v>0</v>
      </c>
    </row>
    <row r="24" spans="1:27" ht="28">
      <c r="A24" t="str">
        <v>Programación orientada a objetos</v>
      </c>
      <c r="B24" t="str">
        <v>COM</v>
      </c>
      <c r="C24">
        <v>2</v>
      </c>
      <c r="D24">
        <v>2</v>
      </c>
      <c r="E24">
        <v>0</v>
      </c>
      <c r="F24">
        <v>2</v>
      </c>
      <c r="G24">
        <v>2</v>
      </c>
      <c r="H24">
        <v>0</v>
      </c>
      <c r="I24">
        <v>2</v>
      </c>
      <c r="J24">
        <v>64</v>
      </c>
      <c r="K24">
        <v>0</v>
      </c>
      <c r="L24" t="str">
        <v>026934</v>
      </c>
      <c r="M24" t="str">
        <v>026934</v>
      </c>
      <c r="N24">
        <v>0</v>
      </c>
      <c r="O24" t="str">
        <v>028367</v>
      </c>
      <c r="P24" t="str">
        <v>018543</v>
      </c>
      <c r="Q24">
        <v>0</v>
      </c>
      <c r="R24" t="str">
        <v>028367</v>
      </c>
      <c r="S24">
        <v>8</v>
      </c>
      <c r="T24">
        <v>8</v>
      </c>
      <c r="U24">
        <v>0</v>
      </c>
      <c r="V24">
        <v>8</v>
      </c>
      <c r="W24">
        <v>6</v>
      </c>
      <c r="X24">
        <v>0</v>
      </c>
      <c r="Y24">
        <v>8</v>
      </c>
      <c r="Z24" s="65">
        <v>2</v>
      </c>
      <c r="AA24" s="64">
        <f ca="1">COUNTIFS(base_de_datos[Materia],A24,base_de_datos[Misma o no],1)</f>
        <v>1</v>
      </c>
    </row>
    <row r="25" spans="1:27" ht="14">
      <c r="A25" t="str">
        <v>Sistemas operativos</v>
      </c>
      <c r="B25" t="str">
        <v>COM</v>
      </c>
      <c r="C25">
        <v>0</v>
      </c>
      <c r="D25">
        <v>0</v>
      </c>
      <c r="E25">
        <v>0</v>
      </c>
      <c r="F25">
        <v>4</v>
      </c>
      <c r="G25">
        <v>0</v>
      </c>
      <c r="H25">
        <v>0</v>
      </c>
      <c r="I25">
        <v>0</v>
      </c>
      <c r="J25">
        <v>48</v>
      </c>
      <c r="K25">
        <v>0</v>
      </c>
      <c r="L25">
        <v>0</v>
      </c>
      <c r="M25">
        <v>0</v>
      </c>
      <c r="N25">
        <v>0</v>
      </c>
      <c r="O25" t="str">
        <v>029614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6</v>
      </c>
      <c r="W25">
        <v>0</v>
      </c>
      <c r="X25">
        <v>0</v>
      </c>
      <c r="Y25">
        <v>0</v>
      </c>
      <c r="Z25" s="65">
        <v>1</v>
      </c>
      <c r="AA25" s="64">
        <f>COUNTIFS(base_de_datos[Materia],A25,base_de_datos[Misma o no],1)</f>
        <v>0</v>
      </c>
    </row>
    <row r="26" spans="1:27" ht="14">
      <c r="A26" t="str">
        <v>Administración de operaciones</v>
      </c>
      <c r="B26" t="str">
        <v>DOP</v>
      </c>
      <c r="C26">
        <v>6</v>
      </c>
      <c r="D26">
        <v>6</v>
      </c>
      <c r="E26">
        <v>8</v>
      </c>
      <c r="F26">
        <v>4</v>
      </c>
      <c r="G26">
        <v>0</v>
      </c>
      <c r="H26">
        <v>0</v>
      </c>
      <c r="I26">
        <v>0</v>
      </c>
      <c r="J26">
        <v>48</v>
      </c>
      <c r="K26">
        <v>0</v>
      </c>
      <c r="L26">
        <v>27009</v>
      </c>
      <c r="M26" t="str">
        <v>027009</v>
      </c>
      <c r="N26" t="str">
        <v>026987</v>
      </c>
      <c r="O26" t="str">
        <v>029613</v>
      </c>
      <c r="P26">
        <v>0</v>
      </c>
      <c r="Q26">
        <v>0</v>
      </c>
      <c r="R26">
        <v>0</v>
      </c>
      <c r="S26">
        <v>6</v>
      </c>
      <c r="T26">
        <v>6</v>
      </c>
      <c r="U26">
        <v>6</v>
      </c>
      <c r="V26">
        <v>6</v>
      </c>
      <c r="W26">
        <v>0</v>
      </c>
      <c r="X26">
        <v>0</v>
      </c>
      <c r="Y26">
        <v>0</v>
      </c>
      <c r="Z26" s="65">
        <v>1</v>
      </c>
      <c r="AA26" s="64">
        <f>COUNTIFS(base_de_datos[Materia],A26,base_de_datos[Misma o no],1)</f>
        <v>0</v>
      </c>
    </row>
    <row r="27" spans="1:27" ht="28">
      <c r="A27" t="str">
        <v>Diseño de instalaciones industriales y servicios</v>
      </c>
      <c r="B27" t="str">
        <v>DOP</v>
      </c>
      <c r="C27">
        <v>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64</v>
      </c>
      <c r="K27">
        <v>0</v>
      </c>
      <c r="L27" t="str">
        <v>027018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8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s="65">
        <v>1</v>
      </c>
      <c r="AA27" s="64">
        <f>COUNTIFS(base_de_datos[Materia],A27,base_de_datos[Misma o no],1)</f>
        <v>0</v>
      </c>
    </row>
    <row r="28" spans="1:27" ht="14">
      <c r="A28" t="str">
        <v>Gestión de la calidad</v>
      </c>
      <c r="B28" t="str">
        <v>DOP</v>
      </c>
      <c r="C28">
        <v>6</v>
      </c>
      <c r="D28">
        <v>8</v>
      </c>
      <c r="E28">
        <v>8</v>
      </c>
      <c r="F28">
        <v>0</v>
      </c>
      <c r="G28">
        <v>0</v>
      </c>
      <c r="H28">
        <v>0</v>
      </c>
      <c r="I28">
        <v>0</v>
      </c>
      <c r="J28">
        <v>48</v>
      </c>
      <c r="K28" t="str">
        <v>x</v>
      </c>
      <c r="L28" t="str">
        <v>027007</v>
      </c>
      <c r="M28" t="str">
        <v>027045</v>
      </c>
      <c r="N28" t="str">
        <v>026989</v>
      </c>
      <c r="O28">
        <v>0</v>
      </c>
      <c r="P28">
        <v>0</v>
      </c>
      <c r="Q28">
        <v>0</v>
      </c>
      <c r="R28">
        <v>0</v>
      </c>
      <c r="S28">
        <v>6</v>
      </c>
      <c r="T28">
        <v>6</v>
      </c>
      <c r="U28">
        <v>6</v>
      </c>
      <c r="V28">
        <v>0</v>
      </c>
      <c r="W28">
        <v>0</v>
      </c>
      <c r="X28">
        <v>0</v>
      </c>
      <c r="Y28">
        <v>0</v>
      </c>
      <c r="Z28" s="65">
        <v>1</v>
      </c>
      <c r="AA28" s="64">
        <f>COUNTIFS(base_de_datos[Materia],A28,base_de_datos[Misma o no],1)</f>
        <v>0</v>
      </c>
    </row>
    <row r="29" spans="1:27" ht="14">
      <c r="A29" t="str">
        <v>Ingeniería de métodos</v>
      </c>
      <c r="B29" t="str">
        <v>DOP</v>
      </c>
      <c r="C29">
        <v>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64</v>
      </c>
      <c r="K29">
        <v>0</v>
      </c>
      <c r="L29" t="str">
        <v>027000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 s="65">
        <v>1</v>
      </c>
      <c r="AA29" s="64">
        <f>COUNTIFS(base_de_datos[Materia],A29,base_de_datos[Misma o no],1)</f>
        <v>0</v>
      </c>
    </row>
    <row r="30" spans="1:27" ht="14">
      <c r="A30" t="str">
        <v>Investigación de operaciones</v>
      </c>
      <c r="B30" t="str">
        <v>DOP</v>
      </c>
      <c r="C30">
        <v>4</v>
      </c>
      <c r="D30">
        <v>0</v>
      </c>
      <c r="E30">
        <v>0</v>
      </c>
      <c r="F30">
        <v>0</v>
      </c>
      <c r="G30">
        <v>0</v>
      </c>
      <c r="H30">
        <v>4</v>
      </c>
      <c r="I30">
        <v>0</v>
      </c>
      <c r="J30">
        <v>48</v>
      </c>
      <c r="K30" t="str">
        <v>x</v>
      </c>
      <c r="L30" t="str">
        <v>026999</v>
      </c>
      <c r="M30">
        <v>0</v>
      </c>
      <c r="N30">
        <v>0</v>
      </c>
      <c r="O30">
        <v>0</v>
      </c>
      <c r="P30">
        <v>0</v>
      </c>
      <c r="Q30" t="str">
        <v>032359</v>
      </c>
      <c r="R30">
        <v>0</v>
      </c>
      <c r="S30">
        <v>6</v>
      </c>
      <c r="T30">
        <v>0</v>
      </c>
      <c r="U30">
        <v>0</v>
      </c>
      <c r="V30">
        <v>0</v>
      </c>
      <c r="W30">
        <v>0</v>
      </c>
      <c r="X30">
        <v>6</v>
      </c>
      <c r="Y30">
        <v>0</v>
      </c>
      <c r="Z30" s="65">
        <v>1</v>
      </c>
      <c r="AA30" s="64">
        <f>COUNTIFS(base_de_datos[Materia],A30,base_de_datos[Misma o no],1)</f>
        <v>0</v>
      </c>
    </row>
    <row r="31" spans="1:27" ht="14">
      <c r="A31" t="str">
        <v>Simulación discreta</v>
      </c>
      <c r="B31" t="str">
        <v>DOP</v>
      </c>
      <c r="C31">
        <v>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48</v>
      </c>
      <c r="K31">
        <v>0</v>
      </c>
      <c r="L31" t="str">
        <v>027011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6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 s="65">
        <v>1</v>
      </c>
      <c r="AA31" s="64">
        <f>COUNTIFS(base_de_datos[Materia],A31,base_de_datos[Misma o no],1)</f>
        <v>0</v>
      </c>
    </row>
    <row r="32" spans="1:27" ht="28">
      <c r="A32" t="str">
        <v>Circuitos digitales I o Diseño lógico</v>
      </c>
      <c r="B32" t="str">
        <v>EEC</v>
      </c>
      <c r="C32">
        <v>0</v>
      </c>
      <c r="D32">
        <v>3</v>
      </c>
      <c r="E32">
        <v>0</v>
      </c>
      <c r="F32">
        <v>3</v>
      </c>
      <c r="G32">
        <v>4</v>
      </c>
      <c r="H32">
        <v>0</v>
      </c>
      <c r="I32">
        <v>3</v>
      </c>
      <c r="J32">
        <v>48</v>
      </c>
      <c r="K32">
        <v>0</v>
      </c>
      <c r="L32">
        <v>0</v>
      </c>
      <c r="M32" t="str">
        <v>026939</v>
      </c>
      <c r="N32">
        <v>0</v>
      </c>
      <c r="O32" t="str">
        <v>028373</v>
      </c>
      <c r="P32" t="str">
        <v>018518</v>
      </c>
      <c r="Q32">
        <v>0</v>
      </c>
      <c r="R32" t="str">
        <v>028373</v>
      </c>
      <c r="S32">
        <v>0</v>
      </c>
      <c r="T32">
        <v>6</v>
      </c>
      <c r="U32">
        <v>0</v>
      </c>
      <c r="V32">
        <v>6</v>
      </c>
      <c r="W32">
        <v>7</v>
      </c>
      <c r="X32">
        <v>0</v>
      </c>
      <c r="Y32">
        <v>6</v>
      </c>
      <c r="Z32" s="65">
        <v>1</v>
      </c>
      <c r="AA32" s="64">
        <f ca="1">COUNTIFS(base_de_datos[Materia],A32,base_de_datos[Misma o no],1)</f>
        <v>2</v>
      </c>
    </row>
    <row r="33" spans="1:27" ht="28">
      <c r="A33" t="str">
        <v>Circuitos digitales o Circuitos digitales II</v>
      </c>
      <c r="B33" t="str">
        <v>EEC</v>
      </c>
      <c r="C33">
        <v>0</v>
      </c>
      <c r="D33">
        <v>4</v>
      </c>
      <c r="E33">
        <v>0</v>
      </c>
      <c r="F33">
        <v>0</v>
      </c>
      <c r="G33">
        <v>5</v>
      </c>
      <c r="H33">
        <v>0</v>
      </c>
      <c r="I33">
        <v>4</v>
      </c>
      <c r="J33">
        <v>64</v>
      </c>
      <c r="K33">
        <v>0</v>
      </c>
      <c r="L33">
        <v>0</v>
      </c>
      <c r="M33" t="str">
        <v>026958</v>
      </c>
      <c r="N33">
        <v>0</v>
      </c>
      <c r="O33">
        <v>0</v>
      </c>
      <c r="P33" t="str">
        <v>018575</v>
      </c>
      <c r="Q33">
        <v>0</v>
      </c>
      <c r="R33" t="str">
        <v>028689</v>
      </c>
      <c r="S33">
        <v>0</v>
      </c>
      <c r="T33">
        <v>6</v>
      </c>
      <c r="U33">
        <v>0</v>
      </c>
      <c r="V33">
        <v>0</v>
      </c>
      <c r="W33">
        <v>7</v>
      </c>
      <c r="X33">
        <v>0</v>
      </c>
      <c r="Y33">
        <v>6</v>
      </c>
      <c r="Z33" s="65">
        <v>1</v>
      </c>
      <c r="AA33" s="64">
        <f ca="1">COUNTIFS(base_de_datos[Materia],A33,base_de_datos[Misma o no],1)</f>
        <v>1</v>
      </c>
    </row>
    <row r="34" spans="1:27" ht="14">
      <c r="A34" t="str">
        <v>Circuitos digitales y eléctricos</v>
      </c>
      <c r="B34" t="str">
        <v>EEC</v>
      </c>
      <c r="C34">
        <v>0</v>
      </c>
      <c r="D34">
        <v>0</v>
      </c>
      <c r="E34">
        <v>6</v>
      </c>
      <c r="F34">
        <v>0</v>
      </c>
      <c r="G34">
        <v>0</v>
      </c>
      <c r="H34">
        <v>0</v>
      </c>
      <c r="I34">
        <v>0</v>
      </c>
      <c r="J34">
        <v>64</v>
      </c>
      <c r="K34">
        <v>0</v>
      </c>
      <c r="L34">
        <v>0</v>
      </c>
      <c r="M34">
        <v>0</v>
      </c>
      <c r="N34" t="str">
        <v>026976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5</v>
      </c>
      <c r="V34">
        <v>0</v>
      </c>
      <c r="W34">
        <v>0</v>
      </c>
      <c r="X34">
        <v>0</v>
      </c>
      <c r="Y34">
        <v>0</v>
      </c>
      <c r="Z34" s="65">
        <v>1</v>
      </c>
      <c r="AA34" s="64">
        <f>COUNTIFS(base_de_datos[Materia],A34,base_de_datos[Misma o no],1)</f>
        <v>0</v>
      </c>
    </row>
    <row r="35" spans="1:27" ht="14">
      <c r="A35" t="str">
        <v>Circuitos eléctricos II</v>
      </c>
      <c r="B35" t="str">
        <v>EEC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4</v>
      </c>
      <c r="J35">
        <v>48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t="str">
        <v>028485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5</v>
      </c>
      <c r="Z35" s="65">
        <v>1</v>
      </c>
      <c r="AA35" s="64">
        <f>COUNTIFS(base_de_datos[Materia],A35,base_de_datos[Misma o no],1)</f>
        <v>0</v>
      </c>
    </row>
    <row r="36" spans="1:27" ht="14">
      <c r="A36" t="str">
        <v>Comunicación de datos</v>
      </c>
      <c r="B36" t="str">
        <v>EEC</v>
      </c>
      <c r="C36">
        <v>0</v>
      </c>
      <c r="D36">
        <v>8</v>
      </c>
      <c r="E36">
        <v>0</v>
      </c>
      <c r="F36">
        <v>0</v>
      </c>
      <c r="G36">
        <v>0</v>
      </c>
      <c r="H36">
        <v>0</v>
      </c>
      <c r="I36">
        <v>8</v>
      </c>
      <c r="J36">
        <v>48</v>
      </c>
      <c r="K36" t="str">
        <v>x</v>
      </c>
      <c r="L36">
        <v>0</v>
      </c>
      <c r="M36" t="str">
        <v>027043</v>
      </c>
      <c r="N36">
        <v>0</v>
      </c>
      <c r="O36">
        <v>0</v>
      </c>
      <c r="P36">
        <v>0</v>
      </c>
      <c r="Q36">
        <v>0</v>
      </c>
      <c r="R36" t="str">
        <v>028911</v>
      </c>
      <c r="S36">
        <v>0</v>
      </c>
      <c r="T36">
        <v>6</v>
      </c>
      <c r="U36">
        <v>0</v>
      </c>
      <c r="V36">
        <v>0</v>
      </c>
      <c r="W36">
        <v>0</v>
      </c>
      <c r="X36">
        <v>0</v>
      </c>
      <c r="Y36">
        <v>6</v>
      </c>
      <c r="Z36" s="65">
        <v>1</v>
      </c>
      <c r="AA36" s="64">
        <f>COUNTIFS(base_de_datos[Materia],A36,base_de_datos[Misma o no],1)</f>
        <v>0</v>
      </c>
    </row>
    <row r="37" spans="1:27" ht="14">
      <c r="A37" t="str">
        <v>Control inteligente</v>
      </c>
      <c r="B37" t="str">
        <v>EEC</v>
      </c>
      <c r="C37">
        <v>0</v>
      </c>
      <c r="D37">
        <v>0</v>
      </c>
      <c r="E37">
        <v>0</v>
      </c>
      <c r="F37">
        <v>0</v>
      </c>
      <c r="G37">
        <v>0</v>
      </c>
      <c r="H37">
        <v>4</v>
      </c>
      <c r="I37">
        <v>0</v>
      </c>
      <c r="J37">
        <v>64</v>
      </c>
      <c r="K37" t="str">
        <v>x</v>
      </c>
      <c r="L37">
        <v>0</v>
      </c>
      <c r="M37">
        <v>0</v>
      </c>
      <c r="N37">
        <v>0</v>
      </c>
      <c r="O37">
        <v>0</v>
      </c>
      <c r="P37">
        <v>0</v>
      </c>
      <c r="Q37" t="str">
        <v>027086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7</v>
      </c>
      <c r="Y37">
        <v>0</v>
      </c>
      <c r="Z37" s="65">
        <v>1</v>
      </c>
      <c r="AA37" s="64">
        <f>COUNTIFS(base_de_datos[Materia],A37,base_de_datos[Misma o no],1)</f>
        <v>0</v>
      </c>
    </row>
    <row r="38" spans="1:27" ht="14">
      <c r="A38" t="str">
        <v>Dinámica de sistemas físicos</v>
      </c>
      <c r="B38" t="str">
        <v>EEC</v>
      </c>
      <c r="C38">
        <v>0</v>
      </c>
      <c r="D38">
        <v>6</v>
      </c>
      <c r="E38">
        <v>0</v>
      </c>
      <c r="F38">
        <v>0</v>
      </c>
      <c r="G38">
        <v>0</v>
      </c>
      <c r="H38">
        <v>0</v>
      </c>
      <c r="I38">
        <v>6</v>
      </c>
      <c r="J38">
        <v>48</v>
      </c>
      <c r="K38">
        <v>0</v>
      </c>
      <c r="L38">
        <v>0</v>
      </c>
      <c r="M38" t="str">
        <v>027030</v>
      </c>
      <c r="N38">
        <v>0</v>
      </c>
      <c r="O38">
        <v>0</v>
      </c>
      <c r="P38">
        <v>0</v>
      </c>
      <c r="Q38">
        <v>0</v>
      </c>
      <c r="R38" t="str">
        <v>028707</v>
      </c>
      <c r="S38">
        <v>0</v>
      </c>
      <c r="T38">
        <v>6</v>
      </c>
      <c r="U38">
        <v>0</v>
      </c>
      <c r="V38">
        <v>0</v>
      </c>
      <c r="W38">
        <v>0</v>
      </c>
      <c r="X38">
        <v>0</v>
      </c>
      <c r="Y38">
        <v>6</v>
      </c>
      <c r="Z38" s="65">
        <v>1</v>
      </c>
      <c r="AA38" s="64">
        <f>COUNTIFS(base_de_datos[Materia],A38,base_de_datos[Misma o no],1)</f>
        <v>0</v>
      </c>
    </row>
    <row r="39" spans="1:27" ht="14">
      <c r="A39" t="str">
        <v>Electricidad y magnetismo</v>
      </c>
      <c r="B39" t="str">
        <v>EEC</v>
      </c>
      <c r="C39">
        <v>4</v>
      </c>
      <c r="D39">
        <v>4</v>
      </c>
      <c r="E39">
        <v>5</v>
      </c>
      <c r="F39">
        <v>0</v>
      </c>
      <c r="G39">
        <v>3</v>
      </c>
      <c r="H39">
        <v>0</v>
      </c>
      <c r="I39">
        <v>4</v>
      </c>
      <c r="J39">
        <v>64</v>
      </c>
      <c r="K39">
        <v>0</v>
      </c>
      <c r="L39" t="str">
        <v>026957</v>
      </c>
      <c r="M39" t="str">
        <v>026957</v>
      </c>
      <c r="N39" t="str">
        <v>026971</v>
      </c>
      <c r="O39">
        <v>0</v>
      </c>
      <c r="P39" t="str">
        <v>020643</v>
      </c>
      <c r="Q39">
        <v>0</v>
      </c>
      <c r="R39" t="str">
        <v>028486</v>
      </c>
      <c r="S39">
        <v>7</v>
      </c>
      <c r="T39">
        <v>7</v>
      </c>
      <c r="U39">
        <v>7</v>
      </c>
      <c r="V39">
        <v>0</v>
      </c>
      <c r="W39">
        <v>7</v>
      </c>
      <c r="X39">
        <v>0</v>
      </c>
      <c r="Y39">
        <v>7</v>
      </c>
      <c r="Z39" s="65">
        <v>1</v>
      </c>
      <c r="AA39" s="64">
        <f ca="1">COUNTIFS(base_de_datos[Materia],A39,base_de_datos[Misma o no],1)</f>
        <v>2</v>
      </c>
    </row>
    <row r="40" spans="1:27" ht="14">
      <c r="A40" t="str">
        <v>Electrónica</v>
      </c>
      <c r="B40" t="str">
        <v>EEC</v>
      </c>
      <c r="C40">
        <v>0</v>
      </c>
      <c r="D40">
        <v>6</v>
      </c>
      <c r="E40">
        <v>0</v>
      </c>
      <c r="F40">
        <v>0</v>
      </c>
      <c r="G40">
        <v>5</v>
      </c>
      <c r="H40">
        <v>0</v>
      </c>
      <c r="I40">
        <v>6</v>
      </c>
      <c r="J40">
        <v>64</v>
      </c>
      <c r="K40">
        <v>0</v>
      </c>
      <c r="L40">
        <v>0</v>
      </c>
      <c r="M40" t="str">
        <v>027031</v>
      </c>
      <c r="N40">
        <v>0</v>
      </c>
      <c r="O40">
        <v>0</v>
      </c>
      <c r="P40" t="str">
        <v>018583</v>
      </c>
      <c r="Q40">
        <v>0</v>
      </c>
      <c r="R40" t="str">
        <v>028708</v>
      </c>
      <c r="S40">
        <v>0</v>
      </c>
      <c r="T40">
        <v>7</v>
      </c>
      <c r="U40">
        <v>0</v>
      </c>
      <c r="V40">
        <v>0</v>
      </c>
      <c r="W40">
        <v>7</v>
      </c>
      <c r="X40">
        <v>0</v>
      </c>
      <c r="Y40">
        <v>7</v>
      </c>
      <c r="Z40" s="65">
        <v>1</v>
      </c>
      <c r="AA40" s="64">
        <f ca="1">COUNTIFS(base_de_datos[Materia],A40,base_de_datos[Misma o no],1)</f>
        <v>1</v>
      </c>
    </row>
    <row r="41" spans="1:27" ht="14">
      <c r="A41" t="str">
        <v>Electrónica de potencia</v>
      </c>
      <c r="B41" t="str">
        <v>EEC</v>
      </c>
      <c r="C41">
        <v>0</v>
      </c>
      <c r="D41">
        <v>8</v>
      </c>
      <c r="E41">
        <v>0</v>
      </c>
      <c r="F41">
        <v>0</v>
      </c>
      <c r="G41">
        <v>8</v>
      </c>
      <c r="H41">
        <v>0</v>
      </c>
      <c r="I41">
        <v>8</v>
      </c>
      <c r="J41">
        <v>64</v>
      </c>
      <c r="K41">
        <v>0</v>
      </c>
      <c r="L41">
        <v>0</v>
      </c>
      <c r="M41" t="str">
        <v>027038</v>
      </c>
      <c r="N41">
        <v>0</v>
      </c>
      <c r="O41">
        <v>0</v>
      </c>
      <c r="P41" t="str">
        <v>020644</v>
      </c>
      <c r="Q41">
        <v>0</v>
      </c>
      <c r="R41" t="str">
        <v>028910</v>
      </c>
      <c r="S41">
        <v>0</v>
      </c>
      <c r="T41">
        <v>7</v>
      </c>
      <c r="U41">
        <v>0</v>
      </c>
      <c r="V41">
        <v>0</v>
      </c>
      <c r="W41">
        <v>6</v>
      </c>
      <c r="X41">
        <v>0</v>
      </c>
      <c r="Y41">
        <v>7</v>
      </c>
      <c r="Z41" s="65">
        <v>1</v>
      </c>
      <c r="AA41" s="64">
        <f>COUNTIFS(base_de_datos[Materia],A41,base_de_datos[Misma o no],1)</f>
        <v>0</v>
      </c>
    </row>
    <row r="42" spans="1:27" ht="14">
      <c r="A42" t="str">
        <v>Microcontroladores I</v>
      </c>
      <c r="B42" t="str">
        <v>EEC</v>
      </c>
      <c r="C42">
        <v>0</v>
      </c>
      <c r="D42">
        <v>5</v>
      </c>
      <c r="E42">
        <v>0</v>
      </c>
      <c r="F42">
        <v>5</v>
      </c>
      <c r="G42">
        <v>6</v>
      </c>
      <c r="H42">
        <v>0</v>
      </c>
      <c r="I42">
        <v>5</v>
      </c>
      <c r="J42">
        <v>64</v>
      </c>
      <c r="K42">
        <v>0</v>
      </c>
      <c r="L42">
        <v>0</v>
      </c>
      <c r="M42" t="str">
        <v>026964</v>
      </c>
      <c r="N42">
        <v>0</v>
      </c>
      <c r="O42" t="str">
        <v>028488</v>
      </c>
      <c r="P42" t="str">
        <v>018584</v>
      </c>
      <c r="Q42">
        <v>0</v>
      </c>
      <c r="R42" t="str">
        <v>028488</v>
      </c>
      <c r="S42">
        <v>0</v>
      </c>
      <c r="T42">
        <v>7</v>
      </c>
      <c r="U42">
        <v>0</v>
      </c>
      <c r="V42">
        <v>7</v>
      </c>
      <c r="W42">
        <v>7</v>
      </c>
      <c r="X42">
        <v>0</v>
      </c>
      <c r="Y42">
        <v>7</v>
      </c>
      <c r="Z42" s="65">
        <v>1</v>
      </c>
      <c r="AA42" s="64">
        <f ca="1">COUNTIFS(base_de_datos[Materia],A42,base_de_datos[Misma o no],1)</f>
        <v>2</v>
      </c>
    </row>
    <row r="43" spans="1:27" ht="14">
      <c r="A43" t="str">
        <v>Microcontroladores II</v>
      </c>
      <c r="B43" t="str">
        <v>EEC</v>
      </c>
      <c r="C43">
        <v>0</v>
      </c>
      <c r="D43">
        <v>6</v>
      </c>
      <c r="E43">
        <v>0</v>
      </c>
      <c r="F43">
        <v>6</v>
      </c>
      <c r="G43">
        <v>7</v>
      </c>
      <c r="H43">
        <v>0</v>
      </c>
      <c r="I43">
        <v>6</v>
      </c>
      <c r="J43">
        <v>48</v>
      </c>
      <c r="K43">
        <v>0</v>
      </c>
      <c r="L43">
        <v>0</v>
      </c>
      <c r="M43" t="str">
        <v>027032</v>
      </c>
      <c r="N43">
        <v>0</v>
      </c>
      <c r="O43" t="str">
        <v>028709</v>
      </c>
      <c r="P43" t="str">
        <v>018578</v>
      </c>
      <c r="Q43">
        <v>0</v>
      </c>
      <c r="R43" t="str">
        <v>028709</v>
      </c>
      <c r="S43">
        <v>0</v>
      </c>
      <c r="T43">
        <v>6</v>
      </c>
      <c r="U43">
        <v>0</v>
      </c>
      <c r="V43">
        <v>6</v>
      </c>
      <c r="W43">
        <v>8</v>
      </c>
      <c r="X43">
        <v>0</v>
      </c>
      <c r="Y43">
        <v>6</v>
      </c>
      <c r="Z43" s="65">
        <v>1</v>
      </c>
      <c r="AA43" s="64">
        <f ca="1">COUNTIFS(base_de_datos[Materia],A43,base_de_datos[Misma o no],1)</f>
        <v>1</v>
      </c>
    </row>
    <row r="44" spans="1:27" ht="14">
      <c r="A44" t="str">
        <v>Proyecto mecatrónico II</v>
      </c>
      <c r="B44" t="str">
        <v>EEC</v>
      </c>
      <c r="C44">
        <v>0</v>
      </c>
      <c r="D44">
        <v>8</v>
      </c>
      <c r="E44">
        <v>0</v>
      </c>
      <c r="F44">
        <v>0</v>
      </c>
      <c r="G44">
        <v>0</v>
      </c>
      <c r="H44">
        <v>0</v>
      </c>
      <c r="I44">
        <v>0</v>
      </c>
      <c r="J44">
        <v>48</v>
      </c>
      <c r="K44">
        <v>0</v>
      </c>
      <c r="L44">
        <v>0</v>
      </c>
      <c r="M44" t="str">
        <v>027039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6</v>
      </c>
      <c r="U44">
        <v>0</v>
      </c>
      <c r="V44">
        <v>0</v>
      </c>
      <c r="W44">
        <v>0</v>
      </c>
      <c r="X44">
        <v>0</v>
      </c>
      <c r="Y44">
        <v>0</v>
      </c>
      <c r="Z44" s="65">
        <v>1</v>
      </c>
      <c r="AA44" s="64">
        <f>COUNTIFS(base_de_datos[Materia],A44,base_de_datos[Misma o no],1)</f>
        <v>0</v>
      </c>
    </row>
    <row r="45" spans="1:27" ht="14">
      <c r="A45" t="str">
        <v>Sistemas de comunicación</v>
      </c>
      <c r="B45" t="str">
        <v>EEC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6</v>
      </c>
      <c r="J45">
        <v>64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t="str">
        <v>028706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6</v>
      </c>
      <c r="Z45" s="65">
        <v>1</v>
      </c>
      <c r="AA45" s="64">
        <f>COUNTIFS(base_de_datos[Materia],A45,base_de_datos[Misma o no],1)</f>
        <v>0</v>
      </c>
    </row>
    <row r="46" spans="1:27" ht="28">
      <c r="A46" t="str">
        <v>Tópicos en instalaciones industriales</v>
      </c>
      <c r="B46" t="str">
        <v>EEC</v>
      </c>
      <c r="C46">
        <v>6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64</v>
      </c>
      <c r="K46">
        <v>0</v>
      </c>
      <c r="L46" t="str">
        <v>027010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 s="65">
        <v>1</v>
      </c>
      <c r="AA46" s="64">
        <f>COUNTIFS(base_de_datos[Materia],A46,base_de_datos[Misma o no],1)</f>
        <v>0</v>
      </c>
    </row>
    <row r="47" spans="1:27" ht="28">
      <c r="A47" t="str">
        <v>Análisis e interpretación de la información financiera</v>
      </c>
      <c r="B47" t="str">
        <v>EMP</v>
      </c>
      <c r="C47">
        <v>4</v>
      </c>
      <c r="D47">
        <v>0</v>
      </c>
      <c r="E47">
        <v>0</v>
      </c>
      <c r="F47">
        <v>0</v>
      </c>
      <c r="G47">
        <v>0</v>
      </c>
      <c r="H47">
        <v>10</v>
      </c>
      <c r="I47">
        <v>0</v>
      </c>
      <c r="J47">
        <v>48</v>
      </c>
      <c r="K47">
        <v>0</v>
      </c>
      <c r="L47" t="str">
        <v>026996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 s="65">
        <v>1</v>
      </c>
      <c r="AA47" s="64">
        <f>COUNTIFS(base_de_datos[Materia],A47,base_de_datos[Misma o no],1)</f>
        <v>0</v>
      </c>
    </row>
    <row r="48" spans="1:27" ht="14">
      <c r="A48" t="str">
        <v>Contabilidad y costos</v>
      </c>
      <c r="B48" t="str">
        <v>EMP</v>
      </c>
      <c r="C48">
        <v>2</v>
      </c>
      <c r="D48">
        <v>0</v>
      </c>
      <c r="E48">
        <v>0</v>
      </c>
      <c r="F48">
        <v>0</v>
      </c>
      <c r="G48">
        <v>0</v>
      </c>
      <c r="H48">
        <v>8</v>
      </c>
      <c r="I48">
        <v>0</v>
      </c>
      <c r="J48">
        <v>48</v>
      </c>
      <c r="K48">
        <v>0</v>
      </c>
      <c r="L48" t="str">
        <v>027023</v>
      </c>
      <c r="M48">
        <v>0</v>
      </c>
      <c r="N48">
        <v>0</v>
      </c>
      <c r="O48">
        <v>0</v>
      </c>
      <c r="P48">
        <v>0</v>
      </c>
      <c r="Q48" t="str">
        <v>027065</v>
      </c>
      <c r="R48">
        <v>0</v>
      </c>
      <c r="S48">
        <v>6</v>
      </c>
      <c r="T48">
        <v>0</v>
      </c>
      <c r="U48">
        <v>0</v>
      </c>
      <c r="V48">
        <v>0</v>
      </c>
      <c r="W48">
        <v>0</v>
      </c>
      <c r="X48">
        <v>6</v>
      </c>
      <c r="Y48">
        <v>0</v>
      </c>
      <c r="Z48" s="65">
        <v>1</v>
      </c>
      <c r="AA48" s="64">
        <f>COUNTIFS(base_de_datos[Materia],A48,base_de_datos[Misma o no],1)</f>
        <v>0</v>
      </c>
    </row>
    <row r="49" spans="1:27" ht="14">
      <c r="A49" t="str">
        <v>Dirección de empresas</v>
      </c>
      <c r="B49" t="str">
        <v>EMP</v>
      </c>
      <c r="C49">
        <v>8</v>
      </c>
      <c r="D49">
        <v>8</v>
      </c>
      <c r="E49">
        <v>8</v>
      </c>
      <c r="F49">
        <v>8</v>
      </c>
      <c r="G49">
        <v>8</v>
      </c>
      <c r="H49">
        <v>0</v>
      </c>
      <c r="I49">
        <v>8</v>
      </c>
      <c r="J49">
        <v>32</v>
      </c>
      <c r="K49" t="str">
        <v>x</v>
      </c>
      <c r="L49" t="str">
        <v>027019</v>
      </c>
      <c r="M49" t="str">
        <v>027019</v>
      </c>
      <c r="N49" t="str">
        <v>026994</v>
      </c>
      <c r="O49" t="str">
        <v>028909</v>
      </c>
      <c r="P49" t="str">
        <v>018935</v>
      </c>
      <c r="Q49">
        <v>0</v>
      </c>
      <c r="R49" t="str">
        <v>028909</v>
      </c>
      <c r="S49">
        <v>4</v>
      </c>
      <c r="T49">
        <v>4</v>
      </c>
      <c r="U49">
        <v>4</v>
      </c>
      <c r="V49">
        <v>4</v>
      </c>
      <c r="W49">
        <v>6</v>
      </c>
      <c r="X49">
        <v>0</v>
      </c>
      <c r="Y49">
        <v>4</v>
      </c>
      <c r="Z49" s="65">
        <v>1</v>
      </c>
      <c r="AA49" s="64">
        <f>COUNTIFS(base_de_datos[Materia],A49,base_de_datos[Misma o no],1)</f>
        <v>0</v>
      </c>
    </row>
    <row r="50" spans="1:27" ht="14">
      <c r="A50" t="str">
        <v>Emprendedores</v>
      </c>
      <c r="B50" t="str">
        <v>EMP</v>
      </c>
      <c r="C50">
        <v>7</v>
      </c>
      <c r="D50">
        <v>0</v>
      </c>
      <c r="E50">
        <v>7</v>
      </c>
      <c r="F50">
        <v>8</v>
      </c>
      <c r="G50">
        <v>0</v>
      </c>
      <c r="H50">
        <v>0</v>
      </c>
      <c r="I50">
        <v>0</v>
      </c>
      <c r="J50">
        <v>48</v>
      </c>
      <c r="K50">
        <v>0</v>
      </c>
      <c r="L50" t="str">
        <v>027013</v>
      </c>
      <c r="M50">
        <v>0</v>
      </c>
      <c r="N50">
        <v>26992</v>
      </c>
      <c r="O50" t="str">
        <v>029633</v>
      </c>
      <c r="P50">
        <v>0</v>
      </c>
      <c r="Q50" t="str">
        <v>032373</v>
      </c>
      <c r="R50">
        <v>0</v>
      </c>
      <c r="S50">
        <v>6</v>
      </c>
      <c r="T50">
        <v>0</v>
      </c>
      <c r="U50">
        <v>6</v>
      </c>
      <c r="V50">
        <v>3</v>
      </c>
      <c r="W50">
        <v>0</v>
      </c>
      <c r="X50">
        <v>0</v>
      </c>
      <c r="Y50">
        <v>0</v>
      </c>
      <c r="Z50" s="65">
        <v>1</v>
      </c>
      <c r="AA50" s="64">
        <f ca="1">COUNTIFS(base_de_datos[Materia],A50,base_de_datos[Misma o no],1)</f>
        <v>2</v>
      </c>
    </row>
    <row r="51" spans="1:27" ht="14">
      <c r="A51" t="str">
        <v>Entorno económico</v>
      </c>
      <c r="B51" t="str">
        <v>EMP</v>
      </c>
      <c r="C51">
        <v>0</v>
      </c>
      <c r="D51">
        <v>2</v>
      </c>
      <c r="E51">
        <v>0</v>
      </c>
      <c r="F51">
        <v>6</v>
      </c>
      <c r="G51">
        <v>0</v>
      </c>
      <c r="H51">
        <v>0</v>
      </c>
      <c r="I51">
        <v>2</v>
      </c>
      <c r="J51">
        <v>48</v>
      </c>
      <c r="K51" t="str">
        <v>X</v>
      </c>
      <c r="L51">
        <v>0</v>
      </c>
      <c r="M51" t="str">
        <v>026935</v>
      </c>
      <c r="N51">
        <v>0</v>
      </c>
      <c r="O51" t="str">
        <v>029616</v>
      </c>
      <c r="P51">
        <v>0</v>
      </c>
      <c r="Q51" t="str">
        <v>032365</v>
      </c>
      <c r="R51" t="str">
        <v>028368</v>
      </c>
      <c r="S51">
        <v>0</v>
      </c>
      <c r="T51">
        <v>6</v>
      </c>
      <c r="U51">
        <v>0</v>
      </c>
      <c r="V51">
        <v>6</v>
      </c>
      <c r="W51">
        <v>0</v>
      </c>
      <c r="X51">
        <v>6</v>
      </c>
      <c r="Y51">
        <v>6</v>
      </c>
      <c r="Z51" s="65">
        <v>1</v>
      </c>
      <c r="AA51" s="64">
        <f>COUNTIFS(base_de_datos[Materia],A51,base_de_datos[Misma o no],1)</f>
        <v>0</v>
      </c>
    </row>
    <row r="52" spans="1:27" ht="28">
      <c r="A52" t="str">
        <v>Evaluación financiera de proyectos</v>
      </c>
      <c r="B52" t="str">
        <v>EMP</v>
      </c>
      <c r="C52">
        <v>0</v>
      </c>
      <c r="D52">
        <v>0</v>
      </c>
      <c r="E52">
        <v>0</v>
      </c>
      <c r="F52">
        <v>0</v>
      </c>
      <c r="G52">
        <v>0</v>
      </c>
      <c r="H52">
        <v>10</v>
      </c>
      <c r="I52">
        <v>0</v>
      </c>
      <c r="J52">
        <v>48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t="str">
        <v>027081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</v>
      </c>
      <c r="Y52">
        <v>0</v>
      </c>
      <c r="Z52" s="65">
        <v>1</v>
      </c>
      <c r="AA52" s="64">
        <f>COUNTIFS(base_de_datos[Materia],A52,base_de_datos[Misma o no],1)</f>
        <v>0</v>
      </c>
    </row>
    <row r="53" spans="1:27" ht="42">
      <c r="A53" t="str">
        <v>Proyectos de inversión e introducción a la valuación de empresas</v>
      </c>
      <c r="B53" t="str">
        <v>EMP</v>
      </c>
      <c r="C53">
        <v>6</v>
      </c>
      <c r="D53">
        <v>7</v>
      </c>
      <c r="E53">
        <v>7</v>
      </c>
      <c r="F53">
        <v>7</v>
      </c>
      <c r="G53">
        <v>0</v>
      </c>
      <c r="H53">
        <v>9</v>
      </c>
      <c r="I53">
        <v>5</v>
      </c>
      <c r="J53">
        <v>48</v>
      </c>
      <c r="K53" t="str">
        <v>x</v>
      </c>
      <c r="L53" t="str">
        <v>027008</v>
      </c>
      <c r="M53" t="str">
        <v>026981</v>
      </c>
      <c r="N53">
        <v>26981</v>
      </c>
      <c r="O53" t="str">
        <v>029625</v>
      </c>
      <c r="P53">
        <v>0</v>
      </c>
      <c r="Q53" t="str">
        <v>027101</v>
      </c>
      <c r="R53" t="str">
        <v>028692</v>
      </c>
      <c r="S53">
        <v>6</v>
      </c>
      <c r="T53">
        <v>6</v>
      </c>
      <c r="U53">
        <v>6</v>
      </c>
      <c r="V53">
        <v>6</v>
      </c>
      <c r="W53">
        <v>0</v>
      </c>
      <c r="X53">
        <v>6</v>
      </c>
      <c r="Y53">
        <v>6</v>
      </c>
      <c r="Z53" s="65">
        <v>1</v>
      </c>
      <c r="AA53" s="64">
        <f ca="1">COUNTIFS(base_de_datos[Materia],A53,base_de_datos[Misma o no],1)</f>
        <v>3</v>
      </c>
    </row>
    <row r="54" spans="1:27" ht="14">
      <c r="A54" t="str">
        <v>Psicología del consumidor</v>
      </c>
      <c r="B54" t="str">
        <v>EMP</v>
      </c>
      <c r="C54">
        <v>0</v>
      </c>
      <c r="D54">
        <v>0</v>
      </c>
      <c r="E54">
        <v>8</v>
      </c>
      <c r="F54">
        <v>0</v>
      </c>
      <c r="G54">
        <v>0</v>
      </c>
      <c r="H54">
        <v>0</v>
      </c>
      <c r="I54">
        <v>0</v>
      </c>
      <c r="J54">
        <v>48</v>
      </c>
      <c r="K54">
        <v>0</v>
      </c>
      <c r="L54">
        <v>0</v>
      </c>
      <c r="M54">
        <v>0</v>
      </c>
      <c r="N54" t="str">
        <v>026990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6</v>
      </c>
      <c r="V54">
        <v>0</v>
      </c>
      <c r="W54">
        <v>0</v>
      </c>
      <c r="X54">
        <v>0</v>
      </c>
      <c r="Y54">
        <v>0</v>
      </c>
      <c r="Z54" s="65">
        <v>1</v>
      </c>
      <c r="AA54" s="64">
        <f>COUNTIFS(base_de_datos[Materia],A54,base_de_datos[Misma o no],1)</f>
        <v>0</v>
      </c>
    </row>
    <row r="55" spans="1:27" ht="14">
      <c r="A55" t="str">
        <v>Recursos humanos</v>
      </c>
      <c r="B55" t="str">
        <v>EMP</v>
      </c>
      <c r="C55">
        <v>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48</v>
      </c>
      <c r="K55">
        <v>0</v>
      </c>
      <c r="L55" t="str">
        <v>027020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6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 s="65">
        <v>1</v>
      </c>
      <c r="AA55" s="64">
        <f>COUNTIFS(base_de_datos[Materia],A55,base_de_datos[Misma o no],1)</f>
        <v>0</v>
      </c>
    </row>
    <row r="56" spans="1:27" ht="14">
      <c r="A56" t="str">
        <v>Redacción</v>
      </c>
      <c r="B56" t="str">
        <v>EMP</v>
      </c>
      <c r="C56">
        <v>3</v>
      </c>
      <c r="D56">
        <v>4</v>
      </c>
      <c r="E56">
        <v>0</v>
      </c>
      <c r="F56">
        <v>4</v>
      </c>
      <c r="G56">
        <v>0</v>
      </c>
      <c r="H56">
        <v>0</v>
      </c>
      <c r="I56">
        <v>4</v>
      </c>
      <c r="J56">
        <v>48</v>
      </c>
      <c r="K56">
        <v>0</v>
      </c>
      <c r="L56" t="str">
        <v>027024</v>
      </c>
      <c r="M56" t="str">
        <v>026959</v>
      </c>
      <c r="N56">
        <v>0</v>
      </c>
      <c r="O56" t="str">
        <v>029610</v>
      </c>
      <c r="P56">
        <v>0</v>
      </c>
      <c r="Q56">
        <v>0</v>
      </c>
      <c r="R56" t="str">
        <v>028690</v>
      </c>
      <c r="S56">
        <v>6</v>
      </c>
      <c r="T56">
        <v>6</v>
      </c>
      <c r="U56">
        <v>0</v>
      </c>
      <c r="V56">
        <v>6</v>
      </c>
      <c r="W56">
        <v>0</v>
      </c>
      <c r="X56">
        <v>0</v>
      </c>
      <c r="Y56">
        <v>6</v>
      </c>
      <c r="Z56" s="65">
        <v>1</v>
      </c>
      <c r="AA56" s="64">
        <f ca="1">COUNTIFS(base_de_datos[Materia],A56,base_de_datos[Misma o no],1)</f>
        <v>1</v>
      </c>
    </row>
    <row r="57" spans="1:27" ht="28">
      <c r="A57" t="str">
        <v>Sistemas de costos y presupuestos</v>
      </c>
      <c r="B57" t="str">
        <v>EMP</v>
      </c>
      <c r="C57">
        <v>0</v>
      </c>
      <c r="D57">
        <v>0</v>
      </c>
      <c r="E57">
        <v>6</v>
      </c>
      <c r="F57">
        <v>0</v>
      </c>
      <c r="G57">
        <v>0</v>
      </c>
      <c r="H57">
        <v>0</v>
      </c>
      <c r="I57">
        <v>0</v>
      </c>
      <c r="J57">
        <v>48</v>
      </c>
      <c r="K57">
        <v>0</v>
      </c>
      <c r="L57">
        <v>0</v>
      </c>
      <c r="M57">
        <v>0</v>
      </c>
      <c r="N57" t="str">
        <v>026978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6</v>
      </c>
      <c r="V57">
        <v>0</v>
      </c>
      <c r="W57">
        <v>0</v>
      </c>
      <c r="X57">
        <v>0</v>
      </c>
      <c r="Y57">
        <v>0</v>
      </c>
      <c r="Z57" s="65">
        <v>1</v>
      </c>
      <c r="AA57" s="64">
        <f>COUNTIFS(base_de_datos[Materia],A57,base_de_datos[Misma o no],1)</f>
        <v>0</v>
      </c>
    </row>
    <row r="58" spans="1:27" ht="14">
      <c r="A58" t="str">
        <v>Análisis estructural</v>
      </c>
      <c r="B58" t="str">
        <v>ESC</v>
      </c>
      <c r="C58">
        <v>0</v>
      </c>
      <c r="D58">
        <v>0</v>
      </c>
      <c r="E58">
        <v>0</v>
      </c>
      <c r="F58">
        <v>0</v>
      </c>
      <c r="G58">
        <v>0</v>
      </c>
      <c r="H58">
        <v>6</v>
      </c>
      <c r="I58">
        <v>0</v>
      </c>
      <c r="J58">
        <v>64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t="str">
        <v>027066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8</v>
      </c>
      <c r="Y58">
        <v>0</v>
      </c>
      <c r="Z58" s="65">
        <v>1</v>
      </c>
      <c r="AA58" s="64">
        <f>COUNTIFS(base_de_datos[Materia],A58,base_de_datos[Misma o no],1)</f>
        <v>0</v>
      </c>
    </row>
    <row r="59" spans="1:27" ht="14">
      <c r="A59" t="str">
        <v>BIM planeación de obra</v>
      </c>
      <c r="B59" t="str">
        <v>ESC</v>
      </c>
      <c r="C59">
        <v>0</v>
      </c>
      <c r="D59">
        <v>0</v>
      </c>
      <c r="E59">
        <v>0</v>
      </c>
      <c r="F59">
        <v>0</v>
      </c>
      <c r="G59">
        <v>0</v>
      </c>
      <c r="H59">
        <v>8</v>
      </c>
      <c r="I59">
        <v>0</v>
      </c>
      <c r="J59">
        <v>48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t="str">
        <v>027079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6</v>
      </c>
      <c r="Y59">
        <v>0</v>
      </c>
      <c r="Z59" s="65">
        <v>1</v>
      </c>
      <c r="AA59" s="64">
        <f>COUNTIFS(base_de_datos[Materia],A59,base_de_datos[Misma o no],1)</f>
        <v>0</v>
      </c>
    </row>
    <row r="60" spans="1:27" ht="14">
      <c r="A60" t="str">
        <v>Comportamiento de materiales</v>
      </c>
      <c r="B60" t="str">
        <v>ESC</v>
      </c>
      <c r="C60">
        <v>0</v>
      </c>
      <c r="D60">
        <v>0</v>
      </c>
      <c r="E60">
        <v>0</v>
      </c>
      <c r="F60">
        <v>0</v>
      </c>
      <c r="G60">
        <v>0</v>
      </c>
      <c r="H60">
        <v>6</v>
      </c>
      <c r="I60">
        <v>0</v>
      </c>
      <c r="J60">
        <v>80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t="str">
        <v>027067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7</v>
      </c>
      <c r="Y60">
        <v>0</v>
      </c>
      <c r="Z60" s="65">
        <v>1</v>
      </c>
      <c r="AA60" s="64">
        <f>COUNTIFS(base_de_datos[Materia],A60,base_de_datos[Misma o no],1)</f>
        <v>0</v>
      </c>
    </row>
    <row r="61" spans="1:27" ht="28">
      <c r="A61" t="str">
        <v>Diseño de estructuras de acero II</v>
      </c>
      <c r="B61" t="str">
        <v>ESC</v>
      </c>
      <c r="C61">
        <v>0</v>
      </c>
      <c r="D61">
        <v>0</v>
      </c>
      <c r="E61">
        <v>0</v>
      </c>
      <c r="F61">
        <v>0</v>
      </c>
      <c r="G61">
        <v>0</v>
      </c>
      <c r="H61">
        <v>8</v>
      </c>
      <c r="I61">
        <v>0</v>
      </c>
      <c r="J61">
        <v>64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t="str">
        <v>027077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8</v>
      </c>
      <c r="Y61">
        <v>0</v>
      </c>
      <c r="Z61" s="65">
        <v>1</v>
      </c>
      <c r="AA61" s="64">
        <f>COUNTIFS(base_de_datos[Materia],A61,base_de_datos[Misma o no],1)</f>
        <v>0</v>
      </c>
    </row>
    <row r="62" spans="1:27" ht="28">
      <c r="A62" t="str">
        <v>Diseño de estructuras de concreto II</v>
      </c>
      <c r="B62" t="str">
        <v>ESC</v>
      </c>
      <c r="C62">
        <v>0</v>
      </c>
      <c r="D62">
        <v>0</v>
      </c>
      <c r="E62">
        <v>0</v>
      </c>
      <c r="F62">
        <v>0</v>
      </c>
      <c r="G62">
        <v>0</v>
      </c>
      <c r="H62">
        <v>8</v>
      </c>
      <c r="I62">
        <v>0</v>
      </c>
      <c r="J62">
        <v>64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t="str">
        <v>027078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8</v>
      </c>
      <c r="Y62">
        <v>0</v>
      </c>
      <c r="Z62" s="65">
        <v>1</v>
      </c>
      <c r="AA62" s="64">
        <f>COUNTIFS(base_de_datos[Materia],A62,base_de_datos[Misma o no],1)</f>
        <v>0</v>
      </c>
    </row>
    <row r="63" spans="1:27" ht="14">
      <c r="A63" t="str">
        <v>Diseño de pavimentos</v>
      </c>
      <c r="B63" t="str">
        <v>ESC</v>
      </c>
      <c r="C63">
        <v>0</v>
      </c>
      <c r="D63">
        <v>0</v>
      </c>
      <c r="E63">
        <v>0</v>
      </c>
      <c r="F63">
        <v>0</v>
      </c>
      <c r="G63">
        <v>0</v>
      </c>
      <c r="H63">
        <v>10</v>
      </c>
      <c r="I63">
        <v>0</v>
      </c>
      <c r="J63">
        <v>64</v>
      </c>
      <c r="K63" t="str">
        <v>x</v>
      </c>
      <c r="L63">
        <v>0</v>
      </c>
      <c r="M63">
        <v>0</v>
      </c>
      <c r="N63">
        <v>0</v>
      </c>
      <c r="O63">
        <v>0</v>
      </c>
      <c r="P63">
        <v>0</v>
      </c>
      <c r="Q63" t="str">
        <v>032371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6</v>
      </c>
      <c r="Y63">
        <v>0</v>
      </c>
      <c r="Z63" s="65">
        <v>1</v>
      </c>
      <c r="AA63" s="64">
        <f>COUNTIFS(base_de_datos[Materia],A63,base_de_datos[Misma o no],1)</f>
        <v>0</v>
      </c>
    </row>
    <row r="64" spans="1:27" ht="14">
      <c r="A64" t="str">
        <v>Ingeniería de cimentaciones</v>
      </c>
      <c r="B64" t="str">
        <v>ESC</v>
      </c>
      <c r="C64">
        <v>0</v>
      </c>
      <c r="D64">
        <v>0</v>
      </c>
      <c r="E64">
        <v>0</v>
      </c>
      <c r="F64">
        <v>0</v>
      </c>
      <c r="G64">
        <v>0</v>
      </c>
      <c r="H64">
        <v>8</v>
      </c>
      <c r="I64">
        <v>0</v>
      </c>
      <c r="J64">
        <v>48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t="str">
        <v>027080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6</v>
      </c>
      <c r="Y64">
        <v>0</v>
      </c>
      <c r="Z64" s="65">
        <v>1</v>
      </c>
      <c r="AA64" s="64">
        <f>COUNTIFS(base_de_datos[Materia],A64,base_de_datos[Misma o no],1)</f>
        <v>0</v>
      </c>
    </row>
    <row r="65" spans="1:27" ht="14">
      <c r="A65" t="str">
        <v>Instalaciones en edificios</v>
      </c>
      <c r="B65" t="str">
        <v>ESC</v>
      </c>
      <c r="C65">
        <v>0</v>
      </c>
      <c r="D65">
        <v>0</v>
      </c>
      <c r="E65">
        <v>0</v>
      </c>
      <c r="F65">
        <v>0</v>
      </c>
      <c r="G65">
        <v>0</v>
      </c>
      <c r="H65">
        <v>8</v>
      </c>
      <c r="I65">
        <v>0</v>
      </c>
      <c r="J65">
        <v>64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t="str">
        <v>027058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8</v>
      </c>
      <c r="Y65">
        <v>0</v>
      </c>
      <c r="Z65" s="65">
        <v>1</v>
      </c>
      <c r="AA65" s="64">
        <f>COUNTIFS(base_de_datos[Materia],A65,base_de_datos[Misma o no],1)</f>
        <v>0</v>
      </c>
    </row>
    <row r="66" spans="1:27" ht="28">
      <c r="A66" t="str">
        <v>Materiales y procesos constructivos</v>
      </c>
      <c r="B66" t="str">
        <v>ESC</v>
      </c>
      <c r="C66">
        <v>0</v>
      </c>
      <c r="D66">
        <v>0</v>
      </c>
      <c r="E66">
        <v>0</v>
      </c>
      <c r="F66">
        <v>0</v>
      </c>
      <c r="G66">
        <v>0</v>
      </c>
      <c r="H66">
        <v>4</v>
      </c>
      <c r="I66">
        <v>0</v>
      </c>
      <c r="J66">
        <v>64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t="str">
        <v>027053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8</v>
      </c>
      <c r="Y66">
        <v>0</v>
      </c>
      <c r="Z66" s="65">
        <v>1</v>
      </c>
      <c r="AA66" s="64">
        <f>COUNTIFS(base_de_datos[Materia],A66,base_de_datos[Misma o no],1)</f>
        <v>0</v>
      </c>
    </row>
    <row r="67" spans="1:27" ht="14">
      <c r="A67" t="str">
        <v>Mecánica de materiales</v>
      </c>
      <c r="B67" t="str">
        <v>ESC</v>
      </c>
      <c r="C67">
        <v>0</v>
      </c>
      <c r="D67">
        <v>0</v>
      </c>
      <c r="E67">
        <v>0</v>
      </c>
      <c r="F67">
        <v>0</v>
      </c>
      <c r="G67">
        <v>0</v>
      </c>
      <c r="H67">
        <v>4</v>
      </c>
      <c r="I67">
        <v>0</v>
      </c>
      <c r="J67">
        <v>64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t="str">
        <v>027057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8</v>
      </c>
      <c r="Y67">
        <v>0</v>
      </c>
      <c r="Z67" s="65">
        <v>1</v>
      </c>
      <c r="AA67" s="64">
        <f>COUNTIFS(base_de_datos[Materia],A67,base_de_datos[Misma o no],1)</f>
        <v>0</v>
      </c>
    </row>
    <row r="68" spans="1:27" ht="28">
      <c r="A68" t="str">
        <v>Planeación y control de proyectos</v>
      </c>
      <c r="B68" t="str">
        <v>ESC</v>
      </c>
      <c r="C68">
        <v>0</v>
      </c>
      <c r="D68">
        <v>0</v>
      </c>
      <c r="E68">
        <v>0</v>
      </c>
      <c r="F68">
        <v>0</v>
      </c>
      <c r="G68">
        <v>0</v>
      </c>
      <c r="H68">
        <v>6</v>
      </c>
      <c r="I68">
        <v>0</v>
      </c>
      <c r="J68">
        <v>64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t="str">
        <v>027068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8</v>
      </c>
      <c r="Y68">
        <v>0</v>
      </c>
      <c r="Z68" s="65">
        <v>1</v>
      </c>
      <c r="AA68" s="64">
        <f>COUNTIFS(base_de_datos[Materia],A68,base_de_datos[Misma o no],1)</f>
        <v>0</v>
      </c>
    </row>
    <row r="69" spans="1:27" ht="14">
      <c r="A69" t="str">
        <v>Propiedades de los suelos</v>
      </c>
      <c r="B69" t="str">
        <v>ESC</v>
      </c>
      <c r="C69">
        <v>0</v>
      </c>
      <c r="D69">
        <v>0</v>
      </c>
      <c r="E69">
        <v>0</v>
      </c>
      <c r="F69">
        <v>0</v>
      </c>
      <c r="G69">
        <v>0</v>
      </c>
      <c r="H69">
        <v>6</v>
      </c>
      <c r="I69">
        <v>0</v>
      </c>
      <c r="J69">
        <v>64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t="str">
        <v>027063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7</v>
      </c>
      <c r="Y69">
        <v>0</v>
      </c>
      <c r="Z69" s="65">
        <v>1</v>
      </c>
      <c r="AA69" s="64">
        <f>COUNTIFS(base_de_datos[Materia],A69,base_de_datos[Misma o no],1)</f>
        <v>0</v>
      </c>
    </row>
    <row r="70" spans="1:27" ht="14">
      <c r="A70" t="str">
        <v>Topografía</v>
      </c>
      <c r="B70" t="str">
        <v>ESC</v>
      </c>
      <c r="C70">
        <v>0</v>
      </c>
      <c r="D70">
        <v>0</v>
      </c>
      <c r="E70">
        <v>0</v>
      </c>
      <c r="F70">
        <v>0</v>
      </c>
      <c r="G70">
        <v>0</v>
      </c>
      <c r="H70">
        <v>2</v>
      </c>
      <c r="I70">
        <v>0</v>
      </c>
      <c r="J70">
        <v>80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t="str">
        <v>026880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7</v>
      </c>
      <c r="Y70">
        <v>0</v>
      </c>
      <c r="Z70" s="65">
        <v>1</v>
      </c>
      <c r="AA70" s="64">
        <f>COUNTIFS(base_de_datos[Materia],A70,base_de_datos[Misma o no],1)</f>
        <v>0</v>
      </c>
    </row>
    <row r="71" spans="1:27" ht="14">
      <c r="A71" t="str">
        <v>Aerogeneradores</v>
      </c>
      <c r="B71" t="str">
        <v>ETF</v>
      </c>
      <c r="C71">
        <v>0</v>
      </c>
      <c r="D71">
        <v>0</v>
      </c>
      <c r="E71">
        <v>0</v>
      </c>
      <c r="F71">
        <v>0</v>
      </c>
      <c r="G71">
        <v>6</v>
      </c>
      <c r="H71">
        <v>0</v>
      </c>
      <c r="I71">
        <v>0</v>
      </c>
      <c r="J71">
        <v>80</v>
      </c>
      <c r="K71">
        <v>0</v>
      </c>
      <c r="L71">
        <v>0</v>
      </c>
      <c r="M71">
        <v>0</v>
      </c>
      <c r="N71">
        <v>0</v>
      </c>
      <c r="O71">
        <v>0</v>
      </c>
      <c r="P71" t="str">
        <v>018601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9</v>
      </c>
      <c r="X71">
        <v>0</v>
      </c>
      <c r="Y71">
        <v>0</v>
      </c>
      <c r="Z71" s="65">
        <v>1</v>
      </c>
      <c r="AA71" s="64">
        <f>COUNTIFS(base_de_datos[Materia],A71,base_de_datos[Misma o no],1)</f>
        <v>0</v>
      </c>
    </row>
    <row r="72" spans="1:27" ht="14">
      <c r="A72" t="str">
        <v>Agua potable y alcantarillado</v>
      </c>
      <c r="B72" t="str">
        <v>ETF</v>
      </c>
      <c r="C72">
        <v>0</v>
      </c>
      <c r="D72">
        <v>0</v>
      </c>
      <c r="E72">
        <v>0</v>
      </c>
      <c r="F72">
        <v>0</v>
      </c>
      <c r="G72">
        <v>0</v>
      </c>
      <c r="H72">
        <v>6</v>
      </c>
      <c r="I72">
        <v>0</v>
      </c>
      <c r="J72">
        <v>64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t="str">
        <v>027071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8</v>
      </c>
      <c r="Y72">
        <v>0</v>
      </c>
      <c r="Z72" s="65">
        <v>1</v>
      </c>
      <c r="AA72" s="64">
        <f>COUNTIFS(base_de_datos[Materia],A72,base_de_datos[Misma o no],1)</f>
        <v>0</v>
      </c>
    </row>
    <row r="73" spans="1:27" ht="14">
      <c r="A73" t="str">
        <v>Almacenamiento energético</v>
      </c>
      <c r="B73" t="str">
        <v>ETF</v>
      </c>
      <c r="C73">
        <v>0</v>
      </c>
      <c r="D73">
        <v>0</v>
      </c>
      <c r="E73">
        <v>0</v>
      </c>
      <c r="F73">
        <v>0</v>
      </c>
      <c r="G73">
        <v>6</v>
      </c>
      <c r="H73">
        <v>0</v>
      </c>
      <c r="I73">
        <v>0</v>
      </c>
      <c r="J73">
        <v>80</v>
      </c>
      <c r="K73">
        <v>0</v>
      </c>
      <c r="L73">
        <v>0</v>
      </c>
      <c r="M73">
        <v>0</v>
      </c>
      <c r="N73">
        <v>0</v>
      </c>
      <c r="O73">
        <v>0</v>
      </c>
      <c r="P73" t="str">
        <v>018602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8</v>
      </c>
      <c r="X73">
        <v>0</v>
      </c>
      <c r="Y73">
        <v>0</v>
      </c>
      <c r="Z73" s="65">
        <v>1</v>
      </c>
      <c r="AA73" s="64">
        <f>COUNTIFS(base_de_datos[Materia],A73,base_de_datos[Misma o no],1)</f>
        <v>0</v>
      </c>
    </row>
    <row r="74" spans="1:27" ht="14">
      <c r="A74" t="str">
        <v>Análisis medioambiental</v>
      </c>
      <c r="B74" t="str">
        <v>ETF</v>
      </c>
      <c r="C74">
        <v>0</v>
      </c>
      <c r="D74">
        <v>0</v>
      </c>
      <c r="E74">
        <v>0</v>
      </c>
      <c r="F74">
        <v>0</v>
      </c>
      <c r="G74">
        <v>2</v>
      </c>
      <c r="H74">
        <v>0</v>
      </c>
      <c r="I74">
        <v>0</v>
      </c>
      <c r="J74">
        <v>48</v>
      </c>
      <c r="K74">
        <v>0</v>
      </c>
      <c r="L74">
        <v>0</v>
      </c>
      <c r="M74">
        <v>0</v>
      </c>
      <c r="N74">
        <v>0</v>
      </c>
      <c r="O74">
        <v>0</v>
      </c>
      <c r="P74" t="str">
        <v>018570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</v>
      </c>
      <c r="X74">
        <v>0</v>
      </c>
      <c r="Y74">
        <v>0</v>
      </c>
      <c r="Z74" s="65">
        <v>1</v>
      </c>
      <c r="AA74" s="64">
        <f>COUNTIFS(base_de_datos[Materia],A74,base_de_datos[Misma o no],1)</f>
        <v>0</v>
      </c>
    </row>
    <row r="75" spans="1:27" ht="28">
      <c r="A75" t="str">
        <v>Diseño de sistemas energéticos</v>
      </c>
      <c r="B75" t="str">
        <v>ETF</v>
      </c>
      <c r="C75">
        <v>0</v>
      </c>
      <c r="D75">
        <v>0</v>
      </c>
      <c r="E75">
        <v>0</v>
      </c>
      <c r="F75">
        <v>0</v>
      </c>
      <c r="G75">
        <v>8</v>
      </c>
      <c r="H75">
        <v>0</v>
      </c>
      <c r="I75">
        <v>0</v>
      </c>
      <c r="J75">
        <v>80</v>
      </c>
      <c r="K75">
        <v>0</v>
      </c>
      <c r="L75">
        <v>0</v>
      </c>
      <c r="M75">
        <v>0</v>
      </c>
      <c r="N75">
        <v>0</v>
      </c>
      <c r="O75">
        <v>0</v>
      </c>
      <c r="P75" t="str">
        <v>018941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8</v>
      </c>
      <c r="X75">
        <v>0</v>
      </c>
      <c r="Y75">
        <v>0</v>
      </c>
      <c r="Z75" s="65">
        <v>1</v>
      </c>
      <c r="AA75" s="64">
        <f>COUNTIFS(base_de_datos[Materia],A75,base_de_datos[Misma o no],1)</f>
        <v>0</v>
      </c>
    </row>
    <row r="76" spans="1:27" ht="14">
      <c r="A76" t="str">
        <v>Energía solar fotovoltáica</v>
      </c>
      <c r="B76" t="str">
        <v>ETF</v>
      </c>
      <c r="C76">
        <v>0</v>
      </c>
      <c r="D76">
        <v>0</v>
      </c>
      <c r="E76">
        <v>0</v>
      </c>
      <c r="F76">
        <v>0</v>
      </c>
      <c r="G76">
        <v>4</v>
      </c>
      <c r="H76">
        <v>0</v>
      </c>
      <c r="I76">
        <v>0</v>
      </c>
      <c r="J76">
        <v>64</v>
      </c>
      <c r="K76">
        <v>0</v>
      </c>
      <c r="L76">
        <v>0</v>
      </c>
      <c r="M76">
        <v>0</v>
      </c>
      <c r="N76">
        <v>0</v>
      </c>
      <c r="O76">
        <v>0</v>
      </c>
      <c r="P76" t="str">
        <v>018595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6</v>
      </c>
      <c r="X76">
        <v>0</v>
      </c>
      <c r="Y76">
        <v>0</v>
      </c>
      <c r="Z76" s="65">
        <v>1</v>
      </c>
      <c r="AA76" s="64">
        <f>COUNTIFS(base_de_datos[Materia],A76,base_de_datos[Misma o no],1)</f>
        <v>0</v>
      </c>
    </row>
    <row r="77" spans="1:27" ht="14">
      <c r="A77" t="str">
        <v>Energía solar térmica</v>
      </c>
      <c r="B77" t="str">
        <v>ETF</v>
      </c>
      <c r="C77">
        <v>0</v>
      </c>
      <c r="D77">
        <v>0</v>
      </c>
      <c r="E77">
        <v>0</v>
      </c>
      <c r="F77">
        <v>0</v>
      </c>
      <c r="G77">
        <v>4</v>
      </c>
      <c r="H77">
        <v>0</v>
      </c>
      <c r="I77">
        <v>0</v>
      </c>
      <c r="J77">
        <v>64</v>
      </c>
      <c r="K77">
        <v>0</v>
      </c>
      <c r="L77">
        <v>0</v>
      </c>
      <c r="M77">
        <v>0</v>
      </c>
      <c r="N77">
        <v>0</v>
      </c>
      <c r="O77">
        <v>0</v>
      </c>
      <c r="P77" t="str">
        <v>018572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8</v>
      </c>
      <c r="X77">
        <v>0</v>
      </c>
      <c r="Y77">
        <v>0</v>
      </c>
      <c r="Z77" s="65">
        <v>1</v>
      </c>
      <c r="AA77" s="64">
        <f>COUNTIFS(base_de_datos[Materia],A77,base_de_datos[Misma o no],1)</f>
        <v>0</v>
      </c>
    </row>
    <row r="78" spans="1:27" ht="14">
      <c r="A78" t="str">
        <v>Energías alternativas</v>
      </c>
      <c r="B78" t="str">
        <v>ETF</v>
      </c>
      <c r="C78">
        <v>0</v>
      </c>
      <c r="D78">
        <v>0</v>
      </c>
      <c r="E78">
        <v>0</v>
      </c>
      <c r="F78">
        <v>0</v>
      </c>
      <c r="G78">
        <v>2</v>
      </c>
      <c r="H78">
        <v>4</v>
      </c>
      <c r="I78">
        <v>0</v>
      </c>
      <c r="J78">
        <v>48</v>
      </c>
      <c r="K78" t="str">
        <v>x</v>
      </c>
      <c r="L78">
        <v>0</v>
      </c>
      <c r="M78">
        <v>0</v>
      </c>
      <c r="N78">
        <v>0</v>
      </c>
      <c r="O78">
        <v>0</v>
      </c>
      <c r="P78" t="str">
        <v>018571</v>
      </c>
      <c r="Q78" t="str">
        <v>027087</v>
      </c>
      <c r="R78">
        <v>0</v>
      </c>
      <c r="S78">
        <v>0</v>
      </c>
      <c r="T78">
        <v>0</v>
      </c>
      <c r="U78">
        <v>0</v>
      </c>
      <c r="V78">
        <v>0</v>
      </c>
      <c r="W78">
        <v>6</v>
      </c>
      <c r="X78">
        <v>6</v>
      </c>
      <c r="Y78">
        <v>0</v>
      </c>
      <c r="Z78" s="65">
        <v>1</v>
      </c>
      <c r="AA78" s="64">
        <f>COUNTIFS(base_de_datos[Materia],A78,base_de_datos[Misma o no],1)</f>
        <v>0</v>
      </c>
    </row>
    <row r="79" spans="1:27" ht="14">
      <c r="A79" t="str">
        <v>Proyectos biosostenibles</v>
      </c>
      <c r="B79" t="str">
        <v>ETF</v>
      </c>
      <c r="C79">
        <v>0</v>
      </c>
      <c r="D79">
        <v>0</v>
      </c>
      <c r="E79">
        <v>0</v>
      </c>
      <c r="F79">
        <v>0</v>
      </c>
      <c r="G79">
        <v>8</v>
      </c>
      <c r="H79">
        <v>0</v>
      </c>
      <c r="I79">
        <v>0</v>
      </c>
      <c r="J79">
        <v>80</v>
      </c>
      <c r="K79">
        <v>0</v>
      </c>
      <c r="L79">
        <v>0</v>
      </c>
      <c r="M79">
        <v>0</v>
      </c>
      <c r="N79">
        <v>0</v>
      </c>
      <c r="O79">
        <v>0</v>
      </c>
      <c r="P79" t="str">
        <v>018942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8</v>
      </c>
      <c r="X79">
        <v>0</v>
      </c>
      <c r="Y79">
        <v>0</v>
      </c>
      <c r="Z79" s="65">
        <v>1</v>
      </c>
      <c r="AA79" s="64">
        <f>COUNTIFS(base_de_datos[Materia],A79,base_de_datos[Misma o no],1)</f>
        <v>0</v>
      </c>
    </row>
    <row r="80" spans="1:27" ht="14">
      <c r="A80" t="str">
        <v>Química</v>
      </c>
      <c r="B80" t="str">
        <v>ETF</v>
      </c>
      <c r="C80">
        <v>1</v>
      </c>
      <c r="D80">
        <v>1</v>
      </c>
      <c r="E80">
        <v>2</v>
      </c>
      <c r="F80">
        <v>1</v>
      </c>
      <c r="G80">
        <v>1</v>
      </c>
      <c r="H80">
        <v>0</v>
      </c>
      <c r="I80">
        <v>1</v>
      </c>
      <c r="J80">
        <v>64</v>
      </c>
      <c r="K80">
        <v>0</v>
      </c>
      <c r="L80" t="str">
        <v>026778</v>
      </c>
      <c r="M80" t="str">
        <v>026778</v>
      </c>
      <c r="N80" t="str">
        <v>026778</v>
      </c>
      <c r="O80" t="str">
        <v>028103</v>
      </c>
      <c r="P80" t="str">
        <v>018262</v>
      </c>
      <c r="Q80" t="str">
        <v>027083</v>
      </c>
      <c r="R80" t="str">
        <v>028103</v>
      </c>
      <c r="S80">
        <v>7</v>
      </c>
      <c r="T80">
        <v>7</v>
      </c>
      <c r="U80">
        <v>7</v>
      </c>
      <c r="V80">
        <v>7</v>
      </c>
      <c r="W80">
        <v>7</v>
      </c>
      <c r="X80">
        <v>7</v>
      </c>
      <c r="Y80">
        <v>7</v>
      </c>
      <c r="Z80" s="65">
        <v>1</v>
      </c>
      <c r="AA80" s="64">
        <f ca="1">COUNTIFS(base_de_datos[Materia],A80,base_de_datos[Misma o no],1)</f>
        <v>3</v>
      </c>
    </row>
    <row r="81" spans="1:27" ht="14">
      <c r="A81" t="str">
        <v>Sistemas energéticos II</v>
      </c>
      <c r="B81" t="str">
        <v>ETF</v>
      </c>
      <c r="C81">
        <v>0</v>
      </c>
      <c r="D81">
        <v>0</v>
      </c>
      <c r="E81">
        <v>0</v>
      </c>
      <c r="F81">
        <v>0</v>
      </c>
      <c r="G81">
        <v>8</v>
      </c>
      <c r="H81">
        <v>0</v>
      </c>
      <c r="I81">
        <v>0</v>
      </c>
      <c r="J81">
        <v>80</v>
      </c>
      <c r="K81">
        <v>0</v>
      </c>
      <c r="L81">
        <v>0</v>
      </c>
      <c r="M81">
        <v>0</v>
      </c>
      <c r="N81">
        <v>0</v>
      </c>
      <c r="O81">
        <v>0</v>
      </c>
      <c r="P81" t="str">
        <v>018943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8</v>
      </c>
      <c r="X81">
        <v>0</v>
      </c>
      <c r="Y81">
        <v>0</v>
      </c>
      <c r="Z81" s="65">
        <v>1</v>
      </c>
      <c r="AA81" s="64">
        <f>COUNTIFS(base_de_datos[Materia],A81,base_de_datos[Misma o no],1)</f>
        <v>0</v>
      </c>
    </row>
    <row r="82" spans="1:27" ht="28">
      <c r="A82" t="str">
        <v>Sustentabilidad y normatividad energética</v>
      </c>
      <c r="B82" t="str">
        <v>ETF</v>
      </c>
      <c r="C82">
        <v>8</v>
      </c>
      <c r="D82">
        <v>0</v>
      </c>
      <c r="E82">
        <v>8</v>
      </c>
      <c r="F82">
        <v>0</v>
      </c>
      <c r="G82">
        <v>0</v>
      </c>
      <c r="H82">
        <v>0</v>
      </c>
      <c r="I82">
        <v>0</v>
      </c>
      <c r="J82">
        <v>32</v>
      </c>
      <c r="K82" t="str">
        <v>x</v>
      </c>
      <c r="L82" t="str">
        <v>026995</v>
      </c>
      <c r="M82">
        <v>0</v>
      </c>
      <c r="N82" t="str">
        <v>026995</v>
      </c>
      <c r="O82">
        <v>0</v>
      </c>
      <c r="P82">
        <v>0</v>
      </c>
      <c r="Q82">
        <v>0</v>
      </c>
      <c r="R82">
        <v>0</v>
      </c>
      <c r="S82">
        <v>4</v>
      </c>
      <c r="T82">
        <v>0</v>
      </c>
      <c r="U82">
        <v>4</v>
      </c>
      <c r="V82">
        <v>0</v>
      </c>
      <c r="W82">
        <v>0</v>
      </c>
      <c r="X82">
        <v>0</v>
      </c>
      <c r="Y82">
        <v>0</v>
      </c>
      <c r="Z82" s="65">
        <v>1</v>
      </c>
      <c r="AA82" s="64">
        <f>COUNTIFS(base_de_datos[Materia],A82,base_de_datos[Misma o no],1)</f>
        <v>0</v>
      </c>
    </row>
    <row r="83" spans="1:27" ht="14">
      <c r="A83" t="str">
        <v>Termodinámica</v>
      </c>
      <c r="B83" t="str">
        <v>ETF</v>
      </c>
      <c r="C83">
        <v>3</v>
      </c>
      <c r="D83">
        <v>4</v>
      </c>
      <c r="E83">
        <v>0</v>
      </c>
      <c r="F83">
        <v>0</v>
      </c>
      <c r="G83">
        <v>3</v>
      </c>
      <c r="H83">
        <v>0</v>
      </c>
      <c r="I83">
        <v>4</v>
      </c>
      <c r="J83">
        <v>64</v>
      </c>
      <c r="K83">
        <v>0</v>
      </c>
      <c r="L83" t="str">
        <v>027026</v>
      </c>
      <c r="M83" t="str">
        <v>026955</v>
      </c>
      <c r="N83">
        <v>0</v>
      </c>
      <c r="O83">
        <v>0</v>
      </c>
      <c r="P83" t="str">
        <v>018545</v>
      </c>
      <c r="Q83">
        <v>0</v>
      </c>
      <c r="R83" t="str">
        <v>028484</v>
      </c>
      <c r="S83">
        <v>7</v>
      </c>
      <c r="T83">
        <v>7</v>
      </c>
      <c r="U83">
        <v>0</v>
      </c>
      <c r="V83">
        <v>0</v>
      </c>
      <c r="W83">
        <v>7</v>
      </c>
      <c r="X83">
        <v>0</v>
      </c>
      <c r="Y83">
        <v>7</v>
      </c>
      <c r="Z83" s="65">
        <v>1</v>
      </c>
      <c r="AA83" s="64">
        <f ca="1">COUNTIFS(base_de_datos[Materia],A83,base_de_datos[Misma o no],1)</f>
        <v>1</v>
      </c>
    </row>
    <row r="84" spans="1:27" ht="28">
      <c r="A84" t="str">
        <v>Tratamiento de aguas, suelos y atmósferas</v>
      </c>
      <c r="B84" t="str">
        <v>ETF</v>
      </c>
      <c r="C84">
        <v>0</v>
      </c>
      <c r="D84">
        <v>0</v>
      </c>
      <c r="E84">
        <v>0</v>
      </c>
      <c r="F84">
        <v>0</v>
      </c>
      <c r="G84">
        <v>6</v>
      </c>
      <c r="H84">
        <v>0</v>
      </c>
      <c r="I84">
        <v>0</v>
      </c>
      <c r="J84">
        <v>64</v>
      </c>
      <c r="K84">
        <v>0</v>
      </c>
      <c r="L84">
        <v>0</v>
      </c>
      <c r="M84">
        <v>0</v>
      </c>
      <c r="N84">
        <v>0</v>
      </c>
      <c r="O84">
        <v>0</v>
      </c>
      <c r="P84" t="str">
        <v>018600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7</v>
      </c>
      <c r="X84">
        <v>0</v>
      </c>
      <c r="Y84">
        <v>0</v>
      </c>
      <c r="Z84" s="65">
        <v>1</v>
      </c>
      <c r="AA84" s="64">
        <f>COUNTIFS(base_de_datos[Materia],A84,base_de_datos[Misma o no],1)</f>
        <v>0</v>
      </c>
    </row>
    <row r="85" spans="1:27" ht="28">
      <c r="A85" t="str">
        <v>Antropología teológica I/Teología Dogmática</v>
      </c>
      <c r="B85" t="str">
        <v>HUM</v>
      </c>
      <c r="C85">
        <v>4</v>
      </c>
      <c r="D85">
        <v>4</v>
      </c>
      <c r="E85">
        <v>4</v>
      </c>
      <c r="F85">
        <v>4</v>
      </c>
      <c r="G85">
        <v>4</v>
      </c>
      <c r="H85">
        <v>4</v>
      </c>
      <c r="I85">
        <v>4</v>
      </c>
      <c r="J85">
        <v>32</v>
      </c>
      <c r="K85">
        <v>0</v>
      </c>
      <c r="L85" t="str">
        <v>026960</v>
      </c>
      <c r="M85" t="str">
        <v>026960</v>
      </c>
      <c r="N85" t="str">
        <v>026960</v>
      </c>
      <c r="O85" t="str">
        <v>028487</v>
      </c>
      <c r="P85" t="str">
        <v>018529</v>
      </c>
      <c r="Q85" t="str">
        <v>027060</v>
      </c>
      <c r="R85" t="str">
        <v>028487</v>
      </c>
      <c r="S85">
        <v>4</v>
      </c>
      <c r="T85">
        <v>4</v>
      </c>
      <c r="U85">
        <v>4</v>
      </c>
      <c r="V85">
        <v>4</v>
      </c>
      <c r="W85">
        <v>4</v>
      </c>
      <c r="X85">
        <v>4</v>
      </c>
      <c r="Y85">
        <v>4</v>
      </c>
      <c r="AA85" s="64">
        <f ca="1">COUNTIFS(base_de_datos[Materia],A85,base_de_datos[Misma o no],1)</f>
        <v>1</v>
      </c>
    </row>
    <row r="86" spans="1:27" ht="14">
      <c r="A86" t="str">
        <v>Ética profesional</v>
      </c>
      <c r="B86" t="str">
        <v>HUM</v>
      </c>
      <c r="C86">
        <v>8</v>
      </c>
      <c r="D86">
        <v>8</v>
      </c>
      <c r="E86">
        <v>8</v>
      </c>
      <c r="F86">
        <v>8</v>
      </c>
      <c r="G86">
        <v>8</v>
      </c>
      <c r="H86">
        <v>9</v>
      </c>
      <c r="I86">
        <v>8</v>
      </c>
      <c r="J86">
        <v>48</v>
      </c>
      <c r="K86" t="str">
        <v>x</v>
      </c>
      <c r="L86" t="str">
        <v>026991</v>
      </c>
      <c r="M86" t="str">
        <v>026991</v>
      </c>
      <c r="N86" t="str">
        <v>026991</v>
      </c>
      <c r="O86" t="str">
        <v>028912</v>
      </c>
      <c r="P86" t="str">
        <v>018934</v>
      </c>
      <c r="Q86" t="str">
        <v>032366</v>
      </c>
      <c r="R86" t="str">
        <v>028912</v>
      </c>
      <c r="S86">
        <v>6</v>
      </c>
      <c r="T86">
        <v>6</v>
      </c>
      <c r="U86">
        <v>6</v>
      </c>
      <c r="V86">
        <v>6</v>
      </c>
      <c r="W86">
        <v>6</v>
      </c>
      <c r="X86">
        <v>6</v>
      </c>
      <c r="Y86">
        <v>6</v>
      </c>
      <c r="AA86" s="64">
        <f ca="1">COUNTIFS(base_de_datos[Materia],A86,base_de_datos[Misma o no],1)</f>
        <v>1</v>
      </c>
    </row>
    <row r="87" spans="1:27" ht="14">
      <c r="A87" t="str">
        <v>Filosofía social/Ética Social</v>
      </c>
      <c r="B87" t="str">
        <v>HUM</v>
      </c>
      <c r="C87">
        <v>6</v>
      </c>
      <c r="D87">
        <v>6</v>
      </c>
      <c r="E87">
        <v>6</v>
      </c>
      <c r="F87">
        <v>6</v>
      </c>
      <c r="G87">
        <v>6</v>
      </c>
      <c r="H87">
        <v>6</v>
      </c>
      <c r="I87">
        <v>6</v>
      </c>
      <c r="J87">
        <v>48</v>
      </c>
      <c r="K87">
        <v>0</v>
      </c>
      <c r="L87" t="str">
        <v>026979</v>
      </c>
      <c r="M87" t="str">
        <v>026979</v>
      </c>
      <c r="N87" t="str">
        <v>026979</v>
      </c>
      <c r="O87" t="str">
        <v>028694</v>
      </c>
      <c r="P87" t="str">
        <v>018588</v>
      </c>
      <c r="Q87" t="str">
        <v>027070</v>
      </c>
      <c r="R87" t="str">
        <v>028694</v>
      </c>
      <c r="S87">
        <v>6</v>
      </c>
      <c r="T87">
        <v>6</v>
      </c>
      <c r="U87">
        <v>6</v>
      </c>
      <c r="V87">
        <v>6</v>
      </c>
      <c r="W87">
        <v>6</v>
      </c>
      <c r="X87">
        <v>6</v>
      </c>
      <c r="Y87">
        <v>6</v>
      </c>
      <c r="AA87" s="64">
        <f ca="1">COUNTIFS(base_de_datos[Materia],A87,base_de_datos[Misma o no],1)</f>
        <v>1</v>
      </c>
    </row>
    <row r="88" spans="1:27" ht="42">
      <c r="A88" t="str">
        <v>Persona y sociedad/Antropología Filosófica II</v>
      </c>
      <c r="B88" t="str">
        <v>HUM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48</v>
      </c>
      <c r="K88">
        <v>0</v>
      </c>
      <c r="L88" t="str">
        <v>026898</v>
      </c>
      <c r="M88" t="str">
        <v>026898</v>
      </c>
      <c r="N88" t="str">
        <v>026898</v>
      </c>
      <c r="O88" t="str">
        <v>028369</v>
      </c>
      <c r="P88" t="str">
        <v>018512</v>
      </c>
      <c r="Q88" t="str">
        <v>027049</v>
      </c>
      <c r="R88" t="str">
        <v>028369</v>
      </c>
      <c r="S88">
        <v>6</v>
      </c>
      <c r="T88">
        <v>6</v>
      </c>
      <c r="U88">
        <v>6</v>
      </c>
      <c r="V88">
        <v>6</v>
      </c>
      <c r="W88">
        <v>6</v>
      </c>
      <c r="X88">
        <v>6</v>
      </c>
      <c r="Y88">
        <v>6</v>
      </c>
      <c r="AA88" s="64">
        <f ca="1">COUNTIFS(base_de_datos[Materia],A88,base_de_datos[Misma o no],1)</f>
        <v>1</v>
      </c>
    </row>
    <row r="89" spans="1:27" ht="14">
      <c r="A89" t="str">
        <v>Diseño para la ingeniería civil</v>
      </c>
      <c r="B89" t="str">
        <v>IID</v>
      </c>
      <c r="C89">
        <v>0</v>
      </c>
      <c r="D89">
        <v>0</v>
      </c>
      <c r="E89">
        <v>0</v>
      </c>
      <c r="F89">
        <v>0</v>
      </c>
      <c r="G89">
        <v>0</v>
      </c>
      <c r="H89">
        <v>2</v>
      </c>
      <c r="I89">
        <v>0</v>
      </c>
      <c r="J89">
        <v>48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t="str">
        <v>026786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4</v>
      </c>
      <c r="Y89">
        <v>0</v>
      </c>
      <c r="Z89" s="65">
        <v>1</v>
      </c>
      <c r="AA89" s="64">
        <f>COUNTIFS(base_de_datos[Materia],A89,base_de_datos[Misma o no],1)</f>
        <v>0</v>
      </c>
    </row>
    <row r="90" spans="1:27" ht="14">
      <c r="A90" t="str">
        <v>Ergonomía para el diseño</v>
      </c>
      <c r="B90" t="str">
        <v>IID</v>
      </c>
      <c r="C90">
        <v>0</v>
      </c>
      <c r="D90">
        <v>0</v>
      </c>
      <c r="E90">
        <v>2</v>
      </c>
      <c r="F90">
        <v>0</v>
      </c>
      <c r="G90">
        <v>0</v>
      </c>
      <c r="H90">
        <v>0</v>
      </c>
      <c r="I90">
        <v>0</v>
      </c>
      <c r="J90">
        <v>48</v>
      </c>
      <c r="K90">
        <v>0</v>
      </c>
      <c r="L90">
        <v>0</v>
      </c>
      <c r="M90">
        <v>0</v>
      </c>
      <c r="N90" t="str">
        <v>026896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</v>
      </c>
      <c r="V90">
        <v>0</v>
      </c>
      <c r="W90">
        <v>0</v>
      </c>
      <c r="X90">
        <v>0</v>
      </c>
      <c r="Y90">
        <v>0</v>
      </c>
      <c r="Z90" s="65">
        <v>1</v>
      </c>
      <c r="AA90" s="64">
        <f>COUNTIFS(base_de_datos[Materia],A90,base_de_datos[Misma o no],1)</f>
        <v>0</v>
      </c>
    </row>
    <row r="91" spans="1:27" ht="14">
      <c r="A91" t="str">
        <v>Estrategias de mercadotecnia</v>
      </c>
      <c r="B91" t="str">
        <v>IID</v>
      </c>
      <c r="C91">
        <v>0</v>
      </c>
      <c r="D91">
        <v>0</v>
      </c>
      <c r="E91">
        <v>6</v>
      </c>
      <c r="F91">
        <v>0</v>
      </c>
      <c r="G91">
        <v>0</v>
      </c>
      <c r="H91">
        <v>0</v>
      </c>
      <c r="I91">
        <v>0</v>
      </c>
      <c r="J91">
        <v>48</v>
      </c>
      <c r="K91">
        <v>0</v>
      </c>
      <c r="L91">
        <v>0</v>
      </c>
      <c r="M91">
        <v>0</v>
      </c>
      <c r="N91" t="str">
        <v>026904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6</v>
      </c>
      <c r="V91">
        <v>0</v>
      </c>
      <c r="W91">
        <v>0</v>
      </c>
      <c r="X91">
        <v>0</v>
      </c>
      <c r="Y91">
        <v>0</v>
      </c>
      <c r="Z91" s="65">
        <v>1</v>
      </c>
      <c r="AA91" s="64">
        <f>COUNTIFS(base_de_datos[Materia],A91,base_de_datos[Misma o no],1)</f>
        <v>0</v>
      </c>
    </row>
    <row r="92" spans="1:27" ht="28">
      <c r="A92" t="str">
        <v>Estructuras Física para el Diseño del Producto</v>
      </c>
      <c r="B92" t="str">
        <v>IID</v>
      </c>
      <c r="C92">
        <v>0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J92">
        <v>64</v>
      </c>
      <c r="K92">
        <v>0</v>
      </c>
      <c r="L92">
        <v>0</v>
      </c>
      <c r="M92">
        <v>0</v>
      </c>
      <c r="N92" t="str">
        <v>026967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6</v>
      </c>
      <c r="V92">
        <v>0</v>
      </c>
      <c r="W92">
        <v>0</v>
      </c>
      <c r="X92">
        <v>0</v>
      </c>
      <c r="Y92">
        <v>0</v>
      </c>
      <c r="Z92" s="65">
        <v>1</v>
      </c>
      <c r="AA92" s="64">
        <f>COUNTIFS(base_de_datos[Materia],A92,base_de_datos[Misma o no],1)</f>
        <v>0</v>
      </c>
    </row>
    <row r="93" spans="1:27" ht="14">
      <c r="A93" t="str">
        <v>Marco legal de la innovación</v>
      </c>
      <c r="B93" t="str">
        <v>IID</v>
      </c>
      <c r="C93">
        <v>8</v>
      </c>
      <c r="D93">
        <v>0</v>
      </c>
      <c r="E93">
        <v>8</v>
      </c>
      <c r="F93">
        <v>0</v>
      </c>
      <c r="G93">
        <v>0</v>
      </c>
      <c r="H93">
        <v>0</v>
      </c>
      <c r="I93">
        <v>0</v>
      </c>
      <c r="J93">
        <v>32</v>
      </c>
      <c r="K93" t="str">
        <v>x</v>
      </c>
      <c r="L93" t="str">
        <v>027022</v>
      </c>
      <c r="M93">
        <v>0</v>
      </c>
      <c r="N93" t="str">
        <v>026988</v>
      </c>
      <c r="O93">
        <v>0</v>
      </c>
      <c r="P93">
        <v>0</v>
      </c>
      <c r="Q93">
        <v>0</v>
      </c>
      <c r="R93">
        <v>0</v>
      </c>
      <c r="S93">
        <v>4</v>
      </c>
      <c r="T93">
        <v>0</v>
      </c>
      <c r="U93">
        <v>4</v>
      </c>
      <c r="V93">
        <v>0</v>
      </c>
      <c r="W93">
        <v>0</v>
      </c>
      <c r="X93">
        <v>0</v>
      </c>
      <c r="Y93">
        <v>0</v>
      </c>
      <c r="Z93" s="65">
        <v>1</v>
      </c>
      <c r="AA93" s="64">
        <f>COUNTIFS(base_de_datos[Materia],A93,base_de_datos[Misma o no],1)</f>
        <v>0</v>
      </c>
    </row>
    <row r="94" spans="1:27" ht="14">
      <c r="A94" t="str">
        <v>Metales para el diseño</v>
      </c>
      <c r="B94" t="str">
        <v>IID</v>
      </c>
      <c r="C94">
        <v>0</v>
      </c>
      <c r="D94">
        <v>0</v>
      </c>
      <c r="E94">
        <v>4</v>
      </c>
      <c r="F94">
        <v>0</v>
      </c>
      <c r="G94">
        <v>0</v>
      </c>
      <c r="H94">
        <v>0</v>
      </c>
      <c r="I94">
        <v>0</v>
      </c>
      <c r="J94">
        <v>80</v>
      </c>
      <c r="K94">
        <v>0</v>
      </c>
      <c r="L94">
        <v>0</v>
      </c>
      <c r="M94">
        <v>0</v>
      </c>
      <c r="N94" t="str">
        <v>026968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6</v>
      </c>
      <c r="V94">
        <v>0</v>
      </c>
      <c r="W94">
        <v>0</v>
      </c>
      <c r="X94">
        <v>0</v>
      </c>
      <c r="Y94">
        <v>0</v>
      </c>
      <c r="Z94" s="65">
        <v>1</v>
      </c>
      <c r="AA94" s="64">
        <f>COUNTIFS(base_de_datos[Materia],A94,base_de_datos[Misma o no],1)</f>
        <v>0</v>
      </c>
    </row>
    <row r="95" spans="1:27" ht="14">
      <c r="A95" t="str">
        <v>Modelos físicos</v>
      </c>
      <c r="B95" t="str">
        <v>IID</v>
      </c>
      <c r="C95">
        <v>0</v>
      </c>
      <c r="D95">
        <v>0</v>
      </c>
      <c r="E95">
        <v>4</v>
      </c>
      <c r="F95">
        <v>0</v>
      </c>
      <c r="G95">
        <v>0</v>
      </c>
      <c r="H95">
        <v>0</v>
      </c>
      <c r="I95">
        <v>0</v>
      </c>
      <c r="J95">
        <v>64</v>
      </c>
      <c r="K95">
        <v>0</v>
      </c>
      <c r="L95">
        <v>0</v>
      </c>
      <c r="M95">
        <v>0</v>
      </c>
      <c r="N95" t="str">
        <v>026969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6</v>
      </c>
      <c r="V95">
        <v>0</v>
      </c>
      <c r="W95">
        <v>0</v>
      </c>
      <c r="X95">
        <v>0</v>
      </c>
      <c r="Y95">
        <v>0</v>
      </c>
      <c r="Z95" s="65">
        <v>1</v>
      </c>
      <c r="AA95" s="64">
        <f>COUNTIFS(base_de_datos[Materia],A95,base_de_datos[Misma o no],1)</f>
        <v>0</v>
      </c>
    </row>
    <row r="96" spans="1:27" ht="14">
      <c r="A96" t="str">
        <v>Simulación en 3D (5to.)</v>
      </c>
      <c r="B96" t="str">
        <v>IID</v>
      </c>
      <c r="C96">
        <v>0</v>
      </c>
      <c r="D96">
        <v>0</v>
      </c>
      <c r="E96">
        <v>0</v>
      </c>
      <c r="F96">
        <v>8</v>
      </c>
      <c r="G96">
        <v>0</v>
      </c>
      <c r="H96">
        <v>0</v>
      </c>
      <c r="I96">
        <v>0</v>
      </c>
      <c r="J96">
        <v>64</v>
      </c>
      <c r="K96" t="str">
        <v>x</v>
      </c>
      <c r="L96">
        <v>0</v>
      </c>
      <c r="M96">
        <v>0</v>
      </c>
      <c r="N96" t="str">
        <v>026983</v>
      </c>
      <c r="O96" t="str">
        <v>029634</v>
      </c>
      <c r="P96">
        <v>0</v>
      </c>
      <c r="Q96">
        <v>0</v>
      </c>
      <c r="R96">
        <v>0</v>
      </c>
      <c r="S96">
        <v>0</v>
      </c>
      <c r="T96">
        <v>0</v>
      </c>
      <c r="U96">
        <v>6</v>
      </c>
      <c r="V96">
        <v>6</v>
      </c>
      <c r="W96">
        <v>0</v>
      </c>
      <c r="X96">
        <v>0</v>
      </c>
      <c r="Y96">
        <v>0</v>
      </c>
      <c r="Z96" s="65">
        <v>1</v>
      </c>
      <c r="AA96" s="64">
        <f>COUNTIFS(base_de_datos[Materia],A96,base_de_datos[Misma o no],1)</f>
        <v>0</v>
      </c>
    </row>
    <row r="97" spans="1:27" ht="14">
      <c r="A97" t="str">
        <v>Simulación en 3D</v>
      </c>
      <c r="B97" t="str">
        <v>IID</v>
      </c>
      <c r="C97">
        <v>0</v>
      </c>
      <c r="D97">
        <v>0</v>
      </c>
      <c r="E97">
        <v>7</v>
      </c>
      <c r="F97">
        <v>8</v>
      </c>
      <c r="G97">
        <v>0</v>
      </c>
      <c r="H97">
        <v>0</v>
      </c>
      <c r="I97">
        <v>0</v>
      </c>
      <c r="J97">
        <v>64</v>
      </c>
      <c r="K97" t="str">
        <v>x</v>
      </c>
      <c r="L97">
        <v>0</v>
      </c>
      <c r="M97">
        <v>0</v>
      </c>
      <c r="N97">
        <v>26983</v>
      </c>
      <c r="O97">
        <v>29634</v>
      </c>
      <c r="P97">
        <v>0</v>
      </c>
      <c r="Q97">
        <v>0</v>
      </c>
      <c r="R97">
        <v>0</v>
      </c>
      <c r="S97">
        <v>0</v>
      </c>
      <c r="T97">
        <v>0</v>
      </c>
      <c r="U97">
        <v>6</v>
      </c>
      <c r="V97">
        <v>6</v>
      </c>
      <c r="W97">
        <v>0</v>
      </c>
      <c r="X97">
        <v>0</v>
      </c>
      <c r="Y97">
        <v>0</v>
      </c>
      <c r="Z97" s="65">
        <v>1</v>
      </c>
      <c r="AA97" s="64">
        <f ca="1">COUNTIFS(base_de_datos[Materia],A97,base_de_datos[Misma o no],1)</f>
        <v>1</v>
      </c>
    </row>
    <row r="98" spans="1:27" ht="28">
      <c r="A98" t="str">
        <v>Taller avanzado de ingeniería para el diseño</v>
      </c>
      <c r="B98" t="str">
        <v>IID</v>
      </c>
      <c r="C98">
        <v>0</v>
      </c>
      <c r="D98">
        <v>0</v>
      </c>
      <c r="E98">
        <v>8</v>
      </c>
      <c r="F98">
        <v>0</v>
      </c>
      <c r="G98">
        <v>0</v>
      </c>
      <c r="H98">
        <v>0</v>
      </c>
      <c r="I98">
        <v>0</v>
      </c>
      <c r="J98">
        <v>80</v>
      </c>
      <c r="K98">
        <v>0</v>
      </c>
      <c r="L98">
        <v>0</v>
      </c>
      <c r="M98">
        <v>0</v>
      </c>
      <c r="N98" t="str">
        <v>026986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8</v>
      </c>
      <c r="V98">
        <v>0</v>
      </c>
      <c r="W98">
        <v>0</v>
      </c>
      <c r="X98">
        <v>0</v>
      </c>
      <c r="Y98">
        <v>0</v>
      </c>
      <c r="Z98" s="65">
        <v>0</v>
      </c>
      <c r="AA98" s="64">
        <f>COUNTIFS(base_de_datos[Materia],A98,base_de_datos[Misma o no],1)</f>
        <v>0</v>
      </c>
    </row>
    <row r="99" spans="1:27" ht="14">
      <c r="A99" t="str">
        <v>Taller de diseño funcional</v>
      </c>
      <c r="B99" t="str">
        <v>IID</v>
      </c>
      <c r="C99">
        <v>0</v>
      </c>
      <c r="D99">
        <v>0</v>
      </c>
      <c r="E99">
        <v>4</v>
      </c>
      <c r="F99">
        <v>0</v>
      </c>
      <c r="G99">
        <v>0</v>
      </c>
      <c r="H99">
        <v>0</v>
      </c>
      <c r="I99">
        <v>0</v>
      </c>
      <c r="J99">
        <v>80</v>
      </c>
      <c r="K99">
        <v>0</v>
      </c>
      <c r="L99">
        <v>0</v>
      </c>
      <c r="M99">
        <v>0</v>
      </c>
      <c r="N99" t="str">
        <v>026907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7</v>
      </c>
      <c r="V99">
        <v>0</v>
      </c>
      <c r="W99">
        <v>0</v>
      </c>
      <c r="X99">
        <v>0</v>
      </c>
      <c r="Y99">
        <v>0</v>
      </c>
      <c r="Z99" s="65">
        <v>3</v>
      </c>
      <c r="AA99" s="64">
        <f>COUNTIFS(base_de_datos[Materia],A99,base_de_datos[Misma o no],1)</f>
        <v>0</v>
      </c>
    </row>
    <row r="100" spans="1:27" ht="28">
      <c r="A100" t="str">
        <v>Taller de estética para el diseño</v>
      </c>
      <c r="B100" t="str">
        <v>IID</v>
      </c>
      <c r="C100">
        <v>0</v>
      </c>
      <c r="D100">
        <v>0</v>
      </c>
      <c r="E100">
        <v>6</v>
      </c>
      <c r="F100">
        <v>0</v>
      </c>
      <c r="G100">
        <v>0</v>
      </c>
      <c r="H100">
        <v>0</v>
      </c>
      <c r="I100">
        <v>0</v>
      </c>
      <c r="J100">
        <v>80</v>
      </c>
      <c r="K100">
        <v>0</v>
      </c>
      <c r="L100">
        <v>0</v>
      </c>
      <c r="M100">
        <v>0</v>
      </c>
      <c r="N100" t="str">
        <v>026975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7</v>
      </c>
      <c r="V100">
        <v>0</v>
      </c>
      <c r="W100">
        <v>0</v>
      </c>
      <c r="X100">
        <v>0</v>
      </c>
      <c r="Y100">
        <v>0</v>
      </c>
      <c r="Z100" s="65">
        <v>1</v>
      </c>
      <c r="AA100" s="64">
        <f>COUNTIFS(base_de_datos[Materia],A100,base_de_datos[Misma o no],1)</f>
        <v>0</v>
      </c>
    </row>
    <row r="101" spans="1:27" ht="28">
      <c r="A101" t="str">
        <v>Taller de metodología del diseño</v>
      </c>
      <c r="B101" t="str">
        <v>IID</v>
      </c>
      <c r="C101">
        <v>0</v>
      </c>
      <c r="D101">
        <v>0</v>
      </c>
      <c r="E101">
        <v>2</v>
      </c>
      <c r="F101">
        <v>0</v>
      </c>
      <c r="G101">
        <v>0</v>
      </c>
      <c r="H101">
        <v>0</v>
      </c>
      <c r="I101">
        <v>0</v>
      </c>
      <c r="J101">
        <v>80</v>
      </c>
      <c r="K101">
        <v>0</v>
      </c>
      <c r="L101">
        <v>0</v>
      </c>
      <c r="M101">
        <v>0</v>
      </c>
      <c r="N101" t="str">
        <v>026892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7</v>
      </c>
      <c r="V101">
        <v>0</v>
      </c>
      <c r="W101">
        <v>0</v>
      </c>
      <c r="X101">
        <v>0</v>
      </c>
      <c r="Y101">
        <v>0</v>
      </c>
      <c r="Z101" s="65">
        <v>1</v>
      </c>
      <c r="AA101" s="64">
        <f>COUNTIFS(base_de_datos[Materia],A101,base_de_datos[Misma o no],1)</f>
        <v>0</v>
      </c>
    </row>
    <row r="102" spans="1:27" ht="14">
      <c r="A102" t="str">
        <v>Técnicas de representación</v>
      </c>
      <c r="B102" t="str">
        <v>IID</v>
      </c>
      <c r="C102">
        <v>0</v>
      </c>
      <c r="D102">
        <v>0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64</v>
      </c>
      <c r="K102">
        <v>0</v>
      </c>
      <c r="L102">
        <v>0</v>
      </c>
      <c r="M102">
        <v>0</v>
      </c>
      <c r="N102" t="str">
        <v>026897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5</v>
      </c>
      <c r="V102">
        <v>0</v>
      </c>
      <c r="W102">
        <v>0</v>
      </c>
      <c r="X102">
        <v>0</v>
      </c>
      <c r="Y102">
        <v>0</v>
      </c>
      <c r="Z102" s="65">
        <v>1</v>
      </c>
      <c r="AA102" s="64">
        <f>COUNTIFS(base_de_datos[Materia],A102,base_de_datos[Misma o no],1)</f>
        <v>0</v>
      </c>
    </row>
    <row r="103" spans="1:27" ht="14">
      <c r="A103" t="str">
        <v>Álgebra lineal</v>
      </c>
      <c r="B103" t="str">
        <v>MAT</v>
      </c>
      <c r="C103">
        <v>2</v>
      </c>
      <c r="D103">
        <v>2</v>
      </c>
      <c r="E103">
        <v>0</v>
      </c>
      <c r="F103">
        <v>2</v>
      </c>
      <c r="G103">
        <v>2</v>
      </c>
      <c r="H103">
        <v>2</v>
      </c>
      <c r="I103">
        <v>2</v>
      </c>
      <c r="J103">
        <v>64</v>
      </c>
      <c r="K103">
        <v>0</v>
      </c>
      <c r="L103" t="str">
        <v>026790</v>
      </c>
      <c r="M103" t="str">
        <v>026790</v>
      </c>
      <c r="N103">
        <v>0</v>
      </c>
      <c r="O103" t="str">
        <v>028365</v>
      </c>
      <c r="P103" t="str">
        <v>018507</v>
      </c>
      <c r="Q103" t="str">
        <v>026790</v>
      </c>
      <c r="R103" t="str">
        <v>028365</v>
      </c>
      <c r="S103">
        <v>8</v>
      </c>
      <c r="T103">
        <v>8</v>
      </c>
      <c r="U103">
        <v>0</v>
      </c>
      <c r="V103">
        <v>8</v>
      </c>
      <c r="W103">
        <v>8</v>
      </c>
      <c r="X103">
        <v>8</v>
      </c>
      <c r="Y103">
        <v>8</v>
      </c>
      <c r="Z103" s="65">
        <v>0</v>
      </c>
      <c r="AA103" s="64">
        <f ca="1">COUNTIFS(base_de_datos[Materia],A103,base_de_datos[Misma o no],1)</f>
        <v>1</v>
      </c>
    </row>
    <row r="104" spans="1:27" ht="14">
      <c r="A104" t="str">
        <v>Cálculo integral</v>
      </c>
      <c r="B104" t="str">
        <v>MAT</v>
      </c>
      <c r="C104">
        <v>2</v>
      </c>
      <c r="D104">
        <v>2</v>
      </c>
      <c r="E104">
        <v>4</v>
      </c>
      <c r="F104">
        <v>2</v>
      </c>
      <c r="G104">
        <v>2</v>
      </c>
      <c r="H104">
        <v>2</v>
      </c>
      <c r="I104">
        <v>2</v>
      </c>
      <c r="J104">
        <v>64</v>
      </c>
      <c r="K104">
        <v>0</v>
      </c>
      <c r="L104" t="str">
        <v>026788</v>
      </c>
      <c r="M104" t="str">
        <v>026788</v>
      </c>
      <c r="N104" t="str">
        <v>026789</v>
      </c>
      <c r="O104" t="str">
        <v>028362</v>
      </c>
      <c r="P104" t="str">
        <v>018482</v>
      </c>
      <c r="Q104" t="str">
        <v>026788</v>
      </c>
      <c r="R104" t="str">
        <v>028362</v>
      </c>
      <c r="S104">
        <v>8</v>
      </c>
      <c r="T104">
        <v>0</v>
      </c>
      <c r="U104">
        <v>8</v>
      </c>
      <c r="V104">
        <v>8</v>
      </c>
      <c r="W104">
        <v>6</v>
      </c>
      <c r="X104">
        <v>8</v>
      </c>
      <c r="Y104">
        <v>8</v>
      </c>
      <c r="Z104" s="65">
        <v>2</v>
      </c>
      <c r="AA104" s="64">
        <f ca="1">COUNTIFS(base_de_datos[Materia],A104,base_de_datos[Misma o no],1)</f>
        <v>1</v>
      </c>
    </row>
    <row r="105" spans="1:27" ht="28">
      <c r="A105" t="str">
        <v>Cálculo numérico/Métodos numéricos</v>
      </c>
      <c r="B105" t="str">
        <v>MAT</v>
      </c>
      <c r="C105">
        <v>0</v>
      </c>
      <c r="D105">
        <v>0</v>
      </c>
      <c r="E105">
        <v>0</v>
      </c>
      <c r="F105">
        <v>4</v>
      </c>
      <c r="G105">
        <v>0</v>
      </c>
      <c r="H105">
        <v>0</v>
      </c>
      <c r="I105">
        <v>0</v>
      </c>
      <c r="J105">
        <v>64</v>
      </c>
      <c r="K105">
        <v>0</v>
      </c>
      <c r="L105">
        <v>0</v>
      </c>
      <c r="M105">
        <v>0</v>
      </c>
      <c r="N105">
        <v>0</v>
      </c>
      <c r="O105" t="str">
        <v>029612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8</v>
      </c>
      <c r="W105">
        <v>0</v>
      </c>
      <c r="X105">
        <v>0</v>
      </c>
      <c r="Y105">
        <v>0</v>
      </c>
      <c r="Z105" s="65">
        <v>1</v>
      </c>
      <c r="AA105" s="64">
        <f>COUNTIFS(base_de_datos[Materia],A105,base_de_datos[Misma o no],1)</f>
        <v>0</v>
      </c>
    </row>
    <row r="106" spans="1:27" ht="14">
      <c r="A106" t="str">
        <v>Ecuaciones diferenciales</v>
      </c>
      <c r="B106" t="str">
        <v>MAT</v>
      </c>
      <c r="C106">
        <v>3</v>
      </c>
      <c r="D106">
        <v>3</v>
      </c>
      <c r="E106">
        <v>0</v>
      </c>
      <c r="F106">
        <v>4</v>
      </c>
      <c r="G106">
        <v>4</v>
      </c>
      <c r="H106">
        <v>4</v>
      </c>
      <c r="I106">
        <v>3</v>
      </c>
      <c r="J106">
        <v>48</v>
      </c>
      <c r="K106">
        <v>0</v>
      </c>
      <c r="L106" t="str">
        <v>026936</v>
      </c>
      <c r="M106" t="str">
        <v>026936</v>
      </c>
      <c r="N106">
        <v>0</v>
      </c>
      <c r="O106" t="str">
        <v>029611</v>
      </c>
      <c r="P106" t="str">
        <v>018513</v>
      </c>
      <c r="Q106" t="str">
        <v>027055</v>
      </c>
      <c r="R106" t="str">
        <v>028371</v>
      </c>
      <c r="S106">
        <v>6</v>
      </c>
      <c r="T106">
        <v>6</v>
      </c>
      <c r="U106">
        <v>0</v>
      </c>
      <c r="V106">
        <v>6</v>
      </c>
      <c r="W106">
        <v>6</v>
      </c>
      <c r="X106">
        <v>6</v>
      </c>
      <c r="Y106">
        <v>6</v>
      </c>
      <c r="Z106" s="65">
        <v>6</v>
      </c>
      <c r="AA106" s="64">
        <f ca="1">COUNTIFS(base_de_datos[Materia],A106,base_de_datos[Misma o no],1)</f>
        <v>2</v>
      </c>
    </row>
    <row r="107" spans="1:27" ht="14">
      <c r="A107" t="str">
        <v>Estadística</v>
      </c>
      <c r="B107" t="str">
        <v>MAT</v>
      </c>
      <c r="C107">
        <v>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48</v>
      </c>
      <c r="K107">
        <v>0</v>
      </c>
      <c r="L107" t="str">
        <v>026997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6</v>
      </c>
      <c r="U107">
        <v>0</v>
      </c>
      <c r="V107">
        <v>0</v>
      </c>
      <c r="W107">
        <v>0</v>
      </c>
      <c r="X107">
        <v>0</v>
      </c>
      <c r="Y107">
        <v>0</v>
      </c>
      <c r="Z107" s="65">
        <v>6</v>
      </c>
      <c r="AA107" s="64">
        <f>COUNTIFS(base_de_datos[Materia],A107,base_de_datos[Misma o no],1)</f>
        <v>0</v>
      </c>
    </row>
    <row r="108" spans="1:27" ht="14">
      <c r="A108" t="str">
        <v>Geometría y trigonometría</v>
      </c>
      <c r="B108" t="str">
        <v>MAT</v>
      </c>
      <c r="C108">
        <v>0</v>
      </c>
      <c r="D108">
        <v>0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48</v>
      </c>
      <c r="K108">
        <v>0</v>
      </c>
      <c r="L108">
        <v>0</v>
      </c>
      <c r="M108">
        <v>0</v>
      </c>
      <c r="N108" t="str">
        <v>026893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6</v>
      </c>
      <c r="V108">
        <v>0</v>
      </c>
      <c r="W108">
        <v>0</v>
      </c>
      <c r="X108">
        <v>0</v>
      </c>
      <c r="Y108">
        <v>0</v>
      </c>
      <c r="Z108" s="65">
        <v>6</v>
      </c>
      <c r="AA108" s="64">
        <f>COUNTIFS(base_de_datos[Materia],A108,base_de_datos[Misma o no],1)</f>
        <v>0</v>
      </c>
    </row>
    <row r="109" spans="1:27" ht="14">
      <c r="A109" t="str">
        <v>Matemáticas avanzadas</v>
      </c>
      <c r="B109" t="str">
        <v>MAT</v>
      </c>
      <c r="C109">
        <v>0</v>
      </c>
      <c r="D109">
        <v>4</v>
      </c>
      <c r="E109">
        <v>0</v>
      </c>
      <c r="F109">
        <v>0</v>
      </c>
      <c r="G109">
        <v>0</v>
      </c>
      <c r="H109">
        <v>0</v>
      </c>
      <c r="I109">
        <v>4</v>
      </c>
      <c r="J109">
        <v>48</v>
      </c>
      <c r="K109">
        <v>0</v>
      </c>
      <c r="L109">
        <v>0</v>
      </c>
      <c r="M109" t="str">
        <v>026953</v>
      </c>
      <c r="N109">
        <v>0</v>
      </c>
      <c r="O109">
        <v>0</v>
      </c>
      <c r="P109">
        <v>0</v>
      </c>
      <c r="Q109">
        <v>0</v>
      </c>
      <c r="R109" t="str">
        <v>028483</v>
      </c>
      <c r="S109">
        <v>0</v>
      </c>
      <c r="T109">
        <v>6</v>
      </c>
      <c r="U109">
        <v>0</v>
      </c>
      <c r="V109">
        <v>0</v>
      </c>
      <c r="W109">
        <v>0</v>
      </c>
      <c r="X109">
        <v>0</v>
      </c>
      <c r="Y109">
        <v>6</v>
      </c>
      <c r="Z109" s="65">
        <v>2</v>
      </c>
      <c r="AA109" s="64">
        <f>COUNTIFS(base_de_datos[Materia],A109,base_de_datos[Misma o no],1)</f>
        <v>0</v>
      </c>
    </row>
    <row r="110" spans="1:27" ht="14">
      <c r="A110" t="str">
        <v>Probabilidad y estadística</v>
      </c>
      <c r="B110" t="str">
        <v>MAT</v>
      </c>
      <c r="C110">
        <v>0</v>
      </c>
      <c r="D110">
        <v>5</v>
      </c>
      <c r="E110">
        <v>6</v>
      </c>
      <c r="F110">
        <v>5</v>
      </c>
      <c r="G110">
        <v>4</v>
      </c>
      <c r="H110">
        <v>4</v>
      </c>
      <c r="I110">
        <v>5</v>
      </c>
      <c r="J110">
        <v>64</v>
      </c>
      <c r="K110">
        <v>0</v>
      </c>
      <c r="L110">
        <v>0</v>
      </c>
      <c r="M110" t="str">
        <v>026909</v>
      </c>
      <c r="N110" t="str">
        <v>026909</v>
      </c>
      <c r="O110" t="str">
        <v>028691</v>
      </c>
      <c r="P110" t="str">
        <v>018520</v>
      </c>
      <c r="Q110" t="str">
        <v>027056</v>
      </c>
      <c r="R110" t="str">
        <v>028691</v>
      </c>
      <c r="S110">
        <v>0</v>
      </c>
      <c r="T110">
        <v>8</v>
      </c>
      <c r="U110">
        <v>8</v>
      </c>
      <c r="V110">
        <v>8</v>
      </c>
      <c r="W110">
        <v>8</v>
      </c>
      <c r="X110">
        <v>8</v>
      </c>
      <c r="Y110">
        <v>8</v>
      </c>
      <c r="Z110" s="65">
        <v>1</v>
      </c>
      <c r="AA110" s="64">
        <f ca="1">COUNTIFS(base_de_datos[Materia],A110,base_de_datos[Misma o no],1)</f>
        <v>2</v>
      </c>
    </row>
    <row r="111" spans="1:27" ht="28">
      <c r="A111" t="str">
        <v>Diseño asistido por computadora</v>
      </c>
      <c r="B111" t="str">
        <v>MEC</v>
      </c>
      <c r="C111">
        <v>2</v>
      </c>
      <c r="D111">
        <v>5</v>
      </c>
      <c r="E111">
        <v>2</v>
      </c>
      <c r="F111">
        <v>0</v>
      </c>
      <c r="G111">
        <v>3</v>
      </c>
      <c r="H111">
        <v>0</v>
      </c>
      <c r="I111">
        <v>0</v>
      </c>
      <c r="J111">
        <v>64</v>
      </c>
      <c r="K111">
        <v>0</v>
      </c>
      <c r="L111" t="str">
        <v>026894</v>
      </c>
      <c r="M111" t="str">
        <v>026895</v>
      </c>
      <c r="N111" t="str">
        <v>026894</v>
      </c>
      <c r="O111">
        <v>0</v>
      </c>
      <c r="P111" t="str">
        <v>018552</v>
      </c>
      <c r="Q111">
        <v>0</v>
      </c>
      <c r="R111">
        <v>0</v>
      </c>
      <c r="S111">
        <v>8</v>
      </c>
      <c r="T111">
        <v>8</v>
      </c>
      <c r="U111">
        <v>8</v>
      </c>
      <c r="V111">
        <v>0</v>
      </c>
      <c r="W111">
        <v>7</v>
      </c>
      <c r="X111">
        <v>0</v>
      </c>
      <c r="Y111">
        <v>0</v>
      </c>
      <c r="Z111" s="65">
        <v>1</v>
      </c>
      <c r="AA111" s="64">
        <f ca="1">COUNTIFS(base_de_datos[Materia],A111,base_de_datos[Misma o no],1)</f>
        <v>1</v>
      </c>
    </row>
    <row r="112" spans="1:27" ht="14">
      <c r="A112" t="str">
        <v>Diseño de máquinas</v>
      </c>
      <c r="B112" t="str">
        <v>MEC</v>
      </c>
      <c r="C112">
        <v>0</v>
      </c>
      <c r="D112">
        <v>8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64</v>
      </c>
      <c r="K112">
        <v>0</v>
      </c>
      <c r="L112">
        <v>0</v>
      </c>
      <c r="M112" t="str">
        <v>027037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7</v>
      </c>
      <c r="U112">
        <v>0</v>
      </c>
      <c r="V112">
        <v>0</v>
      </c>
      <c r="W112">
        <v>0</v>
      </c>
      <c r="X112">
        <v>0</v>
      </c>
      <c r="Y112">
        <v>0</v>
      </c>
      <c r="Z112" s="65">
        <v>2</v>
      </c>
      <c r="AA112" s="64">
        <f>COUNTIFS(base_de_datos[Materia],A112,base_de_datos[Misma o no],1)</f>
        <v>0</v>
      </c>
    </row>
    <row r="113" spans="1:27" ht="14">
      <c r="A113" t="str">
        <v>Estática</v>
      </c>
      <c r="B113" t="str">
        <v>MEC</v>
      </c>
      <c r="C113">
        <v>0</v>
      </c>
      <c r="D113">
        <v>2</v>
      </c>
      <c r="E113">
        <v>0</v>
      </c>
      <c r="F113">
        <v>0</v>
      </c>
      <c r="G113">
        <v>0</v>
      </c>
      <c r="H113">
        <v>2</v>
      </c>
      <c r="I113">
        <v>0</v>
      </c>
      <c r="J113">
        <v>48</v>
      </c>
      <c r="K113">
        <v>0</v>
      </c>
      <c r="L113">
        <v>0</v>
      </c>
      <c r="M113" t="str">
        <v>026932</v>
      </c>
      <c r="N113">
        <v>0</v>
      </c>
      <c r="O113">
        <v>0</v>
      </c>
      <c r="P113">
        <v>0</v>
      </c>
      <c r="Q113" t="str">
        <v>027046</v>
      </c>
      <c r="R113">
        <v>0</v>
      </c>
      <c r="S113">
        <v>0</v>
      </c>
      <c r="T113">
        <v>6</v>
      </c>
      <c r="U113">
        <v>0</v>
      </c>
      <c r="V113">
        <v>0</v>
      </c>
      <c r="W113">
        <v>0</v>
      </c>
      <c r="X113">
        <v>6</v>
      </c>
      <c r="Y113">
        <v>0</v>
      </c>
      <c r="Z113" s="65">
        <v>2</v>
      </c>
      <c r="AA113" s="64">
        <f>COUNTIFS(base_de_datos[Materia],A113,base_de_datos[Misma o no],1)</f>
        <v>0</v>
      </c>
    </row>
    <row r="114" spans="1:27" ht="28">
      <c r="A114" t="str">
        <v>Estudio y tecnología de materiales</v>
      </c>
      <c r="B114" t="str">
        <v>MEC</v>
      </c>
      <c r="C114">
        <v>0</v>
      </c>
      <c r="D114">
        <v>0</v>
      </c>
      <c r="E114">
        <v>6</v>
      </c>
      <c r="F114">
        <v>0</v>
      </c>
      <c r="G114">
        <v>0</v>
      </c>
      <c r="H114">
        <v>0</v>
      </c>
      <c r="I114">
        <v>0</v>
      </c>
      <c r="J114">
        <v>64</v>
      </c>
      <c r="K114">
        <v>0</v>
      </c>
      <c r="L114">
        <v>0</v>
      </c>
      <c r="M114">
        <v>0</v>
      </c>
      <c r="N114" t="str">
        <v>026972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</v>
      </c>
      <c r="V114">
        <v>0</v>
      </c>
      <c r="W114">
        <v>0</v>
      </c>
      <c r="X114">
        <v>0</v>
      </c>
      <c r="Y114">
        <v>0</v>
      </c>
      <c r="Z114" s="65">
        <v>1</v>
      </c>
      <c r="AA114" s="64">
        <f>COUNTIFS(base_de_datos[Materia],A114,base_de_datos[Misma o no],1)</f>
        <v>0</v>
      </c>
    </row>
    <row r="115" spans="1:27" ht="14">
      <c r="A115" t="str">
        <v>Física</v>
      </c>
      <c r="B115" t="str">
        <v>MEC</v>
      </c>
      <c r="C115">
        <v>1</v>
      </c>
      <c r="D115">
        <v>1</v>
      </c>
      <c r="E115">
        <v>1</v>
      </c>
      <c r="F115">
        <v>1</v>
      </c>
      <c r="G115">
        <v>2</v>
      </c>
      <c r="H115">
        <v>1</v>
      </c>
      <c r="I115">
        <v>1</v>
      </c>
      <c r="J115">
        <v>64</v>
      </c>
      <c r="K115">
        <v>0</v>
      </c>
      <c r="L115" t="str">
        <v>026779</v>
      </c>
      <c r="M115" t="str">
        <v>026779</v>
      </c>
      <c r="N115" t="str">
        <v>026779</v>
      </c>
      <c r="O115" t="str">
        <v>028138</v>
      </c>
      <c r="P115" t="str">
        <v>018508</v>
      </c>
      <c r="Q115" t="str">
        <v>026779</v>
      </c>
      <c r="R115" t="str">
        <v>028138</v>
      </c>
      <c r="S115">
        <v>7</v>
      </c>
      <c r="T115">
        <v>7</v>
      </c>
      <c r="U115">
        <v>7</v>
      </c>
      <c r="V115">
        <v>7</v>
      </c>
      <c r="W115">
        <v>6</v>
      </c>
      <c r="X115">
        <v>7</v>
      </c>
      <c r="Y115">
        <v>7</v>
      </c>
      <c r="Z115" s="65">
        <v>1</v>
      </c>
      <c r="AA115" s="64">
        <f ca="1">COUNTIFS(base_de_datos[Materia],A115,base_de_datos[Misma o no],1)</f>
        <v>4</v>
      </c>
    </row>
    <row r="116" spans="1:27" ht="14">
      <c r="A116" t="str">
        <v>Ingeniería de materiales</v>
      </c>
      <c r="B116" t="str">
        <v>MEC</v>
      </c>
      <c r="C116">
        <v>4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64</v>
      </c>
      <c r="K116">
        <v>0</v>
      </c>
      <c r="L116" t="str">
        <v>026998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7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 s="65">
        <v>6</v>
      </c>
      <c r="AA116" s="64">
        <f>COUNTIFS(base_de_datos[Materia],A116,base_de_datos[Misma o no],1)</f>
        <v>0</v>
      </c>
    </row>
    <row r="117" spans="1:27" ht="14">
      <c r="A117" t="str">
        <v>Máquinas y herramientas</v>
      </c>
      <c r="B117" t="str">
        <v>MEC</v>
      </c>
      <c r="C117">
        <v>0</v>
      </c>
      <c r="D117">
        <v>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48</v>
      </c>
      <c r="K117">
        <v>0</v>
      </c>
      <c r="L117">
        <v>0</v>
      </c>
      <c r="M117" t="str">
        <v>026933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4</v>
      </c>
      <c r="U117">
        <v>0</v>
      </c>
      <c r="V117">
        <v>0</v>
      </c>
      <c r="W117">
        <v>0</v>
      </c>
      <c r="X117">
        <v>0</v>
      </c>
      <c r="Y117">
        <v>0</v>
      </c>
      <c r="Z117" s="65">
        <v>1</v>
      </c>
      <c r="AA117" s="64">
        <f>COUNTIFS(base_de_datos[Materia],A117,base_de_datos[Misma o no],1)</f>
        <v>0</v>
      </c>
    </row>
    <row r="118" spans="1:27" ht="14">
      <c r="A118" t="str">
        <v>Mecánica</v>
      </c>
      <c r="B118" t="str">
        <v>MEC</v>
      </c>
      <c r="C118">
        <v>2</v>
      </c>
      <c r="D118">
        <v>0</v>
      </c>
      <c r="E118">
        <v>0</v>
      </c>
      <c r="F118">
        <v>2</v>
      </c>
      <c r="G118">
        <v>4</v>
      </c>
      <c r="H118">
        <v>0</v>
      </c>
      <c r="I118">
        <v>2</v>
      </c>
      <c r="J118">
        <v>48</v>
      </c>
      <c r="K118">
        <v>0</v>
      </c>
      <c r="L118" t="str">
        <v>027027</v>
      </c>
      <c r="M118">
        <v>0</v>
      </c>
      <c r="N118">
        <v>0</v>
      </c>
      <c r="O118" t="str">
        <v>028366</v>
      </c>
      <c r="P118" t="str">
        <v>018550</v>
      </c>
      <c r="Q118">
        <v>0</v>
      </c>
      <c r="R118" t="str">
        <v>028366</v>
      </c>
      <c r="S118">
        <v>6</v>
      </c>
      <c r="T118">
        <v>0</v>
      </c>
      <c r="U118">
        <v>0</v>
      </c>
      <c r="V118">
        <v>6</v>
      </c>
      <c r="W118">
        <v>7</v>
      </c>
      <c r="X118">
        <v>0</v>
      </c>
      <c r="Y118">
        <v>6</v>
      </c>
      <c r="Z118" s="65">
        <v>1</v>
      </c>
      <c r="AA118" s="64">
        <f>COUNTIFS(base_de_datos[Materia],A118,base_de_datos[Misma o no],1)</f>
        <v>0</v>
      </c>
    </row>
    <row r="119" spans="1:27" ht="14">
      <c r="A119" t="str">
        <v>Mecanismos</v>
      </c>
      <c r="B119" t="str">
        <v>MEC</v>
      </c>
      <c r="C119">
        <v>0</v>
      </c>
      <c r="D119">
        <v>6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48</v>
      </c>
      <c r="K119">
        <v>0</v>
      </c>
      <c r="L119">
        <v>0</v>
      </c>
      <c r="M119" t="str">
        <v>027029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6</v>
      </c>
      <c r="U119">
        <v>0</v>
      </c>
      <c r="V119">
        <v>0</v>
      </c>
      <c r="W119">
        <v>0</v>
      </c>
      <c r="X119">
        <v>0</v>
      </c>
      <c r="Y119">
        <v>0</v>
      </c>
      <c r="Z119" s="65">
        <v>1</v>
      </c>
      <c r="AA119" s="64">
        <f>COUNTIFS(base_de_datos[Materia],A119,base_de_datos[Misma o no],1)</f>
        <v>0</v>
      </c>
    </row>
    <row r="120" spans="1:27" ht="14">
      <c r="A120" t="str">
        <v>Procesos de manufactura</v>
      </c>
      <c r="B120" t="str">
        <v>MEC</v>
      </c>
      <c r="C120">
        <v>6</v>
      </c>
      <c r="D120">
        <v>6</v>
      </c>
      <c r="E120">
        <v>7</v>
      </c>
      <c r="F120">
        <v>0</v>
      </c>
      <c r="G120">
        <v>0</v>
      </c>
      <c r="H120">
        <v>0</v>
      </c>
      <c r="I120">
        <v>0</v>
      </c>
      <c r="J120">
        <v>64</v>
      </c>
      <c r="K120">
        <v>0</v>
      </c>
      <c r="L120" t="str">
        <v>026966</v>
      </c>
      <c r="M120" t="str">
        <v>026966</v>
      </c>
      <c r="N120">
        <v>26982</v>
      </c>
      <c r="O120">
        <v>0</v>
      </c>
      <c r="P120">
        <v>0</v>
      </c>
      <c r="Q120">
        <v>0</v>
      </c>
      <c r="R120">
        <v>0</v>
      </c>
      <c r="S120">
        <v>7</v>
      </c>
      <c r="T120">
        <v>7</v>
      </c>
      <c r="U120">
        <v>7</v>
      </c>
      <c r="V120">
        <v>0</v>
      </c>
      <c r="W120">
        <v>0</v>
      </c>
      <c r="X120">
        <v>0</v>
      </c>
      <c r="Y120">
        <v>0</v>
      </c>
    </row>
    <row r="121" spans="1:27" ht="14">
      <c r="A121" t="str">
        <v>Resistencia de materiales</v>
      </c>
      <c r="B121" t="str">
        <v>MEC</v>
      </c>
      <c r="C121">
        <v>0</v>
      </c>
      <c r="D121">
        <v>4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48</v>
      </c>
      <c r="K121">
        <v>0</v>
      </c>
      <c r="L121">
        <v>0</v>
      </c>
      <c r="M121" t="str">
        <v>026956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6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7" ht="28">
      <c r="A122" t="str">
        <v>Simulación asistida por computadora</v>
      </c>
      <c r="B122" t="str">
        <v>MEC</v>
      </c>
      <c r="C122">
        <v>0</v>
      </c>
      <c r="D122">
        <v>8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48</v>
      </c>
      <c r="K122" t="str">
        <v>x</v>
      </c>
      <c r="L122">
        <v>0</v>
      </c>
      <c r="M122" t="str">
        <v>027044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6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7" ht="28">
      <c r="A123" t="str">
        <v>Sistemas integrados de manufactura</v>
      </c>
      <c r="B123" t="str">
        <v>MEC</v>
      </c>
      <c r="C123">
        <v>8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64</v>
      </c>
      <c r="K123">
        <v>0</v>
      </c>
      <c r="L123" t="str">
        <v>027017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7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</sheetData>
  <autoFilter ref="A1:Y1" xr:uid="{BDE071A9-6B8E-4B5B-A474-983664B91F28}"/>
  <conditionalFormatting sqref="A2:AA2 Z3:Z84">
    <cfRule type="expression" dxfId="1" priority="2">
      <formula>$Z2=$AA2</formula>
    </cfRule>
  </conditionalFormatting>
  <conditionalFormatting sqref="A85:AA151 A3:Y84 AA3:AA84">
    <cfRule type="expression" dxfId="0" priority="1">
      <formula>$Z3=$AA3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3B6BF7E7E0374DA92167CA2560DF42" ma:contentTypeVersion="5" ma:contentTypeDescription="Crear nuevo documento." ma:contentTypeScope="" ma:versionID="cb1122794106acbe3ddc520671d7377b">
  <xsd:schema xmlns:xsd="http://www.w3.org/2001/XMLSchema" xmlns:xs="http://www.w3.org/2001/XMLSchema" xmlns:p="http://schemas.microsoft.com/office/2006/metadata/properties" xmlns:ns3="c01d3775-c9e1-422d-8763-4def1575a9a7" xmlns:ns4="7bfa2f52-108b-4844-87bb-de7045dbe576" targetNamespace="http://schemas.microsoft.com/office/2006/metadata/properties" ma:root="true" ma:fieldsID="7c07c8bc9ed0b95a3d37b565b62aaa2f" ns3:_="" ns4:_="">
    <xsd:import namespace="c01d3775-c9e1-422d-8763-4def1575a9a7"/>
    <xsd:import namespace="7bfa2f52-108b-4844-87bb-de7045dbe5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d3775-c9e1-422d-8763-4def1575a9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a2f52-108b-4844-87bb-de7045dbe5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bfa2f52-108b-4844-87bb-de7045dbe576">
      <UserInfo>
        <DisplayName>Laura Patricia Renteria Solis</DisplayName>
        <AccountId>13</AccountId>
        <AccountType/>
      </UserInfo>
      <UserInfo>
        <DisplayName>Rogelio Barocio Lira</DisplayName>
        <AccountId>21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BC1F2-359D-4ACA-B9F1-C9974373B6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d3775-c9e1-422d-8763-4def1575a9a7"/>
    <ds:schemaRef ds:uri="7bfa2f52-108b-4844-87bb-de7045dbe5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66EE9E0-7741-42EC-8825-5DA9254953BA}">
  <ds:schemaRefs>
    <ds:schemaRef ds:uri="http://schemas.microsoft.com/office/2006/metadata/properties"/>
    <ds:schemaRef ds:uri="http://schemas.microsoft.com/office/infopath/2007/PartnerControls"/>
    <ds:schemaRef ds:uri="7bfa2f52-108b-4844-87bb-de7045dbe576"/>
  </ds:schemaRefs>
</ds:datastoreItem>
</file>

<file path=customXml/itemProps3.xml><?xml version="1.0" encoding="utf-8"?>
<ds:datastoreItem xmlns:ds="http://schemas.openxmlformats.org/officeDocument/2006/customXml" ds:itemID="{D7E9C26C-2B43-43CB-AA4D-B258203281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38</vt:i4>
      </vt:variant>
    </vt:vector>
  </HeadingPairs>
  <TitlesOfParts>
    <vt:vector size="47" baseType="lpstr">
      <vt:lpstr>Horario aula</vt:lpstr>
      <vt:lpstr>Horario profesor</vt:lpstr>
      <vt:lpstr>Horario grupo</vt:lpstr>
      <vt:lpstr>Base de datos</vt:lpstr>
      <vt:lpstr>Profesores</vt:lpstr>
      <vt:lpstr>Índices</vt:lpstr>
      <vt:lpstr>Pronostico</vt:lpstr>
      <vt:lpstr>Planes de estudio</vt:lpstr>
      <vt:lpstr>Pares</vt:lpstr>
      <vt:lpstr>Aula</vt:lpstr>
      <vt:lpstr>Aulas</vt:lpstr>
      <vt:lpstr>Aulas_capacidad</vt:lpstr>
      <vt:lpstr>Bioelectrónica</vt:lpstr>
      <vt:lpstr>Cantidad_de_materias</vt:lpstr>
      <vt:lpstr>Capacidad</vt:lpstr>
      <vt:lpstr>Carrera</vt:lpstr>
      <vt:lpstr>Carreras</vt:lpstr>
      <vt:lpstr>Civil_y_Administración</vt:lpstr>
      <vt:lpstr>Clases_Presenciales</vt:lpstr>
      <vt:lpstr>'Horario aula'!Columna</vt:lpstr>
      <vt:lpstr>'Horario profesor'!Columna</vt:lpstr>
      <vt:lpstr>'Horario aula'!Concepto</vt:lpstr>
      <vt:lpstr>'Horario profesor'!Concepto</vt:lpstr>
      <vt:lpstr>Equipo</vt:lpstr>
      <vt:lpstr>Gdo</vt:lpstr>
      <vt:lpstr>Grado</vt:lpstr>
      <vt:lpstr>Hora_de_fin</vt:lpstr>
      <vt:lpstr>Hora_de_inicio</vt:lpstr>
      <vt:lpstr>Horas</vt:lpstr>
      <vt:lpstr>Industrial</vt:lpstr>
      <vt:lpstr>Innovación_y_Diseño</vt:lpstr>
      <vt:lpstr>Inteligencia_Artificial</vt:lpstr>
      <vt:lpstr>Materia_programada</vt:lpstr>
      <vt:lpstr>Materias</vt:lpstr>
      <vt:lpstr>Mecatrónica</vt:lpstr>
      <vt:lpstr>Metales</vt:lpstr>
      <vt:lpstr>Nombre</vt:lpstr>
      <vt:lpstr>Num</vt:lpstr>
      <vt:lpstr>Optativa</vt:lpstr>
      <vt:lpstr>'Horario aula'!Profesor</vt:lpstr>
      <vt:lpstr>'Horario profesor'!Profesor</vt:lpstr>
      <vt:lpstr>Sana_distancia</vt:lpstr>
      <vt:lpstr>Semestre</vt:lpstr>
      <vt:lpstr>Semestres</vt:lpstr>
      <vt:lpstr>Tecnologías_Energéticas</vt:lpstr>
      <vt:lpstr>Tipo</vt:lpstr>
      <vt:lpstr>Tipo_de_profesor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Bego</dc:creator>
  <cp:keywords/>
  <dc:description/>
  <cp:lastModifiedBy>Microsoft Office User</cp:lastModifiedBy>
  <cp:revision/>
  <dcterms:created xsi:type="dcterms:W3CDTF">2020-09-09T15:52:35Z</dcterms:created>
  <dcterms:modified xsi:type="dcterms:W3CDTF">2023-08-19T23:06:40Z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0x010100003B6BF7E7E0374DA92167CA2560DF42</vt:lpwstr>
  </property>
</Properties>
</file>